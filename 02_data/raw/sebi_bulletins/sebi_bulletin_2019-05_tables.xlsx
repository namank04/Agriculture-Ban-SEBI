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 Drive\Upload\"/>
    </mc:Choice>
  </mc:AlternateContent>
  <bookViews>
    <workbookView xWindow="0" yWindow="0" windowWidth="19200" windowHeight="11595" tabRatio="803" firstSheet="40" activeTab="53"/>
  </bookViews>
  <sheets>
    <sheet name="Data Summary"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3" r:id="rId22"/>
    <sheet name="22" sheetId="24" r:id="rId23"/>
    <sheet name="23" sheetId="25" r:id="rId24"/>
    <sheet name="24" sheetId="26" r:id="rId25"/>
    <sheet name="25" sheetId="27" r:id="rId26"/>
    <sheet name="26" sheetId="28" r:id="rId27"/>
    <sheet name="27" sheetId="29" r:id="rId28"/>
    <sheet name="28" sheetId="30" r:id="rId29"/>
    <sheet name="29" sheetId="31" r:id="rId30"/>
    <sheet name="30" sheetId="32" r:id="rId31"/>
    <sheet name="31" sheetId="33" r:id="rId32"/>
    <sheet name="32" sheetId="34" r:id="rId33"/>
    <sheet name="33" sheetId="35" r:id="rId34"/>
    <sheet name="34" sheetId="36" r:id="rId35"/>
    <sheet name="35" sheetId="37" r:id="rId36"/>
    <sheet name="36" sheetId="38" r:id="rId37"/>
    <sheet name="37" sheetId="39" r:id="rId38"/>
    <sheet name="38" sheetId="40" r:id="rId39"/>
    <sheet name="39" sheetId="41" r:id="rId40"/>
    <sheet name="40" sheetId="42" r:id="rId41"/>
    <sheet name="41" sheetId="43" r:id="rId42"/>
    <sheet name="42" sheetId="44" r:id="rId43"/>
    <sheet name="43" sheetId="45" r:id="rId44"/>
    <sheet name="44" sheetId="46" r:id="rId45"/>
    <sheet name="45" sheetId="47" r:id="rId46"/>
    <sheet name="46" sheetId="48" r:id="rId47"/>
    <sheet name="47" sheetId="49" r:id="rId48"/>
    <sheet name="48" sheetId="50" r:id="rId49"/>
    <sheet name="49" sheetId="51" r:id="rId50"/>
    <sheet name="50" sheetId="52" r:id="rId51"/>
    <sheet name="51" sheetId="53" r:id="rId52"/>
    <sheet name="52" sheetId="54" r:id="rId53"/>
    <sheet name="53" sheetId="55" r:id="rId54"/>
    <sheet name="54" sheetId="56" r:id="rId55"/>
    <sheet name="55" sheetId="57" r:id="rId56"/>
    <sheet name="56" sheetId="58" r:id="rId57"/>
    <sheet name="57" sheetId="86" r:id="rId58"/>
    <sheet name="58" sheetId="62" r:id="rId59"/>
    <sheet name="59" sheetId="63" r:id="rId60"/>
    <sheet name="60" sheetId="64" r:id="rId61"/>
    <sheet name="61" sheetId="65" r:id="rId62"/>
    <sheet name="62" sheetId="66" r:id="rId63"/>
    <sheet name="63" sheetId="87" r:id="rId64"/>
    <sheet name="64" sheetId="88" r:id="rId65"/>
    <sheet name="65" sheetId="89" r:id="rId66"/>
    <sheet name="66" sheetId="90" r:id="rId67"/>
    <sheet name="67" sheetId="91" r:id="rId68"/>
    <sheet name="68" sheetId="92" r:id="rId69"/>
    <sheet name="69" sheetId="93" r:id="rId70"/>
    <sheet name="70" sheetId="94" r:id="rId71"/>
    <sheet name="71" sheetId="95" r:id="rId72"/>
    <sheet name="72" sheetId="96" r:id="rId73"/>
    <sheet name="73" sheetId="97" r:id="rId74"/>
    <sheet name="74" sheetId="83" r:id="rId75"/>
  </sheets>
  <externalReferences>
    <externalReference r:id="rId76"/>
  </externalReferences>
  <definedNames>
    <definedName name="_xlnm.Print_Area" localSheetId="57">'57'!$A$1:$I$92</definedName>
    <definedName name="_xlnm.Print_Area" localSheetId="63">'63'!$A$1:$K$19</definedName>
    <definedName name="_xlnm.Print_Area" localSheetId="64">'64'!$A$1:$I$8</definedName>
    <definedName name="_xlnm.Print_Area" localSheetId="65">'65'!$A$1:$R$17</definedName>
    <definedName name="_xlnm.Print_Area" localSheetId="66">'66'!$A$1:$M$9</definedName>
    <definedName name="_xlnm.Print_Area" localSheetId="67">'67'!$A$1:$O$11</definedName>
    <definedName name="_xlnm.Print_Area" localSheetId="68">'68'!$A$1:$X$9</definedName>
    <definedName name="_xlnm.Print_Area" localSheetId="69">'69'!$A$1:$L$9</definedName>
    <definedName name="_xlnm.Print_Area" localSheetId="70">'70'!$A$1:$R$10</definedName>
    <definedName name="_xlnm.Print_Area" localSheetId="71">'71'!$A$1:$J$44</definedName>
    <definedName name="_xlnm.Print_Area" localSheetId="72">'72'!$A$1:$J$31</definedName>
    <definedName name="_xlnm.Print_Area" localSheetId="73">'73'!$A$1:$J$43</definedName>
  </definedNames>
  <calcPr calcId="152511"/>
</workbook>
</file>

<file path=xl/calcChain.xml><?xml version="1.0" encoding="utf-8"?>
<calcChain xmlns="http://schemas.openxmlformats.org/spreadsheetml/2006/main">
  <c r="J38" i="97" l="1"/>
  <c r="I38" i="97"/>
  <c r="J37" i="97"/>
  <c r="I37" i="97"/>
  <c r="H37" i="97"/>
  <c r="G37" i="97"/>
  <c r="D37" i="97"/>
  <c r="C37" i="97"/>
  <c r="M35" i="97"/>
  <c r="L35" i="97"/>
  <c r="K35" i="97"/>
  <c r="M32" i="97"/>
  <c r="L32" i="97"/>
  <c r="K32" i="97"/>
  <c r="J26" i="97"/>
  <c r="H26" i="97"/>
  <c r="D26" i="97"/>
  <c r="I25" i="97"/>
  <c r="G25" i="97"/>
  <c r="I24" i="97"/>
  <c r="G24" i="97"/>
  <c r="G23" i="97"/>
  <c r="I22" i="97"/>
  <c r="G22" i="97"/>
  <c r="I21" i="97"/>
  <c r="I19" i="97"/>
  <c r="I26" i="97" s="1"/>
  <c r="G19" i="97"/>
  <c r="I18" i="97"/>
  <c r="G18" i="97"/>
  <c r="G26" i="97" s="1"/>
  <c r="J16" i="97"/>
  <c r="I16" i="97"/>
  <c r="H16" i="97"/>
  <c r="G16" i="97"/>
  <c r="F16" i="97"/>
  <c r="E16" i="97"/>
  <c r="D16" i="97"/>
  <c r="C16" i="97"/>
  <c r="J28" i="96"/>
  <c r="I28" i="96"/>
  <c r="H28" i="96"/>
  <c r="G28" i="96"/>
  <c r="F28" i="96"/>
  <c r="E28" i="96"/>
  <c r="D28" i="96"/>
  <c r="C28" i="96"/>
  <c r="J21" i="96"/>
  <c r="I21" i="96"/>
  <c r="H21" i="96"/>
  <c r="K21" i="96" s="1"/>
  <c r="G21" i="96"/>
  <c r="F21" i="96"/>
  <c r="E21" i="96"/>
  <c r="D21" i="96"/>
  <c r="C21" i="96"/>
  <c r="K20" i="96"/>
  <c r="K19" i="96"/>
  <c r="K18" i="96"/>
  <c r="K17" i="96"/>
  <c r="K15" i="96"/>
  <c r="K14" i="96"/>
  <c r="K13" i="96"/>
  <c r="K12" i="96"/>
  <c r="K11" i="96"/>
  <c r="K10" i="96"/>
  <c r="K9" i="96"/>
  <c r="A9" i="96"/>
  <c r="A10" i="96" s="1"/>
  <c r="A11" i="96" s="1"/>
  <c r="A12" i="96" s="1"/>
  <c r="A13" i="96" s="1"/>
  <c r="A14" i="96" s="1"/>
  <c r="A15" i="96" s="1"/>
  <c r="A16" i="96" s="1"/>
  <c r="A17" i="96" s="1"/>
  <c r="A18" i="96" s="1"/>
  <c r="A19" i="96" s="1"/>
  <c r="A20" i="96" s="1"/>
  <c r="K8" i="96"/>
  <c r="A8" i="96"/>
  <c r="K7" i="96"/>
  <c r="K6" i="96"/>
  <c r="K5" i="96"/>
  <c r="J39" i="95"/>
  <c r="K39" i="95" s="1"/>
  <c r="F39" i="95"/>
  <c r="K38" i="95"/>
  <c r="J36" i="95"/>
  <c r="I36" i="95"/>
  <c r="H36" i="95"/>
  <c r="K36" i="95" s="1"/>
  <c r="G36" i="95"/>
  <c r="D36" i="95"/>
  <c r="C36" i="95"/>
  <c r="K35" i="95"/>
  <c r="K34" i="95"/>
  <c r="J32" i="95"/>
  <c r="K32" i="95" s="1"/>
  <c r="I32" i="95"/>
  <c r="I39" i="95" s="1"/>
  <c r="H32" i="95"/>
  <c r="H39" i="95" s="1"/>
  <c r="G32" i="95"/>
  <c r="G39" i="95" s="1"/>
  <c r="F32" i="95"/>
  <c r="E32" i="95"/>
  <c r="E39" i="95" s="1"/>
  <c r="D32" i="95"/>
  <c r="D39" i="95" s="1"/>
  <c r="C32" i="95"/>
  <c r="C39" i="95" s="1"/>
  <c r="K31" i="95"/>
  <c r="K30" i="95"/>
  <c r="J26" i="95"/>
  <c r="J27" i="95" s="1"/>
  <c r="K27" i="95" s="1"/>
  <c r="I26" i="95"/>
  <c r="I27" i="95" s="1"/>
  <c r="H26" i="95"/>
  <c r="H27" i="95" s="1"/>
  <c r="G26" i="95"/>
  <c r="F26" i="95"/>
  <c r="F27" i="95" s="1"/>
  <c r="E26" i="95"/>
  <c r="E27" i="95" s="1"/>
  <c r="D26" i="95"/>
  <c r="D27" i="95" s="1"/>
  <c r="C26" i="95"/>
  <c r="C27" i="95" s="1"/>
  <c r="K25" i="95"/>
  <c r="K24" i="95"/>
  <c r="K22" i="95"/>
  <c r="J22" i="95"/>
  <c r="I22" i="95"/>
  <c r="H22" i="95"/>
  <c r="G22" i="95"/>
  <c r="F22" i="95"/>
  <c r="E22" i="95"/>
  <c r="D22" i="95"/>
  <c r="C22" i="95"/>
  <c r="K21" i="95"/>
  <c r="K20" i="95"/>
  <c r="K19" i="95"/>
  <c r="K18" i="95"/>
  <c r="J16" i="95"/>
  <c r="I16" i="95"/>
  <c r="H16" i="95"/>
  <c r="K16" i="95" s="1"/>
  <c r="G16" i="95"/>
  <c r="G27" i="95" s="1"/>
  <c r="F16" i="95"/>
  <c r="E16" i="95"/>
  <c r="D16" i="95"/>
  <c r="C16" i="95"/>
  <c r="K15" i="95"/>
  <c r="K14" i="95"/>
  <c r="K13" i="95"/>
  <c r="K12" i="95"/>
  <c r="K10" i="95"/>
  <c r="J8" i="95"/>
  <c r="K8" i="95" s="1"/>
  <c r="I8" i="95"/>
  <c r="H8" i="95"/>
  <c r="G8" i="95"/>
  <c r="F8" i="95"/>
  <c r="E8" i="95"/>
  <c r="D8" i="95"/>
  <c r="C8" i="95"/>
  <c r="K7" i="95"/>
  <c r="K6" i="95"/>
  <c r="A7" i="93"/>
  <c r="L5" i="93"/>
  <c r="M9" i="92"/>
  <c r="A7" i="92"/>
  <c r="R5" i="92"/>
  <c r="O4" i="92"/>
  <c r="I4" i="92"/>
  <c r="O5" i="91"/>
  <c r="A8" i="90"/>
  <c r="M6" i="90"/>
  <c r="G6" i="90"/>
  <c r="I33" i="89"/>
  <c r="H33" i="89"/>
  <c r="J33" i="89" s="1"/>
  <c r="E33" i="89"/>
  <c r="D33" i="89"/>
  <c r="F33" i="89" s="1"/>
  <c r="I32" i="89"/>
  <c r="H32" i="89"/>
  <c r="J32" i="89" s="1"/>
  <c r="E32" i="89"/>
  <c r="D32" i="89"/>
  <c r="I31" i="89"/>
  <c r="H31" i="89"/>
  <c r="J31" i="89" s="1"/>
  <c r="E31" i="89"/>
  <c r="D31" i="89"/>
  <c r="F31" i="89" s="1"/>
  <c r="I30" i="89"/>
  <c r="H30" i="89"/>
  <c r="J30" i="89" s="1"/>
  <c r="E30" i="89"/>
  <c r="D30" i="89"/>
  <c r="F30" i="89" s="1"/>
  <c r="I29" i="89"/>
  <c r="H29" i="89"/>
  <c r="J29" i="89" s="1"/>
  <c r="E29" i="89"/>
  <c r="D29" i="89"/>
  <c r="I28" i="89"/>
  <c r="H28" i="89"/>
  <c r="E28" i="89"/>
  <c r="D28" i="89"/>
  <c r="F28" i="89" s="1"/>
  <c r="I27" i="89"/>
  <c r="H27" i="89"/>
  <c r="E27" i="89"/>
  <c r="D27" i="89"/>
  <c r="F27" i="89" s="1"/>
  <c r="I26" i="89"/>
  <c r="H26" i="89"/>
  <c r="E26" i="89"/>
  <c r="D26" i="89"/>
  <c r="F26" i="89" s="1"/>
  <c r="I25" i="89"/>
  <c r="H25" i="89"/>
  <c r="E25" i="89"/>
  <c r="D25" i="89"/>
  <c r="F25" i="89" s="1"/>
  <c r="A15" i="89"/>
  <c r="R13" i="89"/>
  <c r="R6" i="89"/>
  <c r="A7" i="88"/>
  <c r="A38" i="97" s="1"/>
  <c r="I5" i="88"/>
  <c r="E5" i="88"/>
  <c r="J28" i="89" l="1"/>
  <c r="K28" i="89" s="1"/>
  <c r="J25" i="89"/>
  <c r="K25" i="89" s="1"/>
  <c r="J26" i="89"/>
  <c r="K26" i="89" s="1"/>
  <c r="J27" i="89"/>
  <c r="K27" i="89" s="1"/>
  <c r="F29" i="89"/>
  <c r="F32" i="89"/>
  <c r="K32" i="89" s="1"/>
  <c r="K31" i="89"/>
  <c r="A29" i="96"/>
  <c r="K30" i="89"/>
  <c r="M25" i="89"/>
  <c r="K29" i="89"/>
  <c r="K33" i="89"/>
  <c r="A7" i="91"/>
  <c r="A8" i="94"/>
  <c r="A40" i="95"/>
</calcChain>
</file>

<file path=xl/sharedStrings.xml><?xml version="1.0" encoding="utf-8"?>
<sst xmlns="http://schemas.openxmlformats.org/spreadsheetml/2006/main" count="2479" uniqueCount="1082">
  <si>
    <t xml:space="preserve">Bulletin Reports Summary for Apr-19              </t>
  </si>
  <si>
    <t>Report Name</t>
  </si>
  <si>
    <t>Data Status</t>
  </si>
  <si>
    <t>Table 1: SEBI Registered Market Intermediaries/Institutions</t>
  </si>
  <si>
    <t>Data Available</t>
  </si>
  <si>
    <t>Table 2: Company-Wise Capital Raised through Public and Rights Issues (Equity)</t>
  </si>
  <si>
    <t>Table 3: Open Offers under SEBI Takeover Code closed</t>
  </si>
  <si>
    <t>Table 4: Substantial Acquisition of Shares and Takeovers</t>
  </si>
  <si>
    <t>Table 5: Capital Raised from the Primary Market through though Public and Rights Issues</t>
  </si>
  <si>
    <t>Table 6: Issues Listed on SME Platform</t>
  </si>
  <si>
    <t>Table 7: Industry-wise Classification of Capital Raised through Public and Rights Issues</t>
  </si>
  <si>
    <t>Table 8: Sector-wise and Region-wise Distribution of Capital Mobilised through Public and Rights Issues</t>
  </si>
  <si>
    <t>Table 9: Size-wise Classification of Capital Raised through Public and Rights Issues</t>
  </si>
  <si>
    <t>Table 10: Capital Raised by Listed Companies from the Primary Market through QIPs</t>
  </si>
  <si>
    <t>Table 11: Preferential Allotments Listed at BSE and NSE</t>
  </si>
  <si>
    <t>Table 12: Private Placement of Corporate Debt Reported to BSE and NSE</t>
  </si>
  <si>
    <t>Table 13: Trading in the Corporate Debt Market</t>
  </si>
  <si>
    <t>Table 14: Ratings Assigned for Long-term Corporate Debt Securities (Maturity = 1 year)</t>
  </si>
  <si>
    <t>Table 15: Ratings Assigned for Long-term Corporate Debt Securities (Maturity = 1 year)</t>
  </si>
  <si>
    <t>Table 16: Distribution of Turnover on Cash Segments of Exchanges (` crore)</t>
  </si>
  <si>
    <t>Table 17: Trends in Cash Segment of BSE</t>
  </si>
  <si>
    <t>Table 18: Trends in Cash Segment of NSE</t>
  </si>
  <si>
    <t>Table 19: Trends in Cash Segment of MSEI</t>
  </si>
  <si>
    <t>Table 20: City-wise Distribution of Turnover on Cash Segments</t>
  </si>
  <si>
    <t>Table 21: Category-wise Share of Turnover in Cash Segment of BSE</t>
  </si>
  <si>
    <t>Table 22: Category-wise Share of Turnover in Cash Segment of NSE</t>
  </si>
  <si>
    <t>Table 23: Category-wise Share of Turnover in Cash Segment of MSEI</t>
  </si>
  <si>
    <t>Table 24: Component Stocks: S&amp;P BSE Sensex</t>
  </si>
  <si>
    <t>Table 25: Component Stocks: Nifty 50 Index</t>
  </si>
  <si>
    <t>Table 26: Component Stock: SX 40 Index</t>
  </si>
  <si>
    <t>Table 27: Advances/Declines in Cash Segment</t>
  </si>
  <si>
    <t>Table 28: Trading Frequency in Cash Segment</t>
  </si>
  <si>
    <t>Table 29: Daily Volatility of Major Indices  (percent)</t>
  </si>
  <si>
    <t>Table 30: Percentage Share of Top ‘N’ Securities/Members in Turnover of Cash Segment  (percent)</t>
  </si>
  <si>
    <t>Table 31: Settlement Statistics for Cash Segment of BSE</t>
  </si>
  <si>
    <t xml:space="preserve">Table 32: Settlement Statistics for Cash Segment of NSE </t>
  </si>
  <si>
    <t xml:space="preserve">Table 33: Settlement Statistics for Cash Segment of MSEI </t>
  </si>
  <si>
    <t xml:space="preserve">Table 34: Trends in Equity Derivatives Segment at BSE (Turnover in Notional Value) </t>
  </si>
  <si>
    <t>Table 35: Trends in Equity Derivatives Segment at NSE</t>
  </si>
  <si>
    <t>Table 36: Settlement Statistics in Equity Derivatives Segment at BSE and NSE ( crore)</t>
  </si>
  <si>
    <t>Table 37: Category-wise Share of Turnover &amp; Open Interest in Equity Derivative Segment of BSE</t>
  </si>
  <si>
    <t>Table 38: Category-wise Share of Turnover &amp; Open Interest in Equity Derivative Segment of NSE</t>
  </si>
  <si>
    <t>Table 39: Instrument-wise Turnover in Index Derivatives at BSE</t>
  </si>
  <si>
    <t>Table 40: Instrument-wise Turnover in Index Derivatives at NSE</t>
  </si>
  <si>
    <t>Table 41: Trends in Currency Derivatives Segment at BSE</t>
  </si>
  <si>
    <t>Table 42: Trends in Currency Derivatives Segment at NSE</t>
  </si>
  <si>
    <t>Table 43: Trends in Currency Derivatives Segment at MSEI</t>
  </si>
  <si>
    <t>Table 44: Settlement Statistics of Currency Derivatives Segment ( crore)</t>
  </si>
  <si>
    <t>Table 45: Instrument-wise Turnover in Currency Derivative Segment of BSE</t>
  </si>
  <si>
    <t>Table 46: Instrument-wise Turnover in Currency Derivatives of NSE</t>
  </si>
  <si>
    <t>Table 47: Instrument-wise Turnover in Currency Derivative Segment of MSEI</t>
  </si>
  <si>
    <t>Table 48: Maturity-wise Turnover in Currency Derivative Segment of BSE ( crore)</t>
  </si>
  <si>
    <t>Table 49: Maturity-wise Turnover in Currency Derivative Segment of NSE  ( crore)</t>
  </si>
  <si>
    <t>Table 50: Maturity-wise Turnover in Currency Derivative Segment of MSEI ( crore)</t>
  </si>
  <si>
    <t>Table 51: Trading Statistics of Interest Rate Futures at BSE, NSE and MSEI</t>
  </si>
  <si>
    <t>Table 52: Settlement Statistics in Interest Rate Futures at BSE, NSE and MSEI ( crore)</t>
  </si>
  <si>
    <t>Table 53: Trends in Foreign Portfolio Investment</t>
  </si>
  <si>
    <t>Table 54: Notional Value of Offshore Derivative Instruments (ODIs) Vs Assets Under Custody (AUC) of FPIs/Deemed</t>
  </si>
  <si>
    <t>Table 55: Assets under the Custody of Custodians</t>
  </si>
  <si>
    <t>Table 56: Trends in Resource Mobilization by Mutual Funds ( crore)</t>
  </si>
  <si>
    <t xml:space="preserve">Market Intermediaries </t>
  </si>
  <si>
    <t>2018-19</t>
  </si>
  <si>
    <t>2019-20$</t>
  </si>
  <si>
    <t>Stock Exchanges (Cash Segment)</t>
  </si>
  <si>
    <t>Stock Exchanges (Equity Derivatives Segment)</t>
  </si>
  <si>
    <t>Stock Exchanges (Currency Derivatives Segment)</t>
  </si>
  <si>
    <t>Stock Exchanges (Commodity Derivatives Segment)</t>
  </si>
  <si>
    <t>Brokers (Cash Segment)</t>
  </si>
  <si>
    <t>Brokers (Equity Derivatives Segment)</t>
  </si>
  <si>
    <t>Brokers (Currency Derivatives Segment)</t>
  </si>
  <si>
    <t>Brokers (Debt Segment)</t>
  </si>
  <si>
    <t>Brokers (Commodity Derivatives Segment)</t>
  </si>
  <si>
    <t>Corporate  Brokers(Cash Segment)</t>
  </si>
  <si>
    <t>Foreign Portfolio Investors (FPIs)</t>
  </si>
  <si>
    <t>Custodians</t>
  </si>
  <si>
    <t>Depositories</t>
  </si>
  <si>
    <t>Depository Participants (NSDL)</t>
  </si>
  <si>
    <t>Depository Participants (CDSL)</t>
  </si>
  <si>
    <t>Merchant Bankers</t>
  </si>
  <si>
    <t>Bankers to an Issue</t>
  </si>
  <si>
    <t>Underwriters</t>
  </si>
  <si>
    <t>Debenture Trustees</t>
  </si>
  <si>
    <t>Credit Rating Agencies</t>
  </si>
  <si>
    <t>KYC Registration Agencies (KRA)</t>
  </si>
  <si>
    <t>Registrars to an Issue &amp; Share Transfer Agents</t>
  </si>
  <si>
    <t>Venture Capital Funds</t>
  </si>
  <si>
    <t>Foreign Venture Capital Investors</t>
  </si>
  <si>
    <t>Alternative Investment Funds</t>
  </si>
  <si>
    <t>Portfolio Managers</t>
  </si>
  <si>
    <t>Mutual Funds</t>
  </si>
  <si>
    <t>Investment Advisors</t>
  </si>
  <si>
    <t>Research Analysts</t>
  </si>
  <si>
    <t>Infrastructure Investment Trusts (InVIT)</t>
  </si>
  <si>
    <t>Collective Investment Schemes</t>
  </si>
  <si>
    <t>Approved Intermediaries (Stock Lending Schemes)</t>
  </si>
  <si>
    <t>STP (Centralised Hub)</t>
  </si>
  <si>
    <t>STP Service Providers</t>
  </si>
  <si>
    <t>Notes:</t>
  </si>
  <si>
    <t>$ indicates as on April  30,2019</t>
  </si>
  <si>
    <t>Source: SEBI, NSDL.</t>
  </si>
  <si>
    <t>Sl.No.</t>
  </si>
  <si>
    <t>Name of the Issuer/Company</t>
  </si>
  <si>
    <t>Date of Opening</t>
  </si>
  <si>
    <t>Type of Issue</t>
  </si>
  <si>
    <t>Type of Instrument</t>
  </si>
  <si>
    <t>No. of Shares Issued</t>
  </si>
  <si>
    <t>Face Value (`)</t>
  </si>
  <si>
    <t>Premium Value (`)</t>
  </si>
  <si>
    <t>Issue Price (`)</t>
  </si>
  <si>
    <t>Size of Issue  (` Crore)</t>
  </si>
  <si>
    <t>Rail Vikas Nigam Limited</t>
  </si>
  <si>
    <t>IPO</t>
  </si>
  <si>
    <t>Equity</t>
  </si>
  <si>
    <t>Metropolis Healthcare Limited</t>
  </si>
  <si>
    <t>Polycab India Limited</t>
  </si>
  <si>
    <t>Jinaam's Dress Limited</t>
  </si>
  <si>
    <t>V R Films &amp; Studios Limited</t>
  </si>
  <si>
    <t>Vodafone Idea Limited</t>
  </si>
  <si>
    <t>Rights</t>
  </si>
  <si>
    <t>G.K.P. Printing &amp; Packaging Limited</t>
  </si>
  <si>
    <t>Neogen Chemicals Limited</t>
  </si>
  <si>
    <t>Bharat Gears Ltd</t>
  </si>
  <si>
    <t>Note: All the issues are compiled from the Prospectus of Issuer Companies filed with SEBI.</t>
  </si>
  <si>
    <t>Source: SEBI.</t>
  </si>
  <si>
    <t>Table 3: Open Offers under SEBI Takeover Code closed during Mar-19</t>
  </si>
  <si>
    <t>Sl.No</t>
  </si>
  <si>
    <t>Target Company</t>
  </si>
  <si>
    <t>Acquirer</t>
  </si>
  <si>
    <t>Offer Opening Date</t>
  </si>
  <si>
    <t>Offer Closing Date</t>
  </si>
  <si>
    <t>Offer Size</t>
  </si>
  <si>
    <t>Offer
 Price 
(`) per share</t>
  </si>
  <si>
    <t>Offer Size (` Crore)</t>
  </si>
  <si>
    <t>No. of 
Shares</t>
  </si>
  <si>
    <t>Percent of Equity 
Capital</t>
  </si>
  <si>
    <t>HATHWAY BHAWANI CABLETEL AND DATACOM LIMITED</t>
  </si>
  <si>
    <t>JIO CONTENT DISTRIBUTION HOLDINGS PVT LTD, JIO INTERNET DISTRIBUTION HOLDINGS PVT. LTD., JIO CABLE A</t>
  </si>
  <si>
    <t>Year / Month</t>
  </si>
  <si>
    <t>Open Offers</t>
  </si>
  <si>
    <t>Objectives</t>
  </si>
  <si>
    <t>Total</t>
  </si>
  <si>
    <t>Change in Control 
of Management</t>
  </si>
  <si>
    <t>Consolidation of
 Holdings</t>
  </si>
  <si>
    <t>Substantial 
Acquisition</t>
  </si>
  <si>
    <t>No. of Offers</t>
  </si>
  <si>
    <t>Amount (` crore)</t>
  </si>
  <si>
    <t>Apr-19</t>
  </si>
  <si>
    <t>$ indicates as on April 30, 2019</t>
  </si>
  <si>
    <t xml:space="preserve">Table 5: Capital Raised from the Primary Market through though Public and Rights Issues </t>
  </si>
  <si>
    <t>Category-Wise</t>
  </si>
  <si>
    <t>Issue-Type</t>
  </si>
  <si>
    <t>Instrument-Wise</t>
  </si>
  <si>
    <t>Public</t>
  </si>
  <si>
    <t>Listed</t>
  </si>
  <si>
    <t>IPOs</t>
  </si>
  <si>
    <t>Equities</t>
  </si>
  <si>
    <t>CCPS/FCDs*</t>
  </si>
  <si>
    <t>Debt</t>
  </si>
  <si>
    <t>At Par</t>
  </si>
  <si>
    <t>At Premium</t>
  </si>
  <si>
    <t>No. of issues</t>
  </si>
  <si>
    <t>Notes: 1. The total provides category-wise total of any of the three sub-categories viz. public plus rights or issuer-type(listed plus IPOs) or instrument-wise(equities plus CCPS/FCDs plus debt). 2. Amount for public debt issue for last two months is provisional and may get updated 3. All the Issues are compiled from the Prospectus. of Issuer Companies filed with SEBI. 4. * CCPS: Compulsory Convertible Preference Shares, FCDs: Fully Convertible Debentures.</t>
  </si>
  <si>
    <t>5. Equity public issues also includes issues listed on SME platform.</t>
  </si>
  <si>
    <t>6. Since April 2018, both the equity and debt issues are categorised based on their respective closing dates. Prior to April 2018, the equity issues were classified based on opening date of the issue, while debt issues were classfied based on closing date of the issue.</t>
  </si>
  <si>
    <t>Year/ Month</t>
  </si>
  <si>
    <t>No. of issue</t>
  </si>
  <si>
    <t>Amount  (`crore)</t>
  </si>
  <si>
    <t xml:space="preserve">Apr-19              </t>
  </si>
  <si>
    <t>Source: SEBI</t>
  </si>
  <si>
    <t>Industry</t>
  </si>
  <si>
    <t>2019-20</t>
  </si>
  <si>
    <t>Amount (`crore)</t>
  </si>
  <si>
    <t>Airlines</t>
  </si>
  <si>
    <t>Automobiles</t>
  </si>
  <si>
    <t>Banks/FIs</t>
  </si>
  <si>
    <t>Cement/ Constructions</t>
  </si>
  <si>
    <t>Chemical</t>
  </si>
  <si>
    <t>Consumer Services</t>
  </si>
  <si>
    <t>Electronic Equipments/ Products</t>
  </si>
  <si>
    <t>Engineering</t>
  </si>
  <si>
    <t>Entertainment</t>
  </si>
  <si>
    <t>Finance</t>
  </si>
  <si>
    <t>Food processing</t>
  </si>
  <si>
    <t>Healthcare</t>
  </si>
  <si>
    <t>Hotels</t>
  </si>
  <si>
    <t>Info Tech</t>
  </si>
  <si>
    <t>Misc</t>
  </si>
  <si>
    <t>Roads &amp; Highways</t>
  </si>
  <si>
    <t>Telecom</t>
  </si>
  <si>
    <t>Textile</t>
  </si>
  <si>
    <t>Plastic</t>
  </si>
  <si>
    <t>Power</t>
  </si>
  <si>
    <t>Printing</t>
  </si>
  <si>
    <t>Oil &amp; Natural Gas</t>
  </si>
  <si>
    <t>Insurance</t>
  </si>
  <si>
    <t xml:space="preserve">Table 8: Sector-wise and Region-wise Distribution of Capital Mobilised through Public and Rights Issues </t>
  </si>
  <si>
    <t>Sector-wise</t>
  </si>
  <si>
    <t>Region-wise</t>
  </si>
  <si>
    <t>Private</t>
  </si>
  <si>
    <t>Northern</t>
  </si>
  <si>
    <t>Eastern</t>
  </si>
  <si>
    <t>Western</t>
  </si>
  <si>
    <t>Southern</t>
  </si>
  <si>
    <t>Central</t>
  </si>
  <si>
    <t>Foreign</t>
  </si>
  <si>
    <t>No. of Issue</t>
  </si>
  <si>
    <t>Amount (`Crores)</t>
  </si>
  <si>
    <t>Amount (` Crores)</t>
  </si>
  <si>
    <t xml:space="preserve">2018-19        </t>
  </si>
  <si>
    <t>&lt; 5 crore</t>
  </si>
  <si>
    <t>≥ 5crore - &lt; 10crore</t>
  </si>
  <si>
    <t xml:space="preserve">  ≥ 10 crore - &lt; 50 crore</t>
  </si>
  <si>
    <t xml:space="preserve">  ≥ 50 crore - &lt; 100 crore</t>
  </si>
  <si>
    <t xml:space="preserve">  ≥ 100 crore</t>
  </si>
  <si>
    <t>Only BSE</t>
  </si>
  <si>
    <t>Only NSE</t>
  </si>
  <si>
    <t>Only MSEI</t>
  </si>
  <si>
    <t>Both NSE and BSE</t>
  </si>
  <si>
    <t>Notes: 1. The above data includes both "no. of issues" and "Amount" raised on conversion of convertible securities issued on QIP basis. 
2. 2017-18, Includes one issue of Institutional Placement Programme (Issue Size of Rs. 873.92 crore).</t>
  </si>
  <si>
    <t>Source: BSE, NSE and MSEI.</t>
  </si>
  <si>
    <t>Year/Month</t>
  </si>
  <si>
    <t>No. of  issues</t>
  </si>
  <si>
    <t>Amount ` Crores)</t>
  </si>
  <si>
    <t>TOTAL</t>
  </si>
  <si>
    <t>No. of Issues</t>
  </si>
  <si>
    <t>$ indicates as on April  30, 2019</t>
  </si>
  <si>
    <t>Source: BSE and NSE</t>
  </si>
  <si>
    <t>BSE</t>
  </si>
  <si>
    <t>NSE</t>
  </si>
  <si>
    <t>MSEI</t>
  </si>
  <si>
    <t>No. of Trades</t>
  </si>
  <si>
    <t>Traded Value (` crore)</t>
  </si>
  <si>
    <t>Table 14: Ratings Assigned for Long-term Corporate Debt Securities (Maturity ≥ 1 year)</t>
  </si>
  <si>
    <t>Grade</t>
  </si>
  <si>
    <t>Investment Grade</t>
  </si>
  <si>
    <t>Non-Investment Grade</t>
  </si>
  <si>
    <t>Highest Safety (AAA)</t>
  </si>
  <si>
    <t>High Safety (AA)</t>
  </si>
  <si>
    <t>Adequate Safety (A)</t>
  </si>
  <si>
    <t>Moderate Safety (BBB)</t>
  </si>
  <si>
    <t>Period</t>
  </si>
  <si>
    <t>Amount  (` crore)</t>
  </si>
  <si>
    <t>Source: Credit Rating Agencies.</t>
  </si>
  <si>
    <t>Table 15: Review of Accepted Ratings of Corporate Debt Securities (Maturity ≥ 1 year)</t>
  </si>
  <si>
    <t>Upgraded</t>
  </si>
  <si>
    <t>Downgraded</t>
  </si>
  <si>
    <t>Reaffirmed</t>
  </si>
  <si>
    <t>Rating Watch</t>
  </si>
  <si>
    <t>Withdrawn/ Suspended</t>
  </si>
  <si>
    <t>Table 16: Distribution of Turnover on Cash Segments of Stock Exchanges (`crore)</t>
  </si>
  <si>
    <t>Stock Exchanges</t>
  </si>
  <si>
    <t xml:space="preserve">Table 17: Trends in Cash Segment of BSE </t>
  </si>
  <si>
    <t xml:space="preserve">No. of Companies Listed </t>
  </si>
  <si>
    <t xml:space="preserve">No. of Companies Permitted* </t>
  </si>
  <si>
    <t xml:space="preserve">No. of companies traded </t>
  </si>
  <si>
    <t>No. of Trading Days</t>
  </si>
  <si>
    <t>No. of Trades (Lakh)</t>
  </si>
  <si>
    <t>Traded Quantity (Lakh)</t>
  </si>
  <si>
    <t>Turnover (` crore)</t>
  </si>
  <si>
    <t>Average Daily Turnover (` crore)</t>
  </si>
  <si>
    <t>Average Trade Size (`)</t>
  </si>
  <si>
    <t>Demat Securities Traded (Lakh)</t>
  </si>
  <si>
    <t>Demat Turnover (` crore)</t>
  </si>
  <si>
    <t xml:space="preserve">Market  Capitalisation (` crore) </t>
  </si>
  <si>
    <t xml:space="preserve">S&amp;P BSE Sensex </t>
  </si>
  <si>
    <t>High</t>
  </si>
  <si>
    <t>Low</t>
  </si>
  <si>
    <t>Close</t>
  </si>
  <si>
    <t>Source: BSE .</t>
  </si>
  <si>
    <t xml:space="preserve">Table 18: Trends in Cash Segment of NSE </t>
  </si>
  <si>
    <t xml:space="preserve">Nifty 50 Index </t>
  </si>
  <si>
    <t>Turnover Data compiled for all markets except auction market</t>
  </si>
  <si>
    <t>Source: NSE</t>
  </si>
  <si>
    <t>No. of Companies Permitted #</t>
  </si>
  <si>
    <t>No. of Companies Traded</t>
  </si>
  <si>
    <t>Turnover (₹ crore)</t>
  </si>
  <si>
    <t>Average Daily Turnover (₹ crore)</t>
  </si>
  <si>
    <t>Demat Turnover (₹ crore)</t>
  </si>
  <si>
    <t xml:space="preserve">Market  Capitalisation (₹ crore) </t>
  </si>
  <si>
    <t xml:space="preserve">SX 50 Index </t>
  </si>
  <si>
    <t>Source: MSEI</t>
  </si>
  <si>
    <t>Table 20: City-wise Distribution of Turnover on Cash Segments of BSE and NSE</t>
  </si>
  <si>
    <t>(Percentage share in Turnover)</t>
  </si>
  <si>
    <t>S.No</t>
  </si>
  <si>
    <t>City</t>
  </si>
  <si>
    <t>Ahmedabad</t>
  </si>
  <si>
    <t>Bengaluru</t>
  </si>
  <si>
    <t>Vadodra</t>
  </si>
  <si>
    <t>Bhubneshwar</t>
  </si>
  <si>
    <t>Chennai</t>
  </si>
  <si>
    <t>Ernakulum</t>
  </si>
  <si>
    <t>Coimbatore</t>
  </si>
  <si>
    <t>New Delhi</t>
  </si>
  <si>
    <t>Guwahati</t>
  </si>
  <si>
    <t>Hyderabad</t>
  </si>
  <si>
    <t>Indore</t>
  </si>
  <si>
    <t>Jaipur</t>
  </si>
  <si>
    <t>Kanpur</t>
  </si>
  <si>
    <t>Kolkata</t>
  </si>
  <si>
    <t>Ludhiana</t>
  </si>
  <si>
    <t>Mangalore</t>
  </si>
  <si>
    <t>Mumbai</t>
  </si>
  <si>
    <t>Patna</t>
  </si>
  <si>
    <t>Pune</t>
  </si>
  <si>
    <t>Rajkot</t>
  </si>
  <si>
    <t>Others</t>
  </si>
  <si>
    <t xml:space="preserve">Notes: </t>
  </si>
  <si>
    <t>1. The city-wise distribution of turnover is based on the cities uploaded in the UCC database of the Exchange for clientele trades and members registered office city for proprietary trades.</t>
  </si>
  <si>
    <t>Percentage Share in Turnover</t>
  </si>
  <si>
    <t>Proprietary</t>
  </si>
  <si>
    <t>FPIs</t>
  </si>
  <si>
    <t>Banks</t>
  </si>
  <si>
    <t xml:space="preserve">Source: BSE. </t>
  </si>
  <si>
    <t>Year /Month</t>
  </si>
  <si>
    <t xml:space="preserve">Source: NSE. </t>
  </si>
  <si>
    <t xml:space="preserve">Source: MSEI. </t>
  </si>
  <si>
    <t>Table 24: Component Stocks: S&amp;P BSE Sensex during Apr-19</t>
  </si>
  <si>
    <t>Name of Security</t>
  </si>
  <si>
    <t>Issued
Capital 
(` crore)</t>
  </si>
  <si>
    <t>Free Float
Market
Capitalisation
(` crore)</t>
  </si>
  <si>
    <t>Weightage (Percent)</t>
  </si>
  <si>
    <t>Beta</t>
  </si>
  <si>
    <t>R 2</t>
  </si>
  <si>
    <t>Daily
Volatility
(Percent)</t>
  </si>
  <si>
    <t>Monthly
Return
(Percent)</t>
  </si>
  <si>
    <t>Impact
Cost
(Percent)</t>
  </si>
  <si>
    <t>HDFC BANK</t>
  </si>
  <si>
    <t>RELIANCE</t>
  </si>
  <si>
    <t>HDFC</t>
  </si>
  <si>
    <t>INFOSYS LTD</t>
  </si>
  <si>
    <t>ICICI BANK</t>
  </si>
  <si>
    <t>ITC LTD.</t>
  </si>
  <si>
    <t>TCS LTD.</t>
  </si>
  <si>
    <t>LARSEN &amp; TOU</t>
  </si>
  <si>
    <t>KOTAK MAH.BK</t>
  </si>
  <si>
    <t>AXIS BANK</t>
  </si>
  <si>
    <t>HIND UNI LT</t>
  </si>
  <si>
    <t>STATE BANK</t>
  </si>
  <si>
    <t>MARUTISUZUK</t>
  </si>
  <si>
    <t>INDUSIND BNK</t>
  </si>
  <si>
    <t>BAJFINANCE</t>
  </si>
  <si>
    <t>ASIAN PAINTS</t>
  </si>
  <si>
    <t>HCL TECHNO</t>
  </si>
  <si>
    <t>MAH &amp; MAH</t>
  </si>
  <si>
    <t>BHARTI ARTL</t>
  </si>
  <si>
    <t>NTPC LTD</t>
  </si>
  <si>
    <t>SUN PHARMA.</t>
  </si>
  <si>
    <t>ONGC CORPN</t>
  </si>
  <si>
    <t>POWER GRID</t>
  </si>
  <si>
    <t>TATA STEEL</t>
  </si>
  <si>
    <t>BAJAJ AUTO</t>
  </si>
  <si>
    <t>TATA MOTORS</t>
  </si>
  <si>
    <t>COAL INDIA</t>
  </si>
  <si>
    <t>HEROMOTOCO</t>
  </si>
  <si>
    <t>YES BANK</t>
  </si>
  <si>
    <t>VEDL</t>
  </si>
  <si>
    <t>TATAMTRTDVR</t>
  </si>
  <si>
    <t>Notes: 1. Beta &amp; R2 are calculated for the trailing 12 months. Beta measures the  degree to which any portfolio of stocks is affected as compared to the effect on the market as a whole.</t>
  </si>
  <si>
    <t>2. The coefficient of determination (R2) measures the strength of relationship between two variables the return on  a security versus that of the market.</t>
  </si>
  <si>
    <t>3. Volatility is the standard deviation of the daily returns for the trailing 12 months.</t>
  </si>
  <si>
    <t>4. Impact cost is calculated as the difference between actual buy price and ideal buy price, divided by ideal buy price, multiplied by 100. Hence ideal price is calculated as (best buy + best sell)/2.</t>
  </si>
  <si>
    <t>5. The above is calculated for a month for the portfolio size of ` 5 lakh.  It is calculated for the current month.</t>
  </si>
  <si>
    <t>Source: BSE.</t>
  </si>
  <si>
    <t>Table 25: Component Stocks: Nifty 50 Index during Apr-19</t>
  </si>
  <si>
    <t>Sl. No</t>
  </si>
  <si>
    <t>Issued
Capital 
(`Crore)</t>
  </si>
  <si>
    <t>HDFC Bank Ltd.</t>
  </si>
  <si>
    <t>Reliance Industries Ltd.</t>
  </si>
  <si>
    <t>Housing Development Finance Corporation Ltd.</t>
  </si>
  <si>
    <t>Infosys Ltd.</t>
  </si>
  <si>
    <t>ICICI Bank Ltd.</t>
  </si>
  <si>
    <t>ITC Ltd.</t>
  </si>
  <si>
    <t>Tata Consultancy Services Ltd.</t>
  </si>
  <si>
    <t>Kotak Mahindra Bank Ltd.</t>
  </si>
  <si>
    <t>Larsen &amp; Toubro Ltd.</t>
  </si>
  <si>
    <t>Axis Bank Ltd.</t>
  </si>
  <si>
    <t>Hindustan Unilever Ltd.</t>
  </si>
  <si>
    <t>State Bank of India</t>
  </si>
  <si>
    <t>Maruti Suzuki India Ltd.</t>
  </si>
  <si>
    <t>IndusInd Bank Ltd.</t>
  </si>
  <si>
    <t>Bajaj Finance Ltd.</t>
  </si>
  <si>
    <t>Asian Paints Ltd.</t>
  </si>
  <si>
    <t>HCL Technologies Ltd.</t>
  </si>
  <si>
    <t>Mahindra &amp; Mahindra Ltd.</t>
  </si>
  <si>
    <t>NTPC Ltd.</t>
  </si>
  <si>
    <t>Bharti Airtel Ltd.</t>
  </si>
  <si>
    <t>Tech Mahindra Ltd.</t>
  </si>
  <si>
    <t>Oil &amp; Natural Gas Corporation Ltd.</t>
  </si>
  <si>
    <t>Sun Pharmaceutical Industries Ltd.</t>
  </si>
  <si>
    <t>Titan Company Ltd.</t>
  </si>
  <si>
    <t>UltraTech Cement Ltd.</t>
  </si>
  <si>
    <t>Bajaj Finserv Ltd.</t>
  </si>
  <si>
    <t>Wipro Ltd.</t>
  </si>
  <si>
    <t>Power Grid Corporation of India Ltd.</t>
  </si>
  <si>
    <t>Coal India Ltd.</t>
  </si>
  <si>
    <t>Tata Steel Ltd.</t>
  </si>
  <si>
    <t>Bajaj Auto Ltd.</t>
  </si>
  <si>
    <t>Tata Motors Ltd.</t>
  </si>
  <si>
    <t>Indian Oil Corporation Ltd.</t>
  </si>
  <si>
    <t>Dr. Reddy's Laboratories Ltd.</t>
  </si>
  <si>
    <t>Grasim Industries Ltd.</t>
  </si>
  <si>
    <t>UPL Ltd.</t>
  </si>
  <si>
    <t>Britannia Industries Ltd.</t>
  </si>
  <si>
    <t>Hero MotoCorp Ltd.</t>
  </si>
  <si>
    <t>GAIL (India) Ltd.</t>
  </si>
  <si>
    <t>JSW Steel Ltd.</t>
  </si>
  <si>
    <t>Yes Bank Ltd.</t>
  </si>
  <si>
    <t>Adani Ports and Special Economic Zone Ltd.</t>
  </si>
  <si>
    <t>Vedanta Ltd.</t>
  </si>
  <si>
    <t>Hindalco Industries Ltd.</t>
  </si>
  <si>
    <t>Bharat Petroleum Corporation Ltd.</t>
  </si>
  <si>
    <t>Cipla Ltd.</t>
  </si>
  <si>
    <t>Eicher Motors Ltd.</t>
  </si>
  <si>
    <t>Zee Entertainment Enterprises Ltd.</t>
  </si>
  <si>
    <t>Indiabulls Housing Finance Ltd.</t>
  </si>
  <si>
    <t>Bharti Infratel Ltd.</t>
  </si>
  <si>
    <t>Notes: 1. Beta &amp; R2 are calculated for the the trailing 12 months. Beta measures the  degree to which any portfolio of stocks is affected as compared to the effect on the market as a whole.</t>
  </si>
  <si>
    <t>3. Volatility is the standard deviation of the daily returns for the the trailing 12 months.</t>
  </si>
  <si>
    <t>5. Impact Cost for Nifty 50 is for a portfolio of Rs. 50 Lakhs  and is weightage average impact cost.</t>
  </si>
  <si>
    <t>Source: NSE.</t>
  </si>
  <si>
    <t>Table 26: Component Stocks: SX40 Index</t>
  </si>
  <si>
    <t>S.No.</t>
  </si>
  <si>
    <t>Issued Capital     (₹ crore)</t>
  </si>
  <si>
    <t>Free Float Market Capitalisation (₹ crore)</t>
  </si>
  <si>
    <t xml:space="preserve">Weightage (Percent)   </t>
  </si>
  <si>
    <t>R2</t>
  </si>
  <si>
    <t>Daily Volatility (Percent)</t>
  </si>
  <si>
    <t>Monthly Return (Percent)</t>
  </si>
  <si>
    <t>Impact Cost (Percent) *</t>
  </si>
  <si>
    <t>HDFCBANK</t>
  </si>
  <si>
    <t>Na</t>
  </si>
  <si>
    <t>INFY</t>
  </si>
  <si>
    <t>ICICIBANK</t>
  </si>
  <si>
    <t>ITC</t>
  </si>
  <si>
    <t>TCS</t>
  </si>
  <si>
    <t>KOTAKBANK</t>
  </si>
  <si>
    <t>LT</t>
  </si>
  <si>
    <t>AXISBANK</t>
  </si>
  <si>
    <t>HINDUNILVR</t>
  </si>
  <si>
    <t>SBIN</t>
  </si>
  <si>
    <t>MARUTI</t>
  </si>
  <si>
    <t>INDUSINDBK</t>
  </si>
  <si>
    <t>HCLTECH</t>
  </si>
  <si>
    <t>ASIANPAINT</t>
  </si>
  <si>
    <t>M&amp;M</t>
  </si>
  <si>
    <t>NTPC</t>
  </si>
  <si>
    <t>BHARTIARTL</t>
  </si>
  <si>
    <t>TECHM</t>
  </si>
  <si>
    <t>ONGC</t>
  </si>
  <si>
    <t>SUNPHARMA</t>
  </si>
  <si>
    <t>WIPRO</t>
  </si>
  <si>
    <t>TATASTEEL</t>
  </si>
  <si>
    <t>COALINDIA</t>
  </si>
  <si>
    <t>POWERGRID</t>
  </si>
  <si>
    <t>TATAMOTORS</t>
  </si>
  <si>
    <t>IOC</t>
  </si>
  <si>
    <t>BAJAJ-AUTO</t>
  </si>
  <si>
    <t>DRREDDY</t>
  </si>
  <si>
    <t>GRASIM</t>
  </si>
  <si>
    <t>YESBANK</t>
  </si>
  <si>
    <t>ADANIPORTS</t>
  </si>
  <si>
    <t>HINDALCO</t>
  </si>
  <si>
    <t>BPCL</t>
  </si>
  <si>
    <t>EICHERMOT</t>
  </si>
  <si>
    <t>ZEEL</t>
  </si>
  <si>
    <t>1. Market Cap, Beta &amp; R2 as on the last day of the month</t>
  </si>
  <si>
    <t>2. Beta &amp; R2 are calculated for the trailing 12 months</t>
  </si>
  <si>
    <t>3. Volatility for the current month</t>
  </si>
  <si>
    <t xml:space="preserve">4. *Since there is no trading in the SX40 constituents, the Impact Cost for the given stocks is NIL. </t>
  </si>
  <si>
    <t>Source: MSEI.</t>
  </si>
  <si>
    <t>Table 27: Advances/Declines in Cash Segment of BSE, NSE and MSEI</t>
  </si>
  <si>
    <t>Advances</t>
  </si>
  <si>
    <t>Declines</t>
  </si>
  <si>
    <t>Advance/Decline Ratio</t>
  </si>
  <si>
    <t xml:space="preserve">Note: Advance/Decline is calculated based on the average price methodology.                                                                           </t>
  </si>
  <si>
    <t>Table 28: Trading Frequency in Cash Segment of BSE, NSE and MSEI</t>
  </si>
  <si>
    <t>Month</t>
  </si>
  <si>
    <t>No. of Companies Listed</t>
  </si>
  <si>
    <t>Percent of Traded to Listed</t>
  </si>
  <si>
    <t>BSE Sensex</t>
  </si>
  <si>
    <t>BSE 100</t>
  </si>
  <si>
    <t>BSE 500</t>
  </si>
  <si>
    <t>Nifty 50</t>
  </si>
  <si>
    <t>Nifty Next 50</t>
  </si>
  <si>
    <t>Nifty 500</t>
  </si>
  <si>
    <t>SX40</t>
  </si>
  <si>
    <t xml:space="preserve">Note: Volatility is calculated as the standard deviation of the natural log of daily returns in indices for the respective period. </t>
  </si>
  <si>
    <t>Source: BSE, MSEI and NSE.</t>
  </si>
  <si>
    <t>Top</t>
  </si>
  <si>
    <t>5</t>
  </si>
  <si>
    <t>10</t>
  </si>
  <si>
    <t>25</t>
  </si>
  <si>
    <t>50</t>
  </si>
  <si>
    <t>100</t>
  </si>
  <si>
    <t>Securities</t>
  </si>
  <si>
    <t>Members</t>
  </si>
  <si>
    <t>Notes: 1. Data for Top N scrips has been compiled for all markets except Auction market &amp; Retail Debt Market and includes series EQ, BE,BT, BL and IL.</t>
  </si>
  <si>
    <t>Year /  Month</t>
  </si>
  <si>
    <t>No. of Trades(Lakh)</t>
  </si>
  <si>
    <t>Traded Quantity   (Lakh)</t>
  </si>
  <si>
    <t>Delivered Quantity   (Lakh)</t>
  </si>
  <si>
    <t>Percent of Delivered Quantity to Traded Quantity</t>
  </si>
  <si>
    <t>Delivered Value   (` crore)</t>
  </si>
  <si>
    <t>Percent  of Delivered Value to Total Turnover</t>
  </si>
  <si>
    <t>Delivered Quantity in Demat Mode (Lakh)</t>
  </si>
  <si>
    <t>Percent of Demat Delivered Quantity to Total Delivered Quantity</t>
  </si>
  <si>
    <t>Delivered Value in Demat Mode     (` crore)</t>
  </si>
  <si>
    <t>Percent of Demat Delivered Value to Total Delivered Value</t>
  </si>
  <si>
    <t>Short Delivery (Auctioned quantity) (Lakh)</t>
  </si>
  <si>
    <t>Percent of Short Delivery to Delivery Quantity</t>
  </si>
  <si>
    <t>Funds Pay-in (` crore)</t>
  </si>
  <si>
    <t>Securities Pay-in (` crore)</t>
  </si>
  <si>
    <t>Settlement Guarantee Fund (`crore)</t>
  </si>
  <si>
    <t>Table 32: Settlement Statistics for Cash Segment of NSE</t>
  </si>
  <si>
    <t>Delivered Value      (` crore)</t>
  </si>
  <si>
    <t>Settlement Statistics for settlement type N, excluding CM Series IL &amp; BL</t>
  </si>
  <si>
    <t>Table 33: Settlement Statistics for Cash Segment of MSEI</t>
  </si>
  <si>
    <t>Month Sorting</t>
  </si>
  <si>
    <t>Delivered Value      (₹ crore)</t>
  </si>
  <si>
    <t>Delivered Value in Demat Mode     (₹ crore)</t>
  </si>
  <si>
    <t>Funds Pay-in (₹ crore)</t>
  </si>
  <si>
    <t>Securities Pay-in (₹ crore)</t>
  </si>
  <si>
    <t>Settlement Guarantee Fund(₹ crore)</t>
  </si>
  <si>
    <t>Year/     Month</t>
  </si>
  <si>
    <t>Index Futures</t>
  </si>
  <si>
    <t>Stock Futures</t>
  </si>
  <si>
    <t>Index Options</t>
  </si>
  <si>
    <t>Stock Options</t>
  </si>
  <si>
    <t>Open Interest at the end of Month</t>
  </si>
  <si>
    <t>Call</t>
  </si>
  <si>
    <t>Put</t>
  </si>
  <si>
    <t>No. of
Contracts</t>
  </si>
  <si>
    <t>Turnover
(` crore)</t>
  </si>
  <si>
    <t>No. of
contracts</t>
  </si>
  <si>
    <t>Note: 1. Notional Turnover = (Strike Price + Premium) * Quantity.</t>
  </si>
  <si>
    <t xml:space="preserve">Table 35: Trends in Equity Derivatives Segment at NSE (Turnover in Notional Value) </t>
  </si>
  <si>
    <t>Table 36: Settlement Statistics in Equity Derivatives Segment at BSE and NSE (` crore)</t>
  </si>
  <si>
    <t>Index/Stock
Futures</t>
  </si>
  <si>
    <t>Index/Stock
Options</t>
  </si>
  <si>
    <t>Settlement
Gurantee
Fund</t>
  </si>
  <si>
    <t>MTM
Settlement</t>
  </si>
  <si>
    <t>Final
Settlement</t>
  </si>
  <si>
    <t>Premium
Settlement</t>
  </si>
  <si>
    <t>Exercise
Settlement</t>
  </si>
  <si>
    <t>Percentage Share in Open Interest</t>
  </si>
  <si>
    <t>Pro</t>
  </si>
  <si>
    <t>FPI</t>
  </si>
  <si>
    <t>Turnover (in Percentage)</t>
  </si>
  <si>
    <t>BSE 30 SENSEX</t>
  </si>
  <si>
    <t>BSE SENSEX 50</t>
  </si>
  <si>
    <t>BSE BANKEX</t>
  </si>
  <si>
    <t>BSE OIL &amp; GAS INDEX</t>
  </si>
  <si>
    <t>BSE TECK INDEX</t>
  </si>
  <si>
    <t>BSE100</t>
  </si>
  <si>
    <t>HANG SENG Index Futures</t>
  </si>
  <si>
    <t>MICEX Index Futures</t>
  </si>
  <si>
    <t>FTSE/JSE Top 40 Futures</t>
  </si>
  <si>
    <t>IBOVESPA Futures</t>
  </si>
  <si>
    <t>NIFTY</t>
  </si>
  <si>
    <t>NIFTYIT</t>
  </si>
  <si>
    <t>BANKNIFTY</t>
  </si>
  <si>
    <t>NIFTYMID50</t>
  </si>
  <si>
    <t>NIFTYPSE</t>
  </si>
  <si>
    <t>NIFTYINFRA</t>
  </si>
  <si>
    <t>FTSE100</t>
  </si>
  <si>
    <t>S&amp;P500</t>
  </si>
  <si>
    <t>DJIA</t>
  </si>
  <si>
    <t>India VIX</t>
  </si>
  <si>
    <t>NIFTYCPSE</t>
  </si>
  <si>
    <t>Currency Futures</t>
  </si>
  <si>
    <t>Currency  Options</t>
  </si>
  <si>
    <t>Open Interest at the end of  the Month</t>
  </si>
  <si>
    <t>No. of Contracts</t>
  </si>
  <si>
    <t xml:space="preserve">No. of Contracts </t>
  </si>
  <si>
    <t>Value 
(` crore)</t>
  </si>
  <si>
    <t>Source: BSE</t>
  </si>
  <si>
    <t>No. of Trading  Days</t>
  </si>
  <si>
    <t>Currency Options</t>
  </si>
  <si>
    <t>Open Interest at the
end of Month</t>
  </si>
  <si>
    <t>Value
(` crore)</t>
  </si>
  <si>
    <t>Notes: 1. Trading Value :- For Futures, Value of contract = Traded Qty*Traded Price. 2. For Options, Value of contract = Traded Qty*(Strike Price+Traded Premium)</t>
  </si>
  <si>
    <t>Table 44: Settlement Statistics of Currency Derivatives Segment (` crore)</t>
  </si>
  <si>
    <t>Currency
Futures</t>
  </si>
  <si>
    <t>Open Interest as on last day of the month (in lots)</t>
  </si>
  <si>
    <t>USDINR</t>
  </si>
  <si>
    <t>EURINR</t>
  </si>
  <si>
    <t>GBPINR</t>
  </si>
  <si>
    <t>JPYINR</t>
  </si>
  <si>
    <t>EURUSD</t>
  </si>
  <si>
    <t>GBPUSD</t>
  </si>
  <si>
    <t>USDJPY</t>
  </si>
  <si>
    <t>2018-2019</t>
  </si>
  <si>
    <t>1. USDINR includes Futures and options both other currencys have only futures till February 26, 2018.</t>
  </si>
  <si>
    <t>2. All Products include both Futures &amp; options from February 27, 2018 onwards.</t>
  </si>
  <si>
    <t>3. EURUSD, GBPUSD, USDJPY wer launched in Feb 2018</t>
  </si>
  <si>
    <t>Turnover ( ` crore)</t>
  </si>
  <si>
    <t>Open Interest as on last day of the month ( in lots)</t>
  </si>
  <si>
    <t>2018-19$</t>
  </si>
  <si>
    <t>1. Cross Currency was introduced wef Feb 27, 2018</t>
  </si>
  <si>
    <t>2. Options contracts on EURINR,GBPINR,JPYINR were introduced wef Feb 27, 2018</t>
  </si>
  <si>
    <t>Table 47:  Instrument-wise Turnover in Currency Derivative Segment of MSEI</t>
  </si>
  <si>
    <t>Open Interest as on last day of the month
(in lots)</t>
  </si>
  <si>
    <t>Data includes Notional Value for Options</t>
  </si>
  <si>
    <t>Excludes data of Interest Rate Futures</t>
  </si>
  <si>
    <t>Table 48: Maturity-wise Turnover in Currency Derivative Segment of BSE (` crore)</t>
  </si>
  <si>
    <t>1 Month</t>
  </si>
  <si>
    <t>2 Month</t>
  </si>
  <si>
    <t>3 Month</t>
  </si>
  <si>
    <t>&gt; 3 Months</t>
  </si>
  <si>
    <t>Table 49: Maturity-wise Turnover in Currency Derivative Segment of NSE  (` crore)</t>
  </si>
  <si>
    <t>Currency Future</t>
  </si>
  <si>
    <t xml:space="preserve">2 Month   </t>
  </si>
  <si>
    <t>Table 50: Maturity-wise Turnover in Currency Derivative Segment of MSEI (` crore)</t>
  </si>
  <si>
    <t>Interest Rate Futures</t>
  </si>
  <si>
    <t>Open Interest at
the end of</t>
  </si>
  <si>
    <t>Interest RateFutures</t>
  </si>
  <si>
    <t xml:space="preserve">Open Interest at the end of </t>
  </si>
  <si>
    <t>Traded Value 
(` crore)</t>
  </si>
  <si>
    <t>Source: BSE, NSE and MSEI</t>
  </si>
  <si>
    <t>Table 52: Settlement Statistics in Interest Rate Futures at BSE, NSE and MSEI (` crore)</t>
  </si>
  <si>
    <t>Physical Delivery Settlement</t>
  </si>
  <si>
    <t>MTM Settlement</t>
  </si>
  <si>
    <t>Source: NSE, BSE and MSEI</t>
  </si>
  <si>
    <t>Gross Purchase (` crore)</t>
  </si>
  <si>
    <t>Gross Sales (` crores)</t>
  </si>
  <si>
    <t>Net Investment (` crores)</t>
  </si>
  <si>
    <t>Net Investment (US' $ mn.)</t>
  </si>
  <si>
    <t>Cumulative Net Investment (US $ mn.)</t>
  </si>
  <si>
    <t>Source: NSDL, CDSL</t>
  </si>
  <si>
    <t>Table 54: Notional Value of Offshore Derivative Instruments (ODIs) compared to Assets Under Custody (AUC) of FPIs/Deemed FPIs (` crore)</t>
  </si>
  <si>
    <t xml:space="preserve">Notional value of ODIs on Equity, Debt &amp; Derivatives </t>
  </si>
  <si>
    <t xml:space="preserve">Notional value of ODIs on Equity &amp; Debt  excluding Derivatives </t>
  </si>
  <si>
    <t>Assets Under Custody of FPIs/Deemed FPIs</t>
  </si>
  <si>
    <t>Notional value of ODIs on Equity, Debt &amp; Derivatives as % of  Assets Under Custody of FPIs/Deemed FPIs</t>
  </si>
  <si>
    <t>Notional value of ODIs on Equity &amp; Debt  excluding Derivatives as % of  Assets Under Custody of FPIs/Deemed FPIs</t>
  </si>
  <si>
    <t>Notes: 1. Figures are compiled based on reports submitted by FPIs/deemed FPIs issuing ODIs. 2. Column 4 Figures are compiled on the basis of reports submitted by custodians &amp; does not includes positions taken by FPIs/deemed FPIs in derivatives. 3. The total value of ODIs excludes the unhedged positions &amp; portfolio hedging positions taken by the FPIs/deemed FPIs issuing ODIs.</t>
  </si>
  <si>
    <t>Type of Client</t>
  </si>
  <si>
    <t xml:space="preserve">FPIs </t>
  </si>
  <si>
    <t>Foreign
Depositories</t>
  </si>
  <si>
    <t>FDI
Investments</t>
  </si>
  <si>
    <t>Foreign
Venture
Capital
Investments</t>
  </si>
  <si>
    <t>OCBs</t>
  </si>
  <si>
    <t>NRIs</t>
  </si>
  <si>
    <t>Mutual
Funds</t>
  </si>
  <si>
    <t>Corporates</t>
  </si>
  <si>
    <t>Insurance
Companies</t>
  </si>
  <si>
    <t>Local
Pension
Funds</t>
  </si>
  <si>
    <t>Financial
Institutions</t>
  </si>
  <si>
    <t>No.</t>
  </si>
  <si>
    <t xml:space="preserve">Notes: 1. With the commencement of FPI Regime from June 1, 2014, the erstwhile FIIs, Sub Accounts and QFIs are merged into a new investor class termed as .Foreign Portfolio Investors (FPIs).. </t>
  </si>
  <si>
    <t>2. "Others" include Portfolio manager, partnership firm, trusts, depository receipts, AIFs, FCCB, HUFs, Brokers etc.</t>
  </si>
  <si>
    <t>Source: Custodians.</t>
  </si>
  <si>
    <t>Table 56: Trends in Resource Mobilization by Mutual Funds (` crore)</t>
  </si>
  <si>
    <t>Gross Mobilisation</t>
  </si>
  <si>
    <t>Redemption</t>
  </si>
  <si>
    <t>Net Inflow/ Outflow</t>
  </si>
  <si>
    <t>Assets at the
End of
Period</t>
  </si>
  <si>
    <t>Pvt. Sector</t>
  </si>
  <si>
    <t>Public Sector</t>
  </si>
  <si>
    <t>Year/  Month</t>
  </si>
  <si>
    <t>Gross Purchases</t>
  </si>
  <si>
    <t>Gross Sales</t>
  </si>
  <si>
    <t>Net Purchases /Sales</t>
  </si>
  <si>
    <t>Net purchases /Sale</t>
  </si>
  <si>
    <t>Particulars</t>
  </si>
  <si>
    <t>Discretionary</t>
  </si>
  <si>
    <t>Non-Discretionary</t>
  </si>
  <si>
    <t>Advisory</t>
  </si>
  <si>
    <t>No. of Clients</t>
  </si>
  <si>
    <t>AUM (` crore)</t>
  </si>
  <si>
    <t>Listed Equity</t>
  </si>
  <si>
    <t>Unlisted Equity</t>
  </si>
  <si>
    <t>Plain Debt</t>
  </si>
  <si>
    <t>Structured Debt</t>
  </si>
  <si>
    <t>Equity Derivatives</t>
  </si>
  <si>
    <t>Notes:1. *Value of Assets for which Advisory Services are being given.2.�#Of the above AUM�Rs. 1035966.99 Crore�is contributed by funds from EPFO/PFs.3. The above data is based on the monthly reports received from portfolio managers.</t>
  </si>
  <si>
    <t>Parameter</t>
  </si>
  <si>
    <t>Unit</t>
  </si>
  <si>
    <t>NSDL</t>
  </si>
  <si>
    <t>CDSL</t>
  </si>
  <si>
    <t>Apr-18</t>
  </si>
  <si>
    <t>% Change during the year</t>
  </si>
  <si>
    <t>% Change during the month</t>
  </si>
  <si>
    <t>Number of companies signed up to make their shares available for dematerialization</t>
  </si>
  <si>
    <t>Number</t>
  </si>
  <si>
    <t>Number of Depository Participants (registered)</t>
  </si>
  <si>
    <t>Number of Stock Exchanges (connected)</t>
  </si>
  <si>
    <t>Number of Investors Accounts</t>
  </si>
  <si>
    <t>Lakh</t>
  </si>
  <si>
    <t>Quantity of Shares dematerialized</t>
  </si>
  <si>
    <t>Crore</t>
  </si>
  <si>
    <t>Value of Shares dematerialized</t>
  </si>
  <si>
    <t>Quantity of Securities dematerialized #</t>
  </si>
  <si>
    <t>Value of Securities dematerialized #</t>
  </si>
  <si>
    <t>Quantity of shares settled during the month</t>
  </si>
  <si>
    <t>Average Quantity of shares settled daily (quantity of shares settled during the month (divided by 30))</t>
  </si>
  <si>
    <t>Value of shares settled during the month in dematerialized form</t>
  </si>
  <si>
    <t>Average Value of shares settled daily (value of shares settled during the month (divided by 30))</t>
  </si>
  <si>
    <t>Training Programmes conducted for representatives of Corporates, DPs and Brokers</t>
  </si>
  <si>
    <t>The ratio of dematerialized equity shares to the total outstanding shares market value</t>
  </si>
  <si>
    <t>Percent</t>
  </si>
  <si>
    <t>The ratio of dematerialized equity shares to the total outstanding shares (market value)</t>
  </si>
  <si>
    <t>Notes: 1. Shares includes only equity shares. 2. Securities include common equity shares, preference shares, debenture, MF units, etc. 3. No. of days taken for calculating Daily Average is 30 days instead of Actual settlement days. 4. Quantity and value of shares mentioned are single sided. 5. #Source for listed securities information: Issuer/ NSE/BSE.</t>
  </si>
  <si>
    <t>Source: NSDL and CDSL.</t>
  </si>
  <si>
    <t>Companies Live</t>
  </si>
  <si>
    <t>DPs Live</t>
  </si>
  <si>
    <t>DPs
Locations</t>
  </si>
  <si>
    <t>Demat 
Quantity 
(million securities)</t>
  </si>
  <si>
    <t>Demat Value (` crore)</t>
  </si>
  <si>
    <t>Demat Value  (` crore)</t>
  </si>
  <si>
    <t>Notes : 1. For CDSL, the current and historical data of Companies Live has been revised to exclude MF schemes count. 2. The Companies Live figure  includes only the number of mutual fund companies and not the mutual fund schemes. 3. DPs Locations represents the total live (main DPs and branch DPs as well as non-live (back office connected collection centres).</t>
  </si>
  <si>
    <t>* Includes Nine Participants which are under closure/termination process and SEBI registration is not yet cancelled/suspended</t>
  </si>
  <si>
    <t>Unlisted</t>
  </si>
  <si>
    <t>No.of issuers debt/Companies(equity)</t>
  </si>
  <si>
    <t>(numbers)</t>
  </si>
  <si>
    <t>No.of Active Instruments</t>
  </si>
  <si>
    <t>Demat Quantity</t>
  </si>
  <si>
    <t>(lakhs)</t>
  </si>
  <si>
    <t>Demat Value</t>
  </si>
  <si>
    <t>(Rs.Crore)</t>
  </si>
  <si>
    <t>Quantity settled during the month</t>
  </si>
  <si>
    <t>(Lakh)</t>
  </si>
  <si>
    <t>Value Settled during the month</t>
  </si>
  <si>
    <t>(Rs.Crores)</t>
  </si>
  <si>
    <t>No. of Issuers (Debt) / Companies (Equity)</t>
  </si>
  <si>
    <t>No. of Active Instruments</t>
  </si>
  <si>
    <t>(lakh)</t>
  </si>
  <si>
    <t>(Rs.crore)</t>
  </si>
  <si>
    <t xml:space="preserve">Note: The categories included in Others are Preference Shares, Mutual Fund Units, Warrants, PTCs, Treasury Bills, CPs, CDs and Government Securities. </t>
  </si>
  <si>
    <t>Cash Reserve Ratio (percent)</t>
  </si>
  <si>
    <t>Repo Rate (percent)</t>
  </si>
  <si>
    <t>Call Money Rate (Weighted Average)</t>
  </si>
  <si>
    <t>91-Day-Treasury Bill (Primary Yield)</t>
  </si>
  <si>
    <t>Base rate (percent)</t>
  </si>
  <si>
    <t>8.95/9.45</t>
  </si>
  <si>
    <t>8.95/9.40</t>
  </si>
  <si>
    <t xml:space="preserve">Term Deposit Rate &gt; 1 year (Maximum) </t>
  </si>
  <si>
    <t>6.25/7.50</t>
  </si>
  <si>
    <t xml:space="preserve">Market Cap-BSE </t>
  </si>
  <si>
    <t xml:space="preserve">Market Cap-NSE </t>
  </si>
  <si>
    <t xml:space="preserve">Net FPI Investment in Equity </t>
  </si>
  <si>
    <t>VII. Exchange Rate and Reserves</t>
  </si>
  <si>
    <t>Forex Reserves (USD million)</t>
  </si>
  <si>
    <t>Re/ Dollar</t>
  </si>
  <si>
    <t>Re/Euro</t>
  </si>
  <si>
    <t>Forward Premia of USD  6-month</t>
  </si>
  <si>
    <t>VIII.  Public Borrowing and Inflation</t>
  </si>
  <si>
    <t>Wholesale Price Index (2011-12=100)</t>
  </si>
  <si>
    <t>NA</t>
  </si>
  <si>
    <t>Consumer Price Index (2012 =100)</t>
  </si>
  <si>
    <t>IX.  Index of Industrial Production (y-o-y) percent (Base year 2011-12 = 100)</t>
  </si>
  <si>
    <t>General</t>
  </si>
  <si>
    <t>Mining</t>
  </si>
  <si>
    <t>Manufacturing</t>
  </si>
  <si>
    <t>Electricity</t>
  </si>
  <si>
    <t>X. External Sector Indicators (USD million)</t>
  </si>
  <si>
    <t xml:space="preserve">Exports </t>
  </si>
  <si>
    <t>Imports</t>
  </si>
  <si>
    <t>Trade Balance</t>
  </si>
  <si>
    <t>! First revised estimates of national income, consumption expenditure, saving and capital formation for 2017-18 dated, 31.01.2019</t>
  </si>
  <si>
    <t xml:space="preserve">^ cumulative figure value of the respective month for 2018-19 </t>
  </si>
  <si>
    <t>Aggregate Deposit, Bank Credit, Money Supply (M3) and Forex Reserve are updated as per available information on WSS dated 03 May 2019</t>
  </si>
  <si>
    <t>Data for CPI, WPI, IIP and External sector have been complied based on available information.</t>
  </si>
  <si>
    <t>Source :  RBI, FBIL,  MOSPI,  Ministry of Commerce &amp; Industry, Office of the Economic Adviser.</t>
  </si>
  <si>
    <t>KHFM Hospitality and Facility Management Serv Ltd</t>
  </si>
  <si>
    <t>SME IPO</t>
  </si>
  <si>
    <t>Mar-19</t>
  </si>
  <si>
    <t>Real Estate Investment Trust (REIT)</t>
  </si>
  <si>
    <r>
      <t>I. GDP at constant prices (2011-12 prices) for 2018-19 (</t>
    </r>
    <r>
      <rPr>
        <b/>
        <sz val="11"/>
        <color theme="1"/>
        <rFont val="Rupee Foradian"/>
        <family val="2"/>
      </rPr>
      <t>`</t>
    </r>
    <r>
      <rPr>
        <b/>
        <sz val="11"/>
        <color theme="1"/>
        <rFont val="Garamond"/>
        <family val="1"/>
      </rPr>
      <t xml:space="preserve"> crore)#                         </t>
    </r>
  </si>
  <si>
    <t>II. Gross Saving as a percent of Gross national Disposable Income at current market prices in 2017-18!</t>
  </si>
  <si>
    <t>III. Gross Capital Formation as a per cent of GDP at current market prices in 2017-18!</t>
  </si>
  <si>
    <t xml:space="preserve">IV.  Monetary and Banking Indicators                  </t>
  </si>
  <si>
    <t>T_5</t>
  </si>
  <si>
    <t>https://rbi.org.in/Scripts/BS_ViewWss.aspx</t>
  </si>
  <si>
    <r>
      <t>Money Supply (M3)  (</t>
    </r>
    <r>
      <rPr>
        <sz val="11"/>
        <rFont val="Rupee Foradian"/>
        <family val="2"/>
      </rPr>
      <t xml:space="preserve">₹ </t>
    </r>
    <r>
      <rPr>
        <sz val="11"/>
        <rFont val="Garamond"/>
        <family val="1"/>
      </rPr>
      <t>crore)</t>
    </r>
  </si>
  <si>
    <t>T_6</t>
  </si>
  <si>
    <r>
      <t>Aggregate Deposit (</t>
    </r>
    <r>
      <rPr>
        <sz val="11"/>
        <color theme="1"/>
        <rFont val="Rupee Foradian"/>
        <family val="2"/>
      </rPr>
      <t>₹</t>
    </r>
    <r>
      <rPr>
        <sz val="11"/>
        <color theme="1"/>
        <rFont val="Garamond"/>
        <family val="1"/>
      </rPr>
      <t xml:space="preserve"> crore)</t>
    </r>
  </si>
  <si>
    <t>T_4</t>
  </si>
  <si>
    <r>
      <t>Bank Credit (</t>
    </r>
    <r>
      <rPr>
        <sz val="11"/>
        <color theme="1"/>
        <rFont val="Rupee Foradian"/>
        <family val="2"/>
      </rPr>
      <t>₹</t>
    </r>
    <r>
      <rPr>
        <sz val="11"/>
        <color theme="1"/>
        <rFont val="Garamond"/>
        <family val="1"/>
      </rPr>
      <t xml:space="preserve"> crore)</t>
    </r>
  </si>
  <si>
    <t xml:space="preserve">V. Interest Rate                        </t>
  </si>
  <si>
    <r>
      <t>VI. Capital Market Indicators (</t>
    </r>
    <r>
      <rPr>
        <sz val="11"/>
        <color theme="1"/>
        <rFont val="Rupee Foradian"/>
        <family val="2"/>
      </rPr>
      <t>₹</t>
    </r>
    <r>
      <rPr>
        <b/>
        <sz val="11"/>
        <color theme="1"/>
        <rFont val="Garamond"/>
        <family val="1"/>
      </rPr>
      <t>crore)</t>
    </r>
  </si>
  <si>
    <t xml:space="preserve">Equity Cash Turnover (BSE+NSE) </t>
  </si>
  <si>
    <r>
      <t>bse from bse file (</t>
    </r>
    <r>
      <rPr>
        <b/>
        <sz val="10"/>
        <color theme="1"/>
        <rFont val="Arial"/>
        <family val="2"/>
      </rPr>
      <t>BSE_C_TRD_STAT_TABLE17_</t>
    </r>
    <r>
      <rPr>
        <sz val="10"/>
        <color theme="1"/>
        <rFont val="Arial"/>
        <family val="2"/>
      </rPr>
      <t xml:space="preserve">DDMMYYYY, col H and M respectivly) and nse from website </t>
    </r>
  </si>
  <si>
    <t>https://www.nseindia.com/products/content/equities/equities/historical_equity_businessgrowth.htm</t>
  </si>
  <si>
    <t>https://www.fpi.nsdl.co.in/web/Reports/Archive.aspx</t>
  </si>
  <si>
    <t>T_2</t>
  </si>
  <si>
    <t>Govt. Market Borrowing-Gross (₹ Billion) 2018-19^</t>
  </si>
  <si>
    <t>https://eaindustry.nic.in/home.asp</t>
  </si>
  <si>
    <t>http://mospi.nic.in/press-release</t>
  </si>
  <si>
    <t>http://commerce.gov.in/InnerContent.aspx?Type=TradeStatisticsmenu&amp;Id=254</t>
  </si>
  <si>
    <t># Second advance Extimates as per MOSPI press release dated 28.02.2019</t>
  </si>
  <si>
    <t>Rs. in crore</t>
  </si>
  <si>
    <t>Sr. No.</t>
  </si>
  <si>
    <t>Scheme Category</t>
  </si>
  <si>
    <t>No. of schemes as on April 30, 2019</t>
  </si>
  <si>
    <t>No. of Folios as on April 30, 2019</t>
  </si>
  <si>
    <t>Funds mobilized for the period (Since April 01, 2019 to April 30, 2019)</t>
  </si>
  <si>
    <t>Repurchase/ Redemption for the period (Since April 01, 2019 to April 30, 2019)</t>
  </si>
  <si>
    <t>Net Inflow (+ve)/ Outflow (-ve) for the period (Since April 01, 2019 to April 30, 2019)</t>
  </si>
  <si>
    <t>Net Assets Under Management as on (Since April 01, 2019 to April 30, 2019)</t>
  </si>
  <si>
    <t>Average Net Assets under Management for  the month April 2019</t>
  </si>
  <si>
    <t>A</t>
  </si>
  <si>
    <t>Open ended Schemes</t>
  </si>
  <si>
    <t>I</t>
  </si>
  <si>
    <t>Income/Debt Oriented Schemes</t>
  </si>
  <si>
    <t>Overnight Fund</t>
  </si>
  <si>
    <t>Liquid Fund</t>
  </si>
  <si>
    <t>Ultra Short Duration Fund</t>
  </si>
  <si>
    <t>Low Duration Fund</t>
  </si>
  <si>
    <t>Money Market Fund</t>
  </si>
  <si>
    <t>Short Duration Fund</t>
  </si>
  <si>
    <t>Medium Duration Fund</t>
  </si>
  <si>
    <t>Medium to Long Duration Fund</t>
  </si>
  <si>
    <t>Long Duration Fund</t>
  </si>
  <si>
    <t>Dynamic Bond Fund</t>
  </si>
  <si>
    <t>Corporate Bond Fund</t>
  </si>
  <si>
    <t>Credit Risk Fund</t>
  </si>
  <si>
    <t>Banking and PSU Fund</t>
  </si>
  <si>
    <t>Gilt Fund</t>
  </si>
  <si>
    <t>Gilt Fund with 10 year constant duration</t>
  </si>
  <si>
    <t>Floater Fund</t>
  </si>
  <si>
    <t>Sub total - I (1+2+3+4+5+6+7+8+9+10+11+12+13+14+15+16)</t>
  </si>
  <si>
    <t>II</t>
  </si>
  <si>
    <t>Growth/Equity Oriented Schemes</t>
  </si>
  <si>
    <t>Multi Cap Fund</t>
  </si>
  <si>
    <t>Large Cap Fund</t>
  </si>
  <si>
    <t>Large &amp; Mid Cap Fund</t>
  </si>
  <si>
    <t>Mid Cap Fund</t>
  </si>
  <si>
    <t>Small Cap Fund</t>
  </si>
  <si>
    <t>Dividend Yield Fund</t>
  </si>
  <si>
    <t>Value Fund/Contra Fund</t>
  </si>
  <si>
    <t>Focused Fund</t>
  </si>
  <si>
    <t>Sectoral/Thematic Funds</t>
  </si>
  <si>
    <t>ELSS</t>
  </si>
  <si>
    <t>Sub total - II (17+18+19+20+21+22+23+24+25+26)</t>
  </si>
  <si>
    <t>III</t>
  </si>
  <si>
    <t>Hybrid Schemes</t>
  </si>
  <si>
    <t>Conservative Hybrid Fund</t>
  </si>
  <si>
    <t>Balanced Hybrid Fund/Aggressive Hybrid Fund</t>
  </si>
  <si>
    <t>Dynamic Asset Allocation/Balanced Advantage</t>
  </si>
  <si>
    <t>Multi Asset Allocation</t>
  </si>
  <si>
    <t>Arbitrage Fund</t>
  </si>
  <si>
    <t>Equity Savings Fund</t>
  </si>
  <si>
    <t>Sub total - III (27+28+29+30+31+32)</t>
  </si>
  <si>
    <t>IV</t>
  </si>
  <si>
    <t>Solution Oriented  Schemes</t>
  </si>
  <si>
    <t>Retirement Fund</t>
  </si>
  <si>
    <t>Childrens' Fund</t>
  </si>
  <si>
    <t>Sub total - IV (33+34)</t>
  </si>
  <si>
    <t>V</t>
  </si>
  <si>
    <t>Other Schemes</t>
  </si>
  <si>
    <t>Index Funds</t>
  </si>
  <si>
    <t>GOLD ETFs</t>
  </si>
  <si>
    <t>Other ETFs</t>
  </si>
  <si>
    <t>Fund of funds investing overseas</t>
  </si>
  <si>
    <t>Sub total - V (35+36+37+38)</t>
  </si>
  <si>
    <t>Total A-Open ended Schemes</t>
  </si>
  <si>
    <t>B</t>
  </si>
  <si>
    <t>Close  Ended Schemes</t>
  </si>
  <si>
    <t>i</t>
  </si>
  <si>
    <t>Fixed Term Plan</t>
  </si>
  <si>
    <t>ii</t>
  </si>
  <si>
    <t>Capital Protection Oriented  Schemes</t>
  </si>
  <si>
    <t>iii</t>
  </si>
  <si>
    <t xml:space="preserve">Infrastructure Debt Fund </t>
  </si>
  <si>
    <t>iv</t>
  </si>
  <si>
    <t>Other Debt</t>
  </si>
  <si>
    <t>Sub total (i+ii+iii+iv)</t>
  </si>
  <si>
    <t>Sub total (i+ii)</t>
  </si>
  <si>
    <t>Total B -Close ended Schemes</t>
  </si>
  <si>
    <t>C</t>
  </si>
  <si>
    <t>Interval Schemes</t>
  </si>
  <si>
    <t>Total C -Interval Schemes</t>
  </si>
  <si>
    <t>Grand Total (A+B+C)</t>
  </si>
  <si>
    <t>Fund of Funds Scheme (Domestic)</t>
  </si>
  <si>
    <t xml:space="preserve"> No.of schemes also includes serial plans.</t>
  </si>
  <si>
    <t>#AAUM of the mutual fund is the average of the daily AUM of the Mutual Fund  for the month.</t>
  </si>
  <si>
    <t>Inter scheme investments are excluded from the above data</t>
  </si>
  <si>
    <t>Table 57: Status of Mutual Funds Industry in India (` crore)</t>
  </si>
  <si>
    <t>Table 57: Status of Mutual Funds Industry in India ( crore)</t>
  </si>
  <si>
    <t>Table 58: Trends in Transactions on Stock Exchanges by Mutual Funds ( crore)</t>
  </si>
  <si>
    <t>Table 59: Asset Under Management by Portfolio Manager</t>
  </si>
  <si>
    <t>Table 60: Progress Report of NSDL &amp; CDSl as on end of Month (Listed Companies)</t>
  </si>
  <si>
    <t>Table 61: Progress of Dematerialisation at NSDL and CDSL (Listed and Unlisted Companies)</t>
  </si>
  <si>
    <t>Table 62: Depository Statistics</t>
  </si>
  <si>
    <t>2. During the month only 57 members were permitted to trade.</t>
  </si>
  <si>
    <t>Exchanges</t>
  </si>
  <si>
    <t>Futures</t>
  </si>
  <si>
    <t>Options</t>
  </si>
  <si>
    <t>Agriculture</t>
  </si>
  <si>
    <t>Metals other than bullion</t>
  </si>
  <si>
    <t xml:space="preserve">Bullion </t>
  </si>
  <si>
    <t xml:space="preserve">Energy </t>
  </si>
  <si>
    <t>Gems and Stones</t>
  </si>
  <si>
    <t>NCDEX</t>
  </si>
  <si>
    <t>Permitted for trading</t>
  </si>
  <si>
    <t xml:space="preserve">Contracts floated </t>
  </si>
  <si>
    <t>Traded</t>
  </si>
  <si>
    <t>MCX</t>
  </si>
  <si>
    <t>ICEX</t>
  </si>
  <si>
    <t xml:space="preserve"> </t>
  </si>
  <si>
    <t>Source: NCDEX, MCX, ICEX, BSE and NSE</t>
  </si>
  <si>
    <t>MCX Comdex</t>
  </si>
  <si>
    <t>NCDEX Dhaanya</t>
  </si>
  <si>
    <t>Open</t>
  </si>
  <si>
    <t>Source: MCX and NCDEX</t>
  </si>
  <si>
    <t>FUTURES</t>
  </si>
  <si>
    <t>No.of Trading days</t>
  </si>
  <si>
    <t>Metals</t>
  </si>
  <si>
    <t>Bullion</t>
  </si>
  <si>
    <t>Energy</t>
  </si>
  <si>
    <t>Open interest at the end of the period</t>
  </si>
  <si>
    <t>Volume ('000 tonnes)</t>
  </si>
  <si>
    <t>No. of contracts traded</t>
  </si>
  <si>
    <r>
      <t>Turnover 
(</t>
    </r>
    <r>
      <rPr>
        <sz val="10"/>
        <color theme="1"/>
        <rFont val="Rupee Foradian"/>
        <family val="2"/>
      </rPr>
      <t>₹</t>
    </r>
    <r>
      <rPr>
        <b/>
        <sz val="10"/>
        <color theme="1"/>
        <rFont val="Rupee Foradian"/>
        <family val="2"/>
      </rPr>
      <t xml:space="preserve"> </t>
    </r>
    <r>
      <rPr>
        <b/>
        <sz val="10"/>
        <color theme="1"/>
        <rFont val="Garamond"/>
        <family val="1"/>
      </rPr>
      <t>crore)</t>
    </r>
  </si>
  <si>
    <t>Volume ('000 tonnes)*</t>
  </si>
  <si>
    <t>No. of contracts</t>
  </si>
  <si>
    <r>
      <t>Value
(</t>
    </r>
    <r>
      <rPr>
        <sz val="10"/>
        <color theme="1"/>
        <rFont val="Rupee Foradian"/>
        <family val="2"/>
      </rPr>
      <t>₹</t>
    </r>
    <r>
      <rPr>
        <b/>
        <sz val="10"/>
        <color theme="1"/>
        <rFont val="Rupee Foradian"/>
        <family val="2"/>
      </rPr>
      <t xml:space="preserve"> </t>
    </r>
    <r>
      <rPr>
        <b/>
        <sz val="10"/>
        <color theme="1"/>
        <rFont val="Garamond"/>
        <family val="1"/>
      </rPr>
      <t>crore)</t>
    </r>
  </si>
  <si>
    <t>OPTIONS</t>
  </si>
  <si>
    <t>Year / 
Month</t>
  </si>
  <si>
    <t xml:space="preserve">Call Options </t>
  </si>
  <si>
    <t xml:space="preserve">Put Options </t>
  </si>
  <si>
    <r>
      <t>Turnover 
(</t>
    </r>
    <r>
      <rPr>
        <sz val="10"/>
        <color theme="1"/>
        <rFont val="Garamond"/>
        <family val="1"/>
      </rPr>
      <t xml:space="preserve">₹ </t>
    </r>
    <r>
      <rPr>
        <b/>
        <sz val="10"/>
        <color theme="1"/>
        <rFont val="Garamond"/>
        <family val="1"/>
      </rPr>
      <t>crore)</t>
    </r>
  </si>
  <si>
    <r>
      <t>Notional Value 
(</t>
    </r>
    <r>
      <rPr>
        <sz val="10"/>
        <rFont val="Garamond"/>
        <family val="1"/>
      </rPr>
      <t>₹</t>
    </r>
    <r>
      <rPr>
        <b/>
        <sz val="10"/>
        <rFont val="Garamond"/>
        <family val="1"/>
      </rPr>
      <t xml:space="preserve"> crore)</t>
    </r>
  </si>
  <si>
    <t>Note : Natural Gas volume is in Trillion BTU and is not included in volume ('000 tonnes) of energy contracts.</t>
  </si>
  <si>
    <t>Source: MCX</t>
  </si>
  <si>
    <t xml:space="preserve">following is not for publications (verifications): </t>
  </si>
  <si>
    <t>annual total of TO</t>
  </si>
  <si>
    <t>Agir</t>
  </si>
  <si>
    <t>non-agri</t>
  </si>
  <si>
    <t>futures</t>
  </si>
  <si>
    <t>options</t>
  </si>
  <si>
    <t>total</t>
  </si>
  <si>
    <t>match</t>
  </si>
  <si>
    <t>Monthly totals of TO</t>
  </si>
  <si>
    <t>Volume
('000 tonnes)</t>
  </si>
  <si>
    <r>
      <t>Turnover 
(</t>
    </r>
    <r>
      <rPr>
        <sz val="10"/>
        <color theme="1"/>
        <rFont val="Rupee Foradian"/>
        <family val="2"/>
      </rPr>
      <t xml:space="preserve">₹ </t>
    </r>
    <r>
      <rPr>
        <b/>
        <sz val="10"/>
        <color theme="1"/>
        <rFont val="Garamond"/>
        <family val="1"/>
      </rPr>
      <t>crore)</t>
    </r>
  </si>
  <si>
    <t xml:space="preserve">Call options </t>
  </si>
  <si>
    <t xml:space="preserve">Put options </t>
  </si>
  <si>
    <t>Open interest 
  at the end of the period</t>
  </si>
  <si>
    <r>
      <t>Notional Value
(</t>
    </r>
    <r>
      <rPr>
        <sz val="10"/>
        <rFont val="Garamond"/>
        <family val="1"/>
      </rPr>
      <t xml:space="preserve">₹ </t>
    </r>
    <r>
      <rPr>
        <b/>
        <sz val="10"/>
        <rFont val="Garamond"/>
        <family val="1"/>
      </rPr>
      <t>crore)</t>
    </r>
  </si>
  <si>
    <t>Source: NCDEX</t>
  </si>
  <si>
    <t>Agriculture Futures</t>
  </si>
  <si>
    <t>Metals Futures</t>
  </si>
  <si>
    <t>Gems and Stones Futures</t>
  </si>
  <si>
    <t xml:space="preserve">Total </t>
  </si>
  <si>
    <t>Volume 
('000 tonnes)</t>
  </si>
  <si>
    <t>Volume 
(in cents)</t>
  </si>
  <si>
    <t xml:space="preserve">No. of contracts </t>
  </si>
  <si>
    <t xml:space="preserve">Notes :  i. Contract size for all diamond futures contract at ICEX is one cent. </t>
  </si>
  <si>
    <t xml:space="preserve">          ii. Futures trading in steel long contracts commenced from 28th Aug. 2018.</t>
  </si>
  <si>
    <t xml:space="preserve">         iii.  Consequent upon merger of NMCE with ICEX, all  contracts of NMCE are transferred to ICEX w.e.f September 24, 2018.  
               The trading data of NMCE is added to agri. segment of ICEX. </t>
  </si>
  <si>
    <t>Source: ICEX</t>
  </si>
  <si>
    <t>Metal Futures</t>
  </si>
  <si>
    <t>Bullion Futures</t>
  </si>
  <si>
    <t>Energy Futures</t>
  </si>
  <si>
    <t>Volume ( tonnes)</t>
  </si>
  <si>
    <t>Volume 
( tonnes)</t>
  </si>
  <si>
    <t>Volume (Tonnes)</t>
  </si>
  <si>
    <t>Volume
 ( tonnes)</t>
  </si>
  <si>
    <t>Conversion factors: OMAN  Crude Oil (1 Tonne = 7.33Barrels)</t>
  </si>
  <si>
    <t>Volume for BR Crude and BR Crude Mini is provided in barrels (absolute figure).</t>
  </si>
  <si>
    <t xml:space="preserve">Agriculture </t>
  </si>
  <si>
    <t>Non-Agriculture Segment</t>
  </si>
  <si>
    <t>Non-Agriculture</t>
  </si>
  <si>
    <t xml:space="preserve">Client </t>
  </si>
  <si>
    <t>Hedgers</t>
  </si>
  <si>
    <t xml:space="preserve">Conserquent to merger of NMCE with ICEX w.e.f. September 24, 2018, data pertaiing to NMCE are merged with ICEX </t>
  </si>
  <si>
    <t>Source: MCX, NCDEX, ICEX, BSE and NSE</t>
  </si>
  <si>
    <t>Sr.No</t>
  </si>
  <si>
    <t>Name of the Commodity</t>
  </si>
  <si>
    <t>Gold</t>
  </si>
  <si>
    <t>Silver</t>
  </si>
  <si>
    <t>Total for A</t>
  </si>
  <si>
    <t>Metals other than Bullion</t>
  </si>
  <si>
    <t>Aluminium</t>
  </si>
  <si>
    <t>Brass</t>
  </si>
  <si>
    <t>Copper</t>
  </si>
  <si>
    <t>Lead</t>
  </si>
  <si>
    <t>Nickel</t>
  </si>
  <si>
    <t>Zinc</t>
  </si>
  <si>
    <t>Total for  B</t>
  </si>
  <si>
    <t>Agricultural commodities</t>
  </si>
  <si>
    <t>Cardamom</t>
  </si>
  <si>
    <t>Cotton</t>
  </si>
  <si>
    <t>CPO</t>
  </si>
  <si>
    <t>Mentha Oil</t>
  </si>
  <si>
    <t>Total for C</t>
  </si>
  <si>
    <t>D</t>
  </si>
  <si>
    <t>Crude Oil</t>
  </si>
  <si>
    <t>Natural Gas (trln. Btu)</t>
  </si>
  <si>
    <t>Total for D*</t>
  </si>
  <si>
    <t>Grand Total (A+B+C+D)</t>
  </si>
  <si>
    <t>E</t>
  </si>
  <si>
    <t>Total  of E</t>
  </si>
  <si>
    <t>F</t>
  </si>
  <si>
    <t xml:space="preserve">Metals </t>
  </si>
  <si>
    <t>Total of F</t>
  </si>
  <si>
    <t>G</t>
  </si>
  <si>
    <t>Grand Total (E+F+G)</t>
  </si>
  <si>
    <t>Note : Natural Gas volume is in trillion BTU and is not included in total volume.</t>
  </si>
  <si>
    <t xml:space="preserve">            Turnover of options contract is notional value. </t>
  </si>
  <si>
    <t xml:space="preserve">           Conversion factors: Cotton (1 Bale=170 kg), Crude Oil (1 Tonne = 7.33Barrels)</t>
  </si>
  <si>
    <t>Source : MCX</t>
  </si>
  <si>
    <t xml:space="preserve">Name of Agri. Commodity </t>
  </si>
  <si>
    <t>Value 
( crore)</t>
  </si>
  <si>
    <t>Barley</t>
  </si>
  <si>
    <t>Castorseed</t>
  </si>
  <si>
    <t>Chana</t>
  </si>
  <si>
    <t>Cotton seed oil cake</t>
  </si>
  <si>
    <t>Coriander</t>
  </si>
  <si>
    <t>Guar seed</t>
  </si>
  <si>
    <t>Guargum</t>
  </si>
  <si>
    <t>Jeera</t>
  </si>
  <si>
    <t>Kapas</t>
  </si>
  <si>
    <t>Maize</t>
  </si>
  <si>
    <t>Rmseed</t>
  </si>
  <si>
    <t>Sugar</t>
  </si>
  <si>
    <t>Soya bean</t>
  </si>
  <si>
    <t>Soya oil</t>
  </si>
  <si>
    <t>Turmeric</t>
  </si>
  <si>
    <t>Wheat</t>
  </si>
  <si>
    <t>Guarseed</t>
  </si>
  <si>
    <t>Soybean</t>
  </si>
  <si>
    <t>Ref. Soy Oil</t>
  </si>
  <si>
    <t xml:space="preserve"> Turnover of options contract is notional value. </t>
  </si>
  <si>
    <t>A.</t>
  </si>
  <si>
    <t xml:space="preserve">Castorseed </t>
  </si>
  <si>
    <t xml:space="preserve">Guarseed </t>
  </si>
  <si>
    <t xml:space="preserve">Isabgulseed </t>
  </si>
  <si>
    <t>Pepper Mini</t>
  </si>
  <si>
    <t xml:space="preserve">Rape/Mustardseed </t>
  </si>
  <si>
    <t xml:space="preserve">Raw Jute </t>
  </si>
  <si>
    <t xml:space="preserve">Rubber </t>
  </si>
  <si>
    <t>Diamond 1 CT</t>
  </si>
  <si>
    <t>Diamond .5 CT</t>
  </si>
  <si>
    <t>Diamond .3 CT</t>
  </si>
  <si>
    <t>Steel</t>
  </si>
  <si>
    <t>Total (ICEX)</t>
  </si>
  <si>
    <t>B.</t>
  </si>
  <si>
    <t>OMAN CRUDE *</t>
  </si>
  <si>
    <t>Gold M</t>
  </si>
  <si>
    <t>Guar Gum</t>
  </si>
  <si>
    <t>Guar Seed</t>
  </si>
  <si>
    <t>Total (BSE)</t>
  </si>
  <si>
    <t>C.</t>
  </si>
  <si>
    <t>Total (NSE)</t>
  </si>
  <si>
    <t>Gold Mini</t>
  </si>
  <si>
    <t>BR Crude</t>
  </si>
  <si>
    <t>BR Crude Mini</t>
  </si>
  <si>
    <t>Note : i) Consequent to merger of NMCE with ICEX, all the contracts of NMCE are transferred to ICEX w.e.f. September 24, 2018.  Trading data of NMCE
             prior to its merger is added to agri. segment of ICEX.</t>
  </si>
  <si>
    <t>ii) Volume for Diamond 1 CT, 0.5CT &amp; 0.3CT has been given in Carat only (e.g. if volume is 80312.2 i.e. 80312.2 carats) and 1 Carat is equivalent to 100 cents.</t>
  </si>
  <si>
    <t>iii. Conversion factors: OMAN Crude Oil (1 Tonne = 7.33Barrels)</t>
  </si>
  <si>
    <t>iv. Volume for BR Crude and BR Crude Mini for NSE is provided in barrels (absolute figure)</t>
  </si>
  <si>
    <t>Source : ICEX, BSE and NSE</t>
  </si>
  <si>
    <t>Table 58: Trends in Transactions on Stock Exchanges by Mutual Funds (`crore)</t>
  </si>
  <si>
    <t>Table 59: Assets Under Management by Portfolio Managers</t>
  </si>
  <si>
    <t>Table 60: Progress Report of NSDL &amp; CDSL as on end of Apr-19 (Listed Companies)</t>
  </si>
  <si>
    <t>Table 62: Depository Statistics as on  Apr-19</t>
  </si>
  <si>
    <t>Table 63: Number of commodities permitted and traded at exchanges</t>
  </si>
  <si>
    <t>Table 64: Trends in commodity indices</t>
  </si>
  <si>
    <t xml:space="preserve">Table 65: Trends in commodity derivatives at MCX </t>
  </si>
  <si>
    <t xml:space="preserve">Table 66: Trends in commodity derivatives at NCDEX </t>
  </si>
  <si>
    <t>Table 67: Trends in commodity derivatives at ICEX</t>
  </si>
  <si>
    <t xml:space="preserve">Table 68: Trends in commodity derivatives at BSE </t>
  </si>
  <si>
    <t>Table 69: Trends in commodity derivatives at NSE</t>
  </si>
  <si>
    <t>Table 70: Participant-wise percentage share of turnover at MCX, NCDEX, ICEX, BSE and NSE</t>
  </si>
  <si>
    <t>Table 71: Commodity-wise monthly turnover and trading volume at MCX</t>
  </si>
  <si>
    <t xml:space="preserve">Table 72: Commodity-wise monthly turnover and trading volume at NCDEX </t>
  </si>
  <si>
    <t>Table 73: Commodity-wise monthly turnover and trading volume at ICEX, BSE and NSE</t>
  </si>
  <si>
    <t>Table 74: Macro Economic Indicators</t>
  </si>
  <si>
    <t>Table 63:  Number of commodities permitted and traded at exchanges</t>
  </si>
  <si>
    <t>Table 64:  Trends in commodity indices</t>
  </si>
  <si>
    <t xml:space="preserve">Table 65:  Trends in commodity derivatives at MCX </t>
  </si>
  <si>
    <t xml:space="preserve">Table 66:  Trends in commodity derivatives at NCDEX </t>
  </si>
  <si>
    <t>Table 67:  Trends in commodity derivatives at ICEX</t>
  </si>
  <si>
    <t xml:space="preserve">Table 68:  Trends in commodity derivatives at BSE </t>
  </si>
  <si>
    <t>Table 69:  Trends in commodity derivatives at NSE</t>
  </si>
  <si>
    <t>Table 70:  Participant-wise percentage share of turnover at MCX, NCDEX, ICEX, BSE and NSE</t>
  </si>
  <si>
    <t>Table 71:  Commodity-wise monthly turnover and trading volume at MCX</t>
  </si>
  <si>
    <t xml:space="preserve">Table 72:  Commodity-wise monthly turnover and trading volume at NCDEX </t>
  </si>
  <si>
    <t>Table 73:  Commodity-wise monthly turnover and trading volume at ICEX, BSE and NSE</t>
  </si>
</sst>
</file>

<file path=xl/styles.xml><?xml version="1.0" encoding="utf-8"?>
<styleSheet xmlns="http://schemas.openxmlformats.org/spreadsheetml/2006/main" xmlns:mc="http://schemas.openxmlformats.org/markup-compatibility/2006" xmlns:x14ac="http://schemas.microsoft.com/office/spreadsheetml/2009/9/ac" mc:Ignorable="x14ac">
  <numFmts count="36">
    <numFmt numFmtId="164" formatCode="_(* #,##0.00_);_(* \(#,##0.00\);_(* &quot;-&quot;??_);_(@_)"/>
    <numFmt numFmtId="165" formatCode="#,##0;\-#,##0;0"/>
    <numFmt numFmtId="166" formatCode="0.0"/>
    <numFmt numFmtId="167" formatCode="dd\/mm\/yyyy"/>
    <numFmt numFmtId="168" formatCode="0\,00\,000;\-0\,00\,000;0.0"/>
    <numFmt numFmtId="169" formatCode="0.0;\-0.0;0"/>
    <numFmt numFmtId="170" formatCode="#,##0;\-#,##0;0.0"/>
    <numFmt numFmtId="171" formatCode="0;\(0\)"/>
    <numFmt numFmtId="172" formatCode="0\,00\,000;\-0\,00\,000;0"/>
    <numFmt numFmtId="173" formatCode="0\,00\,00\,000;\-0\,00\,00\,000;0"/>
    <numFmt numFmtId="174" formatCode="0.0;\-0.0;0.0"/>
    <numFmt numFmtId="175" formatCode="0.0;0.0;0"/>
    <numFmt numFmtId="176" formatCode="0.0;\(0\);0.0"/>
    <numFmt numFmtId="177" formatCode="0.00;\-0.00;0.0"/>
    <numFmt numFmtId="178" formatCode="#,##0.0;\-#,##0.0;0.0"/>
    <numFmt numFmtId="179" formatCode="#,##0.0"/>
    <numFmt numFmtId="180" formatCode="0;\-0;0"/>
    <numFmt numFmtId="181" formatCode="0\,00\,00\,00\,000;\-0\,00\,00\,00\,000;0"/>
    <numFmt numFmtId="182" formatCode="0.00;\-0.00;0.00"/>
    <numFmt numFmtId="183" formatCode="#,##0.00;\-#,##0.00;0.0"/>
    <numFmt numFmtId="184" formatCode="[$-409]d\-mmm\-yy;@"/>
    <numFmt numFmtId="185" formatCode="[&gt;=10000000]#\,##\,##\,##0;[&gt;=100000]#\,##\,##0;##,##0"/>
    <numFmt numFmtId="186" formatCode="[$-409]mmm\-yy;@"/>
    <numFmt numFmtId="187" formatCode="[&gt;=10000000]#.###\,##\,##0;[&gt;=100000]#.###\,##0;##,##0.0"/>
    <numFmt numFmtId="188" formatCode="[&gt;=10000000]#.00\,##\,##\,##0;[&gt;=100000]#.00\,##\,##0;##,##0.00"/>
    <numFmt numFmtId="189" formatCode="[&gt;9999999]##\,##\,##\,##0;[&gt;99999]##\,##\,##0;##,##0"/>
    <numFmt numFmtId="190" formatCode="#,##0.00000"/>
    <numFmt numFmtId="191" formatCode="_(* #,##0_);_(* \(#,##0\);_(* &quot;-&quot;??_);_(@_)"/>
    <numFmt numFmtId="192" formatCode="[&gt;=10000000]#.0\,##\,##\,##0;[&gt;=100000]#.0\,##\,##0;##,##0.0"/>
    <numFmt numFmtId="193" formatCode="[&gt;=10000000]#.##;[&gt;=100000]#;##,##0"/>
    <numFmt numFmtId="194" formatCode="#,##0.0;\-#,##0.0"/>
    <numFmt numFmtId="195" formatCode="0.0000"/>
    <numFmt numFmtId="196" formatCode="[&gt;=10000000]#.##\,##\,##0;[&gt;=100000]#.##\,##0;##,##0"/>
    <numFmt numFmtId="197" formatCode="_(* #,##0.0_);_(* \(#,##0.0\);_(* &quot;-&quot;??_);_(@_)"/>
    <numFmt numFmtId="198" formatCode="_(* #,##0.000_);_(* \(#,##0.000\);_(* &quot;-&quot;??_);_(@_)"/>
    <numFmt numFmtId="199" formatCode="0.00000"/>
  </numFmts>
  <fonts count="61" x14ac:knownFonts="1">
    <font>
      <sz val="10"/>
      <name val="Arial"/>
    </font>
    <font>
      <sz val="11"/>
      <color theme="1"/>
      <name val="Calibri"/>
      <family val="2"/>
      <scheme val="minor"/>
    </font>
    <font>
      <b/>
      <sz val="10"/>
      <color indexed="8"/>
      <name val="Arial"/>
      <family val="2"/>
    </font>
    <font>
      <b/>
      <sz val="9"/>
      <color indexed="8"/>
      <name val="Arial"/>
      <family val="2"/>
    </font>
    <font>
      <sz val="10"/>
      <color indexed="8"/>
      <name val="Arial"/>
      <family val="2"/>
    </font>
    <font>
      <sz val="6"/>
      <color indexed="8"/>
      <name val="Arial"/>
      <family val="2"/>
    </font>
    <font>
      <sz val="9"/>
      <color indexed="8"/>
      <name val="Arial"/>
      <family val="2"/>
    </font>
    <font>
      <b/>
      <sz val="7"/>
      <color indexed="8"/>
      <name val="Arial"/>
      <family val="2"/>
    </font>
    <font>
      <b/>
      <sz val="10"/>
      <color indexed="8"/>
      <name val="Rupee Foradian"/>
      <family val="2"/>
    </font>
    <font>
      <b/>
      <sz val="9"/>
      <color indexed="8"/>
      <name val="Rupee Foradian"/>
      <family val="2"/>
    </font>
    <font>
      <b/>
      <sz val="9"/>
      <color indexed="9"/>
      <name val="Arial"/>
      <family val="2"/>
    </font>
    <font>
      <b/>
      <sz val="12"/>
      <color indexed="8"/>
      <name val="Arial"/>
      <family val="2"/>
    </font>
    <font>
      <b/>
      <sz val="11"/>
      <color indexed="8"/>
      <name val="Arial"/>
      <family val="2"/>
    </font>
    <font>
      <sz val="9"/>
      <color indexed="9"/>
      <name val="Arial"/>
      <family val="2"/>
    </font>
    <font>
      <b/>
      <i/>
      <sz val="9"/>
      <color indexed="8"/>
      <name val="Arial"/>
      <family val="2"/>
    </font>
    <font>
      <sz val="10"/>
      <color theme="1"/>
      <name val="Arial"/>
      <family val="2"/>
    </font>
    <font>
      <b/>
      <sz val="10"/>
      <color theme="1"/>
      <name val="Arial"/>
      <family val="2"/>
    </font>
    <font>
      <sz val="10"/>
      <name val="Arial"/>
      <family val="2"/>
    </font>
    <font>
      <b/>
      <sz val="12"/>
      <color theme="1"/>
      <name val="Garamond"/>
      <family val="1"/>
    </font>
    <font>
      <sz val="11"/>
      <color theme="1"/>
      <name val="Garamond"/>
      <family val="1"/>
    </font>
    <font>
      <b/>
      <sz val="11"/>
      <color theme="1"/>
      <name val="Garamond"/>
      <family val="1"/>
    </font>
    <font>
      <b/>
      <sz val="11"/>
      <color theme="1"/>
      <name val="Rupee Foradian"/>
      <family val="2"/>
    </font>
    <font>
      <sz val="11"/>
      <name val="Garamond"/>
      <family val="1"/>
    </font>
    <font>
      <sz val="11"/>
      <name val="Rupee Foradian"/>
      <family val="2"/>
    </font>
    <font>
      <sz val="11"/>
      <color theme="1"/>
      <name val="Rupee Foradian"/>
      <family val="2"/>
    </font>
    <font>
      <sz val="10"/>
      <name val="Times New Roman"/>
      <family val="1"/>
    </font>
    <font>
      <sz val="8"/>
      <color rgb="FF000000"/>
      <name val="Arial"/>
      <family val="2"/>
    </font>
    <font>
      <u/>
      <sz val="11"/>
      <color theme="10"/>
      <name val="Calibri"/>
      <family val="2"/>
      <scheme val="minor"/>
    </font>
    <font>
      <sz val="11"/>
      <color rgb="FF009933"/>
      <name val="Arial"/>
      <family val="2"/>
    </font>
    <font>
      <sz val="10"/>
      <color theme="1"/>
      <name val="Garamond"/>
      <family val="1"/>
    </font>
    <font>
      <b/>
      <sz val="10"/>
      <color theme="1"/>
      <name val="Garamond"/>
      <family val="1"/>
    </font>
    <font>
      <sz val="9"/>
      <color theme="1"/>
      <name val="Arial"/>
      <family val="2"/>
    </font>
    <font>
      <b/>
      <sz val="14"/>
      <name val="Trebuchet MS"/>
      <family val="2"/>
    </font>
    <font>
      <b/>
      <sz val="10"/>
      <name val="Arial"/>
      <family val="2"/>
    </font>
    <font>
      <sz val="10"/>
      <name val="Trebuchet MS"/>
      <family val="2"/>
    </font>
    <font>
      <b/>
      <sz val="10"/>
      <name val="Trebuchet MS"/>
      <family val="2"/>
    </font>
    <font>
      <i/>
      <sz val="10"/>
      <name val="Trebuchet MS"/>
      <family val="2"/>
    </font>
    <font>
      <b/>
      <sz val="10"/>
      <color indexed="8"/>
      <name val="Rupee Foradian"/>
      <family val="2"/>
    </font>
    <font>
      <sz val="10"/>
      <color indexed="8"/>
      <name val="Arial"/>
      <family val="2"/>
    </font>
    <font>
      <b/>
      <sz val="9"/>
      <color indexed="8"/>
      <name val="Arial"/>
      <family val="2"/>
    </font>
    <font>
      <b/>
      <sz val="11"/>
      <color rgb="FF000000"/>
      <name val="Garamond"/>
      <family val="1"/>
    </font>
    <font>
      <sz val="10"/>
      <name val="Garamond"/>
      <family val="1"/>
    </font>
    <font>
      <b/>
      <sz val="9"/>
      <color theme="1"/>
      <name val="Garamond"/>
      <family val="1"/>
    </font>
    <font>
      <b/>
      <sz val="10"/>
      <name val="Garamond"/>
      <family val="1"/>
    </font>
    <font>
      <sz val="8"/>
      <color theme="1"/>
      <name val="Arial"/>
      <family val="2"/>
    </font>
    <font>
      <sz val="9"/>
      <color theme="1"/>
      <name val="Garamond"/>
      <family val="1"/>
    </font>
    <font>
      <sz val="9"/>
      <name val="Garamond"/>
      <family val="1"/>
    </font>
    <font>
      <sz val="10"/>
      <color theme="1"/>
      <name val="Rupee Foradian"/>
      <family val="2"/>
    </font>
    <font>
      <b/>
      <sz val="10"/>
      <color theme="1"/>
      <name val="Rupee Foradian"/>
      <family val="2"/>
    </font>
    <font>
      <b/>
      <sz val="9"/>
      <name val="Garamond"/>
      <family val="1"/>
    </font>
    <font>
      <sz val="10"/>
      <color rgb="FFFF0000"/>
      <name val="Garamond"/>
      <family val="1"/>
    </font>
    <font>
      <b/>
      <sz val="10"/>
      <color rgb="FF000000"/>
      <name val="Garamond"/>
      <family val="1"/>
    </font>
    <font>
      <sz val="10"/>
      <color rgb="FF000000"/>
      <name val="Garamond"/>
      <family val="1"/>
    </font>
    <font>
      <sz val="10"/>
      <color theme="1"/>
      <name val="Calibri"/>
      <family val="2"/>
      <scheme val="minor"/>
    </font>
    <font>
      <b/>
      <sz val="12"/>
      <name val="Garamond"/>
      <family val="1"/>
    </font>
    <font>
      <sz val="10"/>
      <color rgb="FFFF0000"/>
      <name val="Calibri"/>
      <family val="2"/>
      <scheme val="minor"/>
    </font>
    <font>
      <sz val="10"/>
      <color rgb="FF0000FF"/>
      <name val="Calibri"/>
      <family val="2"/>
      <scheme val="minor"/>
    </font>
    <font>
      <b/>
      <sz val="10"/>
      <color rgb="FFFF0000"/>
      <name val="Garamond"/>
      <family val="1"/>
    </font>
    <font>
      <sz val="10"/>
      <color theme="1"/>
      <name val="Times New Roman"/>
      <family val="1"/>
    </font>
    <font>
      <b/>
      <sz val="11"/>
      <color indexed="8"/>
      <name val="Garamond"/>
      <family val="1"/>
    </font>
    <font>
      <sz val="11"/>
      <color indexed="8"/>
      <name val="Garamond"/>
      <family val="1"/>
    </font>
  </fonts>
  <fills count="9">
    <fill>
      <patternFill patternType="none"/>
    </fill>
    <fill>
      <patternFill patternType="gray125"/>
    </fill>
    <fill>
      <patternFill patternType="solid">
        <fgColor indexed="9"/>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theme="0" tint="-0.14999847407452621"/>
        <bgColor indexed="64"/>
      </patternFill>
    </fill>
    <fill>
      <patternFill patternType="solid">
        <fgColor rgb="FFFFFF00"/>
        <bgColor indexed="64"/>
      </patternFill>
    </fill>
  </fills>
  <borders count="47">
    <border>
      <left/>
      <right/>
      <top/>
      <bottom/>
      <diagonal/>
    </border>
    <border>
      <left style="thin">
        <color indexed="8"/>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top/>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rgb="FF000000"/>
      </left>
      <right/>
      <top style="thin">
        <color indexed="64"/>
      </top>
      <bottom style="thin">
        <color indexed="64"/>
      </bottom>
      <diagonal/>
    </border>
    <border>
      <left style="thin">
        <color rgb="FF000000"/>
      </left>
      <right/>
      <top/>
      <bottom style="thin">
        <color indexed="64"/>
      </bottom>
      <diagonal/>
    </border>
    <border>
      <left style="thin">
        <color rgb="FF000000"/>
      </left>
      <right/>
      <top/>
      <bottom/>
      <diagonal/>
    </border>
  </borders>
  <cellStyleXfs count="14">
    <xf numFmtId="0" fontId="0" fillId="0" borderId="0" applyNumberFormat="0" applyFont="0" applyFill="0" applyBorder="0" applyAlignment="0" applyProtection="0"/>
    <xf numFmtId="184" fontId="17" fillId="0" borderId="0"/>
    <xf numFmtId="184" fontId="17" fillId="0" borderId="0"/>
    <xf numFmtId="187" fontId="25" fillId="0" borderId="0">
      <alignment horizontal="right"/>
    </xf>
    <xf numFmtId="0" fontId="27" fillId="0" borderId="0" applyNumberFormat="0" applyFill="0" applyBorder="0" applyAlignment="0" applyProtection="0"/>
    <xf numFmtId="0" fontId="17" fillId="0" borderId="0" applyNumberFormat="0" applyFill="0" applyBorder="0" applyAlignment="0" applyProtection="0"/>
    <xf numFmtId="184" fontId="1" fillId="0" borderId="0"/>
    <xf numFmtId="184" fontId="17" fillId="0" borderId="0" applyNumberFormat="0" applyFill="0" applyBorder="0" applyAlignment="0" applyProtection="0"/>
    <xf numFmtId="184" fontId="17" fillId="0" borderId="0" applyNumberForma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7" fillId="0" borderId="0"/>
    <xf numFmtId="0" fontId="1" fillId="0" borderId="0"/>
    <xf numFmtId="184" fontId="17" fillId="0" borderId="0" applyNumberFormat="0" applyFill="0" applyBorder="0" applyAlignment="0" applyProtection="0"/>
  </cellStyleXfs>
  <cellXfs count="587">
    <xf numFmtId="0" fontId="0" fillId="0" borderId="0" xfId="0" applyNumberFormat="1" applyFont="1" applyFill="1" applyBorder="1" applyAlignment="1"/>
    <xf numFmtId="49" fontId="2" fillId="2" borderId="0" xfId="0" applyNumberFormat="1" applyFont="1" applyFill="1" applyAlignment="1">
      <alignment horizontal="left" vertical="top"/>
    </xf>
    <xf numFmtId="49" fontId="3" fillId="2" borderId="1" xfId="0" applyNumberFormat="1" applyFont="1" applyFill="1" applyBorder="1" applyAlignment="1">
      <alignment horizontal="center"/>
    </xf>
    <xf numFmtId="49" fontId="4" fillId="2" borderId="1" xfId="0" applyNumberFormat="1" applyFont="1" applyFill="1" applyBorder="1" applyAlignment="1">
      <alignment horizontal="left"/>
    </xf>
    <xf numFmtId="0" fontId="5" fillId="2" borderId="0" xfId="0" applyFont="1" applyFill="1" applyAlignment="1">
      <alignment vertical="center"/>
    </xf>
    <xf numFmtId="49" fontId="2" fillId="2" borderId="0" xfId="0" applyNumberFormat="1" applyFont="1" applyFill="1" applyAlignment="1">
      <alignment horizontal="left"/>
    </xf>
    <xf numFmtId="49" fontId="2" fillId="2" borderId="1" xfId="0" applyNumberFormat="1" applyFont="1" applyFill="1" applyBorder="1" applyAlignment="1">
      <alignment horizontal="center" vertical="center"/>
    </xf>
    <xf numFmtId="165" fontId="6" fillId="2" borderId="1" xfId="0" applyNumberFormat="1" applyFont="1" applyFill="1" applyBorder="1" applyAlignment="1">
      <alignment horizontal="right"/>
    </xf>
    <xf numFmtId="0" fontId="6" fillId="2" borderId="1" xfId="0" applyFont="1" applyFill="1" applyBorder="1" applyAlignment="1">
      <alignment horizontal="right"/>
    </xf>
    <xf numFmtId="49" fontId="2" fillId="2" borderId="1"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0" fontId="4" fillId="2" borderId="1" xfId="0" applyFont="1" applyFill="1" applyBorder="1" applyAlignment="1">
      <alignment horizontal="right"/>
    </xf>
    <xf numFmtId="49" fontId="4" fillId="2" borderId="1" xfId="0" applyNumberFormat="1" applyFont="1" applyFill="1" applyBorder="1" applyAlignment="1">
      <alignment horizontal="left" wrapText="1"/>
    </xf>
    <xf numFmtId="15" fontId="4" fillId="2" borderId="1" xfId="0" applyNumberFormat="1" applyFont="1" applyFill="1" applyBorder="1" applyAlignment="1">
      <alignment horizontal="center"/>
    </xf>
    <xf numFmtId="49" fontId="4" fillId="2" borderId="1" xfId="0" applyNumberFormat="1" applyFont="1" applyFill="1" applyBorder="1" applyAlignment="1">
      <alignment horizontal="center"/>
    </xf>
    <xf numFmtId="166" fontId="4" fillId="2" borderId="1" xfId="0" applyNumberFormat="1" applyFont="1" applyFill="1" applyBorder="1" applyAlignment="1">
      <alignment horizontal="right"/>
    </xf>
    <xf numFmtId="0" fontId="8"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49" fontId="4" fillId="2" borderId="1" xfId="0" applyNumberFormat="1" applyFont="1" applyFill="1" applyBorder="1" applyAlignment="1">
      <alignment horizontal="left" vertical="center" wrapText="1"/>
    </xf>
    <xf numFmtId="167" fontId="4" fillId="2" borderId="1" xfId="0" applyNumberFormat="1" applyFont="1" applyFill="1" applyBorder="1" applyAlignment="1">
      <alignment horizontal="center" vertical="center"/>
    </xf>
    <xf numFmtId="168" fontId="4" fillId="2" borderId="1" xfId="0" applyNumberFormat="1" applyFont="1" applyFill="1" applyBorder="1" applyAlignment="1">
      <alignment horizontal="right" vertical="center"/>
    </xf>
    <xf numFmtId="1" fontId="4" fillId="2" borderId="1" xfId="0" applyNumberFormat="1" applyFont="1" applyFill="1" applyBorder="1" applyAlignment="1">
      <alignment horizontal="right" vertical="center"/>
    </xf>
    <xf numFmtId="169" fontId="4" fillId="2" borderId="1" xfId="0" applyNumberFormat="1" applyFont="1" applyFill="1" applyBorder="1" applyAlignment="1">
      <alignment horizontal="right" vertical="center"/>
    </xf>
    <xf numFmtId="49" fontId="2" fillId="2" borderId="1" xfId="0" applyNumberFormat="1" applyFont="1" applyFill="1" applyBorder="1" applyAlignment="1">
      <alignment horizontal="center" wrapText="1"/>
    </xf>
    <xf numFmtId="49" fontId="2" fillId="2" borderId="1" xfId="0" applyNumberFormat="1" applyFont="1" applyFill="1" applyBorder="1" applyAlignment="1">
      <alignment horizontal="center"/>
    </xf>
    <xf numFmtId="165" fontId="4" fillId="2" borderId="1" xfId="0" applyNumberFormat="1" applyFont="1" applyFill="1" applyBorder="1" applyAlignment="1">
      <alignment horizontal="right"/>
    </xf>
    <xf numFmtId="170" fontId="4" fillId="2" borderId="1" xfId="0" applyNumberFormat="1" applyFont="1" applyFill="1" applyBorder="1" applyAlignment="1">
      <alignment horizontal="right"/>
    </xf>
    <xf numFmtId="49" fontId="8" fillId="2" borderId="1" xfId="0" applyNumberFormat="1" applyFont="1" applyFill="1" applyBorder="1" applyAlignment="1">
      <alignment horizontal="center" wrapText="1"/>
    </xf>
    <xf numFmtId="49" fontId="6" fillId="2" borderId="1" xfId="0" applyNumberFormat="1" applyFont="1" applyFill="1" applyBorder="1" applyAlignment="1">
      <alignment horizontal="left"/>
    </xf>
    <xf numFmtId="170" fontId="6" fillId="2" borderId="1" xfId="0" applyNumberFormat="1" applyFont="1" applyFill="1" applyBorder="1" applyAlignment="1">
      <alignment horizontal="right"/>
    </xf>
    <xf numFmtId="1" fontId="4" fillId="2" borderId="1" xfId="0" applyNumberFormat="1" applyFont="1" applyFill="1" applyBorder="1" applyAlignment="1">
      <alignment horizontal="right"/>
    </xf>
    <xf numFmtId="3" fontId="4" fillId="2" borderId="1" xfId="0" applyNumberFormat="1" applyFont="1" applyFill="1" applyBorder="1" applyAlignment="1">
      <alignment horizontal="right"/>
    </xf>
    <xf numFmtId="49" fontId="3" fillId="2" borderId="1" xfId="0" applyNumberFormat="1" applyFont="1" applyFill="1" applyBorder="1" applyAlignment="1">
      <alignment horizontal="center" vertical="center"/>
    </xf>
    <xf numFmtId="49" fontId="9" fillId="2" borderId="1" xfId="0" applyNumberFormat="1" applyFont="1" applyFill="1" applyBorder="1" applyAlignment="1">
      <alignment horizontal="center" vertical="center" wrapText="1"/>
    </xf>
    <xf numFmtId="3" fontId="6" fillId="2" borderId="1" xfId="0" applyNumberFormat="1" applyFont="1" applyFill="1" applyBorder="1" applyAlignment="1">
      <alignment horizontal="right"/>
    </xf>
    <xf numFmtId="49" fontId="4" fillId="2" borderId="1" xfId="0" applyNumberFormat="1" applyFont="1" applyFill="1" applyBorder="1" applyAlignment="1">
      <alignment horizontal="left" vertical="center"/>
    </xf>
    <xf numFmtId="168" fontId="4" fillId="2" borderId="1" xfId="0" applyNumberFormat="1" applyFont="1" applyFill="1" applyBorder="1" applyAlignment="1">
      <alignment horizontal="right"/>
    </xf>
    <xf numFmtId="171" fontId="4" fillId="2" borderId="1" xfId="0" applyNumberFormat="1" applyFont="1" applyFill="1" applyBorder="1" applyAlignment="1">
      <alignment horizontal="right"/>
    </xf>
    <xf numFmtId="172" fontId="4" fillId="2" borderId="1" xfId="0" applyNumberFormat="1" applyFont="1" applyFill="1" applyBorder="1" applyAlignment="1">
      <alignment horizontal="right"/>
    </xf>
    <xf numFmtId="49" fontId="2" fillId="2" borderId="1" xfId="0" applyNumberFormat="1" applyFont="1" applyFill="1" applyBorder="1" applyAlignment="1">
      <alignment horizontal="right"/>
    </xf>
    <xf numFmtId="49" fontId="2" fillId="2" borderId="1" xfId="0" applyNumberFormat="1" applyFont="1" applyFill="1" applyBorder="1" applyAlignment="1">
      <alignment horizontal="left"/>
    </xf>
    <xf numFmtId="173" fontId="4" fillId="2" borderId="1" xfId="0" applyNumberFormat="1" applyFont="1" applyFill="1" applyBorder="1" applyAlignment="1">
      <alignment horizontal="right"/>
    </xf>
    <xf numFmtId="49" fontId="3" fillId="2" borderId="1" xfId="0" applyNumberFormat="1" applyFont="1" applyFill="1" applyBorder="1" applyAlignment="1">
      <alignment horizontal="left"/>
    </xf>
    <xf numFmtId="172" fontId="6" fillId="2" borderId="1" xfId="0" applyNumberFormat="1" applyFont="1" applyFill="1" applyBorder="1" applyAlignment="1">
      <alignment horizontal="right"/>
    </xf>
    <xf numFmtId="49" fontId="3" fillId="2" borderId="1" xfId="0" applyNumberFormat="1" applyFont="1" applyFill="1" applyBorder="1" applyAlignment="1">
      <alignment horizontal="center" vertical="center" wrapText="1"/>
    </xf>
    <xf numFmtId="173" fontId="6" fillId="2" borderId="1" xfId="0" applyNumberFormat="1" applyFont="1" applyFill="1" applyBorder="1" applyAlignment="1">
      <alignment horizontal="right"/>
    </xf>
    <xf numFmtId="174" fontId="4" fillId="2" borderId="1" xfId="0" applyNumberFormat="1" applyFont="1" applyFill="1" applyBorder="1" applyAlignment="1">
      <alignment horizontal="right"/>
    </xf>
    <xf numFmtId="169" fontId="4" fillId="2" borderId="1" xfId="0" applyNumberFormat="1" applyFont="1" applyFill="1" applyBorder="1" applyAlignment="1">
      <alignment horizontal="right"/>
    </xf>
    <xf numFmtId="0" fontId="3" fillId="2" borderId="1" xfId="0" applyFont="1" applyFill="1" applyBorder="1" applyAlignment="1">
      <alignment horizontal="right"/>
    </xf>
    <xf numFmtId="171" fontId="3" fillId="2" borderId="1" xfId="0" applyNumberFormat="1" applyFont="1" applyFill="1" applyBorder="1" applyAlignment="1">
      <alignment horizontal="right"/>
    </xf>
    <xf numFmtId="1" fontId="3" fillId="2" borderId="1" xfId="0" applyNumberFormat="1" applyFont="1" applyFill="1" applyBorder="1" applyAlignment="1">
      <alignment horizontal="right"/>
    </xf>
    <xf numFmtId="165" fontId="4" fillId="2" borderId="1" xfId="0" applyNumberFormat="1" applyFont="1" applyFill="1" applyBorder="1" applyAlignment="1">
      <alignment horizontal="right" vertical="center"/>
    </xf>
    <xf numFmtId="172" fontId="4" fillId="2" borderId="1" xfId="0" applyNumberFormat="1" applyFont="1" applyFill="1" applyBorder="1" applyAlignment="1">
      <alignment horizontal="right" vertical="center"/>
    </xf>
    <xf numFmtId="174" fontId="4" fillId="2" borderId="1" xfId="0" applyNumberFormat="1" applyFont="1" applyFill="1" applyBorder="1" applyAlignment="1">
      <alignment horizontal="right" vertical="center"/>
    </xf>
    <xf numFmtId="0" fontId="6" fillId="2" borderId="1" xfId="0" applyFont="1" applyFill="1" applyBorder="1" applyAlignment="1">
      <alignment horizontal="center" vertical="center"/>
    </xf>
    <xf numFmtId="49" fontId="6" fillId="2" borderId="1" xfId="0" applyNumberFormat="1" applyFont="1" applyFill="1" applyBorder="1" applyAlignment="1">
      <alignment horizontal="left" vertical="center"/>
    </xf>
    <xf numFmtId="165" fontId="6" fillId="2" borderId="1" xfId="0" applyNumberFormat="1" applyFont="1" applyFill="1" applyBorder="1" applyAlignment="1">
      <alignment horizontal="left" vertical="center"/>
    </xf>
    <xf numFmtId="172" fontId="6" fillId="2" borderId="1" xfId="0" applyNumberFormat="1" applyFont="1" applyFill="1" applyBorder="1" applyAlignment="1">
      <alignment horizontal="left" vertical="center"/>
    </xf>
    <xf numFmtId="0" fontId="6" fillId="2" borderId="1" xfId="0" applyFont="1" applyFill="1" applyBorder="1" applyAlignment="1">
      <alignment horizontal="left" vertical="center"/>
    </xf>
    <xf numFmtId="175" fontId="4" fillId="2" borderId="1" xfId="0" applyNumberFormat="1" applyFont="1" applyFill="1" applyBorder="1" applyAlignment="1">
      <alignment horizontal="right"/>
    </xf>
    <xf numFmtId="176" fontId="4" fillId="2" borderId="1" xfId="0" applyNumberFormat="1" applyFont="1" applyFill="1" applyBorder="1" applyAlignment="1">
      <alignment horizontal="right"/>
    </xf>
    <xf numFmtId="177" fontId="4" fillId="2" borderId="1" xfId="0" applyNumberFormat="1" applyFont="1" applyFill="1" applyBorder="1" applyAlignment="1">
      <alignment horizontal="right"/>
    </xf>
    <xf numFmtId="178" fontId="4" fillId="2" borderId="1" xfId="0" applyNumberFormat="1" applyFont="1" applyFill="1" applyBorder="1" applyAlignment="1">
      <alignment horizontal="right"/>
    </xf>
    <xf numFmtId="179" fontId="4" fillId="2" borderId="1" xfId="0" applyNumberFormat="1" applyFont="1" applyFill="1" applyBorder="1" applyAlignment="1">
      <alignment horizontal="right"/>
    </xf>
    <xf numFmtId="49" fontId="6" fillId="2" borderId="1" xfId="0" applyNumberFormat="1" applyFont="1" applyFill="1" applyBorder="1" applyAlignment="1">
      <alignment horizontal="left" vertical="center" wrapText="1"/>
    </xf>
    <xf numFmtId="166" fontId="6" fillId="2" borderId="1" xfId="0" applyNumberFormat="1" applyFont="1" applyFill="1" applyBorder="1" applyAlignment="1">
      <alignment horizontal="right" vertical="center" wrapText="1"/>
    </xf>
    <xf numFmtId="180" fontId="6" fillId="2" borderId="1" xfId="0" applyNumberFormat="1" applyFont="1" applyFill="1" applyBorder="1" applyAlignment="1">
      <alignment horizontal="right" vertical="center" wrapText="1"/>
    </xf>
    <xf numFmtId="169" fontId="6" fillId="2" borderId="1" xfId="0" applyNumberFormat="1" applyFont="1" applyFill="1" applyBorder="1" applyAlignment="1">
      <alignment horizontal="right" vertical="center" wrapText="1"/>
    </xf>
    <xf numFmtId="181" fontId="4" fillId="2" borderId="1" xfId="0" applyNumberFormat="1" applyFont="1" applyFill="1" applyBorder="1" applyAlignment="1">
      <alignment horizontal="right"/>
    </xf>
    <xf numFmtId="182" fontId="4" fillId="2" borderId="1" xfId="0" applyNumberFormat="1" applyFont="1" applyFill="1" applyBorder="1" applyAlignment="1">
      <alignment horizontal="right"/>
    </xf>
    <xf numFmtId="49" fontId="2" fillId="2" borderId="1" xfId="0" applyNumberFormat="1" applyFont="1" applyFill="1" applyBorder="1" applyAlignment="1">
      <alignment vertical="center"/>
    </xf>
    <xf numFmtId="0" fontId="8" fillId="2" borderId="1" xfId="0" applyFont="1" applyFill="1" applyBorder="1" applyAlignment="1">
      <alignment horizontal="center" wrapText="1"/>
    </xf>
    <xf numFmtId="0" fontId="3"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180" fontId="4" fillId="2" borderId="1" xfId="0" applyNumberFormat="1" applyFont="1" applyFill="1" applyBorder="1" applyAlignment="1">
      <alignment horizontal="right"/>
    </xf>
    <xf numFmtId="183" fontId="4" fillId="2" borderId="1" xfId="0" applyNumberFormat="1" applyFont="1" applyFill="1" applyBorder="1" applyAlignment="1">
      <alignment horizontal="right"/>
    </xf>
    <xf numFmtId="49" fontId="8" fillId="2" borderId="1" xfId="0" applyNumberFormat="1" applyFont="1" applyFill="1" applyBorder="1" applyAlignment="1">
      <alignment horizontal="left"/>
    </xf>
    <xf numFmtId="49" fontId="3" fillId="2" borderId="3" xfId="0" applyNumberFormat="1" applyFont="1" applyFill="1" applyBorder="1" applyAlignment="1">
      <alignment horizontal="center" vertical="center"/>
    </xf>
    <xf numFmtId="49" fontId="10" fillId="2" borderId="5" xfId="0" applyNumberFormat="1" applyFont="1" applyFill="1" applyBorder="1" applyAlignment="1">
      <alignment horizontal="center" vertical="center" wrapText="1"/>
    </xf>
    <xf numFmtId="49" fontId="6" fillId="2" borderId="1" xfId="0" applyNumberFormat="1" applyFont="1" applyFill="1" applyBorder="1" applyAlignment="1">
      <alignment horizontal="left" vertical="top"/>
    </xf>
    <xf numFmtId="49" fontId="14" fillId="2" borderId="1" xfId="0" applyNumberFormat="1" applyFont="1" applyFill="1" applyBorder="1" applyAlignment="1">
      <alignment horizontal="center"/>
    </xf>
    <xf numFmtId="177" fontId="6" fillId="2" borderId="1" xfId="0" applyNumberFormat="1" applyFont="1" applyFill="1" applyBorder="1" applyAlignment="1">
      <alignment horizontal="right"/>
    </xf>
    <xf numFmtId="49" fontId="13" fillId="2" borderId="5" xfId="0" applyNumberFormat="1" applyFont="1" applyFill="1" applyBorder="1" applyAlignment="1">
      <alignment horizontal="left"/>
    </xf>
    <xf numFmtId="49" fontId="13" fillId="2" borderId="6" xfId="0" applyNumberFormat="1" applyFont="1" applyFill="1" applyBorder="1" applyAlignment="1">
      <alignment horizontal="left"/>
    </xf>
    <xf numFmtId="49" fontId="3" fillId="2" borderId="0" xfId="0" applyNumberFormat="1" applyFont="1" applyFill="1" applyAlignment="1">
      <alignment horizontal="left" wrapText="1"/>
    </xf>
    <xf numFmtId="184" fontId="18" fillId="0" borderId="18" xfId="1" applyFont="1" applyBorder="1"/>
    <xf numFmtId="184" fontId="18" fillId="0" borderId="19" xfId="1" applyFont="1" applyBorder="1"/>
    <xf numFmtId="184" fontId="19" fillId="0" borderId="19" xfId="1" applyFont="1" applyBorder="1"/>
    <xf numFmtId="184" fontId="19" fillId="0" borderId="21" xfId="1" applyFont="1" applyBorder="1"/>
    <xf numFmtId="184" fontId="19" fillId="0" borderId="22" xfId="1" applyFont="1" applyBorder="1"/>
    <xf numFmtId="0" fontId="0" fillId="0" borderId="0" xfId="0"/>
    <xf numFmtId="184" fontId="15" fillId="0" borderId="0" xfId="1" applyFont="1"/>
    <xf numFmtId="0" fontId="20" fillId="3" borderId="23" xfId="0" applyFont="1" applyFill="1" applyBorder="1" applyAlignment="1">
      <alignment vertical="center"/>
    </xf>
    <xf numFmtId="186" fontId="20" fillId="3" borderId="23" xfId="1" applyNumberFormat="1" applyFont="1" applyFill="1" applyBorder="1" applyAlignment="1">
      <alignment horizontal="center" vertical="top" wrapText="1"/>
    </xf>
    <xf numFmtId="184" fontId="19" fillId="0" borderId="24" xfId="1" applyFont="1" applyFill="1" applyBorder="1" applyAlignment="1">
      <alignment horizontal="justify" vertical="top" wrapText="1"/>
    </xf>
    <xf numFmtId="166" fontId="19" fillId="0" borderId="23" xfId="2" applyNumberFormat="1" applyFont="1" applyFill="1" applyBorder="1" applyAlignment="1">
      <alignment horizontal="right" wrapText="1"/>
    </xf>
    <xf numFmtId="184" fontId="19" fillId="0" borderId="25" xfId="1" applyFont="1" applyFill="1" applyBorder="1" applyAlignment="1">
      <alignment horizontal="justify" vertical="top" wrapText="1"/>
    </xf>
    <xf numFmtId="2" fontId="19" fillId="0" borderId="26" xfId="2" applyNumberFormat="1" applyFont="1" applyFill="1" applyBorder="1" applyAlignment="1">
      <alignment horizontal="right" wrapText="1"/>
    </xf>
    <xf numFmtId="184" fontId="22" fillId="0" borderId="26" xfId="1" applyFont="1" applyFill="1" applyBorder="1" applyAlignment="1">
      <alignment horizontal="justify" vertical="top" wrapText="1"/>
    </xf>
    <xf numFmtId="185" fontId="19" fillId="0" borderId="26" xfId="2" applyNumberFormat="1" applyFont="1" applyFill="1" applyBorder="1" applyAlignment="1">
      <alignment horizontal="right" wrapText="1"/>
    </xf>
    <xf numFmtId="185" fontId="19" fillId="0" borderId="0" xfId="2" applyNumberFormat="1" applyFont="1" applyFill="1" applyBorder="1" applyAlignment="1">
      <alignment horizontal="right" wrapText="1"/>
    </xf>
    <xf numFmtId="184" fontId="19" fillId="0" borderId="27" xfId="1" applyFont="1" applyFill="1" applyBorder="1" applyAlignment="1">
      <alignment horizontal="justify" vertical="top" wrapText="1"/>
    </xf>
    <xf numFmtId="0" fontId="18" fillId="4" borderId="18" xfId="0" applyFont="1" applyFill="1" applyBorder="1" applyAlignment="1"/>
    <xf numFmtId="0" fontId="18" fillId="4" borderId="19" xfId="0" applyFont="1" applyFill="1" applyBorder="1" applyAlignment="1"/>
    <xf numFmtId="184" fontId="19" fillId="0" borderId="26" xfId="1" applyFont="1" applyFill="1" applyBorder="1" applyAlignment="1">
      <alignment vertical="center" wrapText="1"/>
    </xf>
    <xf numFmtId="2" fontId="19" fillId="0" borderId="23" xfId="2" applyNumberFormat="1" applyFont="1" applyFill="1" applyBorder="1" applyAlignment="1">
      <alignment horizontal="right" wrapText="1"/>
    </xf>
    <xf numFmtId="166" fontId="19" fillId="0" borderId="26" xfId="2" applyNumberFormat="1" applyFont="1" applyFill="1" applyBorder="1" applyAlignment="1">
      <alignment horizontal="right" wrapText="1"/>
    </xf>
    <xf numFmtId="184" fontId="19" fillId="0" borderId="28" xfId="1" applyFont="1" applyFill="1" applyBorder="1" applyAlignment="1">
      <alignment vertical="center" wrapText="1"/>
    </xf>
    <xf numFmtId="184" fontId="19" fillId="0" borderId="23" xfId="1" applyFont="1" applyFill="1" applyBorder="1" applyAlignment="1">
      <alignment vertical="top" wrapText="1"/>
    </xf>
    <xf numFmtId="185" fontId="19" fillId="0" borderId="26" xfId="3" applyNumberFormat="1" applyFont="1" applyFill="1" applyBorder="1">
      <alignment horizontal="right"/>
    </xf>
    <xf numFmtId="2" fontId="15" fillId="0" borderId="0" xfId="1" applyNumberFormat="1" applyFont="1"/>
    <xf numFmtId="4" fontId="26" fillId="0" borderId="0" xfId="0" applyNumberFormat="1" applyFont="1"/>
    <xf numFmtId="4" fontId="0" fillId="0" borderId="0" xfId="0" applyNumberFormat="1"/>
    <xf numFmtId="3" fontId="0" fillId="0" borderId="0" xfId="0" applyNumberFormat="1"/>
    <xf numFmtId="184" fontId="19" fillId="0" borderId="26" xfId="1" applyFont="1" applyFill="1" applyBorder="1" applyAlignment="1">
      <alignment vertical="top" wrapText="1"/>
    </xf>
    <xf numFmtId="3" fontId="19" fillId="0" borderId="26" xfId="3" applyNumberFormat="1" applyFont="1" applyFill="1" applyBorder="1">
      <alignment horizontal="right"/>
    </xf>
    <xf numFmtId="184" fontId="19" fillId="0" borderId="28" xfId="1" applyFont="1" applyFill="1" applyBorder="1" applyAlignment="1">
      <alignment vertical="top" wrapText="1"/>
    </xf>
    <xf numFmtId="188" fontId="19" fillId="0" borderId="26" xfId="2" applyNumberFormat="1" applyFont="1" applyFill="1" applyBorder="1" applyAlignment="1">
      <alignment horizontal="right" wrapText="1"/>
    </xf>
    <xf numFmtId="189" fontId="19" fillId="0" borderId="23" xfId="2" applyNumberFormat="1" applyFont="1" applyFill="1" applyBorder="1" applyAlignment="1">
      <alignment horizontal="right" wrapText="1"/>
    </xf>
    <xf numFmtId="0" fontId="27" fillId="0" borderId="0" xfId="4" applyAlignment="1" applyProtection="1"/>
    <xf numFmtId="184" fontId="19" fillId="0" borderId="24" xfId="1" applyFont="1" applyFill="1" applyBorder="1" applyAlignment="1">
      <alignment vertical="top" wrapText="1"/>
    </xf>
    <xf numFmtId="3" fontId="19" fillId="0" borderId="23" xfId="0" applyNumberFormat="1" applyFont="1" applyFill="1" applyBorder="1" applyAlignment="1">
      <alignment horizontal="right" vertical="top" wrapText="1"/>
    </xf>
    <xf numFmtId="0" fontId="28" fillId="0" borderId="0" xfId="0" applyFont="1"/>
    <xf numFmtId="184" fontId="19" fillId="0" borderId="25" xfId="1" applyFont="1" applyFill="1" applyBorder="1" applyAlignment="1">
      <alignment vertical="top" wrapText="1"/>
    </xf>
    <xf numFmtId="3" fontId="19" fillId="0" borderId="26" xfId="0" applyNumberFormat="1" applyFont="1" applyFill="1" applyBorder="1" applyAlignment="1">
      <alignment horizontal="right" vertical="top" wrapText="1"/>
    </xf>
    <xf numFmtId="184" fontId="29" fillId="0" borderId="0" xfId="1" applyFont="1" applyAlignment="1">
      <alignment vertical="center"/>
    </xf>
    <xf numFmtId="184" fontId="19" fillId="0" borderId="27" xfId="1" applyFont="1" applyFill="1" applyBorder="1" applyAlignment="1">
      <alignment vertical="top" wrapText="1"/>
    </xf>
    <xf numFmtId="3" fontId="19" fillId="0" borderId="28" xfId="0" applyNumberFormat="1" applyFont="1" applyFill="1" applyBorder="1" applyAlignment="1">
      <alignment horizontal="right" vertical="top" wrapText="1"/>
    </xf>
    <xf numFmtId="184" fontId="30" fillId="0" borderId="0" xfId="1" applyFont="1" applyFill="1" applyBorder="1" applyAlignment="1">
      <alignment horizontal="left" vertical="center"/>
    </xf>
    <xf numFmtId="184" fontId="30" fillId="0" borderId="0" xfId="1" applyFont="1" applyFill="1" applyBorder="1" applyAlignment="1">
      <alignment horizontal="left" vertical="center" wrapText="1"/>
    </xf>
    <xf numFmtId="184" fontId="30" fillId="0" borderId="0" xfId="1" applyFont="1" applyAlignment="1">
      <alignment vertical="center"/>
    </xf>
    <xf numFmtId="184" fontId="31" fillId="0" borderId="0" xfId="1" applyFont="1"/>
    <xf numFmtId="2" fontId="32" fillId="0" borderId="0" xfId="5" applyNumberFormat="1" applyFont="1" applyFill="1" applyBorder="1" applyAlignment="1">
      <alignment vertical="center"/>
    </xf>
    <xf numFmtId="0" fontId="17" fillId="0" borderId="0" xfId="5" applyFill="1" applyBorder="1" applyAlignment="1">
      <alignment vertical="center"/>
    </xf>
    <xf numFmtId="2" fontId="32" fillId="0" borderId="0" xfId="5" applyNumberFormat="1" applyFont="1" applyFill="1" applyBorder="1" applyAlignment="1">
      <alignment horizontal="center" vertical="center"/>
    </xf>
    <xf numFmtId="0" fontId="33" fillId="0" borderId="0" xfId="5" applyFont="1" applyFill="1" applyBorder="1" applyAlignment="1">
      <alignment vertical="center" wrapText="1"/>
    </xf>
    <xf numFmtId="0" fontId="33" fillId="0" borderId="29" xfId="5" applyFont="1" applyFill="1" applyBorder="1" applyAlignment="1">
      <alignment horizontal="center" vertical="center" wrapText="1"/>
    </xf>
    <xf numFmtId="0" fontId="33" fillId="0" borderId="29" xfId="5" applyFont="1" applyFill="1" applyBorder="1" applyAlignment="1">
      <alignment vertical="center" wrapText="1"/>
    </xf>
    <xf numFmtId="1" fontId="34" fillId="0" borderId="0" xfId="5" applyNumberFormat="1" applyFont="1" applyFill="1" applyBorder="1" applyAlignment="1">
      <alignment vertical="center"/>
    </xf>
    <xf numFmtId="2" fontId="34" fillId="0" borderId="0" xfId="5" applyNumberFormat="1" applyFont="1" applyFill="1" applyBorder="1" applyAlignment="1">
      <alignment vertical="center"/>
    </xf>
    <xf numFmtId="0" fontId="34" fillId="0" borderId="0" xfId="5" applyFont="1" applyFill="1" applyBorder="1" applyAlignment="1">
      <alignment vertical="center"/>
    </xf>
    <xf numFmtId="0" fontId="33" fillId="0" borderId="29" xfId="5" applyFont="1" applyFill="1" applyBorder="1" applyAlignment="1">
      <alignment horizontal="center" vertical="center"/>
    </xf>
    <xf numFmtId="0" fontId="33" fillId="0" borderId="29" xfId="5" applyFont="1" applyFill="1" applyBorder="1" applyAlignment="1">
      <alignment vertical="center"/>
    </xf>
    <xf numFmtId="0" fontId="17" fillId="0" borderId="29" xfId="5" applyFill="1" applyBorder="1" applyAlignment="1">
      <alignment vertical="center"/>
    </xf>
    <xf numFmtId="0" fontId="17" fillId="0" borderId="29" xfId="5" applyFont="1" applyFill="1" applyBorder="1" applyAlignment="1">
      <alignment horizontal="center" vertical="center"/>
    </xf>
    <xf numFmtId="0" fontId="17" fillId="0" borderId="29" xfId="5" applyFont="1" applyFill="1" applyBorder="1" applyAlignment="1">
      <alignment horizontal="left" vertical="center"/>
    </xf>
    <xf numFmtId="1" fontId="17" fillId="0" borderId="29" xfId="5" applyNumberFormat="1" applyFill="1" applyBorder="1" applyAlignment="1">
      <alignment vertical="center"/>
    </xf>
    <xf numFmtId="2" fontId="17" fillId="0" borderId="29" xfId="5" applyNumberFormat="1" applyFill="1" applyBorder="1" applyAlignment="1">
      <alignment vertical="center"/>
    </xf>
    <xf numFmtId="1" fontId="33" fillId="0" borderId="29" xfId="5" applyNumberFormat="1" applyFont="1" applyFill="1" applyBorder="1" applyAlignment="1">
      <alignment vertical="center"/>
    </xf>
    <xf numFmtId="2" fontId="33" fillId="0" borderId="29" xfId="5" applyNumberFormat="1" applyFont="1" applyFill="1" applyBorder="1" applyAlignment="1">
      <alignment vertical="center"/>
    </xf>
    <xf numFmtId="1" fontId="35" fillId="0" borderId="0" xfId="5" applyNumberFormat="1" applyFont="1" applyFill="1" applyBorder="1" applyAlignment="1">
      <alignment vertical="center"/>
    </xf>
    <xf numFmtId="0" fontId="35" fillId="0" borderId="0" xfId="5" applyFont="1" applyFill="1" applyBorder="1" applyAlignment="1">
      <alignment vertical="center"/>
    </xf>
    <xf numFmtId="1" fontId="17" fillId="0" borderId="29" xfId="5" applyNumberFormat="1" applyFont="1" applyFill="1" applyBorder="1" applyAlignment="1">
      <alignment horizontal="left" vertical="center" wrapText="1"/>
    </xf>
    <xf numFmtId="0" fontId="17" fillId="0" borderId="29" xfId="5" applyFill="1" applyBorder="1" applyAlignment="1">
      <alignment horizontal="center" vertical="center"/>
    </xf>
    <xf numFmtId="1" fontId="17" fillId="0" borderId="29" xfId="5" applyNumberFormat="1" applyFill="1" applyBorder="1" applyAlignment="1">
      <alignment horizontal="left" vertical="center" wrapText="1"/>
    </xf>
    <xf numFmtId="0" fontId="17" fillId="0" borderId="29" xfId="5" applyFont="1" applyFill="1" applyBorder="1" applyAlignment="1">
      <alignment vertical="center"/>
    </xf>
    <xf numFmtId="0" fontId="34" fillId="0" borderId="29" xfId="5" applyFont="1" applyFill="1" applyBorder="1" applyAlignment="1">
      <alignment vertical="center"/>
    </xf>
    <xf numFmtId="0" fontId="17" fillId="0" borderId="0" xfId="5" applyFont="1" applyFill="1" applyAlignment="1">
      <alignment vertical="center"/>
    </xf>
    <xf numFmtId="0" fontId="17" fillId="0" borderId="0" xfId="5" applyFill="1" applyBorder="1" applyAlignment="1">
      <alignment horizontal="center" vertical="center"/>
    </xf>
    <xf numFmtId="0" fontId="34" fillId="0" borderId="0" xfId="5" applyFont="1" applyFill="1" applyAlignment="1">
      <alignment vertical="center"/>
    </xf>
    <xf numFmtId="49" fontId="38" fillId="2" borderId="1" xfId="0" applyNumberFormat="1" applyFont="1" applyFill="1" applyBorder="1" applyAlignment="1">
      <alignment horizontal="left"/>
    </xf>
    <xf numFmtId="166" fontId="38" fillId="2" borderId="1" xfId="0" applyNumberFormat="1" applyFont="1" applyFill="1" applyBorder="1" applyAlignment="1">
      <alignment horizontal="right"/>
    </xf>
    <xf numFmtId="49" fontId="39" fillId="2" borderId="0" xfId="0" applyNumberFormat="1" applyFont="1" applyFill="1" applyAlignment="1">
      <alignment horizontal="left"/>
    </xf>
    <xf numFmtId="0" fontId="40" fillId="0" borderId="0" xfId="6" applyNumberFormat="1" applyFont="1" applyFill="1" applyBorder="1" applyAlignment="1">
      <alignment vertical="center"/>
    </xf>
    <xf numFmtId="0" fontId="29" fillId="0" borderId="0" xfId="6" applyNumberFormat="1" applyFont="1" applyFill="1"/>
    <xf numFmtId="0" fontId="30" fillId="0" borderId="29" xfId="6" applyNumberFormat="1" applyFont="1" applyFill="1" applyBorder="1" applyAlignment="1">
      <alignment horizontal="center" vertical="center"/>
    </xf>
    <xf numFmtId="0" fontId="30" fillId="0" borderId="29" xfId="6" applyNumberFormat="1" applyFont="1" applyFill="1" applyBorder="1" applyAlignment="1">
      <alignment horizontal="center" vertical="center" wrapText="1"/>
    </xf>
    <xf numFmtId="0" fontId="30" fillId="0" borderId="34" xfId="6" applyNumberFormat="1" applyFont="1" applyFill="1" applyBorder="1" applyAlignment="1">
      <alignment horizontal="center" vertical="center"/>
    </xf>
    <xf numFmtId="0" fontId="29" fillId="0" borderId="29" xfId="6" applyNumberFormat="1" applyFont="1" applyFill="1" applyBorder="1"/>
    <xf numFmtId="1" fontId="29" fillId="0" borderId="29" xfId="6" applyNumberFormat="1" applyFont="1" applyFill="1" applyBorder="1"/>
    <xf numFmtId="1" fontId="41" fillId="0" borderId="34" xfId="6" applyNumberFormat="1" applyFont="1" applyFill="1" applyBorder="1" applyAlignment="1">
      <alignment horizontal="right" vertical="center"/>
    </xf>
    <xf numFmtId="1" fontId="29" fillId="0" borderId="0" xfId="6" applyNumberFormat="1" applyFont="1" applyFill="1"/>
    <xf numFmtId="1" fontId="41" fillId="0" borderId="29" xfId="6" applyNumberFormat="1" applyFont="1" applyFill="1" applyBorder="1" applyAlignment="1">
      <alignment horizontal="right" vertical="center"/>
    </xf>
    <xf numFmtId="1" fontId="29" fillId="0" borderId="34" xfId="6" applyNumberFormat="1" applyFont="1" applyFill="1" applyBorder="1"/>
    <xf numFmtId="0" fontId="29" fillId="4" borderId="29" xfId="6" applyNumberFormat="1" applyFont="1" applyFill="1" applyBorder="1"/>
    <xf numFmtId="0" fontId="29" fillId="4" borderId="36" xfId="6" applyNumberFormat="1" applyFont="1" applyFill="1" applyBorder="1"/>
    <xf numFmtId="1" fontId="41" fillId="0" borderId="36" xfId="6" applyNumberFormat="1" applyFont="1" applyFill="1" applyBorder="1" applyAlignment="1">
      <alignment horizontal="right" vertical="center"/>
    </xf>
    <xf numFmtId="1" fontId="41" fillId="0" borderId="37" xfId="6" applyNumberFormat="1" applyFont="1" applyFill="1" applyBorder="1" applyAlignment="1">
      <alignment horizontal="right" vertical="center"/>
    </xf>
    <xf numFmtId="0" fontId="42" fillId="0" borderId="25" xfId="6" applyNumberFormat="1" applyFont="1" applyFill="1" applyBorder="1"/>
    <xf numFmtId="0" fontId="42" fillId="0" borderId="0" xfId="6" applyNumberFormat="1" applyFont="1" applyFill="1"/>
    <xf numFmtId="0" fontId="30" fillId="0" borderId="0" xfId="6" applyNumberFormat="1" applyFont="1" applyFill="1"/>
    <xf numFmtId="0" fontId="19" fillId="0" borderId="0" xfId="6" applyNumberFormat="1" applyFont="1"/>
    <xf numFmtId="0" fontId="29" fillId="0" borderId="0" xfId="6" applyNumberFormat="1" applyFont="1"/>
    <xf numFmtId="184" fontId="43" fillId="6" borderId="33" xfId="7" applyNumberFormat="1" applyFont="1" applyFill="1" applyBorder="1" applyAlignment="1">
      <alignment horizontal="center" vertical="center" wrapText="1"/>
    </xf>
    <xf numFmtId="184" fontId="43" fillId="6" borderId="29" xfId="8" applyNumberFormat="1" applyFont="1" applyFill="1" applyBorder="1" applyAlignment="1">
      <alignment horizontal="center" vertical="top" wrapText="1"/>
    </xf>
    <xf numFmtId="184" fontId="43" fillId="6" borderId="34" xfId="8" applyNumberFormat="1" applyFont="1" applyFill="1" applyBorder="1" applyAlignment="1">
      <alignment horizontal="center" vertical="top" wrapText="1"/>
    </xf>
    <xf numFmtId="186" fontId="43" fillId="2" borderId="29" xfId="6" applyNumberFormat="1" applyFont="1" applyFill="1" applyBorder="1" applyAlignment="1">
      <alignment horizontal="left"/>
    </xf>
    <xf numFmtId="3" fontId="43" fillId="0" borderId="20" xfId="1" applyNumberFormat="1" applyFont="1" applyFill="1" applyBorder="1" applyAlignment="1">
      <alignment horizontal="right" wrapText="1"/>
    </xf>
    <xf numFmtId="10" fontId="30" fillId="0" borderId="0" xfId="9" applyNumberFormat="1" applyFont="1"/>
    <xf numFmtId="190" fontId="30" fillId="0" borderId="0" xfId="6" applyNumberFormat="1" applyFont="1"/>
    <xf numFmtId="0" fontId="30" fillId="0" borderId="0" xfId="6" applyNumberFormat="1" applyFont="1"/>
    <xf numFmtId="186" fontId="41" fillId="2" borderId="29" xfId="6" applyNumberFormat="1" applyFont="1" applyFill="1" applyBorder="1" applyAlignment="1">
      <alignment horizontal="left"/>
    </xf>
    <xf numFmtId="3" fontId="41" fillId="0" borderId="29" xfId="1" applyNumberFormat="1" applyFont="1" applyFill="1" applyBorder="1" applyAlignment="1">
      <alignment horizontal="right" wrapText="1"/>
    </xf>
    <xf numFmtId="184" fontId="44" fillId="0" borderId="0" xfId="6" applyFont="1"/>
    <xf numFmtId="3" fontId="41" fillId="0" borderId="0" xfId="1" applyNumberFormat="1" applyFont="1" applyFill="1" applyBorder="1" applyAlignment="1">
      <alignment horizontal="right" wrapText="1"/>
    </xf>
    <xf numFmtId="0" fontId="42" fillId="0" borderId="0" xfId="6" applyNumberFormat="1" applyFont="1"/>
    <xf numFmtId="0" fontId="45" fillId="0" borderId="0" xfId="6" applyNumberFormat="1" applyFont="1"/>
    <xf numFmtId="3" fontId="46" fillId="0" borderId="0" xfId="1" applyNumberFormat="1" applyFont="1" applyFill="1" applyBorder="1" applyAlignment="1">
      <alignment horizontal="right" wrapText="1"/>
    </xf>
    <xf numFmtId="0" fontId="29" fillId="0" borderId="0" xfId="6" applyNumberFormat="1" applyFont="1" applyAlignment="1">
      <alignment horizontal="center"/>
    </xf>
    <xf numFmtId="0" fontId="30" fillId="7" borderId="29" xfId="6" applyNumberFormat="1" applyFont="1" applyFill="1" applyBorder="1" applyAlignment="1">
      <alignment vertical="center" wrapText="1"/>
    </xf>
    <xf numFmtId="0" fontId="30" fillId="7" borderId="23" xfId="6" applyNumberFormat="1" applyFont="1" applyFill="1" applyBorder="1" applyAlignment="1">
      <alignment vertical="center" wrapText="1"/>
    </xf>
    <xf numFmtId="0" fontId="30" fillId="7" borderId="29" xfId="6" applyNumberFormat="1" applyFont="1" applyFill="1" applyBorder="1" applyAlignment="1">
      <alignment horizontal="center" vertical="center" wrapText="1"/>
    </xf>
    <xf numFmtId="186" fontId="43" fillId="0" borderId="29" xfId="6" applyNumberFormat="1" applyFont="1" applyFill="1" applyBorder="1" applyAlignment="1">
      <alignment horizontal="left"/>
    </xf>
    <xf numFmtId="185" fontId="49" fillId="0" borderId="29" xfId="3" applyNumberFormat="1" applyFont="1" applyFill="1" applyBorder="1" applyAlignment="1">
      <alignment horizontal="right" vertical="top"/>
    </xf>
    <xf numFmtId="186" fontId="41" fillId="0" borderId="29" xfId="6" applyNumberFormat="1" applyFont="1" applyFill="1" applyBorder="1" applyAlignment="1">
      <alignment horizontal="left"/>
    </xf>
    <xf numFmtId="185" fontId="46" fillId="4" borderId="29" xfId="3" applyNumberFormat="1" applyFont="1" applyFill="1" applyBorder="1" applyAlignment="1">
      <alignment horizontal="right" vertical="top"/>
    </xf>
    <xf numFmtId="191" fontId="46" fillId="4" borderId="29" xfId="10" applyNumberFormat="1" applyFont="1" applyFill="1" applyBorder="1" applyAlignment="1">
      <alignment horizontal="right" vertical="top"/>
    </xf>
    <xf numFmtId="0" fontId="43" fillId="7" borderId="29" xfId="11" applyFont="1" applyFill="1" applyBorder="1" applyAlignment="1">
      <alignment horizontal="center" vertical="center" wrapText="1"/>
    </xf>
    <xf numFmtId="2" fontId="29" fillId="0" borderId="0" xfId="6" applyNumberFormat="1" applyFont="1"/>
    <xf numFmtId="192" fontId="29" fillId="0" borderId="0" xfId="6" applyNumberFormat="1" applyFont="1"/>
    <xf numFmtId="185" fontId="29" fillId="0" borderId="0" xfId="6" applyNumberFormat="1" applyFont="1"/>
    <xf numFmtId="191" fontId="29" fillId="0" borderId="0" xfId="10" applyNumberFormat="1" applyFont="1"/>
    <xf numFmtId="1" fontId="29" fillId="0" borderId="0" xfId="6" applyNumberFormat="1" applyFont="1"/>
    <xf numFmtId="191" fontId="29" fillId="0" borderId="0" xfId="6" applyNumberFormat="1" applyFont="1"/>
    <xf numFmtId="191" fontId="50" fillId="0" borderId="0" xfId="6" applyNumberFormat="1" applyFont="1"/>
    <xf numFmtId="193" fontId="50" fillId="0" borderId="0" xfId="6" applyNumberFormat="1" applyFont="1"/>
    <xf numFmtId="1" fontId="50" fillId="8" borderId="0" xfId="6" applyNumberFormat="1" applyFont="1" applyFill="1"/>
    <xf numFmtId="0" fontId="29" fillId="0" borderId="0" xfId="6" quotePrefix="1" applyNumberFormat="1" applyFont="1"/>
    <xf numFmtId="0" fontId="30" fillId="7" borderId="23" xfId="6" applyNumberFormat="1" applyFont="1" applyFill="1" applyBorder="1" applyAlignment="1">
      <alignment horizontal="center" vertical="center" wrapText="1"/>
    </xf>
    <xf numFmtId="0" fontId="43" fillId="7" borderId="28" xfId="11" applyFont="1" applyFill="1" applyBorder="1" applyAlignment="1">
      <alignment horizontal="center" vertical="center" wrapText="1"/>
    </xf>
    <xf numFmtId="0" fontId="30" fillId="0" borderId="29" xfId="6" applyNumberFormat="1" applyFont="1" applyBorder="1" applyAlignment="1">
      <alignment vertical="center" wrapText="1"/>
    </xf>
    <xf numFmtId="185" fontId="43" fillId="4" borderId="29" xfId="3" applyNumberFormat="1" applyFont="1" applyFill="1" applyBorder="1" applyAlignment="1">
      <alignment horizontal="right" vertical="top"/>
    </xf>
    <xf numFmtId="191" fontId="43" fillId="4" borderId="29" xfId="10" applyNumberFormat="1" applyFont="1" applyFill="1" applyBorder="1" applyAlignment="1">
      <alignment horizontal="right" vertical="top"/>
    </xf>
    <xf numFmtId="185" fontId="43" fillId="0" borderId="29" xfId="3" applyNumberFormat="1" applyFont="1" applyFill="1" applyBorder="1" applyAlignment="1">
      <alignment horizontal="right" vertical="top"/>
    </xf>
    <xf numFmtId="185" fontId="43" fillId="0" borderId="29" xfId="3" applyNumberFormat="1" applyFont="1" applyFill="1" applyBorder="1" applyAlignment="1">
      <alignment horizontal="right"/>
    </xf>
    <xf numFmtId="194" fontId="43" fillId="0" borderId="29" xfId="3" applyNumberFormat="1" applyFont="1" applyFill="1" applyBorder="1" applyAlignment="1">
      <alignment horizontal="right"/>
    </xf>
    <xf numFmtId="194" fontId="43" fillId="0" borderId="29" xfId="3" applyNumberFormat="1" applyFont="1" applyFill="1" applyBorder="1" applyAlignment="1">
      <alignment horizontal="right" vertical="top"/>
    </xf>
    <xf numFmtId="191" fontId="41" fillId="4" borderId="29" xfId="10" applyNumberFormat="1" applyFont="1" applyFill="1" applyBorder="1" applyAlignment="1">
      <alignment horizontal="right" vertical="top"/>
    </xf>
    <xf numFmtId="185" fontId="41" fillId="0" borderId="29" xfId="3" applyNumberFormat="1" applyFont="1" applyFill="1" applyBorder="1" applyAlignment="1">
      <alignment horizontal="right" vertical="top"/>
    </xf>
    <xf numFmtId="1" fontId="52" fillId="0" borderId="29" xfId="10" applyNumberFormat="1" applyFont="1" applyFill="1" applyBorder="1" applyAlignment="1">
      <alignment vertical="center"/>
    </xf>
    <xf numFmtId="194" fontId="52" fillId="0" borderId="29" xfId="10" applyNumberFormat="1" applyFont="1" applyFill="1" applyBorder="1" applyAlignment="1">
      <alignment horizontal="right" vertical="center"/>
    </xf>
    <xf numFmtId="0" fontId="20" fillId="0" borderId="0" xfId="6" applyNumberFormat="1" applyFont="1"/>
    <xf numFmtId="186" fontId="41" fillId="0" borderId="0" xfId="6" applyNumberFormat="1" applyFont="1" applyFill="1" applyBorder="1" applyAlignment="1">
      <alignment horizontal="left"/>
    </xf>
    <xf numFmtId="0" fontId="30" fillId="0" borderId="0" xfId="6" applyNumberFormat="1" applyFont="1" applyBorder="1" applyAlignment="1">
      <alignment vertical="center" wrapText="1"/>
    </xf>
    <xf numFmtId="188" fontId="30" fillId="0" borderId="0" xfId="6" applyNumberFormat="1" applyFont="1"/>
    <xf numFmtId="195" fontId="29" fillId="0" borderId="0" xfId="6" applyNumberFormat="1" applyFont="1"/>
    <xf numFmtId="184" fontId="42" fillId="0" borderId="0" xfId="6" applyFont="1"/>
    <xf numFmtId="166" fontId="29" fillId="0" borderId="0" xfId="6" applyNumberFormat="1" applyFont="1"/>
    <xf numFmtId="184" fontId="1" fillId="0" borderId="0" xfId="6"/>
    <xf numFmtId="0" fontId="40" fillId="0" borderId="23" xfId="6" applyNumberFormat="1" applyFont="1" applyFill="1" applyBorder="1" applyAlignment="1">
      <alignment vertical="center"/>
    </xf>
    <xf numFmtId="0" fontId="40" fillId="0" borderId="24" xfId="6" applyNumberFormat="1" applyFont="1" applyFill="1" applyBorder="1" applyAlignment="1">
      <alignment vertical="center"/>
    </xf>
    <xf numFmtId="185" fontId="41" fillId="4" borderId="29" xfId="3" applyNumberFormat="1" applyFont="1" applyFill="1" applyBorder="1" applyAlignment="1">
      <alignment horizontal="right" vertical="top"/>
    </xf>
    <xf numFmtId="196" fontId="41" fillId="4" borderId="29" xfId="3" applyNumberFormat="1" applyFont="1" applyFill="1" applyBorder="1" applyAlignment="1">
      <alignment horizontal="right" vertical="top"/>
    </xf>
    <xf numFmtId="17" fontId="41" fillId="0" borderId="0" xfId="11" applyNumberFormat="1" applyFont="1" applyBorder="1" applyAlignment="1">
      <alignment horizontal="left"/>
    </xf>
    <xf numFmtId="0" fontId="30" fillId="0" borderId="0" xfId="6" applyNumberFormat="1" applyFont="1" applyBorder="1"/>
    <xf numFmtId="2" fontId="1" fillId="0" borderId="0" xfId="6" applyNumberFormat="1"/>
    <xf numFmtId="3" fontId="20" fillId="0" borderId="0" xfId="6" applyNumberFormat="1" applyFont="1" applyBorder="1" applyAlignment="1">
      <alignment vertical="center" wrapText="1"/>
    </xf>
    <xf numFmtId="17" fontId="43" fillId="0" borderId="0" xfId="11" applyNumberFormat="1" applyFont="1" applyBorder="1" applyAlignment="1">
      <alignment horizontal="left"/>
    </xf>
    <xf numFmtId="184" fontId="19" fillId="0" borderId="0" xfId="6" applyFont="1"/>
    <xf numFmtId="192" fontId="43" fillId="4" borderId="29" xfId="3" applyNumberFormat="1" applyFont="1" applyFill="1" applyBorder="1" applyAlignment="1">
      <alignment horizontal="right" vertical="top"/>
    </xf>
    <xf numFmtId="187" fontId="41" fillId="4" borderId="29" xfId="3" applyNumberFormat="1" applyFont="1" applyFill="1" applyBorder="1" applyAlignment="1">
      <alignment horizontal="right" vertical="top"/>
    </xf>
    <xf numFmtId="185" fontId="43" fillId="0" borderId="0" xfId="3" applyNumberFormat="1" applyFont="1" applyFill="1" applyBorder="1" applyAlignment="1">
      <alignment horizontal="right" vertical="top"/>
    </xf>
    <xf numFmtId="185" fontId="43" fillId="4" borderId="0" xfId="3" applyNumberFormat="1" applyFont="1" applyFill="1" applyBorder="1" applyAlignment="1">
      <alignment horizontal="right" vertical="top"/>
    </xf>
    <xf numFmtId="185" fontId="41" fillId="4" borderId="0" xfId="3" applyNumberFormat="1" applyFont="1" applyFill="1" applyBorder="1" applyAlignment="1">
      <alignment horizontal="right" vertical="top"/>
    </xf>
    <xf numFmtId="187" fontId="41" fillId="4" borderId="0" xfId="3" applyNumberFormat="1" applyFont="1" applyFill="1" applyBorder="1" applyAlignment="1">
      <alignment horizontal="right" vertical="top"/>
    </xf>
    <xf numFmtId="195" fontId="1" fillId="0" borderId="0" xfId="6" applyNumberFormat="1"/>
    <xf numFmtId="0" fontId="40" fillId="4" borderId="0" xfId="6" applyNumberFormat="1" applyFont="1" applyFill="1" applyBorder="1" applyAlignment="1">
      <alignment horizontal="left" vertical="center"/>
    </xf>
    <xf numFmtId="1" fontId="1" fillId="0" borderId="0" xfId="6" applyNumberFormat="1"/>
    <xf numFmtId="0" fontId="19" fillId="0" borderId="0" xfId="6" applyNumberFormat="1" applyFont="1" applyAlignment="1">
      <alignment horizontal="left"/>
    </xf>
    <xf numFmtId="0" fontId="51" fillId="7" borderId="29" xfId="6" applyNumberFormat="1" applyFont="1" applyFill="1" applyBorder="1" applyAlignment="1">
      <alignment horizontal="center" vertical="center"/>
    </xf>
    <xf numFmtId="1" fontId="30" fillId="0" borderId="29" xfId="6" applyNumberFormat="1" applyFont="1" applyFill="1" applyBorder="1"/>
    <xf numFmtId="1" fontId="43" fillId="4" borderId="29" xfId="3" applyNumberFormat="1" applyFont="1" applyFill="1" applyBorder="1" applyAlignment="1">
      <alignment horizontal="right" vertical="top"/>
    </xf>
    <xf numFmtId="166" fontId="43" fillId="4" borderId="29" xfId="3" applyNumberFormat="1" applyFont="1" applyFill="1" applyBorder="1" applyAlignment="1">
      <alignment horizontal="right" vertical="top"/>
    </xf>
    <xf numFmtId="186" fontId="41" fillId="0" borderId="29" xfId="12" applyNumberFormat="1" applyFont="1" applyFill="1" applyBorder="1" applyAlignment="1">
      <alignment horizontal="left"/>
    </xf>
    <xf numFmtId="1" fontId="29" fillId="4" borderId="29" xfId="6" applyNumberFormat="1" applyFont="1" applyFill="1" applyBorder="1"/>
    <xf numFmtId="1" fontId="41" fillId="4" borderId="29" xfId="3" applyNumberFormat="1" applyFont="1" applyFill="1" applyBorder="1" applyAlignment="1">
      <alignment horizontal="right" vertical="top"/>
    </xf>
    <xf numFmtId="166" fontId="41" fillId="4" borderId="29" xfId="3" applyNumberFormat="1" applyFont="1" applyFill="1" applyBorder="1" applyAlignment="1">
      <alignment horizontal="right" vertical="top"/>
    </xf>
    <xf numFmtId="166" fontId="29" fillId="0" borderId="0" xfId="6" applyNumberFormat="1" applyFont="1" applyBorder="1"/>
    <xf numFmtId="184" fontId="53" fillId="0" borderId="0" xfId="6" applyFont="1"/>
    <xf numFmtId="184" fontId="51" fillId="7" borderId="29" xfId="6" applyFont="1" applyFill="1" applyBorder="1" applyAlignment="1">
      <alignment horizontal="center" vertical="center" wrapText="1"/>
    </xf>
    <xf numFmtId="184" fontId="43" fillId="0" borderId="29" xfId="6" applyFont="1" applyFill="1" applyBorder="1" applyAlignment="1">
      <alignment horizontal="center" vertical="center" wrapText="1"/>
    </xf>
    <xf numFmtId="191" fontId="41" fillId="0" borderId="29" xfId="6" applyNumberFormat="1" applyFont="1" applyFill="1" applyBorder="1" applyAlignment="1">
      <alignment horizontal="center" vertical="center" wrapText="1"/>
    </xf>
    <xf numFmtId="191" fontId="41" fillId="0" borderId="29" xfId="6" applyNumberFormat="1" applyFont="1" applyFill="1" applyBorder="1" applyAlignment="1">
      <alignment horizontal="left" vertical="top" wrapText="1"/>
    </xf>
    <xf numFmtId="197" fontId="29" fillId="0" borderId="29" xfId="10" applyNumberFormat="1" applyFont="1" applyFill="1" applyBorder="1" applyAlignment="1">
      <alignment horizontal="right"/>
    </xf>
    <xf numFmtId="191" fontId="29" fillId="0" borderId="29" xfId="10" applyNumberFormat="1" applyFont="1" applyFill="1" applyBorder="1" applyAlignment="1">
      <alignment horizontal="right"/>
    </xf>
    <xf numFmtId="197" fontId="41" fillId="0" borderId="29" xfId="10" applyNumberFormat="1" applyFont="1" applyFill="1" applyBorder="1" applyAlignment="1">
      <alignment horizontal="right"/>
    </xf>
    <xf numFmtId="191" fontId="41" fillId="0" borderId="29" xfId="10" applyNumberFormat="1" applyFont="1" applyFill="1" applyBorder="1" applyAlignment="1">
      <alignment horizontal="right"/>
    </xf>
    <xf numFmtId="197" fontId="41" fillId="0" borderId="20" xfId="10" applyNumberFormat="1" applyFont="1" applyFill="1" applyBorder="1" applyAlignment="1">
      <alignment horizontal="right" vertical="top"/>
    </xf>
    <xf numFmtId="166" fontId="53" fillId="0" borderId="0" xfId="6" applyNumberFormat="1" applyFont="1"/>
    <xf numFmtId="191" fontId="41" fillId="0" borderId="29" xfId="10" applyNumberFormat="1" applyFont="1" applyFill="1" applyBorder="1" applyAlignment="1">
      <alignment horizontal="right" vertical="top"/>
    </xf>
    <xf numFmtId="191" fontId="43" fillId="0" borderId="29" xfId="6" applyNumberFormat="1" applyFont="1" applyFill="1" applyBorder="1" applyAlignment="1">
      <alignment horizontal="left" vertical="top" wrapText="1"/>
    </xf>
    <xf numFmtId="191" fontId="30" fillId="0" borderId="29" xfId="10" applyNumberFormat="1" applyFont="1" applyFill="1" applyBorder="1" applyAlignment="1">
      <alignment horizontal="right"/>
    </xf>
    <xf numFmtId="191" fontId="43" fillId="0" borderId="29" xfId="6" applyNumberFormat="1" applyFont="1" applyFill="1" applyBorder="1" applyAlignment="1">
      <alignment horizontal="center" vertical="center" wrapText="1"/>
    </xf>
    <xf numFmtId="1" fontId="53" fillId="0" borderId="0" xfId="6" applyNumberFormat="1" applyFont="1"/>
    <xf numFmtId="197" fontId="41" fillId="4" borderId="29" xfId="10" applyNumberFormat="1" applyFont="1" applyFill="1" applyBorder="1" applyAlignment="1">
      <alignment horizontal="right" vertical="top"/>
    </xf>
    <xf numFmtId="197" fontId="41" fillId="0" borderId="29" xfId="10" applyNumberFormat="1" applyFont="1" applyFill="1" applyBorder="1" applyAlignment="1">
      <alignment horizontal="right" vertical="top"/>
    </xf>
    <xf numFmtId="191" fontId="41" fillId="4" borderId="29" xfId="10" applyNumberFormat="1" applyFont="1" applyFill="1" applyBorder="1" applyAlignment="1">
      <alignment vertical="center"/>
    </xf>
    <xf numFmtId="191" fontId="29" fillId="0" borderId="29" xfId="10" applyNumberFormat="1" applyFont="1" applyFill="1" applyBorder="1" applyAlignment="1">
      <alignment vertical="center"/>
    </xf>
    <xf numFmtId="191" fontId="41" fillId="0" borderId="29" xfId="10" applyNumberFormat="1" applyFont="1" applyFill="1" applyBorder="1" applyAlignment="1">
      <alignment vertical="center"/>
    </xf>
    <xf numFmtId="184" fontId="43" fillId="0" borderId="29" xfId="6" applyFont="1" applyFill="1" applyBorder="1" applyAlignment="1">
      <alignment horizontal="center" vertical="top" wrapText="1"/>
    </xf>
    <xf numFmtId="197" fontId="41" fillId="0" borderId="29" xfId="6" applyNumberFormat="1" applyFont="1" applyFill="1" applyBorder="1" applyAlignment="1">
      <alignment horizontal="center" vertical="center" wrapText="1"/>
    </xf>
    <xf numFmtId="197" fontId="25" fillId="0" borderId="29" xfId="6" applyNumberFormat="1" applyFont="1" applyFill="1" applyBorder="1" applyAlignment="1">
      <alignment horizontal="left" vertical="top" wrapText="1"/>
    </xf>
    <xf numFmtId="197" fontId="29" fillId="0" borderId="29" xfId="10" quotePrefix="1" applyNumberFormat="1" applyFont="1" applyFill="1" applyBorder="1" applyAlignment="1">
      <alignment horizontal="right"/>
    </xf>
    <xf numFmtId="166" fontId="29" fillId="0" borderId="29" xfId="10" applyNumberFormat="1" applyFont="1" applyFill="1" applyBorder="1" applyAlignment="1">
      <alignment horizontal="right"/>
    </xf>
    <xf numFmtId="197" fontId="43" fillId="0" borderId="29" xfId="6" applyNumberFormat="1" applyFont="1" applyFill="1" applyBorder="1" applyAlignment="1">
      <alignment horizontal="center" vertical="top" wrapText="1"/>
    </xf>
    <xf numFmtId="197" fontId="43" fillId="0" borderId="29" xfId="6" applyNumberFormat="1" applyFont="1" applyFill="1" applyBorder="1" applyAlignment="1">
      <alignment horizontal="left" vertical="top" wrapText="1"/>
    </xf>
    <xf numFmtId="197" fontId="43" fillId="4" borderId="29" xfId="10" applyNumberFormat="1" applyFont="1" applyFill="1" applyBorder="1" applyAlignment="1">
      <alignment horizontal="right" vertical="top"/>
    </xf>
    <xf numFmtId="197" fontId="41" fillId="0" borderId="29" xfId="6" applyNumberFormat="1" applyFont="1" applyFill="1" applyBorder="1" applyAlignment="1">
      <alignment horizontal="left" vertical="top" wrapText="1"/>
    </xf>
    <xf numFmtId="197" fontId="30" fillId="0" borderId="29" xfId="10" quotePrefix="1" applyNumberFormat="1" applyFont="1" applyFill="1" applyBorder="1" applyAlignment="1">
      <alignment horizontal="right"/>
    </xf>
    <xf numFmtId="184" fontId="29" fillId="0" borderId="0" xfId="6" applyFont="1" applyFill="1"/>
    <xf numFmtId="184" fontId="43" fillId="0" borderId="0" xfId="6" applyFont="1" applyFill="1" applyBorder="1" applyAlignment="1">
      <alignment horizontal="center" vertical="top" wrapText="1"/>
    </xf>
    <xf numFmtId="197" fontId="43" fillId="0" borderId="0" xfId="10" applyNumberFormat="1" applyFont="1" applyFill="1" applyBorder="1" applyAlignment="1">
      <alignment horizontal="right" vertical="top"/>
    </xf>
    <xf numFmtId="2" fontId="53" fillId="0" borderId="0" xfId="6" applyNumberFormat="1" applyFont="1"/>
    <xf numFmtId="184" fontId="53" fillId="0" borderId="0" xfId="6" applyFont="1" applyFill="1"/>
    <xf numFmtId="2" fontId="55" fillId="8" borderId="0" xfId="6" applyNumberFormat="1" applyFont="1" applyFill="1"/>
    <xf numFmtId="2" fontId="56" fillId="0" borderId="0" xfId="6" applyNumberFormat="1" applyFont="1" applyFill="1"/>
    <xf numFmtId="184" fontId="53" fillId="8" borderId="0" xfId="6" applyFont="1" applyFill="1"/>
    <xf numFmtId="191" fontId="41" fillId="0" borderId="29" xfId="6" applyNumberFormat="1" applyFont="1" applyFill="1" applyBorder="1" applyAlignment="1">
      <alignment horizontal="center" vertical="top" wrapText="1"/>
    </xf>
    <xf numFmtId="164" fontId="29" fillId="0" borderId="29" xfId="10" applyNumberFormat="1" applyFont="1" applyFill="1" applyBorder="1" applyAlignment="1">
      <alignment horizontal="right"/>
    </xf>
    <xf numFmtId="166" fontId="29" fillId="0" borderId="29" xfId="9" applyNumberFormat="1" applyFont="1" applyFill="1" applyBorder="1" applyAlignment="1">
      <alignment horizontal="right"/>
    </xf>
    <xf numFmtId="166" fontId="57" fillId="0" borderId="29" xfId="9" applyNumberFormat="1" applyFont="1" applyFill="1" applyBorder="1" applyAlignment="1">
      <alignment horizontal="right"/>
    </xf>
    <xf numFmtId="191" fontId="53" fillId="0" borderId="29" xfId="10" applyNumberFormat="1" applyFont="1" applyFill="1" applyBorder="1" applyAlignment="1">
      <alignment horizontal="right"/>
    </xf>
    <xf numFmtId="191" fontId="53" fillId="0" borderId="29" xfId="6" applyNumberFormat="1" applyFont="1" applyFill="1" applyBorder="1"/>
    <xf numFmtId="191" fontId="41" fillId="0" borderId="29" xfId="6" applyNumberFormat="1" applyFont="1" applyFill="1" applyBorder="1" applyAlignment="1">
      <alignment horizontal="right" vertical="top" wrapText="1"/>
    </xf>
    <xf numFmtId="166" fontId="30" fillId="0" borderId="29" xfId="10" applyNumberFormat="1" applyFont="1" applyFill="1" applyBorder="1" applyAlignment="1">
      <alignment horizontal="right"/>
    </xf>
    <xf numFmtId="184" fontId="30" fillId="0" borderId="0" xfId="6" applyFont="1" applyFill="1"/>
    <xf numFmtId="184" fontId="58" fillId="0" borderId="0" xfId="6" applyFont="1" applyFill="1"/>
    <xf numFmtId="0" fontId="40" fillId="0" borderId="38" xfId="6" applyNumberFormat="1" applyFont="1" applyFill="1" applyBorder="1" applyAlignment="1">
      <alignment vertical="center"/>
    </xf>
    <xf numFmtId="184" fontId="51" fillId="0" borderId="23" xfId="6" applyFont="1" applyFill="1" applyBorder="1" applyAlignment="1">
      <alignment horizontal="center" vertical="center" wrapText="1"/>
    </xf>
    <xf numFmtId="0" fontId="30" fillId="0" borderId="23" xfId="6" applyNumberFormat="1" applyFont="1" applyFill="1" applyBorder="1" applyAlignment="1">
      <alignment horizontal="center" vertical="center" wrapText="1"/>
    </xf>
    <xf numFmtId="184" fontId="51" fillId="0" borderId="18" xfId="6" applyFont="1" applyFill="1" applyBorder="1" applyAlignment="1">
      <alignment horizontal="right" vertical="top"/>
    </xf>
    <xf numFmtId="197" fontId="52" fillId="0" borderId="45" xfId="6" applyNumberFormat="1" applyFont="1" applyFill="1" applyBorder="1" applyAlignment="1">
      <alignment horizontal="left" vertical="top"/>
    </xf>
    <xf numFmtId="0" fontId="52" fillId="0" borderId="45" xfId="6" applyNumberFormat="1" applyFont="1" applyFill="1" applyBorder="1" applyAlignment="1">
      <alignment horizontal="right" vertical="top"/>
    </xf>
    <xf numFmtId="1" fontId="52" fillId="0" borderId="45" xfId="6" applyNumberFormat="1" applyFont="1" applyFill="1" applyBorder="1" applyAlignment="1">
      <alignment horizontal="right" vertical="top"/>
    </xf>
    <xf numFmtId="164" fontId="41" fillId="0" borderId="29" xfId="10" applyNumberFormat="1" applyFont="1" applyFill="1" applyBorder="1" applyAlignment="1">
      <alignment horizontal="right" vertical="top"/>
    </xf>
    <xf numFmtId="197" fontId="52" fillId="0" borderId="38" xfId="6" applyNumberFormat="1" applyFont="1" applyFill="1" applyBorder="1" applyAlignment="1">
      <alignment horizontal="left" vertical="top"/>
    </xf>
    <xf numFmtId="198" fontId="41" fillId="0" borderId="29" xfId="10" applyNumberFormat="1" applyFont="1" applyFill="1" applyBorder="1" applyAlignment="1">
      <alignment horizontal="right" vertical="top"/>
    </xf>
    <xf numFmtId="197" fontId="51" fillId="0" borderId="38" xfId="6" applyNumberFormat="1" applyFont="1" applyFill="1" applyBorder="1" applyAlignment="1">
      <alignment horizontal="left" vertical="top"/>
    </xf>
    <xf numFmtId="191" fontId="43" fillId="0" borderId="29" xfId="10" applyNumberFormat="1" applyFont="1" applyFill="1" applyBorder="1" applyAlignment="1">
      <alignment horizontal="right" vertical="top"/>
    </xf>
    <xf numFmtId="0" fontId="53" fillId="0" borderId="0" xfId="6" applyNumberFormat="1" applyFont="1" applyFill="1"/>
    <xf numFmtId="184" fontId="51" fillId="0" borderId="45" xfId="6" applyFont="1" applyFill="1" applyBorder="1" applyAlignment="1">
      <alignment horizontal="right" vertical="top"/>
    </xf>
    <xf numFmtId="197" fontId="52" fillId="0" borderId="29" xfId="6" applyNumberFormat="1" applyFont="1" applyFill="1" applyBorder="1" applyAlignment="1">
      <alignment horizontal="left" vertical="top"/>
    </xf>
    <xf numFmtId="1" fontId="52" fillId="0" borderId="29" xfId="6" applyNumberFormat="1" applyFont="1" applyFill="1" applyBorder="1" applyAlignment="1">
      <alignment horizontal="right" vertical="top"/>
    </xf>
    <xf numFmtId="191" fontId="52" fillId="0" borderId="38" xfId="6" applyNumberFormat="1" applyFont="1" applyFill="1" applyBorder="1" applyAlignment="1">
      <alignment horizontal="right" vertical="top"/>
    </xf>
    <xf numFmtId="191" fontId="52" fillId="0" borderId="45" xfId="6" applyNumberFormat="1" applyFont="1" applyFill="1" applyBorder="1" applyAlignment="1">
      <alignment horizontal="right" vertical="top"/>
    </xf>
    <xf numFmtId="197" fontId="52" fillId="0" borderId="46" xfId="6" applyNumberFormat="1" applyFont="1" applyFill="1" applyBorder="1" applyAlignment="1">
      <alignment horizontal="right" vertical="top"/>
    </xf>
    <xf numFmtId="197" fontId="52" fillId="0" borderId="45" xfId="6" applyNumberFormat="1" applyFont="1" applyFill="1" applyBorder="1" applyAlignment="1">
      <alignment horizontal="right" vertical="top"/>
    </xf>
    <xf numFmtId="1" fontId="29" fillId="0" borderId="29" xfId="10" quotePrefix="1" applyNumberFormat="1" applyFont="1" applyFill="1" applyBorder="1" applyAlignment="1">
      <alignment horizontal="right"/>
    </xf>
    <xf numFmtId="166" fontId="29" fillId="0" borderId="20" xfId="10" quotePrefix="1" applyNumberFormat="1" applyFont="1" applyFill="1" applyBorder="1" applyAlignment="1">
      <alignment horizontal="right"/>
    </xf>
    <xf numFmtId="166" fontId="52" fillId="0" borderId="45" xfId="6" applyNumberFormat="1" applyFont="1" applyFill="1" applyBorder="1" applyAlignment="1">
      <alignment horizontal="right" vertical="top"/>
    </xf>
    <xf numFmtId="1" fontId="29" fillId="0" borderId="38" xfId="10" quotePrefix="1" applyNumberFormat="1" applyFont="1" applyFill="1" applyBorder="1" applyAlignment="1">
      <alignment horizontal="right"/>
    </xf>
    <xf numFmtId="2" fontId="52" fillId="0" borderId="45" xfId="6" applyNumberFormat="1" applyFont="1" applyFill="1" applyBorder="1" applyAlignment="1">
      <alignment horizontal="right" vertical="top"/>
    </xf>
    <xf numFmtId="164" fontId="52" fillId="0" borderId="46" xfId="6" applyNumberFormat="1" applyFont="1" applyFill="1" applyBorder="1" applyAlignment="1">
      <alignment horizontal="right" vertical="top"/>
    </xf>
    <xf numFmtId="191" fontId="29" fillId="0" borderId="38" xfId="10" quotePrefix="1" applyNumberFormat="1" applyFont="1" applyFill="1" applyBorder="1" applyAlignment="1">
      <alignment horizontal="right"/>
    </xf>
    <xf numFmtId="191" fontId="52" fillId="0" borderId="45" xfId="10" applyNumberFormat="1" applyFont="1" applyFill="1" applyBorder="1" applyAlignment="1">
      <alignment horizontal="right" vertical="top"/>
    </xf>
    <xf numFmtId="197" fontId="51" fillId="0" borderId="45" xfId="6" applyNumberFormat="1" applyFont="1" applyFill="1" applyBorder="1" applyAlignment="1">
      <alignment horizontal="left" vertical="top"/>
    </xf>
    <xf numFmtId="191" fontId="51" fillId="0" borderId="45" xfId="6" applyNumberFormat="1" applyFont="1" applyFill="1" applyBorder="1" applyAlignment="1">
      <alignment horizontal="right" vertical="top"/>
    </xf>
    <xf numFmtId="184" fontId="52" fillId="0" borderId="29" xfId="6" applyFont="1" applyFill="1" applyBorder="1" applyAlignment="1">
      <alignment horizontal="left" vertical="top"/>
    </xf>
    <xf numFmtId="197" fontId="41" fillId="0" borderId="29" xfId="6" applyNumberFormat="1" applyFont="1" applyFill="1" applyBorder="1" applyAlignment="1">
      <alignment horizontal="right" vertical="top" wrapText="1"/>
    </xf>
    <xf numFmtId="197" fontId="43" fillId="0" borderId="29" xfId="13" applyNumberFormat="1" applyFont="1" applyFill="1" applyBorder="1" applyAlignment="1" applyProtection="1"/>
    <xf numFmtId="197" fontId="43" fillId="0" borderId="29" xfId="10" applyNumberFormat="1" applyFont="1" applyFill="1" applyBorder="1" applyAlignment="1">
      <alignment horizontal="right" vertical="top"/>
    </xf>
    <xf numFmtId="164" fontId="52" fillId="0" borderId="45" xfId="6" applyNumberFormat="1" applyFont="1" applyFill="1" applyBorder="1" applyAlignment="1">
      <alignment horizontal="right" vertical="top"/>
    </xf>
    <xf numFmtId="184" fontId="52" fillId="0" borderId="29" xfId="6" applyFont="1" applyBorder="1" applyAlignment="1">
      <alignment horizontal="left" vertical="top"/>
    </xf>
    <xf numFmtId="197" fontId="51" fillId="0" borderId="45" xfId="6" applyNumberFormat="1" applyFont="1" applyFill="1" applyBorder="1" applyAlignment="1">
      <alignment horizontal="right" vertical="top"/>
    </xf>
    <xf numFmtId="197" fontId="52" fillId="0" borderId="0" xfId="6" applyNumberFormat="1" applyFont="1" applyFill="1" applyBorder="1" applyAlignment="1">
      <alignment horizontal="right" vertical="top"/>
    </xf>
    <xf numFmtId="0" fontId="29" fillId="0" borderId="0" xfId="6" applyNumberFormat="1" applyFont="1" applyFill="1" applyAlignment="1">
      <alignment horizontal="left" wrapText="1"/>
    </xf>
    <xf numFmtId="191" fontId="52" fillId="0" borderId="0" xfId="6" applyNumberFormat="1" applyFont="1" applyFill="1" applyBorder="1" applyAlignment="1">
      <alignment horizontal="right" vertical="top"/>
    </xf>
    <xf numFmtId="199" fontId="53" fillId="0" borderId="0" xfId="6" applyNumberFormat="1" applyFont="1" applyFill="1"/>
    <xf numFmtId="195" fontId="53" fillId="0" borderId="0" xfId="6" applyNumberFormat="1" applyFont="1" applyFill="1"/>
    <xf numFmtId="49" fontId="59" fillId="2" borderId="1" xfId="0" applyNumberFormat="1" applyFont="1" applyFill="1" applyBorder="1" applyAlignment="1">
      <alignment horizontal="left" vertical="center"/>
    </xf>
    <xf numFmtId="172" fontId="60" fillId="2" borderId="1" xfId="0" applyNumberFormat="1" applyFont="1" applyFill="1" applyBorder="1" applyAlignment="1">
      <alignment horizontal="right"/>
    </xf>
    <xf numFmtId="165" fontId="60" fillId="2" borderId="1" xfId="0" applyNumberFormat="1" applyFont="1" applyFill="1" applyBorder="1" applyAlignment="1">
      <alignment horizontal="right"/>
    </xf>
    <xf numFmtId="3" fontId="60" fillId="2" borderId="1" xfId="0" applyNumberFormat="1" applyFont="1" applyFill="1" applyBorder="1" applyAlignment="1">
      <alignment horizontal="right"/>
    </xf>
    <xf numFmtId="49" fontId="2" fillId="2" borderId="0" xfId="0" applyNumberFormat="1" applyFont="1" applyFill="1" applyAlignment="1">
      <alignment horizontal="left"/>
    </xf>
    <xf numFmtId="49" fontId="7" fillId="2" borderId="0" xfId="0" applyNumberFormat="1" applyFont="1" applyFill="1" applyAlignment="1">
      <alignment horizontal="left"/>
    </xf>
    <xf numFmtId="49" fontId="3" fillId="2" borderId="0" xfId="0" applyNumberFormat="1" applyFont="1" applyFill="1" applyAlignment="1">
      <alignment horizontal="left"/>
    </xf>
    <xf numFmtId="49" fontId="2" fillId="2" borderId="0" xfId="0" applyNumberFormat="1" applyFont="1" applyFill="1" applyAlignment="1">
      <alignment horizontal="left" vertical="center"/>
    </xf>
    <xf numFmtId="49" fontId="2" fillId="2" borderId="7" xfId="0" applyNumberFormat="1" applyFont="1" applyFill="1" applyBorder="1" applyAlignment="1">
      <alignment horizontal="center" vertical="center" wrapText="1"/>
    </xf>
    <xf numFmtId="49" fontId="2" fillId="2" borderId="9" xfId="0" applyNumberFormat="1" applyFont="1" applyFill="1" applyBorder="1" applyAlignment="1">
      <alignment horizontal="center" vertical="center" wrapText="1"/>
    </xf>
    <xf numFmtId="49" fontId="2" fillId="2" borderId="4" xfId="0" applyNumberFormat="1" applyFont="1" applyFill="1" applyBorder="1" applyAlignment="1">
      <alignment horizontal="center" vertical="center" wrapText="1"/>
    </xf>
    <xf numFmtId="49" fontId="2" fillId="2" borderId="10" xfId="0" applyNumberFormat="1"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9" xfId="0" applyFont="1" applyFill="1" applyBorder="1" applyAlignment="1">
      <alignment horizontal="center" vertical="center" wrapText="1"/>
    </xf>
    <xf numFmtId="49" fontId="8" fillId="2" borderId="7" xfId="0" applyNumberFormat="1" applyFont="1" applyFill="1" applyBorder="1" applyAlignment="1">
      <alignment horizontal="center" vertical="center" wrapText="1"/>
    </xf>
    <xf numFmtId="49" fontId="8" fillId="2" borderId="9" xfId="0" applyNumberFormat="1" applyFont="1" applyFill="1" applyBorder="1" applyAlignment="1">
      <alignment horizontal="center" vertical="center" wrapText="1"/>
    </xf>
    <xf numFmtId="49" fontId="2" fillId="2" borderId="7" xfId="0" applyNumberFormat="1" applyFont="1" applyFill="1" applyBorder="1" applyAlignment="1">
      <alignment horizontal="center" vertical="center"/>
    </xf>
    <xf numFmtId="49" fontId="2" fillId="2" borderId="8" xfId="0" applyNumberFormat="1" applyFont="1" applyFill="1" applyBorder="1" applyAlignment="1">
      <alignment horizontal="center" vertical="center"/>
    </xf>
    <xf numFmtId="49" fontId="2" fillId="2" borderId="9" xfId="0" applyNumberFormat="1" applyFont="1" applyFill="1" applyBorder="1" applyAlignment="1">
      <alignment horizontal="center" vertical="center"/>
    </xf>
    <xf numFmtId="49" fontId="2" fillId="2" borderId="4" xfId="0" applyNumberFormat="1" applyFont="1" applyFill="1" applyBorder="1" applyAlignment="1">
      <alignment horizontal="center" wrapText="1"/>
    </xf>
    <xf numFmtId="49" fontId="2" fillId="2" borderId="11" xfId="0" applyNumberFormat="1" applyFont="1" applyFill="1" applyBorder="1" applyAlignment="1">
      <alignment horizontal="center" wrapText="1"/>
    </xf>
    <xf numFmtId="49" fontId="2" fillId="2" borderId="10" xfId="0" applyNumberFormat="1" applyFont="1" applyFill="1" applyBorder="1" applyAlignment="1">
      <alignment horizontal="center" wrapText="1"/>
    </xf>
    <xf numFmtId="49" fontId="2" fillId="2" borderId="4" xfId="0" applyNumberFormat="1" applyFont="1" applyFill="1" applyBorder="1" applyAlignment="1">
      <alignment horizontal="center"/>
    </xf>
    <xf numFmtId="49" fontId="2" fillId="2" borderId="10" xfId="0" applyNumberFormat="1" applyFont="1" applyFill="1" applyBorder="1" applyAlignment="1">
      <alignment horizontal="center"/>
    </xf>
    <xf numFmtId="0" fontId="2" fillId="2" borderId="4" xfId="0" applyFont="1" applyFill="1" applyBorder="1" applyAlignment="1">
      <alignment horizontal="center" vertical="center" wrapText="1"/>
    </xf>
    <xf numFmtId="0" fontId="2" fillId="2" borderId="10" xfId="0" applyFont="1" applyFill="1" applyBorder="1" applyAlignment="1">
      <alignment horizontal="center" vertical="center" wrapText="1"/>
    </xf>
    <xf numFmtId="49" fontId="3" fillId="2" borderId="0" xfId="0" applyNumberFormat="1" applyFont="1" applyFill="1" applyAlignment="1">
      <alignment horizontal="left" wrapText="1"/>
    </xf>
    <xf numFmtId="0" fontId="3" fillId="2" borderId="0" xfId="0" applyFont="1" applyFill="1" applyAlignment="1">
      <alignment horizontal="left" wrapText="1"/>
    </xf>
    <xf numFmtId="49" fontId="2" fillId="2" borderId="4" xfId="0" applyNumberFormat="1" applyFont="1" applyFill="1" applyBorder="1" applyAlignment="1">
      <alignment horizontal="center" vertical="center"/>
    </xf>
    <xf numFmtId="49" fontId="2" fillId="2" borderId="11" xfId="0" applyNumberFormat="1" applyFont="1" applyFill="1" applyBorder="1" applyAlignment="1">
      <alignment horizontal="center" vertical="center"/>
    </xf>
    <xf numFmtId="49" fontId="2" fillId="2" borderId="10" xfId="0" applyNumberFormat="1" applyFont="1" applyFill="1" applyBorder="1" applyAlignment="1">
      <alignment horizontal="center" vertical="center"/>
    </xf>
    <xf numFmtId="49" fontId="2" fillId="2" borderId="12" xfId="0" applyNumberFormat="1" applyFont="1" applyFill="1" applyBorder="1" applyAlignment="1">
      <alignment horizontal="center" vertical="center"/>
    </xf>
    <xf numFmtId="49" fontId="2" fillId="2" borderId="3" xfId="0" applyNumberFormat="1" applyFont="1" applyFill="1" applyBorder="1" applyAlignment="1">
      <alignment horizontal="center" vertical="center"/>
    </xf>
    <xf numFmtId="49" fontId="2" fillId="2" borderId="13" xfId="0" applyNumberFormat="1" applyFont="1" applyFill="1" applyBorder="1" applyAlignment="1">
      <alignment horizontal="center" vertical="center"/>
    </xf>
    <xf numFmtId="49" fontId="2" fillId="2" borderId="6" xfId="0" applyNumberFormat="1" applyFont="1" applyFill="1" applyBorder="1" applyAlignment="1">
      <alignment horizontal="center" vertical="center"/>
    </xf>
    <xf numFmtId="49" fontId="2" fillId="2" borderId="0" xfId="0" applyNumberFormat="1" applyFont="1" applyFill="1" applyAlignment="1">
      <alignment horizontal="left" wrapText="1"/>
    </xf>
    <xf numFmtId="49" fontId="2" fillId="2" borderId="14" xfId="0" applyNumberFormat="1" applyFont="1" applyFill="1" applyBorder="1" applyAlignment="1">
      <alignment horizontal="center" vertical="center"/>
    </xf>
    <xf numFmtId="49" fontId="2" fillId="2" borderId="5" xfId="0" applyNumberFormat="1" applyFont="1" applyFill="1" applyBorder="1" applyAlignment="1">
      <alignment horizontal="center" vertical="center"/>
    </xf>
    <xf numFmtId="49" fontId="2" fillId="2" borderId="0" xfId="0" applyNumberFormat="1" applyFont="1" applyFill="1" applyAlignment="1">
      <alignment horizontal="left" vertical="top"/>
    </xf>
    <xf numFmtId="49" fontId="3" fillId="2" borderId="4"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2" fillId="2" borderId="0" xfId="0" applyNumberFormat="1" applyFont="1" applyFill="1" applyAlignment="1">
      <alignment horizontal="left" vertical="top" wrapText="1"/>
    </xf>
    <xf numFmtId="49" fontId="2" fillId="2" borderId="7" xfId="0" applyNumberFormat="1" applyFont="1" applyFill="1" applyBorder="1" applyAlignment="1">
      <alignment horizontal="center"/>
    </xf>
    <xf numFmtId="49" fontId="2" fillId="2" borderId="9" xfId="0" applyNumberFormat="1" applyFont="1" applyFill="1" applyBorder="1" applyAlignment="1">
      <alignment horizontal="center"/>
    </xf>
    <xf numFmtId="172" fontId="4" fillId="2" borderId="4" xfId="0" applyNumberFormat="1" applyFont="1" applyFill="1" applyBorder="1" applyAlignment="1">
      <alignment horizontal="right"/>
    </xf>
    <xf numFmtId="172" fontId="4" fillId="2" borderId="10" xfId="0" applyNumberFormat="1" applyFont="1" applyFill="1" applyBorder="1" applyAlignment="1">
      <alignment horizontal="right"/>
    </xf>
    <xf numFmtId="49" fontId="2" fillId="2" borderId="11" xfId="0" applyNumberFormat="1" applyFont="1" applyFill="1" applyBorder="1" applyAlignment="1">
      <alignment horizontal="center"/>
    </xf>
    <xf numFmtId="49" fontId="8" fillId="2" borderId="4" xfId="0" applyNumberFormat="1" applyFont="1" applyFill="1" applyBorder="1" applyAlignment="1">
      <alignment horizontal="center" wrapText="1"/>
    </xf>
    <xf numFmtId="49" fontId="8" fillId="2" borderId="10" xfId="0" applyNumberFormat="1" applyFont="1" applyFill="1" applyBorder="1" applyAlignment="1">
      <alignment horizontal="center" wrapText="1"/>
    </xf>
    <xf numFmtId="49" fontId="2" fillId="2" borderId="7" xfId="0" applyNumberFormat="1" applyFont="1" applyFill="1" applyBorder="1" applyAlignment="1">
      <alignment horizontal="right"/>
    </xf>
    <xf numFmtId="49" fontId="2" fillId="2" borderId="9" xfId="0" applyNumberFormat="1" applyFont="1" applyFill="1" applyBorder="1" applyAlignment="1">
      <alignment horizontal="right"/>
    </xf>
    <xf numFmtId="49" fontId="8" fillId="2" borderId="0" xfId="0" applyNumberFormat="1" applyFont="1" applyFill="1" applyAlignment="1">
      <alignment horizontal="left" vertical="top" wrapText="1"/>
    </xf>
    <xf numFmtId="49" fontId="9" fillId="2" borderId="7" xfId="0" applyNumberFormat="1" applyFont="1" applyFill="1" applyBorder="1" applyAlignment="1">
      <alignment horizontal="center" vertical="center" wrapText="1"/>
    </xf>
    <xf numFmtId="49" fontId="9" fillId="2" borderId="9" xfId="0" applyNumberFormat="1" applyFont="1" applyFill="1" applyBorder="1" applyAlignment="1">
      <alignment horizontal="center" vertical="center" wrapText="1"/>
    </xf>
    <xf numFmtId="49" fontId="3" fillId="2" borderId="7" xfId="0" applyNumberFormat="1" applyFont="1" applyFill="1" applyBorder="1" applyAlignment="1">
      <alignment horizontal="center" vertical="center" wrapText="1"/>
    </xf>
    <xf numFmtId="49" fontId="3" fillId="2" borderId="9"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49" fontId="3" fillId="2" borderId="11" xfId="0" applyNumberFormat="1" applyFont="1" applyFill="1" applyBorder="1" applyAlignment="1">
      <alignment horizontal="center" vertical="center" wrapText="1"/>
    </xf>
    <xf numFmtId="49" fontId="3" fillId="2" borderId="10" xfId="0" applyNumberFormat="1" applyFont="1" applyFill="1" applyBorder="1" applyAlignment="1">
      <alignment horizontal="center" vertical="center" wrapText="1"/>
    </xf>
    <xf numFmtId="49" fontId="2" fillId="2" borderId="11" xfId="0" applyNumberFormat="1" applyFont="1" applyFill="1" applyBorder="1" applyAlignment="1">
      <alignment horizontal="center" vertical="center" wrapText="1"/>
    </xf>
    <xf numFmtId="49" fontId="3" fillId="2" borderId="15" xfId="0" applyNumberFormat="1" applyFont="1" applyFill="1" applyBorder="1" applyAlignment="1">
      <alignment horizontal="left" wrapText="1"/>
    </xf>
    <xf numFmtId="49" fontId="3" fillId="2" borderId="16" xfId="0" applyNumberFormat="1" applyFont="1" applyFill="1" applyBorder="1" applyAlignment="1">
      <alignment horizontal="left" wrapText="1"/>
    </xf>
    <xf numFmtId="49" fontId="3" fillId="2" borderId="17" xfId="0" applyNumberFormat="1" applyFont="1" applyFill="1" applyBorder="1" applyAlignment="1">
      <alignment horizontal="left" wrapText="1"/>
    </xf>
    <xf numFmtId="49" fontId="3" fillId="2" borderId="7" xfId="0" applyNumberFormat="1" applyFont="1" applyFill="1" applyBorder="1" applyAlignment="1">
      <alignment horizontal="center" vertical="top"/>
    </xf>
    <xf numFmtId="49" fontId="3" fillId="2" borderId="9" xfId="0" applyNumberFormat="1" applyFont="1" applyFill="1" applyBorder="1" applyAlignment="1">
      <alignment horizontal="center" vertical="top"/>
    </xf>
    <xf numFmtId="49" fontId="3" fillId="2" borderId="4" xfId="0" applyNumberFormat="1" applyFont="1" applyFill="1" applyBorder="1" applyAlignment="1">
      <alignment horizontal="center"/>
    </xf>
    <xf numFmtId="49" fontId="3" fillId="2" borderId="11" xfId="0" applyNumberFormat="1" applyFont="1" applyFill="1" applyBorder="1" applyAlignment="1">
      <alignment horizontal="center"/>
    </xf>
    <xf numFmtId="49" fontId="3" fillId="2" borderId="10" xfId="0" applyNumberFormat="1" applyFont="1" applyFill="1" applyBorder="1" applyAlignment="1">
      <alignment horizontal="center"/>
    </xf>
    <xf numFmtId="49" fontId="3" fillId="2" borderId="15" xfId="0" applyNumberFormat="1" applyFont="1" applyFill="1" applyBorder="1" applyAlignment="1">
      <alignment horizontal="left"/>
    </xf>
    <xf numFmtId="49" fontId="3" fillId="2" borderId="16" xfId="0" applyNumberFormat="1" applyFont="1" applyFill="1" applyBorder="1" applyAlignment="1">
      <alignment horizontal="left"/>
    </xf>
    <xf numFmtId="49" fontId="3" fillId="2" borderId="17" xfId="0" applyNumberFormat="1" applyFont="1" applyFill="1" applyBorder="1" applyAlignment="1">
      <alignment horizontal="left"/>
    </xf>
    <xf numFmtId="49" fontId="3" fillId="2" borderId="0" xfId="0" applyNumberFormat="1" applyFont="1" applyFill="1" applyAlignment="1">
      <alignment horizontal="left" vertical="center"/>
    </xf>
    <xf numFmtId="49" fontId="11" fillId="2" borderId="0" xfId="0" applyNumberFormat="1" applyFont="1" applyFill="1" applyAlignment="1">
      <alignment horizontal="left"/>
    </xf>
    <xf numFmtId="49" fontId="3" fillId="2" borderId="0" xfId="0" applyNumberFormat="1" applyFont="1" applyFill="1" applyAlignment="1">
      <alignment horizontal="left" vertical="center" wrapText="1"/>
    </xf>
    <xf numFmtId="49" fontId="2" fillId="2" borderId="8" xfId="0" applyNumberFormat="1" applyFont="1" applyFill="1" applyBorder="1" applyAlignment="1">
      <alignment horizontal="center" vertical="center" wrapText="1"/>
    </xf>
    <xf numFmtId="49" fontId="2" fillId="2" borderId="12"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49" fontId="2" fillId="2" borderId="13" xfId="0" applyNumberFormat="1" applyFont="1" applyFill="1" applyBorder="1" applyAlignment="1">
      <alignment horizontal="center" vertical="center" wrapText="1"/>
    </xf>
    <xf numFmtId="49" fontId="2" fillId="2" borderId="6"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9" xfId="0" applyFont="1" applyFill="1" applyBorder="1" applyAlignment="1">
      <alignment horizontal="center" vertical="center" wrapText="1"/>
    </xf>
    <xf numFmtId="49" fontId="8" fillId="2" borderId="0" xfId="0" applyNumberFormat="1" applyFont="1" applyFill="1" applyAlignment="1">
      <alignment horizontal="left" vertical="top"/>
    </xf>
    <xf numFmtId="49" fontId="12" fillId="2" borderId="0" xfId="0" applyNumberFormat="1" applyFont="1" applyFill="1" applyAlignment="1">
      <alignment horizontal="left" vertical="top"/>
    </xf>
    <xf numFmtId="49" fontId="2" fillId="2" borderId="1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13" xfId="0" applyNumberFormat="1" applyFont="1" applyFill="1" applyBorder="1" applyAlignment="1">
      <alignment horizontal="center"/>
    </xf>
    <xf numFmtId="49" fontId="2" fillId="2" borderId="6" xfId="0" applyNumberFormat="1" applyFont="1" applyFill="1" applyBorder="1" applyAlignment="1">
      <alignment horizontal="center"/>
    </xf>
    <xf numFmtId="49" fontId="2" fillId="2" borderId="12" xfId="0" applyNumberFormat="1" applyFont="1" applyFill="1" applyBorder="1" applyAlignment="1">
      <alignment horizontal="center" wrapText="1"/>
    </xf>
    <xf numFmtId="49" fontId="2" fillId="2" borderId="3" xfId="0" applyNumberFormat="1" applyFont="1" applyFill="1" applyBorder="1" applyAlignment="1">
      <alignment horizontal="center" wrapText="1"/>
    </xf>
    <xf numFmtId="49" fontId="2" fillId="2" borderId="13" xfId="0" applyNumberFormat="1" applyFont="1" applyFill="1" applyBorder="1" applyAlignment="1">
      <alignment horizontal="center" wrapText="1"/>
    </xf>
    <xf numFmtId="49" fontId="2" fillId="2" borderId="6" xfId="0" applyNumberFormat="1" applyFont="1" applyFill="1" applyBorder="1" applyAlignment="1">
      <alignment horizontal="center" wrapText="1"/>
    </xf>
    <xf numFmtId="0" fontId="3" fillId="2" borderId="7"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9" xfId="0" applyFont="1" applyFill="1" applyBorder="1" applyAlignment="1">
      <alignment horizontal="center" vertical="center" wrapText="1"/>
    </xf>
    <xf numFmtId="49" fontId="3" fillId="2" borderId="8" xfId="0" applyNumberFormat="1" applyFont="1" applyFill="1" applyBorder="1" applyAlignment="1">
      <alignment horizontal="center" vertical="center" wrapText="1"/>
    </xf>
    <xf numFmtId="49" fontId="3" fillId="2" borderId="11" xfId="0" applyNumberFormat="1"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10" xfId="0" applyFont="1" applyFill="1" applyBorder="1" applyAlignment="1">
      <alignment horizontal="center" vertical="center" wrapText="1"/>
    </xf>
    <xf numFmtId="49" fontId="9" fillId="2" borderId="0" xfId="0" applyNumberFormat="1" applyFont="1" applyFill="1" applyAlignment="1">
      <alignment horizontal="center" vertical="center" wrapText="1"/>
    </xf>
    <xf numFmtId="49" fontId="3" fillId="2" borderId="2" xfId="0" applyNumberFormat="1"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49" fontId="8" fillId="2" borderId="4" xfId="0" applyNumberFormat="1" applyFont="1" applyFill="1" applyBorder="1" applyAlignment="1">
      <alignment horizontal="center"/>
    </xf>
    <xf numFmtId="49" fontId="8" fillId="2" borderId="11" xfId="0" applyNumberFormat="1" applyFont="1" applyFill="1" applyBorder="1" applyAlignment="1">
      <alignment horizontal="center"/>
    </xf>
    <xf numFmtId="49" fontId="8" fillId="2" borderId="10" xfId="0" applyNumberFormat="1" applyFont="1" applyFill="1" applyBorder="1" applyAlignment="1">
      <alignment horizontal="center"/>
    </xf>
    <xf numFmtId="0" fontId="2" fillId="2" borderId="4" xfId="0" applyFont="1" applyFill="1" applyBorder="1" applyAlignment="1">
      <alignment horizontal="center" wrapText="1"/>
    </xf>
    <xf numFmtId="0" fontId="2" fillId="2" borderId="11" xfId="0" applyFont="1" applyFill="1" applyBorder="1" applyAlignment="1">
      <alignment horizontal="center" wrapText="1"/>
    </xf>
    <xf numFmtId="0" fontId="2" fillId="2" borderId="10" xfId="0" applyFont="1" applyFill="1" applyBorder="1" applyAlignment="1">
      <alignment horizontal="center" wrapText="1"/>
    </xf>
    <xf numFmtId="49" fontId="8" fillId="2" borderId="0" xfId="0" applyNumberFormat="1" applyFont="1" applyFill="1" applyAlignment="1">
      <alignment horizontal="left"/>
    </xf>
    <xf numFmtId="0" fontId="36" fillId="0" borderId="0" xfId="5" applyFont="1" applyFill="1" applyAlignment="1">
      <alignment horizontal="left" vertical="center"/>
    </xf>
    <xf numFmtId="49" fontId="37" fillId="2" borderId="0" xfId="0" applyNumberFormat="1" applyFont="1" applyFill="1" applyAlignment="1">
      <alignment horizontal="left"/>
    </xf>
    <xf numFmtId="49" fontId="8" fillId="2" borderId="0" xfId="0" applyNumberFormat="1" applyFont="1" applyFill="1" applyAlignment="1">
      <alignment horizontal="left" vertical="center"/>
    </xf>
    <xf numFmtId="172" fontId="4" fillId="2" borderId="7" xfId="0" applyNumberFormat="1" applyFont="1" applyFill="1" applyBorder="1" applyAlignment="1">
      <alignment horizontal="center"/>
    </xf>
    <xf numFmtId="172" fontId="4" fillId="2" borderId="8" xfId="0" applyNumberFormat="1" applyFont="1" applyFill="1" applyBorder="1" applyAlignment="1">
      <alignment horizontal="center"/>
    </xf>
    <xf numFmtId="172" fontId="4" fillId="2" borderId="9" xfId="0" applyNumberFormat="1" applyFont="1" applyFill="1" applyBorder="1" applyAlignment="1">
      <alignment horizontal="center"/>
    </xf>
    <xf numFmtId="177" fontId="6" fillId="2" borderId="4" xfId="0" applyNumberFormat="1" applyFont="1" applyFill="1" applyBorder="1" applyAlignment="1">
      <alignment horizontal="right"/>
    </xf>
    <xf numFmtId="177" fontId="6" fillId="2" borderId="10" xfId="0" applyNumberFormat="1" applyFont="1" applyFill="1" applyBorder="1" applyAlignment="1">
      <alignment horizontal="right"/>
    </xf>
    <xf numFmtId="49" fontId="3" fillId="2" borderId="12" xfId="0" applyNumberFormat="1" applyFont="1" applyFill="1" applyBorder="1" applyAlignment="1">
      <alignment horizontal="center" vertical="center"/>
    </xf>
    <xf numFmtId="49" fontId="3" fillId="2" borderId="13" xfId="0" applyNumberFormat="1" applyFont="1" applyFill="1" applyBorder="1" applyAlignment="1">
      <alignment horizontal="center" vertical="center"/>
    </xf>
    <xf numFmtId="0" fontId="3" fillId="2" borderId="0" xfId="0" applyFont="1" applyFill="1" applyAlignment="1">
      <alignment horizontal="left"/>
    </xf>
    <xf numFmtId="49" fontId="3" fillId="2" borderId="4" xfId="0" applyNumberFormat="1" applyFont="1" applyFill="1" applyBorder="1" applyAlignment="1">
      <alignment horizontal="left" vertical="center"/>
    </xf>
    <xf numFmtId="49" fontId="3" fillId="2" borderId="11" xfId="0" applyNumberFormat="1" applyFont="1" applyFill="1" applyBorder="1" applyAlignment="1">
      <alignment horizontal="left" vertical="center"/>
    </xf>
    <xf numFmtId="49" fontId="3" fillId="2" borderId="10" xfId="0" applyNumberFormat="1" applyFont="1" applyFill="1" applyBorder="1" applyAlignment="1">
      <alignment horizontal="left" vertical="center"/>
    </xf>
    <xf numFmtId="0" fontId="30" fillId="4" borderId="33" xfId="6" applyNumberFormat="1" applyFont="1" applyFill="1" applyBorder="1" applyAlignment="1">
      <alignment horizontal="left" vertical="center" wrapText="1"/>
    </xf>
    <xf numFmtId="0" fontId="30" fillId="4" borderId="35" xfId="6" applyNumberFormat="1" applyFont="1" applyFill="1" applyBorder="1" applyAlignment="1">
      <alignment horizontal="left" vertical="center" wrapText="1"/>
    </xf>
    <xf numFmtId="0" fontId="30" fillId="0" borderId="30" xfId="6" applyNumberFormat="1" applyFont="1" applyFill="1" applyBorder="1" applyAlignment="1">
      <alignment horizontal="center" vertical="center"/>
    </xf>
    <xf numFmtId="0" fontId="30" fillId="0" borderId="33" xfId="6" applyNumberFormat="1" applyFont="1" applyFill="1" applyBorder="1" applyAlignment="1">
      <alignment horizontal="center" vertical="center"/>
    </xf>
    <xf numFmtId="0" fontId="30" fillId="0" borderId="31" xfId="6" applyNumberFormat="1" applyFont="1" applyFill="1" applyBorder="1" applyAlignment="1">
      <alignment horizontal="center" vertical="center"/>
    </xf>
    <xf numFmtId="0" fontId="30" fillId="0" borderId="29" xfId="6" applyNumberFormat="1" applyFont="1" applyFill="1" applyBorder="1" applyAlignment="1">
      <alignment horizontal="center" vertical="center"/>
    </xf>
    <xf numFmtId="0" fontId="40" fillId="0" borderId="31" xfId="6" applyNumberFormat="1" applyFont="1" applyFill="1" applyBorder="1" applyAlignment="1">
      <alignment horizontal="center" vertical="center"/>
    </xf>
    <xf numFmtId="0" fontId="40" fillId="0" borderId="32" xfId="6" applyNumberFormat="1" applyFont="1" applyFill="1" applyBorder="1" applyAlignment="1">
      <alignment horizontal="center" vertical="center"/>
    </xf>
    <xf numFmtId="0" fontId="30" fillId="0" borderId="33" xfId="6" applyNumberFormat="1" applyFont="1" applyFill="1" applyBorder="1" applyAlignment="1">
      <alignment horizontal="left" vertical="center" wrapText="1"/>
    </xf>
    <xf numFmtId="0" fontId="40" fillId="4" borderId="38" xfId="6" applyNumberFormat="1" applyFont="1" applyFill="1" applyBorder="1" applyAlignment="1">
      <alignment horizontal="left" vertical="center"/>
    </xf>
    <xf numFmtId="0" fontId="30" fillId="5" borderId="39" xfId="6" applyNumberFormat="1" applyFont="1" applyFill="1" applyBorder="1" applyAlignment="1">
      <alignment horizontal="center" vertical="center" wrapText="1"/>
    </xf>
    <xf numFmtId="0" fontId="30" fillId="5" borderId="43" xfId="6" applyNumberFormat="1" applyFont="1" applyFill="1" applyBorder="1" applyAlignment="1">
      <alignment horizontal="center" vertical="center" wrapText="1"/>
    </xf>
    <xf numFmtId="0" fontId="30" fillId="5" borderId="40" xfId="6" applyNumberFormat="1" applyFont="1" applyFill="1" applyBorder="1" applyAlignment="1">
      <alignment horizontal="center" vertical="center"/>
    </xf>
    <xf numFmtId="0" fontId="30" fillId="5" borderId="41" xfId="6" applyNumberFormat="1" applyFont="1" applyFill="1" applyBorder="1" applyAlignment="1">
      <alignment horizontal="center" vertical="center"/>
    </xf>
    <xf numFmtId="0" fontId="30" fillId="5" borderId="42" xfId="6" applyNumberFormat="1" applyFont="1" applyFill="1" applyBorder="1" applyAlignment="1">
      <alignment horizontal="center" vertical="center"/>
    </xf>
    <xf numFmtId="0" fontId="42" fillId="0" borderId="0" xfId="6" applyNumberFormat="1" applyFont="1" applyBorder="1" applyAlignment="1">
      <alignment horizontal="left" vertical="top"/>
    </xf>
    <xf numFmtId="0" fontId="43" fillId="7" borderId="29" xfId="11" applyFont="1" applyFill="1" applyBorder="1" applyAlignment="1">
      <alignment horizontal="center" vertical="center"/>
    </xf>
    <xf numFmtId="0" fontId="30" fillId="0" borderId="29" xfId="6" applyNumberFormat="1" applyFont="1" applyBorder="1" applyAlignment="1">
      <alignment horizontal="center"/>
    </xf>
    <xf numFmtId="0" fontId="43" fillId="7" borderId="29" xfId="11" applyFont="1" applyFill="1" applyBorder="1" applyAlignment="1">
      <alignment horizontal="center" vertical="center" wrapText="1"/>
    </xf>
    <xf numFmtId="184" fontId="43" fillId="7" borderId="29" xfId="6" applyFont="1" applyFill="1" applyBorder="1" applyAlignment="1">
      <alignment horizontal="center" vertical="center" wrapText="1"/>
    </xf>
    <xf numFmtId="0" fontId="43" fillId="7" borderId="23" xfId="11" applyFont="1" applyFill="1" applyBorder="1" applyAlignment="1">
      <alignment horizontal="center" vertical="center" wrapText="1"/>
    </xf>
    <xf numFmtId="0" fontId="43" fillId="7" borderId="28" xfId="11" applyFont="1" applyFill="1" applyBorder="1" applyAlignment="1">
      <alignment horizontal="center" vertical="center" wrapText="1"/>
    </xf>
    <xf numFmtId="0" fontId="30" fillId="7" borderId="23" xfId="6" applyNumberFormat="1" applyFont="1" applyFill="1" applyBorder="1" applyAlignment="1">
      <alignment horizontal="center" vertical="center" wrapText="1"/>
    </xf>
    <xf numFmtId="0" fontId="30" fillId="7" borderId="28" xfId="6" applyNumberFormat="1" applyFont="1" applyFill="1" applyBorder="1" applyAlignment="1">
      <alignment horizontal="center" vertical="center" wrapText="1"/>
    </xf>
    <xf numFmtId="0" fontId="40" fillId="4" borderId="0" xfId="6" applyNumberFormat="1" applyFont="1" applyFill="1" applyBorder="1" applyAlignment="1">
      <alignment horizontal="left" vertical="center"/>
    </xf>
    <xf numFmtId="0" fontId="40" fillId="4" borderId="29" xfId="6" applyNumberFormat="1" applyFont="1" applyFill="1" applyBorder="1" applyAlignment="1">
      <alignment horizontal="center" vertical="center"/>
    </xf>
    <xf numFmtId="0" fontId="30" fillId="7" borderId="24" xfId="6" applyNumberFormat="1" applyFont="1" applyFill="1" applyBorder="1" applyAlignment="1">
      <alignment horizontal="center" vertical="center" wrapText="1"/>
    </xf>
    <xf numFmtId="0" fontId="30" fillId="7" borderId="21" xfId="6" applyNumberFormat="1" applyFont="1" applyFill="1" applyBorder="1" applyAlignment="1">
      <alignment horizontal="center" vertical="center" wrapText="1"/>
    </xf>
    <xf numFmtId="0" fontId="30" fillId="7" borderId="22" xfId="6" applyNumberFormat="1" applyFont="1" applyFill="1" applyBorder="1" applyAlignment="1">
      <alignment horizontal="center" vertical="center" wrapText="1"/>
    </xf>
    <xf numFmtId="0" fontId="30" fillId="7" borderId="29" xfId="6" applyNumberFormat="1" applyFont="1" applyFill="1" applyBorder="1" applyAlignment="1">
      <alignment horizontal="center" vertical="center" wrapText="1"/>
    </xf>
    <xf numFmtId="0" fontId="30" fillId="7" borderId="18" xfId="6" applyNumberFormat="1" applyFont="1" applyFill="1" applyBorder="1" applyAlignment="1">
      <alignment horizontal="center" vertical="center" wrapText="1"/>
    </xf>
    <xf numFmtId="0" fontId="30" fillId="7" borderId="20" xfId="6" applyNumberFormat="1" applyFont="1" applyFill="1" applyBorder="1" applyAlignment="1">
      <alignment horizontal="center" vertical="center" wrapText="1"/>
    </xf>
    <xf numFmtId="0" fontId="43" fillId="7" borderId="18" xfId="11" applyFont="1" applyFill="1" applyBorder="1" applyAlignment="1">
      <alignment horizontal="center" vertical="center"/>
    </xf>
    <xf numFmtId="0" fontId="43" fillId="7" borderId="20" xfId="11" applyFont="1" applyFill="1" applyBorder="1" applyAlignment="1">
      <alignment horizontal="center" vertical="center"/>
    </xf>
    <xf numFmtId="0" fontId="43" fillId="7" borderId="18" xfId="11" applyFont="1" applyFill="1" applyBorder="1" applyAlignment="1">
      <alignment horizontal="center" vertical="center" wrapText="1"/>
    </xf>
    <xf numFmtId="0" fontId="43" fillId="7" borderId="20" xfId="11" applyFont="1" applyFill="1" applyBorder="1" applyAlignment="1">
      <alignment horizontal="center" vertical="center" wrapText="1"/>
    </xf>
    <xf numFmtId="0" fontId="30" fillId="7" borderId="0" xfId="6" applyNumberFormat="1" applyFont="1" applyFill="1" applyBorder="1" applyAlignment="1">
      <alignment horizontal="center" vertical="center" wrapText="1"/>
    </xf>
    <xf numFmtId="0" fontId="30" fillId="7" borderId="38" xfId="6" applyNumberFormat="1" applyFont="1" applyFill="1" applyBorder="1" applyAlignment="1">
      <alignment horizontal="center" vertical="center" wrapText="1"/>
    </xf>
    <xf numFmtId="0" fontId="30" fillId="7" borderId="29" xfId="6" applyNumberFormat="1" applyFont="1" applyFill="1" applyBorder="1" applyAlignment="1">
      <alignment horizontal="center"/>
    </xf>
    <xf numFmtId="184" fontId="19" fillId="0" borderId="0" xfId="6" applyFont="1" applyAlignment="1">
      <alignment horizontal="left" wrapText="1"/>
    </xf>
    <xf numFmtId="0" fontId="30" fillId="7" borderId="19" xfId="6" applyNumberFormat="1" applyFont="1" applyFill="1" applyBorder="1" applyAlignment="1">
      <alignment horizontal="center" vertical="center" wrapText="1"/>
    </xf>
    <xf numFmtId="184" fontId="29" fillId="0" borderId="0" xfId="6" applyFont="1" applyFill="1" applyAlignment="1">
      <alignment horizontal="left"/>
    </xf>
    <xf numFmtId="0" fontId="42" fillId="0" borderId="0" xfId="6" applyNumberFormat="1" applyFont="1" applyFill="1" applyBorder="1" applyAlignment="1">
      <alignment horizontal="left" vertical="top"/>
    </xf>
    <xf numFmtId="0" fontId="30" fillId="7" borderId="18" xfId="6" applyNumberFormat="1" applyFont="1" applyFill="1" applyBorder="1" applyAlignment="1">
      <alignment horizontal="center"/>
    </xf>
    <xf numFmtId="0" fontId="30" fillId="7" borderId="19" xfId="6" applyNumberFormat="1" applyFont="1" applyFill="1" applyBorder="1" applyAlignment="1">
      <alignment horizontal="center"/>
    </xf>
    <xf numFmtId="0" fontId="51" fillId="7" borderId="18" xfId="6" applyNumberFormat="1" applyFont="1" applyFill="1" applyBorder="1" applyAlignment="1">
      <alignment horizontal="center" vertical="center"/>
    </xf>
    <xf numFmtId="0" fontId="51" fillId="7" borderId="20" xfId="6" applyNumberFormat="1" applyFont="1" applyFill="1" applyBorder="1" applyAlignment="1">
      <alignment horizontal="center" vertical="center"/>
    </xf>
    <xf numFmtId="0" fontId="51" fillId="7" borderId="19" xfId="6" applyNumberFormat="1" applyFont="1" applyFill="1" applyBorder="1" applyAlignment="1">
      <alignment horizontal="center" vertical="center"/>
    </xf>
    <xf numFmtId="0" fontId="51" fillId="7" borderId="23" xfId="6" applyNumberFormat="1" applyFont="1" applyFill="1" applyBorder="1" applyAlignment="1">
      <alignment horizontal="center" vertical="center" wrapText="1"/>
    </xf>
    <xf numFmtId="0" fontId="51" fillId="7" borderId="26" xfId="6" applyNumberFormat="1" applyFont="1" applyFill="1" applyBorder="1" applyAlignment="1">
      <alignment horizontal="center" vertical="center" wrapText="1"/>
    </xf>
    <xf numFmtId="0" fontId="51" fillId="7" borderId="28" xfId="6" applyNumberFormat="1" applyFont="1" applyFill="1" applyBorder="1" applyAlignment="1">
      <alignment horizontal="center" vertical="center" wrapText="1"/>
    </xf>
    <xf numFmtId="0" fontId="30" fillId="7" borderId="20" xfId="6" applyNumberFormat="1" applyFont="1" applyFill="1" applyBorder="1" applyAlignment="1">
      <alignment horizontal="center"/>
    </xf>
    <xf numFmtId="184" fontId="29" fillId="0" borderId="0" xfId="6" applyFont="1" applyAlignment="1">
      <alignment horizontal="left"/>
    </xf>
    <xf numFmtId="184" fontId="54" fillId="0" borderId="29" xfId="6" applyFont="1" applyFill="1" applyBorder="1" applyAlignment="1">
      <alignment horizontal="center" vertical="top" wrapText="1"/>
    </xf>
    <xf numFmtId="184" fontId="43" fillId="0" borderId="18" xfId="6" applyFont="1" applyFill="1" applyBorder="1" applyAlignment="1">
      <alignment horizontal="left" vertical="top" wrapText="1"/>
    </xf>
    <xf numFmtId="184" fontId="43" fillId="0" borderId="19" xfId="6" applyFont="1" applyFill="1" applyBorder="1" applyAlignment="1">
      <alignment horizontal="left" vertical="top" wrapText="1"/>
    </xf>
    <xf numFmtId="184" fontId="43" fillId="0" borderId="20" xfId="6" applyFont="1" applyFill="1" applyBorder="1" applyAlignment="1">
      <alignment horizontal="left" vertical="top" wrapText="1"/>
    </xf>
    <xf numFmtId="191" fontId="43" fillId="0" borderId="18" xfId="6" applyNumberFormat="1" applyFont="1" applyFill="1" applyBorder="1" applyAlignment="1">
      <alignment horizontal="left" vertical="top" wrapText="1"/>
    </xf>
    <xf numFmtId="191" fontId="43" fillId="0" borderId="19" xfId="6" applyNumberFormat="1" applyFont="1" applyFill="1" applyBorder="1" applyAlignment="1">
      <alignment horizontal="left" vertical="top" wrapText="1"/>
    </xf>
    <xf numFmtId="191" fontId="43" fillId="0" borderId="20" xfId="6" applyNumberFormat="1" applyFont="1" applyFill="1" applyBorder="1" applyAlignment="1">
      <alignment horizontal="left" vertical="top" wrapText="1"/>
    </xf>
    <xf numFmtId="191" fontId="43" fillId="0" borderId="29" xfId="6" applyNumberFormat="1" applyFont="1" applyFill="1" applyBorder="1" applyAlignment="1">
      <alignment horizontal="left" vertical="top" wrapText="1"/>
    </xf>
    <xf numFmtId="197" fontId="43" fillId="0" borderId="18" xfId="6" applyNumberFormat="1" applyFont="1" applyFill="1" applyBorder="1" applyAlignment="1">
      <alignment horizontal="left" vertical="top" wrapText="1"/>
    </xf>
    <xf numFmtId="197" fontId="43" fillId="0" borderId="19" xfId="6" applyNumberFormat="1" applyFont="1" applyFill="1" applyBorder="1" applyAlignment="1">
      <alignment horizontal="left" vertical="top" wrapText="1"/>
    </xf>
    <xf numFmtId="197" fontId="43" fillId="0" borderId="20" xfId="6" applyNumberFormat="1" applyFont="1" applyFill="1" applyBorder="1" applyAlignment="1">
      <alignment horizontal="left" vertical="top" wrapText="1"/>
    </xf>
    <xf numFmtId="197" fontId="43" fillId="0" borderId="29" xfId="6" applyNumberFormat="1" applyFont="1" applyFill="1" applyBorder="1" applyAlignment="1">
      <alignment horizontal="left" vertical="top" wrapText="1"/>
    </xf>
    <xf numFmtId="0" fontId="40" fillId="0" borderId="0" xfId="6" applyNumberFormat="1" applyFont="1" applyFill="1" applyBorder="1" applyAlignment="1">
      <alignment horizontal="left" vertical="center"/>
    </xf>
    <xf numFmtId="184" fontId="43" fillId="7" borderId="29" xfId="6" applyFont="1" applyFill="1" applyBorder="1" applyAlignment="1">
      <alignment horizontal="center" vertical="top" wrapText="1"/>
    </xf>
    <xf numFmtId="17" fontId="43" fillId="7" borderId="29" xfId="10" applyNumberFormat="1" applyFont="1" applyFill="1" applyBorder="1" applyAlignment="1">
      <alignment horizontal="center" vertical="top" wrapText="1"/>
    </xf>
    <xf numFmtId="0" fontId="43" fillId="7" borderId="29" xfId="10" applyNumberFormat="1" applyFont="1" applyFill="1" applyBorder="1" applyAlignment="1">
      <alignment horizontal="center" vertical="top" wrapText="1"/>
    </xf>
    <xf numFmtId="184" fontId="43" fillId="0" borderId="18" xfId="6" applyFont="1" applyFill="1" applyBorder="1" applyAlignment="1">
      <alignment horizontal="center"/>
    </xf>
    <xf numFmtId="184" fontId="43" fillId="0" borderId="19" xfId="6" applyFont="1" applyFill="1" applyBorder="1" applyAlignment="1">
      <alignment horizontal="center"/>
    </xf>
    <xf numFmtId="184" fontId="43" fillId="0" borderId="20" xfId="6" applyFont="1" applyFill="1" applyBorder="1" applyAlignment="1">
      <alignment horizontal="center"/>
    </xf>
    <xf numFmtId="191" fontId="43" fillId="0" borderId="29" xfId="6" applyNumberFormat="1" applyFont="1" applyFill="1" applyBorder="1" applyAlignment="1">
      <alignment horizontal="center" vertical="top" wrapText="1"/>
    </xf>
    <xf numFmtId="184" fontId="20" fillId="0" borderId="0" xfId="6" applyFont="1" applyFill="1" applyBorder="1" applyAlignment="1">
      <alignment horizontal="left"/>
    </xf>
    <xf numFmtId="184" fontId="51" fillId="7" borderId="29" xfId="6" applyFont="1" applyFill="1" applyBorder="1" applyAlignment="1">
      <alignment horizontal="center" vertical="center"/>
    </xf>
    <xf numFmtId="184" fontId="43" fillId="7" borderId="29" xfId="6" applyFont="1" applyFill="1" applyBorder="1"/>
    <xf numFmtId="0" fontId="45" fillId="0" borderId="0" xfId="6" applyNumberFormat="1" applyFont="1" applyFill="1" applyBorder="1" applyAlignment="1">
      <alignment horizontal="left" vertical="top"/>
    </xf>
    <xf numFmtId="184" fontId="51" fillId="0" borderId="44" xfId="6" applyFont="1" applyFill="1" applyBorder="1" applyAlignment="1">
      <alignment horizontal="center" vertical="top"/>
    </xf>
    <xf numFmtId="184" fontId="51" fillId="0" borderId="19" xfId="6" applyFont="1" applyFill="1" applyBorder="1" applyAlignment="1">
      <alignment horizontal="center" vertical="top"/>
    </xf>
    <xf numFmtId="184" fontId="51" fillId="0" borderId="20" xfId="6" applyFont="1" applyFill="1" applyBorder="1" applyAlignment="1">
      <alignment horizontal="center" vertical="top"/>
    </xf>
    <xf numFmtId="197" fontId="51" fillId="0" borderId="18" xfId="6" applyNumberFormat="1" applyFont="1" applyFill="1" applyBorder="1" applyAlignment="1">
      <alignment horizontal="center" vertical="top"/>
    </xf>
    <xf numFmtId="197" fontId="51" fillId="0" borderId="19" xfId="6" applyNumberFormat="1" applyFont="1" applyFill="1" applyBorder="1" applyAlignment="1">
      <alignment horizontal="center" vertical="top"/>
    </xf>
    <xf numFmtId="184" fontId="51" fillId="0" borderId="29" xfId="6" applyFont="1" applyFill="1" applyBorder="1" applyAlignment="1">
      <alignment horizontal="center" vertical="top"/>
    </xf>
    <xf numFmtId="0" fontId="29" fillId="0" borderId="0" xfId="6" applyNumberFormat="1" applyFont="1" applyFill="1" applyAlignment="1">
      <alignment horizontal="left" wrapText="1"/>
    </xf>
    <xf numFmtId="17" fontId="43" fillId="0" borderId="29" xfId="10" applyNumberFormat="1" applyFont="1" applyFill="1" applyBorder="1" applyAlignment="1">
      <alignment horizontal="center" vertical="top" wrapText="1"/>
    </xf>
    <xf numFmtId="0" fontId="43" fillId="0" borderId="29" xfId="10" applyNumberFormat="1" applyFont="1" applyFill="1" applyBorder="1" applyAlignment="1">
      <alignment horizontal="center" vertical="top" wrapText="1"/>
    </xf>
    <xf numFmtId="184" fontId="43" fillId="0" borderId="29" xfId="6" applyFont="1" applyFill="1" applyBorder="1" applyAlignment="1">
      <alignment horizontal="center" vertical="center" wrapText="1"/>
    </xf>
    <xf numFmtId="184" fontId="43" fillId="0" borderId="23" xfId="6" applyFont="1" applyFill="1" applyBorder="1" applyAlignment="1">
      <alignment horizontal="center" vertical="center" wrapText="1"/>
    </xf>
    <xf numFmtId="184" fontId="19" fillId="0" borderId="19" xfId="1" applyFont="1" applyBorder="1" applyAlignment="1"/>
    <xf numFmtId="0" fontId="0" fillId="0" borderId="20" xfId="0" applyBorder="1" applyAlignment="1"/>
    <xf numFmtId="184" fontId="20" fillId="3" borderId="18" xfId="1" applyFont="1" applyFill="1" applyBorder="1" applyAlignment="1">
      <alignment horizontal="left" vertical="top" wrapText="1"/>
    </xf>
    <xf numFmtId="184" fontId="20" fillId="3" borderId="19" xfId="1" applyFont="1" applyFill="1" applyBorder="1" applyAlignment="1">
      <alignment horizontal="left" vertical="top" wrapText="1"/>
    </xf>
    <xf numFmtId="0" fontId="0" fillId="0" borderId="19" xfId="0" applyBorder="1"/>
    <xf numFmtId="185" fontId="19" fillId="3" borderId="18" xfId="2" applyNumberFormat="1" applyFont="1" applyFill="1" applyBorder="1" applyAlignment="1">
      <alignment horizontal="center" wrapText="1"/>
    </xf>
    <xf numFmtId="185" fontId="19" fillId="3" borderId="20" xfId="2" applyNumberFormat="1" applyFont="1" applyFill="1" applyBorder="1" applyAlignment="1">
      <alignment horizontal="center" wrapText="1"/>
    </xf>
    <xf numFmtId="166" fontId="19" fillId="3" borderId="18" xfId="1" applyNumberFormat="1" applyFont="1" applyFill="1" applyBorder="1" applyAlignment="1">
      <alignment horizontal="center" vertical="center" wrapText="1"/>
    </xf>
    <xf numFmtId="166" fontId="19" fillId="3" borderId="20" xfId="1" applyNumberFormat="1" applyFont="1" applyFill="1" applyBorder="1" applyAlignment="1">
      <alignment horizontal="center" vertical="center" wrapText="1"/>
    </xf>
    <xf numFmtId="184" fontId="20" fillId="3" borderId="18" xfId="1" applyFont="1" applyFill="1" applyBorder="1" applyAlignment="1">
      <alignment horizontal="left" vertical="top"/>
    </xf>
    <xf numFmtId="184" fontId="20" fillId="3" borderId="19" xfId="1" applyFont="1" applyFill="1" applyBorder="1" applyAlignment="1">
      <alignment horizontal="left" vertical="top"/>
    </xf>
    <xf numFmtId="184" fontId="30" fillId="0" borderId="0" xfId="1" applyFont="1" applyFill="1" applyBorder="1" applyAlignment="1">
      <alignment horizontal="left" vertical="center" wrapText="1"/>
    </xf>
    <xf numFmtId="184" fontId="30" fillId="0" borderId="0" xfId="1" applyFont="1" applyBorder="1" applyAlignment="1">
      <alignment horizontal="left" vertical="center" wrapText="1"/>
    </xf>
  </cellXfs>
  <cellStyles count="14">
    <cellStyle name="Comma 2" xfId="10"/>
    <cellStyle name="Hyperlink" xfId="4" builtinId="8"/>
    <cellStyle name="Indian Comma" xfId="3"/>
    <cellStyle name="Normal" xfId="0" builtinId="0"/>
    <cellStyle name="Normal 2" xfId="6"/>
    <cellStyle name="Normal 3" xfId="13"/>
    <cellStyle name="Normal 3 144" xfId="11"/>
    <cellStyle name="Normal 5" xfId="8"/>
    <cellStyle name="Normal 6" xfId="2"/>
    <cellStyle name="Normal 6 2" xfId="5"/>
    <cellStyle name="Normal 60" xfId="12"/>
    <cellStyle name="Normal 8" xfId="7"/>
    <cellStyle name="Normal_tables-oct" xfId="1"/>
    <cellStyle name="Percent 2"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UMIT%20DATA/01.%20Monthly%20Bulletin/00.%20Working/03.%20Editorial%20Committee/Parts/DEPA_2/Renumbered%20Tab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Index"/>
      <sheetName val="1"/>
      <sheetName val="65"/>
      <sheetName val="66"/>
      <sheetName val="67"/>
      <sheetName val="68"/>
      <sheetName val="69"/>
      <sheetName val="70"/>
      <sheetName val="71"/>
      <sheetName val="72"/>
      <sheetName val="73"/>
      <sheetName val="74"/>
      <sheetName val="75"/>
    </sheetNames>
    <sheetDataSet>
      <sheetData sheetId="0"/>
      <sheetData sheetId="1">
        <row r="8">
          <cell r="A8" t="str">
            <v>$ indicates as on April 30, 2019</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77"/>
  <sheetViews>
    <sheetView workbookViewId="0"/>
  </sheetViews>
  <sheetFormatPr defaultRowHeight="12.75" x14ac:dyDescent="0.2"/>
  <cols>
    <col min="1" max="1" width="102.140625" bestFit="1" customWidth="1"/>
    <col min="2" max="2" width="21.140625" bestFit="1" customWidth="1"/>
    <col min="3" max="3" width="4.7109375" bestFit="1" customWidth="1"/>
  </cols>
  <sheetData>
    <row r="1" spans="1:2" ht="15.75" customHeight="1" x14ac:dyDescent="0.2">
      <c r="A1" s="1" t="s">
        <v>0</v>
      </c>
    </row>
    <row r="2" spans="1:2" s="4" customFormat="1" ht="18.75" customHeight="1" x14ac:dyDescent="0.2">
      <c r="A2" s="2" t="s">
        <v>1</v>
      </c>
      <c r="B2" s="2" t="s">
        <v>2</v>
      </c>
    </row>
    <row r="3" spans="1:2" s="4" customFormat="1" ht="18" customHeight="1" x14ac:dyDescent="0.2">
      <c r="A3" s="3" t="s">
        <v>3</v>
      </c>
      <c r="B3" s="3" t="s">
        <v>4</v>
      </c>
    </row>
    <row r="4" spans="1:2" s="4" customFormat="1" ht="18" customHeight="1" x14ac:dyDescent="0.2">
      <c r="A4" s="3" t="s">
        <v>5</v>
      </c>
      <c r="B4" s="3" t="s">
        <v>4</v>
      </c>
    </row>
    <row r="5" spans="1:2" s="4" customFormat="1" ht="18" customHeight="1" x14ac:dyDescent="0.2">
      <c r="A5" s="3" t="s">
        <v>6</v>
      </c>
      <c r="B5" s="3" t="s">
        <v>4</v>
      </c>
    </row>
    <row r="6" spans="1:2" s="4" customFormat="1" ht="18" customHeight="1" x14ac:dyDescent="0.2">
      <c r="A6" s="3" t="s">
        <v>7</v>
      </c>
      <c r="B6" s="3" t="s">
        <v>4</v>
      </c>
    </row>
    <row r="7" spans="1:2" s="4" customFormat="1" ht="18" customHeight="1" x14ac:dyDescent="0.2">
      <c r="A7" s="3" t="s">
        <v>8</v>
      </c>
      <c r="B7" s="3" t="s">
        <v>4</v>
      </c>
    </row>
    <row r="8" spans="1:2" s="4" customFormat="1" ht="18" customHeight="1" x14ac:dyDescent="0.2">
      <c r="A8" s="3" t="s">
        <v>9</v>
      </c>
      <c r="B8" s="3" t="s">
        <v>4</v>
      </c>
    </row>
    <row r="9" spans="1:2" s="4" customFormat="1" ht="18" customHeight="1" x14ac:dyDescent="0.2">
      <c r="A9" s="3" t="s">
        <v>10</v>
      </c>
      <c r="B9" s="3" t="s">
        <v>4</v>
      </c>
    </row>
    <row r="10" spans="1:2" s="4" customFormat="1" ht="18" customHeight="1" x14ac:dyDescent="0.2">
      <c r="A10" s="3" t="s">
        <v>11</v>
      </c>
      <c r="B10" s="3" t="s">
        <v>4</v>
      </c>
    </row>
    <row r="11" spans="1:2" s="4" customFormat="1" ht="18" customHeight="1" x14ac:dyDescent="0.2">
      <c r="A11" s="3" t="s">
        <v>12</v>
      </c>
      <c r="B11" s="3" t="s">
        <v>4</v>
      </c>
    </row>
    <row r="12" spans="1:2" s="4" customFormat="1" ht="18" customHeight="1" x14ac:dyDescent="0.2">
      <c r="A12" s="3" t="s">
        <v>13</v>
      </c>
      <c r="B12" s="3" t="s">
        <v>4</v>
      </c>
    </row>
    <row r="13" spans="1:2" s="4" customFormat="1" ht="18" customHeight="1" x14ac:dyDescent="0.2">
      <c r="A13" s="3" t="s">
        <v>14</v>
      </c>
      <c r="B13" s="3" t="s">
        <v>4</v>
      </c>
    </row>
    <row r="14" spans="1:2" s="4" customFormat="1" ht="18" customHeight="1" x14ac:dyDescent="0.2">
      <c r="A14" s="3" t="s">
        <v>15</v>
      </c>
      <c r="B14" s="3" t="s">
        <v>4</v>
      </c>
    </row>
    <row r="15" spans="1:2" s="4" customFormat="1" ht="18" customHeight="1" x14ac:dyDescent="0.2">
      <c r="A15" s="3" t="s">
        <v>16</v>
      </c>
      <c r="B15" s="3" t="s">
        <v>4</v>
      </c>
    </row>
    <row r="16" spans="1:2" s="4" customFormat="1" ht="18" customHeight="1" x14ac:dyDescent="0.2">
      <c r="A16" s="3" t="s">
        <v>17</v>
      </c>
      <c r="B16" s="3" t="s">
        <v>4</v>
      </c>
    </row>
    <row r="17" spans="1:2" s="4" customFormat="1" ht="18" customHeight="1" x14ac:dyDescent="0.2">
      <c r="A17" s="3" t="s">
        <v>18</v>
      </c>
      <c r="B17" s="3" t="s">
        <v>4</v>
      </c>
    </row>
    <row r="18" spans="1:2" s="4" customFormat="1" ht="18" customHeight="1" x14ac:dyDescent="0.2">
      <c r="A18" s="3" t="s">
        <v>19</v>
      </c>
      <c r="B18" s="3" t="s">
        <v>4</v>
      </c>
    </row>
    <row r="19" spans="1:2" s="4" customFormat="1" ht="18" customHeight="1" x14ac:dyDescent="0.2">
      <c r="A19" s="3" t="s">
        <v>20</v>
      </c>
      <c r="B19" s="3" t="s">
        <v>4</v>
      </c>
    </row>
    <row r="20" spans="1:2" s="4" customFormat="1" ht="18" customHeight="1" x14ac:dyDescent="0.2">
      <c r="A20" s="3" t="s">
        <v>21</v>
      </c>
      <c r="B20" s="3" t="s">
        <v>4</v>
      </c>
    </row>
    <row r="21" spans="1:2" s="4" customFormat="1" ht="18" customHeight="1" x14ac:dyDescent="0.2">
      <c r="A21" s="3" t="s">
        <v>22</v>
      </c>
      <c r="B21" s="3" t="s">
        <v>4</v>
      </c>
    </row>
    <row r="22" spans="1:2" s="4" customFormat="1" ht="18" customHeight="1" x14ac:dyDescent="0.2">
      <c r="A22" s="3" t="s">
        <v>23</v>
      </c>
      <c r="B22" s="3" t="s">
        <v>4</v>
      </c>
    </row>
    <row r="23" spans="1:2" s="4" customFormat="1" ht="18" customHeight="1" x14ac:dyDescent="0.2">
      <c r="A23" s="3" t="s">
        <v>24</v>
      </c>
      <c r="B23" s="3" t="s">
        <v>4</v>
      </c>
    </row>
    <row r="24" spans="1:2" s="4" customFormat="1" ht="18" customHeight="1" x14ac:dyDescent="0.2">
      <c r="A24" s="3" t="s">
        <v>25</v>
      </c>
      <c r="B24" s="3" t="s">
        <v>4</v>
      </c>
    </row>
    <row r="25" spans="1:2" s="4" customFormat="1" ht="18" customHeight="1" x14ac:dyDescent="0.2">
      <c r="A25" s="3" t="s">
        <v>26</v>
      </c>
      <c r="B25" s="3" t="s">
        <v>4</v>
      </c>
    </row>
    <row r="26" spans="1:2" s="4" customFormat="1" ht="18" customHeight="1" x14ac:dyDescent="0.2">
      <c r="A26" s="3" t="s">
        <v>27</v>
      </c>
      <c r="B26" s="3" t="s">
        <v>4</v>
      </c>
    </row>
    <row r="27" spans="1:2" s="4" customFormat="1" ht="18" customHeight="1" x14ac:dyDescent="0.2">
      <c r="A27" s="3" t="s">
        <v>28</v>
      </c>
      <c r="B27" s="3" t="s">
        <v>4</v>
      </c>
    </row>
    <row r="28" spans="1:2" s="4" customFormat="1" ht="18" customHeight="1" x14ac:dyDescent="0.2">
      <c r="A28" s="3" t="s">
        <v>29</v>
      </c>
      <c r="B28" s="3" t="s">
        <v>4</v>
      </c>
    </row>
    <row r="29" spans="1:2" s="4" customFormat="1" ht="18" customHeight="1" x14ac:dyDescent="0.2">
      <c r="A29" s="3" t="s">
        <v>30</v>
      </c>
      <c r="B29" s="3" t="s">
        <v>4</v>
      </c>
    </row>
    <row r="30" spans="1:2" s="4" customFormat="1" ht="18" customHeight="1" x14ac:dyDescent="0.2">
      <c r="A30" s="3" t="s">
        <v>31</v>
      </c>
      <c r="B30" s="3" t="s">
        <v>4</v>
      </c>
    </row>
    <row r="31" spans="1:2" s="4" customFormat="1" ht="18" customHeight="1" x14ac:dyDescent="0.2">
      <c r="A31" s="3" t="s">
        <v>32</v>
      </c>
      <c r="B31" s="3" t="s">
        <v>4</v>
      </c>
    </row>
    <row r="32" spans="1:2" s="4" customFormat="1" ht="18" customHeight="1" x14ac:dyDescent="0.2">
      <c r="A32" s="3" t="s">
        <v>33</v>
      </c>
      <c r="B32" s="3" t="s">
        <v>4</v>
      </c>
    </row>
    <row r="33" spans="1:2" s="4" customFormat="1" ht="18" customHeight="1" x14ac:dyDescent="0.2">
      <c r="A33" s="3" t="s">
        <v>34</v>
      </c>
      <c r="B33" s="3" t="s">
        <v>4</v>
      </c>
    </row>
    <row r="34" spans="1:2" s="4" customFormat="1" ht="18" customHeight="1" x14ac:dyDescent="0.2">
      <c r="A34" s="3" t="s">
        <v>35</v>
      </c>
      <c r="B34" s="3" t="s">
        <v>4</v>
      </c>
    </row>
    <row r="35" spans="1:2" s="4" customFormat="1" ht="18" customHeight="1" x14ac:dyDescent="0.2">
      <c r="A35" s="3" t="s">
        <v>36</v>
      </c>
      <c r="B35" s="3" t="s">
        <v>4</v>
      </c>
    </row>
    <row r="36" spans="1:2" s="4" customFormat="1" ht="18" customHeight="1" x14ac:dyDescent="0.2">
      <c r="A36" s="3" t="s">
        <v>37</v>
      </c>
      <c r="B36" s="3" t="s">
        <v>4</v>
      </c>
    </row>
    <row r="37" spans="1:2" s="4" customFormat="1" ht="18" customHeight="1" x14ac:dyDescent="0.2">
      <c r="A37" s="3" t="s">
        <v>38</v>
      </c>
      <c r="B37" s="3" t="s">
        <v>4</v>
      </c>
    </row>
    <row r="38" spans="1:2" s="4" customFormat="1" ht="18" customHeight="1" x14ac:dyDescent="0.2">
      <c r="A38" s="3" t="s">
        <v>39</v>
      </c>
      <c r="B38" s="3" t="s">
        <v>4</v>
      </c>
    </row>
    <row r="39" spans="1:2" s="4" customFormat="1" ht="18" customHeight="1" x14ac:dyDescent="0.2">
      <c r="A39" s="3" t="s">
        <v>40</v>
      </c>
      <c r="B39" s="3" t="s">
        <v>4</v>
      </c>
    </row>
    <row r="40" spans="1:2" s="4" customFormat="1" ht="18" customHeight="1" x14ac:dyDescent="0.2">
      <c r="A40" s="3" t="s">
        <v>41</v>
      </c>
      <c r="B40" s="3" t="s">
        <v>4</v>
      </c>
    </row>
    <row r="41" spans="1:2" s="4" customFormat="1" ht="18" customHeight="1" x14ac:dyDescent="0.2">
      <c r="A41" s="3" t="s">
        <v>42</v>
      </c>
      <c r="B41" s="3" t="s">
        <v>4</v>
      </c>
    </row>
    <row r="42" spans="1:2" s="4" customFormat="1" ht="18" customHeight="1" x14ac:dyDescent="0.2">
      <c r="A42" s="3" t="s">
        <v>43</v>
      </c>
      <c r="B42" s="3" t="s">
        <v>4</v>
      </c>
    </row>
    <row r="43" spans="1:2" s="4" customFormat="1" ht="18" customHeight="1" x14ac:dyDescent="0.2">
      <c r="A43" s="3" t="s">
        <v>44</v>
      </c>
      <c r="B43" s="3" t="s">
        <v>4</v>
      </c>
    </row>
    <row r="44" spans="1:2" s="4" customFormat="1" ht="18" customHeight="1" x14ac:dyDescent="0.2">
      <c r="A44" s="3" t="s">
        <v>45</v>
      </c>
      <c r="B44" s="3" t="s">
        <v>4</v>
      </c>
    </row>
    <row r="45" spans="1:2" s="4" customFormat="1" ht="18" customHeight="1" x14ac:dyDescent="0.2">
      <c r="A45" s="3" t="s">
        <v>46</v>
      </c>
      <c r="B45" s="3" t="s">
        <v>4</v>
      </c>
    </row>
    <row r="46" spans="1:2" s="4" customFormat="1" ht="18" customHeight="1" x14ac:dyDescent="0.2">
      <c r="A46" s="3" t="s">
        <v>47</v>
      </c>
      <c r="B46" s="3" t="s">
        <v>4</v>
      </c>
    </row>
    <row r="47" spans="1:2" s="4" customFormat="1" ht="18" customHeight="1" x14ac:dyDescent="0.2">
      <c r="A47" s="3" t="s">
        <v>48</v>
      </c>
      <c r="B47" s="3" t="s">
        <v>4</v>
      </c>
    </row>
    <row r="48" spans="1:2" s="4" customFormat="1" ht="18" customHeight="1" x14ac:dyDescent="0.2">
      <c r="A48" s="3" t="s">
        <v>49</v>
      </c>
      <c r="B48" s="3" t="s">
        <v>4</v>
      </c>
    </row>
    <row r="49" spans="1:2" s="4" customFormat="1" ht="18" customHeight="1" x14ac:dyDescent="0.2">
      <c r="A49" s="3" t="s">
        <v>50</v>
      </c>
      <c r="B49" s="3" t="s">
        <v>4</v>
      </c>
    </row>
    <row r="50" spans="1:2" s="4" customFormat="1" ht="18" customHeight="1" x14ac:dyDescent="0.2">
      <c r="A50" s="3" t="s">
        <v>51</v>
      </c>
      <c r="B50" s="3" t="s">
        <v>4</v>
      </c>
    </row>
    <row r="51" spans="1:2" s="4" customFormat="1" ht="18" customHeight="1" x14ac:dyDescent="0.2">
      <c r="A51" s="3" t="s">
        <v>52</v>
      </c>
      <c r="B51" s="3" t="s">
        <v>4</v>
      </c>
    </row>
    <row r="52" spans="1:2" s="4" customFormat="1" ht="18" customHeight="1" x14ac:dyDescent="0.2">
      <c r="A52" s="3" t="s">
        <v>53</v>
      </c>
      <c r="B52" s="3" t="s">
        <v>4</v>
      </c>
    </row>
    <row r="53" spans="1:2" s="4" customFormat="1" ht="18" customHeight="1" x14ac:dyDescent="0.2">
      <c r="A53" s="3" t="s">
        <v>54</v>
      </c>
      <c r="B53" s="3" t="s">
        <v>4</v>
      </c>
    </row>
    <row r="54" spans="1:2" s="4" customFormat="1" ht="18" customHeight="1" x14ac:dyDescent="0.2">
      <c r="A54" s="3" t="s">
        <v>55</v>
      </c>
      <c r="B54" s="3" t="s">
        <v>4</v>
      </c>
    </row>
    <row r="55" spans="1:2" s="4" customFormat="1" ht="18" customHeight="1" x14ac:dyDescent="0.2">
      <c r="A55" s="3" t="s">
        <v>56</v>
      </c>
      <c r="B55" s="3" t="s">
        <v>4</v>
      </c>
    </row>
    <row r="56" spans="1:2" s="4" customFormat="1" ht="18" customHeight="1" x14ac:dyDescent="0.2">
      <c r="A56" s="3" t="s">
        <v>57</v>
      </c>
      <c r="B56" s="3" t="s">
        <v>4</v>
      </c>
    </row>
    <row r="57" spans="1:2" s="4" customFormat="1" ht="18" customHeight="1" x14ac:dyDescent="0.2">
      <c r="A57" s="3" t="s">
        <v>58</v>
      </c>
      <c r="B57" s="3" t="s">
        <v>4</v>
      </c>
    </row>
    <row r="58" spans="1:2" s="4" customFormat="1" ht="18" customHeight="1" x14ac:dyDescent="0.2">
      <c r="A58" s="3" t="s">
        <v>59</v>
      </c>
      <c r="B58" s="3" t="s">
        <v>4</v>
      </c>
    </row>
    <row r="59" spans="1:2" s="4" customFormat="1" ht="18" customHeight="1" x14ac:dyDescent="0.2">
      <c r="A59" s="161" t="s">
        <v>879</v>
      </c>
      <c r="B59" s="3" t="s">
        <v>4</v>
      </c>
    </row>
    <row r="60" spans="1:2" s="4" customFormat="1" ht="18" customHeight="1" x14ac:dyDescent="0.2">
      <c r="A60" s="3" t="s">
        <v>880</v>
      </c>
      <c r="B60" s="3" t="s">
        <v>4</v>
      </c>
    </row>
    <row r="61" spans="1:2" s="4" customFormat="1" ht="18" customHeight="1" x14ac:dyDescent="0.2">
      <c r="A61" s="3" t="s">
        <v>881</v>
      </c>
      <c r="B61" s="3" t="s">
        <v>4</v>
      </c>
    </row>
    <row r="62" spans="1:2" s="4" customFormat="1" ht="18" customHeight="1" x14ac:dyDescent="0.2">
      <c r="A62" s="3" t="s">
        <v>882</v>
      </c>
      <c r="B62" s="3" t="s">
        <v>4</v>
      </c>
    </row>
    <row r="63" spans="1:2" s="4" customFormat="1" ht="18" customHeight="1" x14ac:dyDescent="0.2">
      <c r="A63" s="3" t="s">
        <v>883</v>
      </c>
      <c r="B63" s="3" t="s">
        <v>4</v>
      </c>
    </row>
    <row r="64" spans="1:2" s="4" customFormat="1" ht="18" customHeight="1" x14ac:dyDescent="0.2">
      <c r="A64" s="3" t="s">
        <v>884</v>
      </c>
      <c r="B64" s="3" t="s">
        <v>4</v>
      </c>
    </row>
    <row r="65" spans="1:2" s="4" customFormat="1" ht="18" customHeight="1" x14ac:dyDescent="0.2">
      <c r="A65" s="3" t="s">
        <v>1071</v>
      </c>
      <c r="B65" s="3" t="s">
        <v>4</v>
      </c>
    </row>
    <row r="66" spans="1:2" s="4" customFormat="1" ht="18" customHeight="1" x14ac:dyDescent="0.2">
      <c r="A66" s="3" t="s">
        <v>1072</v>
      </c>
      <c r="B66" s="3" t="s">
        <v>4</v>
      </c>
    </row>
    <row r="67" spans="1:2" s="4" customFormat="1" ht="18" customHeight="1" x14ac:dyDescent="0.2">
      <c r="A67" s="3" t="s">
        <v>1073</v>
      </c>
      <c r="B67" s="3" t="s">
        <v>4</v>
      </c>
    </row>
    <row r="68" spans="1:2" s="4" customFormat="1" ht="18" customHeight="1" x14ac:dyDescent="0.2">
      <c r="A68" s="3" t="s">
        <v>1074</v>
      </c>
      <c r="B68" s="3" t="s">
        <v>4</v>
      </c>
    </row>
    <row r="69" spans="1:2" s="4" customFormat="1" ht="18" customHeight="1" x14ac:dyDescent="0.2">
      <c r="A69" s="3" t="s">
        <v>1075</v>
      </c>
      <c r="B69" s="3" t="s">
        <v>4</v>
      </c>
    </row>
    <row r="70" spans="1:2" s="4" customFormat="1" ht="18" customHeight="1" x14ac:dyDescent="0.2">
      <c r="A70" s="3" t="s">
        <v>1076</v>
      </c>
      <c r="B70" s="3" t="s">
        <v>4</v>
      </c>
    </row>
    <row r="71" spans="1:2" s="4" customFormat="1" ht="18" customHeight="1" x14ac:dyDescent="0.2">
      <c r="A71" s="3" t="s">
        <v>1077</v>
      </c>
      <c r="B71" s="3" t="s">
        <v>4</v>
      </c>
    </row>
    <row r="72" spans="1:2" s="4" customFormat="1" ht="18" customHeight="1" x14ac:dyDescent="0.2">
      <c r="A72" s="3" t="s">
        <v>1078</v>
      </c>
      <c r="B72" s="3" t="s">
        <v>4</v>
      </c>
    </row>
    <row r="73" spans="1:2" s="4" customFormat="1" ht="18" customHeight="1" x14ac:dyDescent="0.2">
      <c r="A73" s="3" t="s">
        <v>1079</v>
      </c>
      <c r="B73" s="3" t="s">
        <v>4</v>
      </c>
    </row>
    <row r="74" spans="1:2" s="4" customFormat="1" ht="18" customHeight="1" x14ac:dyDescent="0.2">
      <c r="A74" s="3" t="s">
        <v>1080</v>
      </c>
      <c r="B74" s="3" t="s">
        <v>4</v>
      </c>
    </row>
    <row r="75" spans="1:2" s="4" customFormat="1" ht="18" customHeight="1" x14ac:dyDescent="0.2">
      <c r="A75" s="3" t="s">
        <v>1081</v>
      </c>
      <c r="B75" s="3" t="s">
        <v>4</v>
      </c>
    </row>
    <row r="76" spans="1:2" s="4" customFormat="1" ht="18" customHeight="1" x14ac:dyDescent="0.2">
      <c r="A76" s="3" t="s">
        <v>1070</v>
      </c>
      <c r="B76" s="3" t="s">
        <v>4</v>
      </c>
    </row>
    <row r="77" spans="1:2" s="4" customFormat="1" ht="28.35" customHeight="1" x14ac:dyDescent="0.2"/>
  </sheetData>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E41"/>
  <sheetViews>
    <sheetView workbookViewId="0">
      <selection sqref="A1:D1"/>
    </sheetView>
  </sheetViews>
  <sheetFormatPr defaultRowHeight="12.75" x14ac:dyDescent="0.2"/>
  <cols>
    <col min="1" max="1" width="46.42578125" bestFit="1" customWidth="1"/>
    <col min="2" max="3" width="14.7109375" bestFit="1" customWidth="1"/>
    <col min="4" max="4" width="6.85546875" bestFit="1" customWidth="1"/>
    <col min="5" max="5" width="30.7109375" bestFit="1" customWidth="1"/>
    <col min="6" max="6" width="4.7109375" bestFit="1" customWidth="1"/>
  </cols>
  <sheetData>
    <row r="1" spans="1:4" ht="15.75" customHeight="1" x14ac:dyDescent="0.2">
      <c r="A1" s="364" t="s">
        <v>3</v>
      </c>
      <c r="B1" s="364"/>
      <c r="C1" s="364"/>
      <c r="D1" s="364"/>
    </row>
    <row r="2" spans="1:4" s="4" customFormat="1" ht="19.5" customHeight="1" x14ac:dyDescent="0.2">
      <c r="A2" s="6" t="s">
        <v>60</v>
      </c>
      <c r="B2" s="2" t="s">
        <v>61</v>
      </c>
      <c r="C2" s="2" t="s">
        <v>62</v>
      </c>
    </row>
    <row r="3" spans="1:4" s="4" customFormat="1" ht="18" customHeight="1" x14ac:dyDescent="0.2">
      <c r="A3" s="3" t="s">
        <v>63</v>
      </c>
      <c r="B3" s="7">
        <v>5</v>
      </c>
      <c r="C3" s="7">
        <v>5</v>
      </c>
    </row>
    <row r="4" spans="1:4" s="4" customFormat="1" ht="18" customHeight="1" x14ac:dyDescent="0.2">
      <c r="A4" s="3" t="s">
        <v>64</v>
      </c>
      <c r="B4" s="7">
        <v>3</v>
      </c>
      <c r="C4" s="7">
        <v>3</v>
      </c>
    </row>
    <row r="5" spans="1:4" s="4" customFormat="1" ht="18" customHeight="1" x14ac:dyDescent="0.2">
      <c r="A5" s="3" t="s">
        <v>65</v>
      </c>
      <c r="B5" s="7">
        <v>3</v>
      </c>
      <c r="C5" s="7">
        <v>3</v>
      </c>
    </row>
    <row r="6" spans="1:4" s="4" customFormat="1" ht="18" customHeight="1" x14ac:dyDescent="0.2">
      <c r="A6" s="3" t="s">
        <v>66</v>
      </c>
      <c r="B6" s="7">
        <v>5</v>
      </c>
      <c r="C6" s="7">
        <v>5</v>
      </c>
    </row>
    <row r="7" spans="1:4" s="4" customFormat="1" ht="18" customHeight="1" x14ac:dyDescent="0.2">
      <c r="A7" s="3" t="s">
        <v>67</v>
      </c>
      <c r="B7" s="7">
        <v>2315</v>
      </c>
      <c r="C7" s="7">
        <v>2282</v>
      </c>
    </row>
    <row r="8" spans="1:4" s="4" customFormat="1" ht="18" customHeight="1" x14ac:dyDescent="0.2">
      <c r="A8" s="3" t="s">
        <v>68</v>
      </c>
      <c r="B8" s="7">
        <v>2435</v>
      </c>
      <c r="C8" s="7">
        <v>2435</v>
      </c>
    </row>
    <row r="9" spans="1:4" s="4" customFormat="1" ht="18" customHeight="1" x14ac:dyDescent="0.2">
      <c r="A9" s="3" t="s">
        <v>69</v>
      </c>
      <c r="B9" s="7">
        <v>2110</v>
      </c>
      <c r="C9" s="7">
        <v>2092</v>
      </c>
    </row>
    <row r="10" spans="1:4" s="4" customFormat="1" ht="18" customHeight="1" x14ac:dyDescent="0.2">
      <c r="A10" s="3" t="s">
        <v>70</v>
      </c>
      <c r="B10" s="7">
        <v>173</v>
      </c>
      <c r="C10" s="7">
        <v>173</v>
      </c>
    </row>
    <row r="11" spans="1:4" s="4" customFormat="1" ht="18" customHeight="1" x14ac:dyDescent="0.2">
      <c r="A11" s="3" t="s">
        <v>71</v>
      </c>
      <c r="B11" s="7">
        <v>1708</v>
      </c>
      <c r="C11" s="7">
        <v>1703</v>
      </c>
    </row>
    <row r="12" spans="1:4" s="4" customFormat="1" ht="18" customHeight="1" x14ac:dyDescent="0.2">
      <c r="A12" s="3" t="s">
        <v>72</v>
      </c>
      <c r="B12" s="7">
        <v>2004</v>
      </c>
      <c r="C12" s="7">
        <v>1975</v>
      </c>
    </row>
    <row r="13" spans="1:4" s="4" customFormat="1" ht="18" customHeight="1" x14ac:dyDescent="0.2">
      <c r="A13" s="3" t="s">
        <v>73</v>
      </c>
      <c r="B13" s="7">
        <v>9390</v>
      </c>
      <c r="C13" s="8">
        <v>9385</v>
      </c>
    </row>
    <row r="14" spans="1:4" s="4" customFormat="1" ht="18" customHeight="1" x14ac:dyDescent="0.2">
      <c r="A14" s="3" t="s">
        <v>74</v>
      </c>
      <c r="B14" s="7">
        <v>20</v>
      </c>
      <c r="C14" s="7">
        <v>20</v>
      </c>
    </row>
    <row r="15" spans="1:4" s="4" customFormat="1" ht="18" customHeight="1" x14ac:dyDescent="0.2">
      <c r="A15" s="3" t="s">
        <v>75</v>
      </c>
      <c r="B15" s="7">
        <v>2</v>
      </c>
      <c r="C15" s="7">
        <v>2</v>
      </c>
    </row>
    <row r="16" spans="1:4" s="4" customFormat="1" ht="18" customHeight="1" x14ac:dyDescent="0.2">
      <c r="A16" s="3" t="s">
        <v>76</v>
      </c>
      <c r="B16" s="7">
        <v>277</v>
      </c>
      <c r="C16" s="7">
        <v>278</v>
      </c>
    </row>
    <row r="17" spans="1:3" s="4" customFormat="1" ht="18" customHeight="1" x14ac:dyDescent="0.2">
      <c r="A17" s="3" t="s">
        <v>77</v>
      </c>
      <c r="B17" s="7">
        <v>598</v>
      </c>
      <c r="C17" s="7">
        <v>598</v>
      </c>
    </row>
    <row r="18" spans="1:3" s="4" customFormat="1" ht="18" customHeight="1" x14ac:dyDescent="0.2">
      <c r="A18" s="3" t="s">
        <v>78</v>
      </c>
      <c r="B18" s="7">
        <v>209</v>
      </c>
      <c r="C18" s="7">
        <v>213</v>
      </c>
    </row>
    <row r="19" spans="1:3" s="4" customFormat="1" ht="18" customHeight="1" x14ac:dyDescent="0.2">
      <c r="A19" s="3" t="s">
        <v>79</v>
      </c>
      <c r="B19" s="7">
        <v>66</v>
      </c>
      <c r="C19" s="7">
        <v>65</v>
      </c>
    </row>
    <row r="20" spans="1:3" s="4" customFormat="1" ht="18" customHeight="1" x14ac:dyDescent="0.2">
      <c r="A20" s="3" t="s">
        <v>80</v>
      </c>
      <c r="B20" s="7">
        <v>2</v>
      </c>
      <c r="C20" s="7">
        <v>2</v>
      </c>
    </row>
    <row r="21" spans="1:3" s="4" customFormat="1" ht="18" customHeight="1" x14ac:dyDescent="0.2">
      <c r="A21" s="3" t="s">
        <v>81</v>
      </c>
      <c r="B21" s="7">
        <v>32</v>
      </c>
      <c r="C21" s="7">
        <v>32</v>
      </c>
    </row>
    <row r="22" spans="1:3" s="4" customFormat="1" ht="18" customHeight="1" x14ac:dyDescent="0.2">
      <c r="A22" s="3" t="s">
        <v>82</v>
      </c>
      <c r="B22" s="7">
        <v>7</v>
      </c>
      <c r="C22" s="7">
        <v>7</v>
      </c>
    </row>
    <row r="23" spans="1:3" s="4" customFormat="1" ht="18" customHeight="1" x14ac:dyDescent="0.2">
      <c r="A23" s="3" t="s">
        <v>83</v>
      </c>
      <c r="B23" s="7">
        <v>5</v>
      </c>
      <c r="C23" s="7">
        <v>5</v>
      </c>
    </row>
    <row r="24" spans="1:3" s="4" customFormat="1" ht="18" customHeight="1" x14ac:dyDescent="0.2">
      <c r="A24" s="3" t="s">
        <v>84</v>
      </c>
      <c r="B24" s="7">
        <v>77</v>
      </c>
      <c r="C24" s="7">
        <v>78</v>
      </c>
    </row>
    <row r="25" spans="1:3" s="4" customFormat="1" ht="18" customHeight="1" x14ac:dyDescent="0.2">
      <c r="A25" s="3" t="s">
        <v>85</v>
      </c>
      <c r="B25" s="7">
        <v>190</v>
      </c>
      <c r="C25" s="7">
        <v>194</v>
      </c>
    </row>
    <row r="26" spans="1:3" s="4" customFormat="1" ht="18" customHeight="1" x14ac:dyDescent="0.2">
      <c r="A26" s="3" t="s">
        <v>86</v>
      </c>
      <c r="B26" s="7">
        <v>248</v>
      </c>
      <c r="C26" s="7">
        <v>252</v>
      </c>
    </row>
    <row r="27" spans="1:3" s="4" customFormat="1" ht="18" customHeight="1" x14ac:dyDescent="0.2">
      <c r="A27" s="3" t="s">
        <v>87</v>
      </c>
      <c r="B27" s="7">
        <v>532</v>
      </c>
      <c r="C27" s="7">
        <v>557</v>
      </c>
    </row>
    <row r="28" spans="1:3" s="4" customFormat="1" ht="18" customHeight="1" x14ac:dyDescent="0.2">
      <c r="A28" s="3" t="s">
        <v>88</v>
      </c>
      <c r="B28" s="7">
        <v>315</v>
      </c>
      <c r="C28" s="7">
        <v>336</v>
      </c>
    </row>
    <row r="29" spans="1:3" s="4" customFormat="1" ht="18" customHeight="1" x14ac:dyDescent="0.2">
      <c r="A29" s="3" t="s">
        <v>89</v>
      </c>
      <c r="B29" s="7">
        <v>45</v>
      </c>
      <c r="C29" s="7">
        <v>45</v>
      </c>
    </row>
    <row r="30" spans="1:3" s="4" customFormat="1" ht="18" customHeight="1" x14ac:dyDescent="0.2">
      <c r="A30" s="3" t="s">
        <v>90</v>
      </c>
      <c r="B30" s="7">
        <v>1131</v>
      </c>
      <c r="C30" s="7">
        <v>1164</v>
      </c>
    </row>
    <row r="31" spans="1:3" s="4" customFormat="1" ht="18" customHeight="1" x14ac:dyDescent="0.2">
      <c r="A31" s="3" t="s">
        <v>91</v>
      </c>
      <c r="B31" s="7">
        <v>620</v>
      </c>
      <c r="C31" s="7">
        <v>633</v>
      </c>
    </row>
    <row r="32" spans="1:3" s="4" customFormat="1" ht="18" customHeight="1" x14ac:dyDescent="0.2">
      <c r="A32" s="3" t="s">
        <v>92</v>
      </c>
      <c r="B32" s="7">
        <v>11</v>
      </c>
      <c r="C32" s="7">
        <v>11</v>
      </c>
    </row>
    <row r="33" spans="1:5" s="4" customFormat="1" ht="18" customHeight="1" x14ac:dyDescent="0.2">
      <c r="A33" s="3" t="s">
        <v>767</v>
      </c>
      <c r="B33" s="7">
        <v>2</v>
      </c>
      <c r="C33" s="7">
        <v>2</v>
      </c>
    </row>
    <row r="34" spans="1:5" s="4" customFormat="1" ht="18" customHeight="1" x14ac:dyDescent="0.2">
      <c r="A34" s="3" t="s">
        <v>93</v>
      </c>
      <c r="B34" s="7">
        <v>1</v>
      </c>
      <c r="C34" s="7">
        <v>1</v>
      </c>
    </row>
    <row r="35" spans="1:5" s="4" customFormat="1" ht="18" customHeight="1" x14ac:dyDescent="0.2">
      <c r="A35" s="3" t="s">
        <v>94</v>
      </c>
      <c r="B35" s="7">
        <v>2</v>
      </c>
      <c r="C35" s="7">
        <v>2</v>
      </c>
    </row>
    <row r="36" spans="1:5" s="4" customFormat="1" ht="18" customHeight="1" x14ac:dyDescent="0.2">
      <c r="A36" s="3" t="s">
        <v>95</v>
      </c>
      <c r="B36" s="7">
        <v>1</v>
      </c>
      <c r="C36" s="7">
        <v>1</v>
      </c>
    </row>
    <row r="37" spans="1:5" s="4" customFormat="1" ht="18" customHeight="1" x14ac:dyDescent="0.2">
      <c r="A37" s="3" t="s">
        <v>96</v>
      </c>
      <c r="B37" s="7">
        <v>2</v>
      </c>
      <c r="C37" s="7">
        <v>2</v>
      </c>
    </row>
    <row r="38" spans="1:5" s="4" customFormat="1" ht="12" customHeight="1" x14ac:dyDescent="0.15">
      <c r="A38" s="365" t="s">
        <v>97</v>
      </c>
      <c r="B38" s="365"/>
      <c r="C38" s="365"/>
      <c r="D38" s="365"/>
      <c r="E38" s="365"/>
    </row>
    <row r="39" spans="1:5" s="4" customFormat="1" ht="11.25" customHeight="1" x14ac:dyDescent="0.15">
      <c r="A39" s="365" t="s">
        <v>98</v>
      </c>
      <c r="B39" s="365"/>
      <c r="C39" s="365"/>
      <c r="D39" s="365"/>
      <c r="E39" s="365"/>
    </row>
    <row r="40" spans="1:5" s="4" customFormat="1" ht="11.25" customHeight="1" x14ac:dyDescent="0.15">
      <c r="A40" s="365" t="s">
        <v>99</v>
      </c>
      <c r="B40" s="365"/>
      <c r="C40" s="365"/>
      <c r="D40" s="365"/>
      <c r="E40" s="365"/>
    </row>
    <row r="41" spans="1:5" s="4" customFormat="1" ht="28.35" customHeight="1" x14ac:dyDescent="0.2"/>
  </sheetData>
  <mergeCells count="4">
    <mergeCell ref="A1:D1"/>
    <mergeCell ref="A38:E38"/>
    <mergeCell ref="A39:E39"/>
    <mergeCell ref="A40:E40"/>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J15"/>
  <sheetViews>
    <sheetView workbookViewId="0">
      <selection activeCell="D6" sqref="D6"/>
    </sheetView>
  </sheetViews>
  <sheetFormatPr defaultRowHeight="12.75" x14ac:dyDescent="0.2"/>
  <cols>
    <col min="1" max="1" width="7" bestFit="1" customWidth="1"/>
    <col min="2" max="2" width="35.140625" bestFit="1" customWidth="1"/>
    <col min="3" max="9" width="14.7109375" bestFit="1" customWidth="1"/>
    <col min="10" max="10" width="11.7109375" bestFit="1" customWidth="1"/>
    <col min="11" max="11" width="7.7109375" bestFit="1" customWidth="1"/>
  </cols>
  <sheetData>
    <row r="1" spans="1:10" ht="13.5" customHeight="1" x14ac:dyDescent="0.2">
      <c r="A1" s="364" t="s">
        <v>5</v>
      </c>
      <c r="B1" s="364"/>
      <c r="C1" s="364"/>
      <c r="D1" s="364"/>
      <c r="E1" s="364"/>
      <c r="F1" s="364"/>
      <c r="G1" s="364"/>
      <c r="H1" s="364"/>
      <c r="I1" s="364"/>
      <c r="J1" s="364"/>
    </row>
    <row r="2" spans="1:10" s="4" customFormat="1" ht="35.25" customHeight="1" x14ac:dyDescent="0.2">
      <c r="A2" s="9" t="s">
        <v>100</v>
      </c>
      <c r="B2" s="9" t="s">
        <v>101</v>
      </c>
      <c r="C2" s="9" t="s">
        <v>102</v>
      </c>
      <c r="D2" s="9" t="s">
        <v>103</v>
      </c>
      <c r="E2" s="9" t="s">
        <v>104</v>
      </c>
      <c r="F2" s="9" t="s">
        <v>105</v>
      </c>
      <c r="G2" s="10" t="s">
        <v>106</v>
      </c>
      <c r="H2" s="10" t="s">
        <v>107</v>
      </c>
      <c r="I2" s="10" t="s">
        <v>108</v>
      </c>
      <c r="J2" s="10" t="s">
        <v>109</v>
      </c>
    </row>
    <row r="3" spans="1:10" s="4" customFormat="1" ht="33.75" customHeight="1" x14ac:dyDescent="0.2">
      <c r="A3" s="11">
        <v>1</v>
      </c>
      <c r="B3" s="12" t="s">
        <v>117</v>
      </c>
      <c r="C3" s="13">
        <v>43579</v>
      </c>
      <c r="D3" s="14" t="s">
        <v>118</v>
      </c>
      <c r="E3" s="14" t="s">
        <v>112</v>
      </c>
      <c r="F3" s="11">
        <v>19999830911</v>
      </c>
      <c r="G3" s="11">
        <v>10</v>
      </c>
      <c r="H3" s="11">
        <v>2.5</v>
      </c>
      <c r="I3" s="11">
        <v>12.5</v>
      </c>
      <c r="J3" s="15">
        <v>24999.788</v>
      </c>
    </row>
    <row r="4" spans="1:10" s="4" customFormat="1" ht="33.75" customHeight="1" x14ac:dyDescent="0.2">
      <c r="A4" s="11">
        <v>2</v>
      </c>
      <c r="B4" s="12" t="s">
        <v>114</v>
      </c>
      <c r="C4" s="13">
        <v>43564</v>
      </c>
      <c r="D4" s="14" t="s">
        <v>111</v>
      </c>
      <c r="E4" s="14" t="s">
        <v>112</v>
      </c>
      <c r="F4" s="11">
        <v>25022067</v>
      </c>
      <c r="G4" s="11">
        <v>10</v>
      </c>
      <c r="H4" s="11">
        <v>528</v>
      </c>
      <c r="I4" s="11">
        <v>538</v>
      </c>
      <c r="J4" s="15">
        <v>1345.26</v>
      </c>
    </row>
    <row r="5" spans="1:10" s="4" customFormat="1" ht="33.75" customHeight="1" x14ac:dyDescent="0.2">
      <c r="A5" s="11">
        <v>3</v>
      </c>
      <c r="B5" s="12" t="s">
        <v>113</v>
      </c>
      <c r="C5" s="13">
        <v>43560</v>
      </c>
      <c r="D5" s="14" t="s">
        <v>111</v>
      </c>
      <c r="E5" s="14" t="s">
        <v>112</v>
      </c>
      <c r="F5" s="11">
        <v>13685095</v>
      </c>
      <c r="G5" s="11">
        <v>2</v>
      </c>
      <c r="H5" s="11">
        <v>878</v>
      </c>
      <c r="I5" s="11">
        <v>880</v>
      </c>
      <c r="J5" s="15">
        <v>1204.29</v>
      </c>
    </row>
    <row r="6" spans="1:10" s="4" customFormat="1" ht="33.75" customHeight="1" x14ac:dyDescent="0.2">
      <c r="A6" s="11">
        <v>4</v>
      </c>
      <c r="B6" s="12" t="s">
        <v>110</v>
      </c>
      <c r="C6" s="13">
        <v>43558</v>
      </c>
      <c r="D6" s="14" t="s">
        <v>111</v>
      </c>
      <c r="E6" s="14" t="s">
        <v>112</v>
      </c>
      <c r="F6" s="11">
        <v>253457280</v>
      </c>
      <c r="G6" s="11">
        <v>10</v>
      </c>
      <c r="H6" s="11">
        <v>9</v>
      </c>
      <c r="I6" s="11">
        <v>19</v>
      </c>
      <c r="J6" s="15">
        <v>477.11</v>
      </c>
    </row>
    <row r="7" spans="1:10" s="4" customFormat="1" ht="33.75" customHeight="1" x14ac:dyDescent="0.2">
      <c r="A7" s="11">
        <v>5</v>
      </c>
      <c r="B7" s="12" t="s">
        <v>115</v>
      </c>
      <c r="C7" s="13">
        <v>43570</v>
      </c>
      <c r="D7" s="14" t="s">
        <v>765</v>
      </c>
      <c r="E7" s="14" t="s">
        <v>112</v>
      </c>
      <c r="F7" s="11">
        <v>7200000</v>
      </c>
      <c r="G7" s="11">
        <v>10</v>
      </c>
      <c r="H7" s="11">
        <v>49</v>
      </c>
      <c r="I7" s="11">
        <v>59</v>
      </c>
      <c r="J7" s="15">
        <v>42.48</v>
      </c>
    </row>
    <row r="8" spans="1:10" s="4" customFormat="1" ht="33.75" customHeight="1" x14ac:dyDescent="0.2">
      <c r="A8" s="11">
        <v>6</v>
      </c>
      <c r="B8" s="12" t="s">
        <v>121</v>
      </c>
      <c r="C8" s="13">
        <v>43585</v>
      </c>
      <c r="D8" s="14" t="s">
        <v>118</v>
      </c>
      <c r="E8" s="14" t="s">
        <v>112</v>
      </c>
      <c r="F8" s="11">
        <v>1163262</v>
      </c>
      <c r="G8" s="11">
        <v>10</v>
      </c>
      <c r="H8" s="11">
        <v>95</v>
      </c>
      <c r="I8" s="11">
        <v>105</v>
      </c>
      <c r="J8" s="15">
        <v>12.21</v>
      </c>
    </row>
    <row r="9" spans="1:10" s="4" customFormat="1" ht="33.75" customHeight="1" x14ac:dyDescent="0.2">
      <c r="A9" s="11">
        <v>7</v>
      </c>
      <c r="B9" s="12" t="s">
        <v>764</v>
      </c>
      <c r="C9" s="13">
        <v>43551</v>
      </c>
      <c r="D9" s="14" t="s">
        <v>765</v>
      </c>
      <c r="E9" s="14" t="s">
        <v>112</v>
      </c>
      <c r="F9" s="11">
        <v>2949000</v>
      </c>
      <c r="G9" s="11">
        <v>10</v>
      </c>
      <c r="H9" s="11">
        <v>26</v>
      </c>
      <c r="I9" s="11">
        <v>36</v>
      </c>
      <c r="J9" s="15">
        <v>10.62</v>
      </c>
    </row>
    <row r="10" spans="1:10" s="4" customFormat="1" ht="33.75" customHeight="1" x14ac:dyDescent="0.2">
      <c r="A10" s="11">
        <v>8</v>
      </c>
      <c r="B10" s="12" t="s">
        <v>119</v>
      </c>
      <c r="C10" s="13">
        <v>43581</v>
      </c>
      <c r="D10" s="14" t="s">
        <v>765</v>
      </c>
      <c r="E10" s="14" t="s">
        <v>112</v>
      </c>
      <c r="F10" s="11">
        <v>2056000</v>
      </c>
      <c r="G10" s="11">
        <v>10</v>
      </c>
      <c r="H10" s="11">
        <v>22</v>
      </c>
      <c r="I10" s="11">
        <v>32</v>
      </c>
      <c r="J10" s="15">
        <v>6.58</v>
      </c>
    </row>
    <row r="11" spans="1:10" s="4" customFormat="1" ht="33.75" customHeight="1" x14ac:dyDescent="0.2">
      <c r="A11" s="11">
        <v>9</v>
      </c>
      <c r="B11" s="12" t="s">
        <v>116</v>
      </c>
      <c r="C11" s="13">
        <v>43573</v>
      </c>
      <c r="D11" s="14" t="s">
        <v>765</v>
      </c>
      <c r="E11" s="14" t="s">
        <v>112</v>
      </c>
      <c r="F11" s="11">
        <v>372000</v>
      </c>
      <c r="G11" s="11">
        <v>10</v>
      </c>
      <c r="H11" s="11">
        <v>51</v>
      </c>
      <c r="I11" s="11">
        <v>61</v>
      </c>
      <c r="J11" s="15">
        <v>2.27</v>
      </c>
    </row>
    <row r="12" spans="1:10" s="4" customFormat="1" ht="33.75" customHeight="1" x14ac:dyDescent="0.2">
      <c r="A12" s="11">
        <v>10</v>
      </c>
      <c r="B12" s="12" t="s">
        <v>120</v>
      </c>
      <c r="C12" s="13">
        <v>43581</v>
      </c>
      <c r="D12" s="14" t="s">
        <v>111</v>
      </c>
      <c r="E12" s="14" t="s">
        <v>112</v>
      </c>
      <c r="F12" s="11">
        <v>6155813</v>
      </c>
      <c r="G12" s="11">
        <v>10</v>
      </c>
      <c r="H12" s="11">
        <v>205</v>
      </c>
      <c r="I12" s="11">
        <v>215</v>
      </c>
      <c r="J12" s="15">
        <v>132.35</v>
      </c>
    </row>
    <row r="13" spans="1:10" s="4" customFormat="1" ht="19.5" customHeight="1" x14ac:dyDescent="0.2">
      <c r="A13" s="366" t="s">
        <v>122</v>
      </c>
      <c r="B13" s="366"/>
      <c r="C13" s="366"/>
      <c r="D13" s="366"/>
      <c r="E13" s="366"/>
      <c r="F13" s="366"/>
    </row>
    <row r="14" spans="1:10" s="4" customFormat="1" ht="18" customHeight="1" x14ac:dyDescent="0.2">
      <c r="A14" s="366" t="s">
        <v>123</v>
      </c>
      <c r="B14" s="366"/>
      <c r="C14" s="366"/>
      <c r="D14" s="366"/>
      <c r="E14" s="366"/>
      <c r="F14" s="366"/>
    </row>
    <row r="15" spans="1:10" s="4" customFormat="1" ht="28.35" customHeight="1" x14ac:dyDescent="0.2"/>
  </sheetData>
  <mergeCells count="3">
    <mergeCell ref="A1:J1"/>
    <mergeCell ref="A13:F13"/>
    <mergeCell ref="A14:F14"/>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
  <sheetViews>
    <sheetView workbookViewId="0">
      <selection sqref="A1:J1"/>
    </sheetView>
  </sheetViews>
  <sheetFormatPr defaultRowHeight="12.75" x14ac:dyDescent="0.2"/>
  <cols>
    <col min="1" max="1" width="8.140625" bestFit="1" customWidth="1"/>
    <col min="2" max="2" width="14.7109375" bestFit="1" customWidth="1"/>
    <col min="3" max="3" width="20.7109375" bestFit="1" customWidth="1"/>
    <col min="4" max="4" width="11.140625" bestFit="1" customWidth="1"/>
    <col min="5" max="5" width="11.7109375" bestFit="1" customWidth="1"/>
    <col min="6" max="6" width="12.42578125" bestFit="1" customWidth="1"/>
    <col min="7" max="7" width="12.5703125" bestFit="1" customWidth="1"/>
    <col min="8" max="8" width="9.28515625" bestFit="1" customWidth="1"/>
    <col min="9" max="9" width="8.7109375" bestFit="1" customWidth="1"/>
    <col min="10" max="10" width="7.28515625" bestFit="1" customWidth="1"/>
    <col min="11" max="11" width="4.7109375" bestFit="1" customWidth="1"/>
  </cols>
  <sheetData>
    <row r="1" spans="1:10" ht="15.75" customHeight="1" x14ac:dyDescent="0.2">
      <c r="A1" s="367" t="s">
        <v>124</v>
      </c>
      <c r="B1" s="367"/>
      <c r="C1" s="367"/>
      <c r="D1" s="367"/>
      <c r="E1" s="367"/>
      <c r="F1" s="367"/>
      <c r="G1" s="367"/>
      <c r="H1" s="367"/>
      <c r="I1" s="367"/>
      <c r="J1" s="367"/>
    </row>
    <row r="2" spans="1:10" s="4" customFormat="1" ht="15" customHeight="1" x14ac:dyDescent="0.2">
      <c r="A2" s="368" t="s">
        <v>125</v>
      </c>
      <c r="B2" s="368" t="s">
        <v>126</v>
      </c>
      <c r="C2" s="368" t="s">
        <v>127</v>
      </c>
      <c r="D2" s="368" t="s">
        <v>128</v>
      </c>
      <c r="E2" s="368" t="s">
        <v>129</v>
      </c>
      <c r="F2" s="370" t="s">
        <v>130</v>
      </c>
      <c r="G2" s="371"/>
      <c r="H2" s="372" t="s">
        <v>131</v>
      </c>
      <c r="I2" s="374" t="s">
        <v>132</v>
      </c>
    </row>
    <row r="3" spans="1:10" s="4" customFormat="1" ht="37.5" customHeight="1" x14ac:dyDescent="0.2">
      <c r="A3" s="369"/>
      <c r="B3" s="369"/>
      <c r="C3" s="369"/>
      <c r="D3" s="369"/>
      <c r="E3" s="369"/>
      <c r="F3" s="17" t="s">
        <v>133</v>
      </c>
      <c r="G3" s="17" t="s">
        <v>134</v>
      </c>
      <c r="H3" s="373"/>
      <c r="I3" s="375"/>
    </row>
    <row r="4" spans="1:10" s="4" customFormat="1" ht="87" customHeight="1" x14ac:dyDescent="0.2">
      <c r="A4" s="18">
        <v>1</v>
      </c>
      <c r="B4" s="19" t="s">
        <v>135</v>
      </c>
      <c r="C4" s="19" t="s">
        <v>136</v>
      </c>
      <c r="D4" s="20">
        <v>43546</v>
      </c>
      <c r="E4" s="20">
        <v>43559</v>
      </c>
      <c r="F4" s="21">
        <v>2106000</v>
      </c>
      <c r="G4" s="22">
        <v>26</v>
      </c>
      <c r="H4" s="22">
        <v>2.46</v>
      </c>
      <c r="I4" s="23">
        <v>0.52</v>
      </c>
    </row>
    <row r="5" spans="1:10" s="4" customFormat="1" ht="19.5" customHeight="1" x14ac:dyDescent="0.2">
      <c r="A5" s="366" t="s">
        <v>123</v>
      </c>
      <c r="B5" s="366"/>
    </row>
    <row r="6" spans="1:10" s="4" customFormat="1" ht="27.6" customHeight="1" x14ac:dyDescent="0.2"/>
  </sheetData>
  <mergeCells count="10">
    <mergeCell ref="A5:B5"/>
    <mergeCell ref="A1:J1"/>
    <mergeCell ref="A2:A3"/>
    <mergeCell ref="B2:B3"/>
    <mergeCell ref="C2:C3"/>
    <mergeCell ref="D2:D3"/>
    <mergeCell ref="E2:E3"/>
    <mergeCell ref="F2:G2"/>
    <mergeCell ref="H2:H3"/>
    <mergeCell ref="I2:I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1"/>
  <sheetViews>
    <sheetView workbookViewId="0">
      <selection sqref="A1:I1"/>
    </sheetView>
  </sheetViews>
  <sheetFormatPr defaultRowHeight="12.75" x14ac:dyDescent="0.2"/>
  <cols>
    <col min="1" max="1" width="14.7109375" bestFit="1" customWidth="1"/>
    <col min="2" max="2" width="11.5703125" bestFit="1" customWidth="1"/>
    <col min="3" max="3" width="12.140625" bestFit="1" customWidth="1"/>
    <col min="4" max="4" width="12" bestFit="1" customWidth="1"/>
    <col min="5" max="5" width="12.140625" bestFit="1" customWidth="1"/>
    <col min="6" max="6" width="11.28515625" bestFit="1" customWidth="1"/>
    <col min="7" max="7" width="12.140625" bestFit="1" customWidth="1"/>
    <col min="8" max="8" width="9" bestFit="1" customWidth="1"/>
    <col min="9" max="9" width="11.7109375" bestFit="1" customWidth="1"/>
    <col min="10" max="10" width="4.7109375" bestFit="1" customWidth="1"/>
  </cols>
  <sheetData>
    <row r="1" spans="1:9" ht="13.5" customHeight="1" x14ac:dyDescent="0.2">
      <c r="A1" s="367" t="s">
        <v>7</v>
      </c>
      <c r="B1" s="367"/>
      <c r="C1" s="367"/>
      <c r="D1" s="367"/>
      <c r="E1" s="367"/>
      <c r="F1" s="367"/>
      <c r="G1" s="367"/>
      <c r="H1" s="367"/>
      <c r="I1" s="367"/>
    </row>
    <row r="2" spans="1:9" s="4" customFormat="1" ht="20.25" customHeight="1" x14ac:dyDescent="0.2">
      <c r="A2" s="376" t="s">
        <v>137</v>
      </c>
      <c r="B2" s="379" t="s">
        <v>138</v>
      </c>
      <c r="C2" s="380"/>
      <c r="D2" s="380"/>
      <c r="E2" s="380"/>
      <c r="F2" s="380"/>
      <c r="G2" s="380"/>
      <c r="H2" s="380"/>
      <c r="I2" s="381"/>
    </row>
    <row r="3" spans="1:9" s="4" customFormat="1" ht="18" customHeight="1" x14ac:dyDescent="0.2">
      <c r="A3" s="377"/>
      <c r="B3" s="379" t="s">
        <v>139</v>
      </c>
      <c r="C3" s="380"/>
      <c r="D3" s="380"/>
      <c r="E3" s="380"/>
      <c r="F3" s="380"/>
      <c r="G3" s="381"/>
      <c r="H3" s="382" t="s">
        <v>140</v>
      </c>
      <c r="I3" s="383"/>
    </row>
    <row r="4" spans="1:9" s="4" customFormat="1" ht="26.25" customHeight="1" x14ac:dyDescent="0.2">
      <c r="A4" s="377"/>
      <c r="B4" s="384" t="s">
        <v>141</v>
      </c>
      <c r="C4" s="385"/>
      <c r="D4" s="384" t="s">
        <v>142</v>
      </c>
      <c r="E4" s="385"/>
      <c r="F4" s="384" t="s">
        <v>143</v>
      </c>
      <c r="G4" s="385"/>
      <c r="H4" s="368" t="s">
        <v>144</v>
      </c>
      <c r="I4" s="374" t="s">
        <v>145</v>
      </c>
    </row>
    <row r="5" spans="1:9" s="4" customFormat="1" ht="27.75" customHeight="1" x14ac:dyDescent="0.2">
      <c r="A5" s="378"/>
      <c r="B5" s="9" t="s">
        <v>144</v>
      </c>
      <c r="C5" s="10" t="s">
        <v>145</v>
      </c>
      <c r="D5" s="9" t="s">
        <v>144</v>
      </c>
      <c r="E5" s="10" t="s">
        <v>145</v>
      </c>
      <c r="F5" s="9" t="s">
        <v>144</v>
      </c>
      <c r="G5" s="10" t="s">
        <v>145</v>
      </c>
      <c r="H5" s="369"/>
      <c r="I5" s="375"/>
    </row>
    <row r="6" spans="1:9" s="4" customFormat="1" ht="18" customHeight="1" x14ac:dyDescent="0.2">
      <c r="A6" s="3" t="s">
        <v>61</v>
      </c>
      <c r="B6" s="11">
        <v>63</v>
      </c>
      <c r="C6" s="26">
        <v>23015.99</v>
      </c>
      <c r="D6" s="11">
        <v>4</v>
      </c>
      <c r="E6" s="26">
        <v>4636.33</v>
      </c>
      <c r="F6" s="11">
        <v>4</v>
      </c>
      <c r="G6" s="26">
        <v>941.23</v>
      </c>
      <c r="H6" s="11">
        <v>71</v>
      </c>
      <c r="I6" s="27">
        <v>28593.55</v>
      </c>
    </row>
    <row r="7" spans="1:9" s="4" customFormat="1" ht="18" customHeight="1" x14ac:dyDescent="0.2">
      <c r="A7" s="3" t="s">
        <v>62</v>
      </c>
      <c r="B7" s="11">
        <v>3</v>
      </c>
      <c r="C7" s="26">
        <v>24.55</v>
      </c>
      <c r="D7" s="11">
        <v>1</v>
      </c>
      <c r="E7" s="26">
        <v>31.82</v>
      </c>
      <c r="F7" s="11">
        <v>0</v>
      </c>
      <c r="G7" s="26">
        <v>0</v>
      </c>
      <c r="H7" s="11">
        <v>4</v>
      </c>
      <c r="I7" s="27">
        <v>56.37</v>
      </c>
    </row>
    <row r="8" spans="1:9" s="4" customFormat="1" ht="18" customHeight="1" x14ac:dyDescent="0.2">
      <c r="A8" s="3" t="s">
        <v>146</v>
      </c>
      <c r="B8" s="11">
        <v>3</v>
      </c>
      <c r="C8" s="26">
        <v>24.55</v>
      </c>
      <c r="D8" s="11">
        <v>1</v>
      </c>
      <c r="E8" s="26">
        <v>31.82</v>
      </c>
      <c r="F8" s="11">
        <v>0</v>
      </c>
      <c r="G8" s="26">
        <v>0</v>
      </c>
      <c r="H8" s="11">
        <v>4</v>
      </c>
      <c r="I8" s="27">
        <v>56.37</v>
      </c>
    </row>
    <row r="9" spans="1:9" s="4" customFormat="1" ht="15" customHeight="1" x14ac:dyDescent="0.2">
      <c r="A9" s="366" t="s">
        <v>147</v>
      </c>
      <c r="B9" s="366"/>
      <c r="C9" s="366"/>
      <c r="D9" s="366"/>
      <c r="E9" s="366"/>
      <c r="F9" s="366"/>
      <c r="G9" s="366"/>
      <c r="H9" s="366"/>
      <c r="I9" s="366"/>
    </row>
    <row r="10" spans="1:9" s="4" customFormat="1" ht="13.5" customHeight="1" x14ac:dyDescent="0.2">
      <c r="A10" s="366" t="s">
        <v>123</v>
      </c>
      <c r="B10" s="366"/>
      <c r="C10" s="366"/>
      <c r="D10" s="366"/>
      <c r="E10" s="366"/>
      <c r="F10" s="366"/>
      <c r="G10" s="366"/>
      <c r="H10" s="366"/>
      <c r="I10" s="366"/>
    </row>
    <row r="11" spans="1:9" s="4" customFormat="1" ht="28.35" customHeight="1" x14ac:dyDescent="0.2"/>
  </sheetData>
  <mergeCells count="12">
    <mergeCell ref="A9:I9"/>
    <mergeCell ref="A10:I10"/>
    <mergeCell ref="A1:I1"/>
    <mergeCell ref="A2:A5"/>
    <mergeCell ref="B2:I2"/>
    <mergeCell ref="B3:G3"/>
    <mergeCell ref="H3:I3"/>
    <mergeCell ref="B4:C4"/>
    <mergeCell ref="D4:E4"/>
    <mergeCell ref="F4:G4"/>
    <mergeCell ref="H4:H5"/>
    <mergeCell ref="I4:I5"/>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4"/>
  <sheetViews>
    <sheetView workbookViewId="0">
      <selection sqref="A1:R1"/>
    </sheetView>
  </sheetViews>
  <sheetFormatPr defaultRowHeight="12.75" x14ac:dyDescent="0.2"/>
  <cols>
    <col min="1" max="1" width="14.7109375" bestFit="1" customWidth="1"/>
    <col min="2" max="2" width="15" bestFit="1" customWidth="1"/>
    <col min="3" max="3" width="15.7109375" bestFit="1" customWidth="1"/>
    <col min="4" max="4" width="15" bestFit="1" customWidth="1"/>
    <col min="5" max="5" width="15.7109375" bestFit="1" customWidth="1"/>
    <col min="6" max="6" width="15" bestFit="1" customWidth="1"/>
    <col min="7" max="7" width="15.7109375" bestFit="1" customWidth="1"/>
    <col min="8" max="8" width="15" bestFit="1" customWidth="1"/>
    <col min="9" max="9" width="15.7109375" bestFit="1" customWidth="1"/>
    <col min="10" max="10" width="15" bestFit="1" customWidth="1"/>
    <col min="11" max="11" width="15.7109375" bestFit="1" customWidth="1"/>
    <col min="12" max="12" width="15" bestFit="1" customWidth="1"/>
    <col min="13" max="13" width="15.7109375" bestFit="1" customWidth="1"/>
    <col min="14" max="16" width="15" bestFit="1" customWidth="1"/>
    <col min="17" max="17" width="15.7109375" bestFit="1" customWidth="1"/>
    <col min="18" max="18" width="15" bestFit="1" customWidth="1"/>
    <col min="19" max="19" width="15.7109375" bestFit="1" customWidth="1"/>
    <col min="20" max="20" width="4.7109375" bestFit="1" customWidth="1"/>
  </cols>
  <sheetData>
    <row r="1" spans="1:19" ht="17.25" customHeight="1" x14ac:dyDescent="0.2">
      <c r="A1" s="395" t="s">
        <v>148</v>
      </c>
      <c r="B1" s="395"/>
      <c r="C1" s="395"/>
      <c r="D1" s="395"/>
      <c r="E1" s="395"/>
      <c r="F1" s="395"/>
      <c r="G1" s="395"/>
      <c r="H1" s="395"/>
      <c r="I1" s="395"/>
      <c r="J1" s="395"/>
      <c r="K1" s="395"/>
      <c r="L1" s="395"/>
      <c r="M1" s="395"/>
      <c r="N1" s="395"/>
      <c r="O1" s="395"/>
      <c r="P1" s="395"/>
      <c r="Q1" s="395"/>
      <c r="R1" s="395"/>
    </row>
    <row r="2" spans="1:19" s="4" customFormat="1" ht="18" customHeight="1" x14ac:dyDescent="0.2">
      <c r="A2" s="376" t="s">
        <v>137</v>
      </c>
      <c r="B2" s="391" t="s">
        <v>140</v>
      </c>
      <c r="C2" s="392"/>
      <c r="D2" s="388" t="s">
        <v>149</v>
      </c>
      <c r="E2" s="389"/>
      <c r="F2" s="389"/>
      <c r="G2" s="390"/>
      <c r="H2" s="388" t="s">
        <v>150</v>
      </c>
      <c r="I2" s="389"/>
      <c r="J2" s="389"/>
      <c r="K2" s="390"/>
      <c r="L2" s="388" t="s">
        <v>151</v>
      </c>
      <c r="M2" s="389"/>
      <c r="N2" s="389"/>
      <c r="O2" s="389"/>
      <c r="P2" s="389"/>
      <c r="Q2" s="389"/>
      <c r="R2" s="389"/>
      <c r="S2" s="390"/>
    </row>
    <row r="3" spans="1:19" s="4" customFormat="1" ht="18" customHeight="1" x14ac:dyDescent="0.2">
      <c r="A3" s="377"/>
      <c r="B3" s="396"/>
      <c r="C3" s="397"/>
      <c r="D3" s="391" t="s">
        <v>152</v>
      </c>
      <c r="E3" s="392"/>
      <c r="F3" s="391" t="s">
        <v>118</v>
      </c>
      <c r="G3" s="392"/>
      <c r="H3" s="391" t="s">
        <v>153</v>
      </c>
      <c r="I3" s="392"/>
      <c r="J3" s="391" t="s">
        <v>154</v>
      </c>
      <c r="K3" s="392"/>
      <c r="L3" s="388" t="s">
        <v>155</v>
      </c>
      <c r="M3" s="389"/>
      <c r="N3" s="389"/>
      <c r="O3" s="390"/>
      <c r="P3" s="391" t="s">
        <v>156</v>
      </c>
      <c r="Q3" s="392"/>
      <c r="R3" s="391" t="s">
        <v>157</v>
      </c>
      <c r="S3" s="392"/>
    </row>
    <row r="4" spans="1:19" s="4" customFormat="1" ht="18" customHeight="1" x14ac:dyDescent="0.2">
      <c r="A4" s="377"/>
      <c r="B4" s="393"/>
      <c r="C4" s="394"/>
      <c r="D4" s="393"/>
      <c r="E4" s="394"/>
      <c r="F4" s="393"/>
      <c r="G4" s="394"/>
      <c r="H4" s="393"/>
      <c r="I4" s="394"/>
      <c r="J4" s="393"/>
      <c r="K4" s="394"/>
      <c r="L4" s="388" t="s">
        <v>158</v>
      </c>
      <c r="M4" s="390"/>
      <c r="N4" s="388" t="s">
        <v>159</v>
      </c>
      <c r="O4" s="390"/>
      <c r="P4" s="393"/>
      <c r="Q4" s="394"/>
      <c r="R4" s="393"/>
      <c r="S4" s="394"/>
    </row>
    <row r="5" spans="1:19" s="4" customFormat="1" ht="30" customHeight="1" x14ac:dyDescent="0.2">
      <c r="A5" s="378"/>
      <c r="B5" s="6" t="s">
        <v>160</v>
      </c>
      <c r="C5" s="10" t="s">
        <v>145</v>
      </c>
      <c r="D5" s="6" t="s">
        <v>160</v>
      </c>
      <c r="E5" s="10" t="s">
        <v>145</v>
      </c>
      <c r="F5" s="6" t="s">
        <v>160</v>
      </c>
      <c r="G5" s="10" t="s">
        <v>145</v>
      </c>
      <c r="H5" s="6" t="s">
        <v>160</v>
      </c>
      <c r="I5" s="10" t="s">
        <v>145</v>
      </c>
      <c r="J5" s="6" t="s">
        <v>160</v>
      </c>
      <c r="K5" s="10" t="s">
        <v>145</v>
      </c>
      <c r="L5" s="6" t="s">
        <v>160</v>
      </c>
      <c r="M5" s="10" t="s">
        <v>145</v>
      </c>
      <c r="N5" s="6" t="s">
        <v>160</v>
      </c>
      <c r="O5" s="10" t="s">
        <v>145</v>
      </c>
      <c r="P5" s="6" t="s">
        <v>160</v>
      </c>
      <c r="Q5" s="10" t="s">
        <v>145</v>
      </c>
      <c r="R5" s="6" t="s">
        <v>160</v>
      </c>
      <c r="S5" s="10" t="s">
        <v>145</v>
      </c>
    </row>
    <row r="6" spans="1:19" s="4" customFormat="1" ht="15" customHeight="1" x14ac:dyDescent="0.2">
      <c r="A6" s="3" t="s">
        <v>61</v>
      </c>
      <c r="B6" s="11">
        <v>158</v>
      </c>
      <c r="C6" s="27">
        <v>54914.58</v>
      </c>
      <c r="D6" s="11">
        <v>148</v>
      </c>
      <c r="E6" s="27">
        <v>52765.93</v>
      </c>
      <c r="F6" s="11">
        <v>10</v>
      </c>
      <c r="G6" s="27">
        <v>2148.65</v>
      </c>
      <c r="H6" s="11">
        <v>35</v>
      </c>
      <c r="I6" s="27">
        <v>38828.04</v>
      </c>
      <c r="J6" s="11">
        <v>123</v>
      </c>
      <c r="K6" s="27">
        <v>16086.54</v>
      </c>
      <c r="L6" s="11">
        <v>6</v>
      </c>
      <c r="M6" s="27">
        <v>512.57000000000005</v>
      </c>
      <c r="N6" s="11">
        <v>127</v>
      </c>
      <c r="O6" s="27">
        <v>17722.62</v>
      </c>
      <c r="P6" s="11">
        <v>0</v>
      </c>
      <c r="Q6" s="27">
        <v>0</v>
      </c>
      <c r="R6" s="11">
        <v>25</v>
      </c>
      <c r="S6" s="27">
        <v>36679.39</v>
      </c>
    </row>
    <row r="7" spans="1:19" s="4" customFormat="1" ht="15" customHeight="1" x14ac:dyDescent="0.2">
      <c r="A7" s="3" t="s">
        <v>62</v>
      </c>
      <c r="B7" s="11">
        <v>12</v>
      </c>
      <c r="C7" s="27">
        <v>29349.68</v>
      </c>
      <c r="D7" s="11">
        <v>10</v>
      </c>
      <c r="E7" s="27">
        <v>4337.68</v>
      </c>
      <c r="F7" s="11">
        <v>2</v>
      </c>
      <c r="G7" s="27">
        <v>25012</v>
      </c>
      <c r="H7" s="11">
        <v>4</v>
      </c>
      <c r="I7" s="27">
        <v>26128.720000000001</v>
      </c>
      <c r="J7" s="11">
        <v>8</v>
      </c>
      <c r="K7" s="27">
        <v>3220.96</v>
      </c>
      <c r="L7" s="11">
        <v>0</v>
      </c>
      <c r="M7" s="27">
        <v>0</v>
      </c>
      <c r="N7" s="11">
        <v>10</v>
      </c>
      <c r="O7" s="27">
        <v>28232.959999999999</v>
      </c>
      <c r="P7" s="11">
        <v>0</v>
      </c>
      <c r="Q7" s="27">
        <v>0</v>
      </c>
      <c r="R7" s="11">
        <v>2</v>
      </c>
      <c r="S7" s="27">
        <v>1116.72</v>
      </c>
    </row>
    <row r="8" spans="1:19" s="4" customFormat="1" ht="15" customHeight="1" x14ac:dyDescent="0.2">
      <c r="A8" s="3" t="s">
        <v>146</v>
      </c>
      <c r="B8" s="11">
        <v>12</v>
      </c>
      <c r="C8" s="27">
        <v>29349.68</v>
      </c>
      <c r="D8" s="11">
        <v>10</v>
      </c>
      <c r="E8" s="27">
        <v>4337.68</v>
      </c>
      <c r="F8" s="11">
        <v>2</v>
      </c>
      <c r="G8" s="27">
        <v>25012</v>
      </c>
      <c r="H8" s="11">
        <v>4</v>
      </c>
      <c r="I8" s="27">
        <v>26128.720000000001</v>
      </c>
      <c r="J8" s="11">
        <v>8</v>
      </c>
      <c r="K8" s="27">
        <v>3220.96</v>
      </c>
      <c r="L8" s="11">
        <v>0</v>
      </c>
      <c r="M8" s="27">
        <v>0</v>
      </c>
      <c r="N8" s="11">
        <v>10</v>
      </c>
      <c r="O8" s="27">
        <v>28232.959999999999</v>
      </c>
      <c r="P8" s="11">
        <v>0</v>
      </c>
      <c r="Q8" s="27">
        <v>0</v>
      </c>
      <c r="R8" s="11">
        <v>2</v>
      </c>
      <c r="S8" s="27">
        <v>1116.72</v>
      </c>
    </row>
    <row r="9" spans="1:19" s="4" customFormat="1" ht="25.5" customHeight="1" x14ac:dyDescent="0.2">
      <c r="A9" s="387" t="s">
        <v>161</v>
      </c>
      <c r="B9" s="387"/>
      <c r="C9" s="387"/>
      <c r="D9" s="387"/>
      <c r="E9" s="387"/>
      <c r="F9" s="387"/>
      <c r="G9" s="387"/>
      <c r="H9" s="387"/>
      <c r="I9" s="387"/>
      <c r="J9" s="387"/>
      <c r="K9" s="387"/>
      <c r="L9" s="387"/>
      <c r="M9" s="387"/>
      <c r="N9" s="387"/>
      <c r="O9" s="387"/>
      <c r="P9" s="387"/>
      <c r="Q9" s="387"/>
      <c r="R9" s="387"/>
      <c r="S9" s="387"/>
    </row>
    <row r="10" spans="1:19" s="4" customFormat="1" ht="13.5" customHeight="1" x14ac:dyDescent="0.2">
      <c r="A10" s="386" t="s">
        <v>162</v>
      </c>
      <c r="B10" s="386"/>
      <c r="C10" s="386"/>
      <c r="D10" s="386"/>
      <c r="E10" s="386"/>
      <c r="F10" s="386"/>
      <c r="G10" s="386"/>
      <c r="H10" s="386"/>
      <c r="I10" s="386"/>
      <c r="J10" s="386"/>
      <c r="K10" s="386"/>
      <c r="L10" s="386"/>
      <c r="M10" s="386"/>
      <c r="N10" s="386"/>
      <c r="O10" s="386"/>
      <c r="P10" s="386"/>
      <c r="Q10" s="386"/>
      <c r="R10" s="386"/>
      <c r="S10" s="386"/>
    </row>
    <row r="11" spans="1:19" s="4" customFormat="1" ht="13.5" customHeight="1" x14ac:dyDescent="0.2">
      <c r="A11" s="387" t="s">
        <v>163</v>
      </c>
      <c r="B11" s="387"/>
      <c r="C11" s="387"/>
      <c r="D11" s="387"/>
      <c r="E11" s="387"/>
      <c r="F11" s="387"/>
      <c r="G11" s="387"/>
      <c r="H11" s="387"/>
      <c r="I11" s="387"/>
      <c r="J11" s="387"/>
      <c r="K11" s="387"/>
      <c r="L11" s="387"/>
      <c r="M11" s="387"/>
      <c r="N11" s="387"/>
      <c r="O11" s="387"/>
      <c r="P11" s="387"/>
      <c r="Q11" s="387"/>
      <c r="R11" s="387"/>
      <c r="S11" s="387"/>
    </row>
    <row r="12" spans="1:19" s="4" customFormat="1" ht="13.5" customHeight="1" x14ac:dyDescent="0.2">
      <c r="A12" s="386" t="s">
        <v>98</v>
      </c>
      <c r="B12" s="386"/>
      <c r="C12" s="386"/>
      <c r="D12" s="386"/>
      <c r="E12" s="386"/>
      <c r="F12" s="386"/>
      <c r="G12" s="386"/>
      <c r="H12" s="386"/>
      <c r="I12" s="386"/>
      <c r="J12" s="386"/>
      <c r="K12" s="386"/>
      <c r="L12" s="386"/>
      <c r="M12" s="386"/>
      <c r="N12" s="386"/>
      <c r="O12" s="386"/>
      <c r="P12" s="386"/>
      <c r="Q12" s="386"/>
      <c r="R12" s="386"/>
      <c r="S12" s="386"/>
    </row>
    <row r="13" spans="1:19" s="4" customFormat="1" ht="13.5" customHeight="1" x14ac:dyDescent="0.2">
      <c r="A13" s="386" t="s">
        <v>123</v>
      </c>
      <c r="B13" s="386"/>
      <c r="C13" s="386"/>
      <c r="D13" s="386"/>
      <c r="E13" s="386"/>
      <c r="F13" s="386"/>
      <c r="G13" s="386"/>
      <c r="H13" s="386"/>
      <c r="I13" s="386"/>
      <c r="J13" s="386"/>
      <c r="K13" s="386"/>
      <c r="L13" s="386"/>
      <c r="M13" s="386"/>
      <c r="N13" s="386"/>
      <c r="O13" s="386"/>
      <c r="P13" s="386"/>
      <c r="Q13" s="386"/>
      <c r="R13" s="386"/>
      <c r="S13" s="386"/>
    </row>
    <row r="14" spans="1:19" s="4" customFormat="1" ht="26.1" customHeight="1" x14ac:dyDescent="0.2"/>
  </sheetData>
  <mergeCells count="20">
    <mergeCell ref="A1:R1"/>
    <mergeCell ref="A2:A5"/>
    <mergeCell ref="B2:C4"/>
    <mergeCell ref="D2:G2"/>
    <mergeCell ref="H2:K2"/>
    <mergeCell ref="L2:S2"/>
    <mergeCell ref="D3:E4"/>
    <mergeCell ref="F3:G4"/>
    <mergeCell ref="H3:I4"/>
    <mergeCell ref="J3:K4"/>
    <mergeCell ref="A10:S10"/>
    <mergeCell ref="A11:S11"/>
    <mergeCell ref="A12:S12"/>
    <mergeCell ref="A13:S13"/>
    <mergeCell ref="L3:O3"/>
    <mergeCell ref="P3:Q4"/>
    <mergeCell ref="R3:S4"/>
    <mergeCell ref="L4:M4"/>
    <mergeCell ref="N4:O4"/>
    <mergeCell ref="A9:S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9"/>
  <sheetViews>
    <sheetView workbookViewId="0">
      <selection sqref="A1:C1"/>
    </sheetView>
  </sheetViews>
  <sheetFormatPr defaultRowHeight="12.75" x14ac:dyDescent="0.2"/>
  <cols>
    <col min="1" max="1" width="14.7109375" bestFit="1" customWidth="1"/>
    <col min="2" max="2" width="9.28515625" bestFit="1" customWidth="1"/>
    <col min="3" max="3" width="11.85546875" bestFit="1" customWidth="1"/>
    <col min="4" max="4" width="4.85546875" bestFit="1" customWidth="1"/>
  </cols>
  <sheetData>
    <row r="1" spans="1:3" ht="15.75" customHeight="1" x14ac:dyDescent="0.2">
      <c r="A1" s="364" t="s">
        <v>9</v>
      </c>
      <c r="B1" s="364"/>
      <c r="C1" s="364"/>
    </row>
    <row r="2" spans="1:3" s="4" customFormat="1" ht="18" customHeight="1" x14ac:dyDescent="0.2">
      <c r="A2" s="376" t="s">
        <v>164</v>
      </c>
      <c r="B2" s="388" t="s">
        <v>140</v>
      </c>
      <c r="C2" s="390"/>
    </row>
    <row r="3" spans="1:3" s="4" customFormat="1" ht="28.5" customHeight="1" x14ac:dyDescent="0.2">
      <c r="A3" s="378"/>
      <c r="B3" s="24" t="s">
        <v>165</v>
      </c>
      <c r="C3" s="28" t="s">
        <v>166</v>
      </c>
    </row>
    <row r="4" spans="1:3" s="4" customFormat="1" ht="18" customHeight="1" x14ac:dyDescent="0.2">
      <c r="A4" s="3" t="s">
        <v>61</v>
      </c>
      <c r="B4" s="26">
        <v>110</v>
      </c>
      <c r="C4" s="27">
        <v>1844</v>
      </c>
    </row>
    <row r="5" spans="1:3" s="4" customFormat="1" ht="18" customHeight="1" x14ac:dyDescent="0.2">
      <c r="A5" s="3" t="s">
        <v>62</v>
      </c>
      <c r="B5" s="26">
        <v>3</v>
      </c>
      <c r="C5" s="27">
        <v>51.3292</v>
      </c>
    </row>
    <row r="6" spans="1:3" s="4" customFormat="1" ht="18" customHeight="1" x14ac:dyDescent="0.2">
      <c r="A6" s="3" t="s">
        <v>167</v>
      </c>
      <c r="B6" s="26">
        <v>3</v>
      </c>
      <c r="C6" s="27">
        <v>51.3292</v>
      </c>
    </row>
    <row r="7" spans="1:3" s="4" customFormat="1" ht="15" customHeight="1" x14ac:dyDescent="0.2">
      <c r="A7" s="366" t="s">
        <v>98</v>
      </c>
      <c r="B7" s="366"/>
      <c r="C7" s="366"/>
    </row>
    <row r="8" spans="1:3" s="4" customFormat="1" ht="13.5" customHeight="1" x14ac:dyDescent="0.2">
      <c r="A8" s="366" t="s">
        <v>168</v>
      </c>
      <c r="B8" s="366"/>
      <c r="C8" s="366"/>
    </row>
    <row r="9" spans="1:3" s="4" customFormat="1" ht="27.6" customHeight="1" x14ac:dyDescent="0.2"/>
  </sheetData>
  <mergeCells count="5">
    <mergeCell ref="A1:C1"/>
    <mergeCell ref="A2:A3"/>
    <mergeCell ref="B2:C2"/>
    <mergeCell ref="A7:C7"/>
    <mergeCell ref="A8:C8"/>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0"/>
  <sheetViews>
    <sheetView workbookViewId="0">
      <selection activeCell="J7" sqref="J7"/>
    </sheetView>
  </sheetViews>
  <sheetFormatPr defaultRowHeight="12.75" x14ac:dyDescent="0.2"/>
  <cols>
    <col min="1" max="1" width="27.85546875" bestFit="1" customWidth="1"/>
    <col min="2" max="2" width="14.7109375" bestFit="1" customWidth="1"/>
    <col min="3" max="3" width="11.42578125" bestFit="1" customWidth="1"/>
    <col min="4" max="4" width="14.7109375" bestFit="1" customWidth="1"/>
    <col min="5" max="5" width="11.42578125" bestFit="1" customWidth="1"/>
    <col min="6" max="6" width="4.7109375" bestFit="1" customWidth="1"/>
  </cols>
  <sheetData>
    <row r="1" spans="1:5" ht="18.75" customHeight="1" x14ac:dyDescent="0.2">
      <c r="A1" s="364" t="s">
        <v>10</v>
      </c>
      <c r="B1" s="364"/>
      <c r="C1" s="364"/>
      <c r="D1" s="364"/>
      <c r="E1" s="364"/>
    </row>
    <row r="2" spans="1:5" s="4" customFormat="1" ht="15" customHeight="1" x14ac:dyDescent="0.2">
      <c r="A2" s="368" t="s">
        <v>169</v>
      </c>
      <c r="B2" s="379" t="s">
        <v>62</v>
      </c>
      <c r="C2" s="381"/>
      <c r="D2" s="379" t="s">
        <v>146</v>
      </c>
      <c r="E2" s="381"/>
    </row>
    <row r="3" spans="1:5" s="4" customFormat="1" ht="27" customHeight="1" x14ac:dyDescent="0.2">
      <c r="A3" s="369"/>
      <c r="B3" s="9" t="s">
        <v>160</v>
      </c>
      <c r="C3" s="10" t="s">
        <v>171</v>
      </c>
      <c r="D3" s="9" t="s">
        <v>160</v>
      </c>
      <c r="E3" s="10" t="s">
        <v>145</v>
      </c>
    </row>
    <row r="4" spans="1:5" s="4" customFormat="1" ht="18" customHeight="1" x14ac:dyDescent="0.2">
      <c r="A4" s="29" t="s">
        <v>172</v>
      </c>
      <c r="B4" s="8">
        <v>0</v>
      </c>
      <c r="C4" s="30">
        <v>0</v>
      </c>
      <c r="D4" s="7">
        <v>0</v>
      </c>
      <c r="E4" s="30">
        <v>0</v>
      </c>
    </row>
    <row r="5" spans="1:5" s="4" customFormat="1" ht="18" customHeight="1" x14ac:dyDescent="0.2">
      <c r="A5" s="29" t="s">
        <v>173</v>
      </c>
      <c r="B5" s="8">
        <v>1</v>
      </c>
      <c r="C5" s="30">
        <v>12.21</v>
      </c>
      <c r="D5" s="7">
        <v>1</v>
      </c>
      <c r="E5" s="30">
        <v>12.21</v>
      </c>
    </row>
    <row r="6" spans="1:5" s="4" customFormat="1" ht="18" customHeight="1" x14ac:dyDescent="0.2">
      <c r="A6" s="29" t="s">
        <v>174</v>
      </c>
      <c r="B6" s="8">
        <v>0</v>
      </c>
      <c r="C6" s="30">
        <v>0</v>
      </c>
      <c r="D6" s="7">
        <v>0</v>
      </c>
      <c r="E6" s="30">
        <v>0</v>
      </c>
    </row>
    <row r="7" spans="1:5" s="4" customFormat="1" ht="18" customHeight="1" x14ac:dyDescent="0.2">
      <c r="A7" s="29" t="s">
        <v>175</v>
      </c>
      <c r="B7" s="8">
        <v>0</v>
      </c>
      <c r="C7" s="30">
        <v>0</v>
      </c>
      <c r="D7" s="7">
        <v>0</v>
      </c>
      <c r="E7" s="30">
        <v>0</v>
      </c>
    </row>
    <row r="8" spans="1:5" s="4" customFormat="1" ht="18" customHeight="1" x14ac:dyDescent="0.2">
      <c r="A8" s="29" t="s">
        <v>176</v>
      </c>
      <c r="B8" s="8">
        <v>1</v>
      </c>
      <c r="C8" s="30">
        <v>132.35</v>
      </c>
      <c r="D8" s="7">
        <v>1</v>
      </c>
      <c r="E8" s="30">
        <v>132.35</v>
      </c>
    </row>
    <row r="9" spans="1:5" s="4" customFormat="1" ht="18" customHeight="1" x14ac:dyDescent="0.2">
      <c r="A9" s="29" t="s">
        <v>177</v>
      </c>
      <c r="B9" s="8">
        <v>0</v>
      </c>
      <c r="C9" s="30">
        <v>0</v>
      </c>
      <c r="D9" s="7">
        <v>0</v>
      </c>
      <c r="E9" s="30">
        <v>0</v>
      </c>
    </row>
    <row r="10" spans="1:5" s="4" customFormat="1" ht="18" customHeight="1" x14ac:dyDescent="0.2">
      <c r="A10" s="29" t="s">
        <v>178</v>
      </c>
      <c r="B10" s="8">
        <v>1</v>
      </c>
      <c r="C10" s="30">
        <v>1345.26</v>
      </c>
      <c r="D10" s="7">
        <v>1</v>
      </c>
      <c r="E10" s="30">
        <v>1345.26</v>
      </c>
    </row>
    <row r="11" spans="1:5" s="4" customFormat="1" ht="18" customHeight="1" x14ac:dyDescent="0.2">
      <c r="A11" s="29" t="s">
        <v>179</v>
      </c>
      <c r="B11" s="8">
        <v>1</v>
      </c>
      <c r="C11" s="30">
        <v>477.11</v>
      </c>
      <c r="D11" s="7">
        <v>1</v>
      </c>
      <c r="E11" s="30">
        <v>477.11</v>
      </c>
    </row>
    <row r="12" spans="1:5" s="4" customFormat="1" ht="18" customHeight="1" x14ac:dyDescent="0.2">
      <c r="A12" s="29" t="s">
        <v>180</v>
      </c>
      <c r="B12" s="8">
        <v>1</v>
      </c>
      <c r="C12" s="30">
        <v>2.27</v>
      </c>
      <c r="D12" s="7">
        <v>1</v>
      </c>
      <c r="E12" s="30">
        <v>2.27</v>
      </c>
    </row>
    <row r="13" spans="1:5" s="4" customFormat="1" ht="18" customHeight="1" x14ac:dyDescent="0.2">
      <c r="A13" s="29" t="s">
        <v>181</v>
      </c>
      <c r="B13" s="8">
        <v>2</v>
      </c>
      <c r="C13" s="30">
        <v>1116.72</v>
      </c>
      <c r="D13" s="7">
        <v>2</v>
      </c>
      <c r="E13" s="30">
        <v>1116.72</v>
      </c>
    </row>
    <row r="14" spans="1:5" s="4" customFormat="1" ht="18" customHeight="1" x14ac:dyDescent="0.2">
      <c r="A14" s="29" t="s">
        <v>182</v>
      </c>
      <c r="B14" s="8">
        <v>0</v>
      </c>
      <c r="C14" s="30">
        <v>0</v>
      </c>
      <c r="D14" s="7">
        <v>0</v>
      </c>
      <c r="E14" s="30">
        <v>0</v>
      </c>
    </row>
    <row r="15" spans="1:5" s="4" customFormat="1" ht="18" customHeight="1" x14ac:dyDescent="0.2">
      <c r="A15" s="29" t="s">
        <v>183</v>
      </c>
      <c r="B15" s="8">
        <v>1</v>
      </c>
      <c r="C15" s="30">
        <v>1204.29</v>
      </c>
      <c r="D15" s="7">
        <v>1</v>
      </c>
      <c r="E15" s="30">
        <v>1204.29</v>
      </c>
    </row>
    <row r="16" spans="1:5" s="4" customFormat="1" ht="18" customHeight="1" x14ac:dyDescent="0.2">
      <c r="A16" s="29" t="s">
        <v>184</v>
      </c>
      <c r="B16" s="8">
        <v>0</v>
      </c>
      <c r="C16" s="30">
        <v>0</v>
      </c>
      <c r="D16" s="7">
        <v>0</v>
      </c>
      <c r="E16" s="30">
        <v>0</v>
      </c>
    </row>
    <row r="17" spans="1:5" s="4" customFormat="1" ht="18" customHeight="1" x14ac:dyDescent="0.2">
      <c r="A17" s="29" t="s">
        <v>185</v>
      </c>
      <c r="B17" s="8">
        <v>0</v>
      </c>
      <c r="C17" s="30">
        <v>0</v>
      </c>
      <c r="D17" s="7">
        <v>0</v>
      </c>
      <c r="E17" s="30">
        <v>0</v>
      </c>
    </row>
    <row r="18" spans="1:5" s="4" customFormat="1" ht="18" customHeight="1" x14ac:dyDescent="0.2">
      <c r="A18" s="29" t="s">
        <v>186</v>
      </c>
      <c r="B18" s="8">
        <v>2</v>
      </c>
      <c r="C18" s="30">
        <v>53.1</v>
      </c>
      <c r="D18" s="7">
        <v>2</v>
      </c>
      <c r="E18" s="30">
        <v>53.1</v>
      </c>
    </row>
    <row r="19" spans="1:5" s="4" customFormat="1" ht="18" customHeight="1" x14ac:dyDescent="0.2">
      <c r="A19" s="29" t="s">
        <v>187</v>
      </c>
      <c r="B19" s="8">
        <v>0</v>
      </c>
      <c r="C19" s="30">
        <v>0</v>
      </c>
      <c r="D19" s="7">
        <v>0</v>
      </c>
      <c r="E19" s="30">
        <v>0</v>
      </c>
    </row>
    <row r="20" spans="1:5" s="4" customFormat="1" ht="18" customHeight="1" x14ac:dyDescent="0.2">
      <c r="A20" s="29" t="s">
        <v>188</v>
      </c>
      <c r="B20" s="8">
        <v>1</v>
      </c>
      <c r="C20" s="30">
        <v>24999.79</v>
      </c>
      <c r="D20" s="7">
        <v>1</v>
      </c>
      <c r="E20" s="30">
        <v>24999.79</v>
      </c>
    </row>
    <row r="21" spans="1:5" s="4" customFormat="1" ht="18" customHeight="1" x14ac:dyDescent="0.2">
      <c r="A21" s="29" t="s">
        <v>189</v>
      </c>
      <c r="B21" s="8">
        <v>0</v>
      </c>
      <c r="C21" s="30">
        <v>0</v>
      </c>
      <c r="D21" s="7">
        <v>0</v>
      </c>
      <c r="E21" s="30">
        <v>0</v>
      </c>
    </row>
    <row r="22" spans="1:5" s="4" customFormat="1" ht="18" customHeight="1" x14ac:dyDescent="0.2">
      <c r="A22" s="29" t="s">
        <v>190</v>
      </c>
      <c r="B22" s="8">
        <v>0</v>
      </c>
      <c r="C22" s="30">
        <v>0</v>
      </c>
      <c r="D22" s="7">
        <v>0</v>
      </c>
      <c r="E22" s="30">
        <v>0</v>
      </c>
    </row>
    <row r="23" spans="1:5" s="4" customFormat="1" ht="18" customHeight="1" x14ac:dyDescent="0.2">
      <c r="A23" s="29" t="s">
        <v>191</v>
      </c>
      <c r="B23" s="8">
        <v>0</v>
      </c>
      <c r="C23" s="30">
        <v>0</v>
      </c>
      <c r="D23" s="7">
        <v>0</v>
      </c>
      <c r="E23" s="30">
        <v>0</v>
      </c>
    </row>
    <row r="24" spans="1:5" s="4" customFormat="1" ht="18" customHeight="1" x14ac:dyDescent="0.2">
      <c r="A24" s="29" t="s">
        <v>192</v>
      </c>
      <c r="B24" s="8">
        <v>1</v>
      </c>
      <c r="C24" s="30">
        <v>6.58</v>
      </c>
      <c r="D24" s="7">
        <v>1</v>
      </c>
      <c r="E24" s="30">
        <v>6.58</v>
      </c>
    </row>
    <row r="25" spans="1:5" s="4" customFormat="1" ht="18" customHeight="1" x14ac:dyDescent="0.2">
      <c r="A25" s="29" t="s">
        <v>193</v>
      </c>
      <c r="B25" s="8">
        <v>0</v>
      </c>
      <c r="C25" s="30">
        <v>0</v>
      </c>
      <c r="D25" s="7">
        <v>0</v>
      </c>
      <c r="E25" s="30">
        <v>0</v>
      </c>
    </row>
    <row r="26" spans="1:5" s="4" customFormat="1" ht="18" customHeight="1" x14ac:dyDescent="0.2">
      <c r="A26" s="29" t="s">
        <v>194</v>
      </c>
      <c r="B26" s="8">
        <v>0</v>
      </c>
      <c r="C26" s="30">
        <v>0</v>
      </c>
      <c r="D26" s="7">
        <v>0</v>
      </c>
      <c r="E26" s="30">
        <v>0</v>
      </c>
    </row>
    <row r="27" spans="1:5" s="4" customFormat="1" ht="18" customHeight="1" x14ac:dyDescent="0.2">
      <c r="A27" s="29" t="s">
        <v>140</v>
      </c>
      <c r="B27" s="8">
        <v>12</v>
      </c>
      <c r="C27" s="30">
        <v>29349.68</v>
      </c>
      <c r="D27" s="7">
        <v>12</v>
      </c>
      <c r="E27" s="30">
        <v>29349.68</v>
      </c>
    </row>
    <row r="28" spans="1:5" s="4" customFormat="1" ht="15" customHeight="1" x14ac:dyDescent="0.2">
      <c r="A28" s="366" t="s">
        <v>98</v>
      </c>
      <c r="B28" s="366"/>
      <c r="C28" s="366"/>
      <c r="D28" s="366"/>
      <c r="E28" s="366"/>
    </row>
    <row r="29" spans="1:5" s="4" customFormat="1" ht="13.5" customHeight="1" x14ac:dyDescent="0.2">
      <c r="A29" s="366" t="s">
        <v>123</v>
      </c>
      <c r="B29" s="366"/>
      <c r="C29" s="366"/>
      <c r="D29" s="366"/>
      <c r="E29" s="366"/>
    </row>
    <row r="30" spans="1:5" s="4" customFormat="1" ht="28.35" customHeight="1" x14ac:dyDescent="0.2"/>
  </sheetData>
  <mergeCells count="6">
    <mergeCell ref="A29:E29"/>
    <mergeCell ref="A1:E1"/>
    <mergeCell ref="A2:A3"/>
    <mergeCell ref="B2:C2"/>
    <mergeCell ref="D2:E2"/>
    <mergeCell ref="A28:E28"/>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0"/>
  <sheetViews>
    <sheetView workbookViewId="0">
      <selection sqref="A1:L1"/>
    </sheetView>
  </sheetViews>
  <sheetFormatPr defaultRowHeight="12.75" x14ac:dyDescent="0.2"/>
  <cols>
    <col min="1" max="11" width="14.7109375" bestFit="1" customWidth="1"/>
    <col min="12" max="12" width="14.42578125" bestFit="1" customWidth="1"/>
    <col min="13" max="13" width="15" bestFit="1" customWidth="1"/>
    <col min="14" max="19" width="14.7109375" bestFit="1" customWidth="1"/>
    <col min="20" max="20" width="4.7109375" bestFit="1" customWidth="1"/>
  </cols>
  <sheetData>
    <row r="1" spans="1:19" ht="16.5" customHeight="1" x14ac:dyDescent="0.2">
      <c r="A1" s="398" t="s">
        <v>195</v>
      </c>
      <c r="B1" s="398"/>
      <c r="C1" s="398"/>
      <c r="D1" s="398"/>
      <c r="E1" s="398"/>
      <c r="F1" s="398"/>
      <c r="G1" s="398"/>
      <c r="H1" s="398"/>
      <c r="I1" s="398"/>
      <c r="J1" s="398"/>
      <c r="K1" s="398"/>
      <c r="L1" s="398"/>
    </row>
    <row r="2" spans="1:19" s="4" customFormat="1" ht="18" customHeight="1" x14ac:dyDescent="0.2">
      <c r="A2" s="376" t="s">
        <v>137</v>
      </c>
      <c r="B2" s="391" t="s">
        <v>140</v>
      </c>
      <c r="C2" s="392"/>
      <c r="D2" s="388" t="s">
        <v>196</v>
      </c>
      <c r="E2" s="389"/>
      <c r="F2" s="389"/>
      <c r="G2" s="390"/>
      <c r="H2" s="388" t="s">
        <v>197</v>
      </c>
      <c r="I2" s="389"/>
      <c r="J2" s="389"/>
      <c r="K2" s="389"/>
      <c r="L2" s="389"/>
      <c r="M2" s="389"/>
      <c r="N2" s="389"/>
      <c r="O2" s="389"/>
      <c r="P2" s="389"/>
      <c r="Q2" s="389"/>
      <c r="R2" s="389"/>
      <c r="S2" s="390"/>
    </row>
    <row r="3" spans="1:19" s="4" customFormat="1" ht="18" customHeight="1" x14ac:dyDescent="0.2">
      <c r="A3" s="377"/>
      <c r="B3" s="393"/>
      <c r="C3" s="394"/>
      <c r="D3" s="388" t="s">
        <v>198</v>
      </c>
      <c r="E3" s="390"/>
      <c r="F3" s="388" t="s">
        <v>152</v>
      </c>
      <c r="G3" s="390"/>
      <c r="H3" s="388" t="s">
        <v>199</v>
      </c>
      <c r="I3" s="390"/>
      <c r="J3" s="388" t="s">
        <v>200</v>
      </c>
      <c r="K3" s="390"/>
      <c r="L3" s="388" t="s">
        <v>201</v>
      </c>
      <c r="M3" s="390"/>
      <c r="N3" s="388" t="s">
        <v>202</v>
      </c>
      <c r="O3" s="390"/>
      <c r="P3" s="388" t="s">
        <v>203</v>
      </c>
      <c r="Q3" s="390"/>
      <c r="R3" s="388" t="s">
        <v>204</v>
      </c>
      <c r="S3" s="390"/>
    </row>
    <row r="4" spans="1:19" s="4" customFormat="1" ht="27" customHeight="1" x14ac:dyDescent="0.2">
      <c r="A4" s="378"/>
      <c r="B4" s="6" t="s">
        <v>205</v>
      </c>
      <c r="C4" s="10" t="s">
        <v>206</v>
      </c>
      <c r="D4" s="6" t="s">
        <v>205</v>
      </c>
      <c r="E4" s="10" t="s">
        <v>207</v>
      </c>
      <c r="F4" s="6" t="s">
        <v>205</v>
      </c>
      <c r="G4" s="10" t="s">
        <v>207</v>
      </c>
      <c r="H4" s="6" t="s">
        <v>205</v>
      </c>
      <c r="I4" s="10" t="s">
        <v>207</v>
      </c>
      <c r="J4" s="6" t="s">
        <v>205</v>
      </c>
      <c r="K4" s="10" t="s">
        <v>207</v>
      </c>
      <c r="L4" s="6" t="s">
        <v>205</v>
      </c>
      <c r="M4" s="10" t="s">
        <v>207</v>
      </c>
      <c r="N4" s="6" t="s">
        <v>205</v>
      </c>
      <c r="O4" s="10" t="s">
        <v>207</v>
      </c>
      <c r="P4" s="9" t="s">
        <v>205</v>
      </c>
      <c r="Q4" s="10" t="s">
        <v>207</v>
      </c>
      <c r="R4" s="9" t="s">
        <v>205</v>
      </c>
      <c r="S4" s="10" t="s">
        <v>207</v>
      </c>
    </row>
    <row r="5" spans="1:19" s="4" customFormat="1" ht="18" customHeight="1" x14ac:dyDescent="0.2">
      <c r="A5" s="3" t="s">
        <v>208</v>
      </c>
      <c r="B5" s="11">
        <v>158</v>
      </c>
      <c r="C5" s="26">
        <v>54916.58</v>
      </c>
      <c r="D5" s="31">
        <v>154</v>
      </c>
      <c r="E5" s="26">
        <v>53434.74</v>
      </c>
      <c r="F5" s="31">
        <v>4</v>
      </c>
      <c r="G5" s="26">
        <v>1481.84</v>
      </c>
      <c r="H5" s="31">
        <v>24</v>
      </c>
      <c r="I5" s="26">
        <v>3338.36</v>
      </c>
      <c r="J5" s="31">
        <v>8</v>
      </c>
      <c r="K5" s="26">
        <v>1155.2094999999999</v>
      </c>
      <c r="L5" s="31">
        <v>85</v>
      </c>
      <c r="M5" s="26">
        <v>35717.24</v>
      </c>
      <c r="N5" s="31">
        <v>20</v>
      </c>
      <c r="O5" s="26">
        <v>12175.42</v>
      </c>
      <c r="P5" s="11">
        <v>4</v>
      </c>
      <c r="Q5" s="26">
        <v>115.7</v>
      </c>
      <c r="R5" s="11">
        <v>0</v>
      </c>
      <c r="S5" s="26">
        <v>0</v>
      </c>
    </row>
    <row r="6" spans="1:19" s="4" customFormat="1" ht="18" customHeight="1" x14ac:dyDescent="0.2">
      <c r="A6" s="3" t="s">
        <v>62</v>
      </c>
      <c r="B6" s="11">
        <v>12</v>
      </c>
      <c r="C6" s="26">
        <v>29349.68</v>
      </c>
      <c r="D6" s="31">
        <v>11</v>
      </c>
      <c r="E6" s="26">
        <v>28872.57</v>
      </c>
      <c r="F6" s="31">
        <v>1</v>
      </c>
      <c r="G6" s="26">
        <v>477.11</v>
      </c>
      <c r="H6" s="31">
        <v>3</v>
      </c>
      <c r="I6" s="26">
        <v>1834.58</v>
      </c>
      <c r="J6" s="31">
        <v>0</v>
      </c>
      <c r="K6" s="26">
        <v>0</v>
      </c>
      <c r="L6" s="31">
        <v>8</v>
      </c>
      <c r="M6" s="26">
        <v>27398.38</v>
      </c>
      <c r="N6" s="31">
        <v>1</v>
      </c>
      <c r="O6" s="26">
        <v>116.72</v>
      </c>
      <c r="P6" s="11">
        <v>0</v>
      </c>
      <c r="Q6" s="26">
        <v>0</v>
      </c>
      <c r="R6" s="11">
        <v>0</v>
      </c>
      <c r="S6" s="26">
        <v>0</v>
      </c>
    </row>
    <row r="7" spans="1:19" s="4" customFormat="1" ht="18" customHeight="1" x14ac:dyDescent="0.2">
      <c r="A7" s="3" t="s">
        <v>146</v>
      </c>
      <c r="B7" s="11">
        <v>12</v>
      </c>
      <c r="C7" s="26">
        <v>29349.68</v>
      </c>
      <c r="D7" s="31">
        <v>11</v>
      </c>
      <c r="E7" s="26">
        <v>28872.57</v>
      </c>
      <c r="F7" s="31">
        <v>1</v>
      </c>
      <c r="G7" s="26">
        <v>477.11</v>
      </c>
      <c r="H7" s="31">
        <v>3</v>
      </c>
      <c r="I7" s="26">
        <v>1834.58</v>
      </c>
      <c r="J7" s="31">
        <v>0</v>
      </c>
      <c r="K7" s="26">
        <v>0</v>
      </c>
      <c r="L7" s="31">
        <v>8</v>
      </c>
      <c r="M7" s="26">
        <v>27398.38</v>
      </c>
      <c r="N7" s="31">
        <v>1</v>
      </c>
      <c r="O7" s="26">
        <v>116.72</v>
      </c>
      <c r="P7" s="11">
        <v>0</v>
      </c>
      <c r="Q7" s="26">
        <v>0</v>
      </c>
      <c r="R7" s="11">
        <v>0</v>
      </c>
      <c r="S7" s="26">
        <v>0</v>
      </c>
    </row>
    <row r="8" spans="1:19" s="4" customFormat="1" ht="19.5" customHeight="1" x14ac:dyDescent="0.2">
      <c r="A8" s="366" t="s">
        <v>98</v>
      </c>
      <c r="B8" s="366"/>
      <c r="C8" s="366"/>
    </row>
    <row r="9" spans="1:19" s="4" customFormat="1" ht="18" customHeight="1" x14ac:dyDescent="0.2">
      <c r="A9" s="366" t="s">
        <v>123</v>
      </c>
      <c r="B9" s="366"/>
      <c r="C9" s="366"/>
    </row>
    <row r="10" spans="1:19" s="4" customFormat="1" ht="26.85" customHeight="1" x14ac:dyDescent="0.2"/>
  </sheetData>
  <mergeCells count="15">
    <mergeCell ref="A8:C8"/>
    <mergeCell ref="A9:C9"/>
    <mergeCell ref="A1:L1"/>
    <mergeCell ref="A2:A4"/>
    <mergeCell ref="B2:C3"/>
    <mergeCell ref="D2:G2"/>
    <mergeCell ref="H2:S2"/>
    <mergeCell ref="D3:E3"/>
    <mergeCell ref="F3:G3"/>
    <mergeCell ref="H3:I3"/>
    <mergeCell ref="J3:K3"/>
    <mergeCell ref="L3:M3"/>
    <mergeCell ref="N3:O3"/>
    <mergeCell ref="P3:Q3"/>
    <mergeCell ref="R3:S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9"/>
  <sheetViews>
    <sheetView workbookViewId="0">
      <selection sqref="A1:N1"/>
    </sheetView>
  </sheetViews>
  <sheetFormatPr defaultRowHeight="12.75" x14ac:dyDescent="0.2"/>
  <cols>
    <col min="1" max="1" width="14.7109375" bestFit="1" customWidth="1"/>
    <col min="2" max="2" width="12.140625" bestFit="1" customWidth="1"/>
    <col min="3" max="3" width="9.28515625" bestFit="1" customWidth="1"/>
    <col min="4" max="4" width="12.140625" bestFit="1" customWidth="1"/>
    <col min="5" max="5" width="8.42578125" bestFit="1" customWidth="1"/>
    <col min="6" max="6" width="12.140625" bestFit="1" customWidth="1"/>
    <col min="7" max="7" width="8.42578125" bestFit="1" customWidth="1"/>
    <col min="8" max="8" width="12.140625" bestFit="1" customWidth="1"/>
    <col min="9" max="9" width="8.42578125" bestFit="1" customWidth="1"/>
    <col min="10" max="10" width="12.140625" bestFit="1" customWidth="1"/>
    <col min="11" max="11" width="8.42578125" bestFit="1" customWidth="1"/>
    <col min="12" max="12" width="12.140625" bestFit="1" customWidth="1"/>
    <col min="13" max="13" width="8.42578125" bestFit="1" customWidth="1"/>
    <col min="14" max="14" width="51" bestFit="1" customWidth="1"/>
    <col min="15" max="15" width="4.7109375" bestFit="1" customWidth="1"/>
  </cols>
  <sheetData>
    <row r="1" spans="1:14" ht="15" customHeight="1" x14ac:dyDescent="0.2">
      <c r="A1" s="398" t="s">
        <v>12</v>
      </c>
      <c r="B1" s="398"/>
      <c r="C1" s="398"/>
      <c r="D1" s="398"/>
      <c r="E1" s="398"/>
      <c r="F1" s="398"/>
      <c r="G1" s="398"/>
      <c r="H1" s="398"/>
      <c r="I1" s="398"/>
      <c r="J1" s="398"/>
      <c r="K1" s="398"/>
      <c r="L1" s="398"/>
      <c r="M1" s="398"/>
      <c r="N1" s="398"/>
    </row>
    <row r="2" spans="1:14" s="4" customFormat="1" ht="27" customHeight="1" x14ac:dyDescent="0.2">
      <c r="A2" s="376" t="s">
        <v>137</v>
      </c>
      <c r="B2" s="370" t="s">
        <v>140</v>
      </c>
      <c r="C2" s="371"/>
      <c r="D2" s="370" t="s">
        <v>209</v>
      </c>
      <c r="E2" s="371"/>
      <c r="F2" s="370" t="s">
        <v>210</v>
      </c>
      <c r="G2" s="371"/>
      <c r="H2" s="370" t="s">
        <v>211</v>
      </c>
      <c r="I2" s="371"/>
      <c r="J2" s="370" t="s">
        <v>212</v>
      </c>
      <c r="K2" s="371"/>
      <c r="L2" s="370" t="s">
        <v>213</v>
      </c>
      <c r="M2" s="371"/>
    </row>
    <row r="3" spans="1:14" s="4" customFormat="1" ht="37.5" customHeight="1" x14ac:dyDescent="0.2">
      <c r="A3" s="378"/>
      <c r="B3" s="6" t="s">
        <v>165</v>
      </c>
      <c r="C3" s="10" t="s">
        <v>145</v>
      </c>
      <c r="D3" s="6" t="s">
        <v>165</v>
      </c>
      <c r="E3" s="10" t="s">
        <v>145</v>
      </c>
      <c r="F3" s="6" t="s">
        <v>165</v>
      </c>
      <c r="G3" s="10" t="s">
        <v>145</v>
      </c>
      <c r="H3" s="6" t="s">
        <v>165</v>
      </c>
      <c r="I3" s="10" t="s">
        <v>145</v>
      </c>
      <c r="J3" s="6" t="s">
        <v>165</v>
      </c>
      <c r="K3" s="10" t="s">
        <v>145</v>
      </c>
      <c r="L3" s="6" t="s">
        <v>165</v>
      </c>
      <c r="M3" s="10" t="s">
        <v>145</v>
      </c>
    </row>
    <row r="4" spans="1:14" s="4" customFormat="1" ht="18" customHeight="1" x14ac:dyDescent="0.2">
      <c r="A4" s="3" t="s">
        <v>61</v>
      </c>
      <c r="B4" s="32">
        <v>158</v>
      </c>
      <c r="C4" s="26">
        <v>54916.6</v>
      </c>
      <c r="D4" s="32">
        <v>20</v>
      </c>
      <c r="E4" s="26">
        <v>68.41</v>
      </c>
      <c r="F4" s="32">
        <v>29</v>
      </c>
      <c r="G4" s="26">
        <v>212.75</v>
      </c>
      <c r="H4" s="32">
        <v>61</v>
      </c>
      <c r="I4" s="26">
        <v>1355.19</v>
      </c>
      <c r="J4" s="32">
        <v>6</v>
      </c>
      <c r="K4" s="26">
        <v>437.52</v>
      </c>
      <c r="L4" s="32">
        <v>42</v>
      </c>
      <c r="M4" s="26">
        <v>52842.73</v>
      </c>
    </row>
    <row r="5" spans="1:14" s="4" customFormat="1" ht="18" customHeight="1" x14ac:dyDescent="0.2">
      <c r="A5" s="3" t="s">
        <v>62</v>
      </c>
      <c r="B5" s="32">
        <v>12</v>
      </c>
      <c r="C5" s="26">
        <v>29349.68</v>
      </c>
      <c r="D5" s="32">
        <v>1</v>
      </c>
      <c r="E5" s="26">
        <v>2.27</v>
      </c>
      <c r="F5" s="32">
        <v>1</v>
      </c>
      <c r="G5" s="26">
        <v>6.58</v>
      </c>
      <c r="H5" s="32">
        <v>3</v>
      </c>
      <c r="I5" s="26">
        <v>65.31</v>
      </c>
      <c r="J5" s="32">
        <v>0</v>
      </c>
      <c r="K5" s="26">
        <v>0</v>
      </c>
      <c r="L5" s="32">
        <v>7</v>
      </c>
      <c r="M5" s="26">
        <v>29275.52</v>
      </c>
    </row>
    <row r="6" spans="1:14" s="4" customFormat="1" ht="18" customHeight="1" x14ac:dyDescent="0.2">
      <c r="A6" s="3" t="s">
        <v>146</v>
      </c>
      <c r="B6" s="32">
        <v>12</v>
      </c>
      <c r="C6" s="26">
        <v>29349.68</v>
      </c>
      <c r="D6" s="32">
        <v>1</v>
      </c>
      <c r="E6" s="26">
        <v>2.27</v>
      </c>
      <c r="F6" s="32">
        <v>1</v>
      </c>
      <c r="G6" s="26">
        <v>6.58</v>
      </c>
      <c r="H6" s="32">
        <v>3</v>
      </c>
      <c r="I6" s="26">
        <v>65.31</v>
      </c>
      <c r="J6" s="32">
        <v>0</v>
      </c>
      <c r="K6" s="26">
        <v>0</v>
      </c>
      <c r="L6" s="32">
        <v>7</v>
      </c>
      <c r="M6" s="26">
        <v>29275.52</v>
      </c>
    </row>
    <row r="7" spans="1:14" s="4" customFormat="1" ht="18.75" customHeight="1" x14ac:dyDescent="0.2">
      <c r="A7" s="366" t="s">
        <v>98</v>
      </c>
      <c r="B7" s="366"/>
      <c r="C7" s="366"/>
    </row>
    <row r="8" spans="1:14" s="4" customFormat="1" ht="18" customHeight="1" x14ac:dyDescent="0.2">
      <c r="A8" s="366" t="s">
        <v>123</v>
      </c>
      <c r="B8" s="366"/>
      <c r="C8" s="366"/>
    </row>
    <row r="9" spans="1:14" s="4" customFormat="1" ht="28.35" customHeight="1" x14ac:dyDescent="0.2"/>
  </sheetData>
  <mergeCells count="10">
    <mergeCell ref="A7:C7"/>
    <mergeCell ref="A8:C8"/>
    <mergeCell ref="A1:N1"/>
    <mergeCell ref="A2:A3"/>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K10"/>
  <sheetViews>
    <sheetView workbookViewId="0">
      <selection sqref="A1:I1"/>
    </sheetView>
  </sheetViews>
  <sheetFormatPr defaultRowHeight="12.75" x14ac:dyDescent="0.2"/>
  <cols>
    <col min="1" max="1" width="14.7109375" bestFit="1" customWidth="1"/>
    <col min="2" max="2" width="12.140625" bestFit="1" customWidth="1"/>
    <col min="3" max="3" width="15.7109375" bestFit="1" customWidth="1"/>
    <col min="4" max="4" width="12.140625" bestFit="1" customWidth="1"/>
    <col min="5" max="7" width="15.7109375" bestFit="1" customWidth="1"/>
    <col min="8" max="9" width="12.140625" bestFit="1" customWidth="1"/>
    <col min="10" max="11" width="15.7109375" bestFit="1" customWidth="1"/>
    <col min="12" max="12" width="4.7109375" bestFit="1" customWidth="1"/>
  </cols>
  <sheetData>
    <row r="1" spans="1:11" ht="18.75" customHeight="1" x14ac:dyDescent="0.2">
      <c r="A1" s="398" t="s">
        <v>13</v>
      </c>
      <c r="B1" s="398"/>
      <c r="C1" s="398"/>
      <c r="D1" s="398"/>
      <c r="E1" s="398"/>
      <c r="F1" s="398"/>
      <c r="G1" s="398"/>
      <c r="H1" s="398"/>
      <c r="I1" s="398"/>
    </row>
    <row r="2" spans="1:11" s="4" customFormat="1" ht="18" customHeight="1" x14ac:dyDescent="0.2">
      <c r="A2" s="401" t="s">
        <v>137</v>
      </c>
      <c r="B2" s="399" t="s">
        <v>214</v>
      </c>
      <c r="C2" s="400"/>
      <c r="D2" s="399" t="s">
        <v>215</v>
      </c>
      <c r="E2" s="400"/>
      <c r="F2" s="399" t="s">
        <v>216</v>
      </c>
      <c r="G2" s="400"/>
      <c r="H2" s="399" t="s">
        <v>217</v>
      </c>
      <c r="I2" s="400"/>
      <c r="J2" s="399" t="s">
        <v>140</v>
      </c>
      <c r="K2" s="400"/>
    </row>
    <row r="3" spans="1:11" s="4" customFormat="1" ht="27" customHeight="1" x14ac:dyDescent="0.2">
      <c r="A3" s="402"/>
      <c r="B3" s="33" t="s">
        <v>160</v>
      </c>
      <c r="C3" s="34" t="s">
        <v>207</v>
      </c>
      <c r="D3" s="33" t="s">
        <v>160</v>
      </c>
      <c r="E3" s="34" t="s">
        <v>207</v>
      </c>
      <c r="F3" s="34" t="s">
        <v>160</v>
      </c>
      <c r="G3" s="34" t="s">
        <v>207</v>
      </c>
      <c r="H3" s="33" t="s">
        <v>160</v>
      </c>
      <c r="I3" s="34" t="s">
        <v>207</v>
      </c>
      <c r="J3" s="33" t="s">
        <v>160</v>
      </c>
      <c r="K3" s="34" t="s">
        <v>207</v>
      </c>
    </row>
    <row r="4" spans="1:11" s="4" customFormat="1" ht="18" customHeight="1" x14ac:dyDescent="0.2">
      <c r="A4" s="29" t="s">
        <v>61</v>
      </c>
      <c r="B4" s="35">
        <v>1</v>
      </c>
      <c r="C4" s="7">
        <v>113.25139</v>
      </c>
      <c r="D4" s="35">
        <v>0</v>
      </c>
      <c r="E4" s="7">
        <v>0</v>
      </c>
      <c r="F4" s="8">
        <v>0</v>
      </c>
      <c r="G4" s="8">
        <v>0</v>
      </c>
      <c r="H4" s="35">
        <v>13</v>
      </c>
      <c r="I4" s="7">
        <v>8565.0668453950002</v>
      </c>
      <c r="J4" s="8">
        <v>14</v>
      </c>
      <c r="K4" s="7">
        <v>8678.3182353949996</v>
      </c>
    </row>
    <row r="5" spans="1:11" s="4" customFormat="1" ht="18" customHeight="1" x14ac:dyDescent="0.2">
      <c r="A5" s="29" t="s">
        <v>62</v>
      </c>
      <c r="B5" s="35">
        <v>0</v>
      </c>
      <c r="C5" s="7">
        <v>0</v>
      </c>
      <c r="D5" s="35">
        <v>0</v>
      </c>
      <c r="E5" s="7">
        <v>0</v>
      </c>
      <c r="F5" s="8">
        <v>0</v>
      </c>
      <c r="G5" s="8">
        <v>0</v>
      </c>
      <c r="H5" s="35">
        <v>1</v>
      </c>
      <c r="I5" s="7">
        <v>3172.82</v>
      </c>
      <c r="J5" s="8">
        <v>1</v>
      </c>
      <c r="K5" s="7">
        <v>3172.82</v>
      </c>
    </row>
    <row r="6" spans="1:11" s="4" customFormat="1" ht="18" customHeight="1" x14ac:dyDescent="0.2">
      <c r="A6" s="29" t="s">
        <v>146</v>
      </c>
      <c r="B6" s="35">
        <v>0</v>
      </c>
      <c r="C6" s="7">
        <v>0</v>
      </c>
      <c r="D6" s="35">
        <v>0</v>
      </c>
      <c r="E6" s="7">
        <v>0</v>
      </c>
      <c r="F6" s="8">
        <v>0</v>
      </c>
      <c r="G6" s="8">
        <v>0</v>
      </c>
      <c r="H6" s="35">
        <v>1</v>
      </c>
      <c r="I6" s="7">
        <v>3172.82</v>
      </c>
      <c r="J6" s="8">
        <v>1</v>
      </c>
      <c r="K6" s="7">
        <v>3172.82</v>
      </c>
    </row>
    <row r="7" spans="1:11" s="4" customFormat="1" ht="24.75" customHeight="1" x14ac:dyDescent="0.2">
      <c r="A7" s="387" t="s">
        <v>218</v>
      </c>
      <c r="B7" s="387"/>
      <c r="C7" s="387"/>
      <c r="D7" s="387"/>
      <c r="E7" s="387"/>
      <c r="F7" s="387"/>
      <c r="G7" s="387"/>
      <c r="H7" s="387"/>
      <c r="I7" s="387"/>
    </row>
    <row r="8" spans="1:11" s="4" customFormat="1" ht="13.5" customHeight="1" x14ac:dyDescent="0.2">
      <c r="A8" s="386" t="s">
        <v>98</v>
      </c>
      <c r="B8" s="386"/>
      <c r="C8" s="386"/>
      <c r="D8" s="386"/>
      <c r="E8" s="386"/>
      <c r="F8" s="386"/>
      <c r="G8" s="386"/>
      <c r="H8" s="386"/>
      <c r="I8" s="386"/>
    </row>
    <row r="9" spans="1:11" s="4" customFormat="1" ht="13.5" customHeight="1" x14ac:dyDescent="0.2">
      <c r="A9" s="386" t="s">
        <v>219</v>
      </c>
      <c r="B9" s="386"/>
      <c r="C9" s="386"/>
      <c r="D9" s="386"/>
      <c r="E9" s="386"/>
      <c r="F9" s="386"/>
      <c r="G9" s="386"/>
      <c r="H9" s="386"/>
      <c r="I9" s="386"/>
    </row>
    <row r="10" spans="1:11" s="4" customFormat="1" ht="24.6" customHeight="1" x14ac:dyDescent="0.2"/>
  </sheetData>
  <mergeCells count="10">
    <mergeCell ref="J2:K2"/>
    <mergeCell ref="A7:I7"/>
    <mergeCell ref="A8:I8"/>
    <mergeCell ref="A9:I9"/>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K9"/>
  <sheetViews>
    <sheetView workbookViewId="0">
      <selection sqref="A1:I1"/>
    </sheetView>
  </sheetViews>
  <sheetFormatPr defaultRowHeight="12.75" x14ac:dyDescent="0.2"/>
  <cols>
    <col min="1" max="2" width="14.7109375" bestFit="1" customWidth="1"/>
    <col min="3" max="3" width="15.7109375" bestFit="1" customWidth="1"/>
    <col min="4" max="4" width="14.7109375" bestFit="1" customWidth="1"/>
    <col min="5" max="5" width="15.7109375" bestFit="1" customWidth="1"/>
    <col min="6" max="6" width="14.7109375" bestFit="1" customWidth="1"/>
    <col min="7" max="7" width="15.7109375" bestFit="1" customWidth="1"/>
    <col min="8" max="8" width="14.7109375" bestFit="1" customWidth="1"/>
    <col min="9" max="11" width="15.7109375" bestFit="1" customWidth="1"/>
    <col min="12" max="12" width="4.7109375" bestFit="1" customWidth="1"/>
  </cols>
  <sheetData>
    <row r="1" spans="1:11" ht="14.25" customHeight="1" x14ac:dyDescent="0.2">
      <c r="A1" s="398" t="s">
        <v>14</v>
      </c>
      <c r="B1" s="398"/>
      <c r="C1" s="398"/>
      <c r="D1" s="398"/>
      <c r="E1" s="398"/>
      <c r="F1" s="398"/>
      <c r="G1" s="398"/>
      <c r="H1" s="398"/>
      <c r="I1" s="398"/>
    </row>
    <row r="2" spans="1:11" s="4" customFormat="1" ht="15.75" customHeight="1" x14ac:dyDescent="0.2">
      <c r="A2" s="376" t="s">
        <v>220</v>
      </c>
      <c r="B2" s="388" t="s">
        <v>214</v>
      </c>
      <c r="C2" s="390"/>
      <c r="D2" s="388" t="s">
        <v>215</v>
      </c>
      <c r="E2" s="390"/>
      <c r="F2" s="388" t="s">
        <v>216</v>
      </c>
      <c r="G2" s="390"/>
      <c r="H2" s="388" t="s">
        <v>217</v>
      </c>
      <c r="I2" s="390"/>
      <c r="J2" s="388" t="s">
        <v>140</v>
      </c>
      <c r="K2" s="390"/>
    </row>
    <row r="3" spans="1:11" s="4" customFormat="1" ht="25.5" customHeight="1" x14ac:dyDescent="0.2">
      <c r="A3" s="378"/>
      <c r="B3" s="6" t="s">
        <v>221</v>
      </c>
      <c r="C3" s="10" t="s">
        <v>207</v>
      </c>
      <c r="D3" s="6" t="s">
        <v>221</v>
      </c>
      <c r="E3" s="10" t="s">
        <v>207</v>
      </c>
      <c r="F3" s="6" t="s">
        <v>221</v>
      </c>
      <c r="G3" s="10" t="s">
        <v>206</v>
      </c>
      <c r="H3" s="6" t="s">
        <v>221</v>
      </c>
      <c r="I3" s="10" t="s">
        <v>222</v>
      </c>
      <c r="J3" s="9" t="s">
        <v>160</v>
      </c>
      <c r="K3" s="10" t="s">
        <v>206</v>
      </c>
    </row>
    <row r="4" spans="1:11" s="4" customFormat="1" ht="15" customHeight="1" x14ac:dyDescent="0.2">
      <c r="A4" s="36" t="s">
        <v>61</v>
      </c>
      <c r="B4" s="11">
        <v>208</v>
      </c>
      <c r="C4" s="27">
        <v>10824.710000000001</v>
      </c>
      <c r="D4" s="11">
        <v>20</v>
      </c>
      <c r="E4" s="32">
        <v>8032.0049999999992</v>
      </c>
      <c r="F4" s="11">
        <v>4</v>
      </c>
      <c r="G4" s="27">
        <v>23.59</v>
      </c>
      <c r="H4" s="11">
        <v>171</v>
      </c>
      <c r="I4" s="11">
        <v>191281.41999999998</v>
      </c>
      <c r="J4" s="11">
        <v>403</v>
      </c>
      <c r="K4" s="37">
        <v>210161.72499999998</v>
      </c>
    </row>
    <row r="5" spans="1:11" s="4" customFormat="1" ht="15" customHeight="1" x14ac:dyDescent="0.2">
      <c r="A5" s="36" t="s">
        <v>62</v>
      </c>
      <c r="B5" s="11">
        <v>7</v>
      </c>
      <c r="C5" s="27">
        <v>21.53</v>
      </c>
      <c r="D5" s="11">
        <v>0</v>
      </c>
      <c r="E5" s="32">
        <v>0</v>
      </c>
      <c r="F5" s="11">
        <v>0</v>
      </c>
      <c r="G5" s="27">
        <v>0</v>
      </c>
      <c r="H5" s="11">
        <v>16</v>
      </c>
      <c r="I5" s="32">
        <v>35806.25</v>
      </c>
      <c r="J5" s="11">
        <v>23</v>
      </c>
      <c r="K5" s="27">
        <v>35827.78</v>
      </c>
    </row>
    <row r="6" spans="1:11" s="4" customFormat="1" ht="15" customHeight="1" x14ac:dyDescent="0.2">
      <c r="A6" s="36" t="s">
        <v>146</v>
      </c>
      <c r="B6" s="11">
        <v>7</v>
      </c>
      <c r="C6" s="27">
        <v>21.53</v>
      </c>
      <c r="D6" s="11">
        <v>0</v>
      </c>
      <c r="E6" s="32">
        <v>0</v>
      </c>
      <c r="F6" s="11">
        <v>0</v>
      </c>
      <c r="G6" s="27">
        <v>0</v>
      </c>
      <c r="H6" s="11">
        <v>16</v>
      </c>
      <c r="I6" s="32">
        <v>35806.25</v>
      </c>
      <c r="J6" s="11">
        <v>23</v>
      </c>
      <c r="K6" s="27">
        <v>35827.78</v>
      </c>
    </row>
    <row r="7" spans="1:11" s="4" customFormat="1" ht="14.25" customHeight="1" x14ac:dyDescent="0.2">
      <c r="A7" s="366" t="s">
        <v>98</v>
      </c>
      <c r="B7" s="366"/>
    </row>
    <row r="8" spans="1:11" s="4" customFormat="1" ht="13.5" customHeight="1" x14ac:dyDescent="0.2">
      <c r="A8" s="366" t="s">
        <v>219</v>
      </c>
      <c r="B8" s="366"/>
    </row>
    <row r="9" spans="1:11" s="4" customFormat="1" ht="28.35" customHeight="1" x14ac:dyDescent="0.2"/>
  </sheetData>
  <mergeCells count="9">
    <mergeCell ref="J2:K2"/>
    <mergeCell ref="A7:B7"/>
    <mergeCell ref="A8:B8"/>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
  <sheetViews>
    <sheetView workbookViewId="0">
      <selection sqref="A1:I1"/>
    </sheetView>
  </sheetViews>
  <sheetFormatPr defaultRowHeight="12.75" x14ac:dyDescent="0.2"/>
  <cols>
    <col min="1" max="2" width="14.7109375" bestFit="1" customWidth="1"/>
    <col min="3" max="3" width="15.85546875" bestFit="1" customWidth="1"/>
    <col min="4" max="4" width="14.7109375" bestFit="1" customWidth="1"/>
    <col min="5" max="5" width="15.85546875" bestFit="1" customWidth="1"/>
    <col min="6" max="6" width="14.7109375" bestFit="1" customWidth="1"/>
    <col min="7" max="7" width="15.85546875" bestFit="1" customWidth="1"/>
    <col min="8" max="8" width="14.7109375" bestFit="1" customWidth="1"/>
    <col min="9" max="9" width="15.85546875" bestFit="1" customWidth="1"/>
    <col min="10" max="10" width="4.7109375" bestFit="1" customWidth="1"/>
  </cols>
  <sheetData>
    <row r="1" spans="1:9" ht="15.75" customHeight="1" x14ac:dyDescent="0.2">
      <c r="A1" s="403" t="s">
        <v>15</v>
      </c>
      <c r="B1" s="403"/>
      <c r="C1" s="403"/>
      <c r="D1" s="403"/>
      <c r="E1" s="403"/>
      <c r="F1" s="403"/>
      <c r="G1" s="403"/>
      <c r="H1" s="403"/>
      <c r="I1" s="403"/>
    </row>
    <row r="2" spans="1:9" s="4" customFormat="1" ht="18" customHeight="1" x14ac:dyDescent="0.2">
      <c r="A2" s="404" t="s">
        <v>220</v>
      </c>
      <c r="B2" s="382" t="s">
        <v>214</v>
      </c>
      <c r="C2" s="383"/>
      <c r="D2" s="382" t="s">
        <v>215</v>
      </c>
      <c r="E2" s="383"/>
      <c r="F2" s="382" t="s">
        <v>217</v>
      </c>
      <c r="G2" s="383"/>
      <c r="H2" s="382" t="s">
        <v>223</v>
      </c>
      <c r="I2" s="383"/>
    </row>
    <row r="3" spans="1:9" s="4" customFormat="1" ht="27" customHeight="1" x14ac:dyDescent="0.2">
      <c r="A3" s="405"/>
      <c r="B3" s="24" t="s">
        <v>224</v>
      </c>
      <c r="C3" s="28" t="s">
        <v>206</v>
      </c>
      <c r="D3" s="24" t="s">
        <v>224</v>
      </c>
      <c r="E3" s="28" t="s">
        <v>207</v>
      </c>
      <c r="F3" s="24" t="s">
        <v>224</v>
      </c>
      <c r="G3" s="28" t="s">
        <v>207</v>
      </c>
      <c r="H3" s="24" t="s">
        <v>224</v>
      </c>
      <c r="I3" s="28" t="s">
        <v>207</v>
      </c>
    </row>
    <row r="4" spans="1:9" s="4" customFormat="1" ht="18" customHeight="1" x14ac:dyDescent="0.2">
      <c r="A4" s="3" t="s">
        <v>61</v>
      </c>
      <c r="B4" s="38">
        <v>479</v>
      </c>
      <c r="C4" s="39">
        <v>177592.58790000001</v>
      </c>
      <c r="D4" s="38">
        <v>1703</v>
      </c>
      <c r="E4" s="39">
        <v>247190.35226000001</v>
      </c>
      <c r="F4" s="38">
        <v>176</v>
      </c>
      <c r="G4" s="39">
        <v>185274.02249999999</v>
      </c>
      <c r="H4" s="38">
        <v>2358</v>
      </c>
      <c r="I4" s="39">
        <v>579424.55266000004</v>
      </c>
    </row>
    <row r="5" spans="1:9" s="4" customFormat="1" ht="18" customHeight="1" x14ac:dyDescent="0.2">
      <c r="A5" s="3" t="s">
        <v>62</v>
      </c>
      <c r="B5" s="38">
        <v>39</v>
      </c>
      <c r="C5" s="26">
        <v>26394.183000000001</v>
      </c>
      <c r="D5" s="38">
        <v>174</v>
      </c>
      <c r="E5" s="26">
        <v>31434.83</v>
      </c>
      <c r="F5" s="38">
        <v>11</v>
      </c>
      <c r="G5" s="26">
        <v>12235.204</v>
      </c>
      <c r="H5" s="38">
        <v>224</v>
      </c>
      <c r="I5" s="26">
        <v>70064.217000000004</v>
      </c>
    </row>
    <row r="6" spans="1:9" s="4" customFormat="1" ht="18" customHeight="1" x14ac:dyDescent="0.2">
      <c r="A6" s="3" t="s">
        <v>146</v>
      </c>
      <c r="B6" s="38">
        <v>39</v>
      </c>
      <c r="C6" s="26">
        <v>26394.183000000001</v>
      </c>
      <c r="D6" s="38">
        <v>174</v>
      </c>
      <c r="E6" s="26">
        <v>31434.83</v>
      </c>
      <c r="F6" s="38">
        <v>11</v>
      </c>
      <c r="G6" s="26">
        <v>12235.204</v>
      </c>
      <c r="H6" s="38">
        <v>224</v>
      </c>
      <c r="I6" s="26">
        <v>70064.217000000004</v>
      </c>
    </row>
    <row r="7" spans="1:9" s="4" customFormat="1" ht="15" customHeight="1" x14ac:dyDescent="0.2">
      <c r="A7" s="366" t="s">
        <v>225</v>
      </c>
      <c r="B7" s="366"/>
    </row>
    <row r="8" spans="1:9" s="4" customFormat="1" ht="13.5" customHeight="1" x14ac:dyDescent="0.2">
      <c r="A8" s="366" t="s">
        <v>226</v>
      </c>
      <c r="B8" s="366"/>
    </row>
    <row r="9" spans="1:9" s="4" customFormat="1" ht="27.6" customHeight="1" x14ac:dyDescent="0.2"/>
  </sheetData>
  <mergeCells count="8">
    <mergeCell ref="A7:B7"/>
    <mergeCell ref="A8:B8"/>
    <mergeCell ref="A1:I1"/>
    <mergeCell ref="A2:A3"/>
    <mergeCell ref="B2:C2"/>
    <mergeCell ref="D2:E2"/>
    <mergeCell ref="F2:G2"/>
    <mergeCell ref="H2:I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workbookViewId="0">
      <selection sqref="A1:I1"/>
    </sheetView>
  </sheetViews>
  <sheetFormatPr defaultRowHeight="12.75" x14ac:dyDescent="0.2"/>
  <cols>
    <col min="1" max="2" width="14.7109375" bestFit="1" customWidth="1"/>
    <col min="3" max="3" width="19.42578125" bestFit="1" customWidth="1"/>
    <col min="4" max="4" width="14.7109375" bestFit="1" customWidth="1"/>
    <col min="5" max="5" width="19.42578125" bestFit="1" customWidth="1"/>
    <col min="6" max="6" width="7.42578125" bestFit="1" customWidth="1"/>
    <col min="7" max="7" width="16.7109375" bestFit="1" customWidth="1"/>
    <col min="8" max="8" width="9.7109375" bestFit="1" customWidth="1"/>
    <col min="9" max="9" width="2.7109375" bestFit="1" customWidth="1"/>
    <col min="10" max="10" width="13.28515625" bestFit="1" customWidth="1"/>
    <col min="11" max="11" width="4.7109375" bestFit="1" customWidth="1"/>
  </cols>
  <sheetData>
    <row r="1" spans="1:10" ht="15" customHeight="1" x14ac:dyDescent="0.2">
      <c r="A1" s="398" t="s">
        <v>16</v>
      </c>
      <c r="B1" s="398"/>
      <c r="C1" s="398"/>
      <c r="D1" s="398"/>
      <c r="E1" s="398"/>
      <c r="F1" s="398"/>
      <c r="G1" s="398"/>
      <c r="H1" s="398"/>
      <c r="I1" s="398"/>
    </row>
    <row r="2" spans="1:10" s="4" customFormat="1" ht="18" customHeight="1" x14ac:dyDescent="0.2">
      <c r="A2" s="376" t="s">
        <v>137</v>
      </c>
      <c r="B2" s="382" t="s">
        <v>227</v>
      </c>
      <c r="C2" s="383"/>
      <c r="D2" s="382" t="s">
        <v>228</v>
      </c>
      <c r="E2" s="383"/>
      <c r="F2" s="382" t="s">
        <v>229</v>
      </c>
      <c r="G2" s="383"/>
      <c r="H2" s="382" t="s">
        <v>140</v>
      </c>
      <c r="I2" s="408"/>
      <c r="J2" s="383"/>
    </row>
    <row r="3" spans="1:10" s="4" customFormat="1" ht="27" customHeight="1" x14ac:dyDescent="0.2">
      <c r="A3" s="378"/>
      <c r="B3" s="9" t="s">
        <v>230</v>
      </c>
      <c r="C3" s="10" t="s">
        <v>231</v>
      </c>
      <c r="D3" s="9" t="s">
        <v>230</v>
      </c>
      <c r="E3" s="10" t="s">
        <v>231</v>
      </c>
      <c r="F3" s="9" t="s">
        <v>230</v>
      </c>
      <c r="G3" s="28" t="s">
        <v>231</v>
      </c>
      <c r="H3" s="24" t="s">
        <v>230</v>
      </c>
      <c r="I3" s="409" t="s">
        <v>231</v>
      </c>
      <c r="J3" s="410"/>
    </row>
    <row r="4" spans="1:10" s="4" customFormat="1" ht="18" customHeight="1" x14ac:dyDescent="0.2">
      <c r="A4" s="3" t="s">
        <v>61</v>
      </c>
      <c r="B4" s="26">
        <v>43157</v>
      </c>
      <c r="C4" s="39">
        <v>631252.22</v>
      </c>
      <c r="D4" s="26">
        <v>60370</v>
      </c>
      <c r="E4" s="39">
        <v>1168407.6599999999</v>
      </c>
      <c r="F4" s="32">
        <v>0</v>
      </c>
      <c r="G4" s="32">
        <v>0</v>
      </c>
      <c r="H4" s="39">
        <v>103527</v>
      </c>
      <c r="I4" s="406">
        <v>1799659.88</v>
      </c>
      <c r="J4" s="407"/>
    </row>
    <row r="5" spans="1:10" s="4" customFormat="1" ht="18" customHeight="1" x14ac:dyDescent="0.2">
      <c r="A5" s="3" t="s">
        <v>62</v>
      </c>
      <c r="B5" s="26">
        <v>3944</v>
      </c>
      <c r="C5" s="26">
        <v>53755.86</v>
      </c>
      <c r="D5" s="26">
        <v>5380</v>
      </c>
      <c r="E5" s="26">
        <v>90747.82</v>
      </c>
      <c r="F5" s="32">
        <v>0</v>
      </c>
      <c r="G5" s="32">
        <v>0</v>
      </c>
      <c r="H5" s="26">
        <v>9324</v>
      </c>
      <c r="I5" s="406">
        <v>144503.67999999999</v>
      </c>
      <c r="J5" s="407"/>
    </row>
    <row r="6" spans="1:10" s="4" customFormat="1" ht="18" customHeight="1" x14ac:dyDescent="0.2">
      <c r="A6" s="3" t="s">
        <v>146</v>
      </c>
      <c r="B6" s="26">
        <v>3944</v>
      </c>
      <c r="C6" s="26">
        <v>53755.86</v>
      </c>
      <c r="D6" s="26">
        <v>5380</v>
      </c>
      <c r="E6" s="26">
        <v>90747.82</v>
      </c>
      <c r="F6" s="32">
        <v>0</v>
      </c>
      <c r="G6" s="32">
        <v>0</v>
      </c>
      <c r="H6" s="26">
        <v>9324</v>
      </c>
      <c r="I6" s="406">
        <v>144503.67999999999</v>
      </c>
      <c r="J6" s="407"/>
    </row>
    <row r="7" spans="1:10" s="4" customFormat="1" ht="18.75" customHeight="1" x14ac:dyDescent="0.2">
      <c r="A7" s="366" t="s">
        <v>225</v>
      </c>
      <c r="B7" s="366"/>
    </row>
    <row r="8" spans="1:10" s="4" customFormat="1" ht="18" customHeight="1" x14ac:dyDescent="0.2">
      <c r="A8" s="366" t="s">
        <v>219</v>
      </c>
      <c r="B8" s="366"/>
    </row>
    <row r="9" spans="1:10" s="4" customFormat="1" ht="28.35" customHeight="1" x14ac:dyDescent="0.2"/>
  </sheetData>
  <mergeCells count="12">
    <mergeCell ref="A1:I1"/>
    <mergeCell ref="A2:A3"/>
    <mergeCell ref="B2:C2"/>
    <mergeCell ref="D2:E2"/>
    <mergeCell ref="F2:G2"/>
    <mergeCell ref="H2:J2"/>
    <mergeCell ref="I3:J3"/>
    <mergeCell ref="I4:J4"/>
    <mergeCell ref="I5:J5"/>
    <mergeCell ref="I6:J6"/>
    <mergeCell ref="A7:B7"/>
    <mergeCell ref="A8:B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
  <sheetViews>
    <sheetView workbookViewId="0">
      <selection sqref="A1:M1"/>
    </sheetView>
  </sheetViews>
  <sheetFormatPr defaultRowHeight="12.75" x14ac:dyDescent="0.2"/>
  <cols>
    <col min="1" max="1" width="10.7109375" bestFit="1" customWidth="1"/>
    <col min="2" max="13" width="14.7109375" bestFit="1" customWidth="1"/>
    <col min="14" max="14" width="4.7109375" bestFit="1" customWidth="1"/>
  </cols>
  <sheetData>
    <row r="1" spans="1:13" ht="16.5" customHeight="1" x14ac:dyDescent="0.2">
      <c r="A1" s="398" t="s">
        <v>232</v>
      </c>
      <c r="B1" s="398"/>
      <c r="C1" s="398"/>
      <c r="D1" s="398"/>
      <c r="E1" s="398"/>
      <c r="F1" s="398"/>
      <c r="G1" s="398"/>
      <c r="H1" s="398"/>
      <c r="I1" s="398"/>
      <c r="J1" s="398"/>
      <c r="K1" s="398"/>
      <c r="L1" s="398"/>
      <c r="M1" s="398"/>
    </row>
    <row r="2" spans="1:13" s="4" customFormat="1" ht="18" customHeight="1" x14ac:dyDescent="0.2">
      <c r="A2" s="411" t="s">
        <v>233</v>
      </c>
      <c r="B2" s="382" t="s">
        <v>234</v>
      </c>
      <c r="C2" s="408"/>
      <c r="D2" s="408"/>
      <c r="E2" s="408"/>
      <c r="F2" s="408"/>
      <c r="G2" s="408"/>
      <c r="H2" s="408"/>
      <c r="I2" s="383"/>
      <c r="J2" s="391" t="s">
        <v>235</v>
      </c>
      <c r="K2" s="392"/>
      <c r="L2" s="391" t="s">
        <v>140</v>
      </c>
      <c r="M2" s="392"/>
    </row>
    <row r="3" spans="1:13" s="4" customFormat="1" ht="18" customHeight="1" x14ac:dyDescent="0.2">
      <c r="A3" s="412"/>
      <c r="B3" s="382" t="s">
        <v>236</v>
      </c>
      <c r="C3" s="383"/>
      <c r="D3" s="382" t="s">
        <v>237</v>
      </c>
      <c r="E3" s="383"/>
      <c r="F3" s="382" t="s">
        <v>238</v>
      </c>
      <c r="G3" s="383"/>
      <c r="H3" s="382" t="s">
        <v>239</v>
      </c>
      <c r="I3" s="383"/>
      <c r="J3" s="393"/>
      <c r="K3" s="394"/>
      <c r="L3" s="393"/>
      <c r="M3" s="394"/>
    </row>
    <row r="4" spans="1:13" s="4" customFormat="1" ht="27" customHeight="1" x14ac:dyDescent="0.2">
      <c r="A4" s="41" t="s">
        <v>240</v>
      </c>
      <c r="B4" s="25" t="s">
        <v>165</v>
      </c>
      <c r="C4" s="28" t="s">
        <v>166</v>
      </c>
      <c r="D4" s="25" t="s">
        <v>165</v>
      </c>
      <c r="E4" s="28" t="s">
        <v>241</v>
      </c>
      <c r="F4" s="25" t="s">
        <v>165</v>
      </c>
      <c r="G4" s="28" t="s">
        <v>241</v>
      </c>
      <c r="H4" s="25" t="s">
        <v>165</v>
      </c>
      <c r="I4" s="28" t="s">
        <v>241</v>
      </c>
      <c r="J4" s="25" t="s">
        <v>165</v>
      </c>
      <c r="K4" s="28" t="s">
        <v>241</v>
      </c>
      <c r="L4" s="25" t="s">
        <v>165</v>
      </c>
      <c r="M4" s="28" t="s">
        <v>241</v>
      </c>
    </row>
    <row r="5" spans="1:13" s="4" customFormat="1" ht="18" customHeight="1" x14ac:dyDescent="0.2">
      <c r="A5" s="3" t="s">
        <v>61</v>
      </c>
      <c r="B5" s="26">
        <v>279</v>
      </c>
      <c r="C5" s="39">
        <v>2080535.77</v>
      </c>
      <c r="D5" s="26">
        <v>400</v>
      </c>
      <c r="E5" s="39">
        <v>324988.84000000003</v>
      </c>
      <c r="F5" s="26">
        <v>349</v>
      </c>
      <c r="G5" s="39">
        <v>104665.52</v>
      </c>
      <c r="H5" s="26">
        <v>241</v>
      </c>
      <c r="I5" s="26">
        <v>20878.506000000001</v>
      </c>
      <c r="J5" s="26">
        <v>57</v>
      </c>
      <c r="K5" s="26">
        <v>12738.1</v>
      </c>
      <c r="L5" s="26">
        <v>1326</v>
      </c>
      <c r="M5" s="39">
        <v>2543806.736</v>
      </c>
    </row>
    <row r="6" spans="1:13" s="4" customFormat="1" ht="18" customHeight="1" x14ac:dyDescent="0.2">
      <c r="A6" s="3" t="s">
        <v>62</v>
      </c>
      <c r="B6" s="26">
        <v>8</v>
      </c>
      <c r="C6" s="39">
        <v>105452</v>
      </c>
      <c r="D6" s="26">
        <v>4</v>
      </c>
      <c r="E6" s="26">
        <v>2850</v>
      </c>
      <c r="F6" s="26">
        <v>6</v>
      </c>
      <c r="G6" s="26">
        <v>1482.5</v>
      </c>
      <c r="H6" s="26">
        <v>1</v>
      </c>
      <c r="I6" s="26">
        <v>495</v>
      </c>
      <c r="J6" s="26">
        <v>7</v>
      </c>
      <c r="K6" s="26">
        <v>3072</v>
      </c>
      <c r="L6" s="26">
        <v>26</v>
      </c>
      <c r="M6" s="39">
        <v>113351.5</v>
      </c>
    </row>
    <row r="7" spans="1:13" s="4" customFormat="1" ht="18" customHeight="1" x14ac:dyDescent="0.2">
      <c r="A7" s="3" t="s">
        <v>146</v>
      </c>
      <c r="B7" s="26">
        <v>8</v>
      </c>
      <c r="C7" s="39">
        <v>105452</v>
      </c>
      <c r="D7" s="26">
        <v>4</v>
      </c>
      <c r="E7" s="26">
        <v>2850</v>
      </c>
      <c r="F7" s="26">
        <v>6</v>
      </c>
      <c r="G7" s="26">
        <v>1482.5</v>
      </c>
      <c r="H7" s="26">
        <v>1</v>
      </c>
      <c r="I7" s="26">
        <v>495</v>
      </c>
      <c r="J7" s="26">
        <v>7</v>
      </c>
      <c r="K7" s="26">
        <v>3072</v>
      </c>
      <c r="L7" s="26">
        <v>26</v>
      </c>
      <c r="M7" s="39">
        <v>113351.5</v>
      </c>
    </row>
    <row r="8" spans="1:13" s="4" customFormat="1" ht="15" customHeight="1" x14ac:dyDescent="0.2">
      <c r="A8" s="366" t="s">
        <v>98</v>
      </c>
      <c r="B8" s="366"/>
      <c r="C8" s="366"/>
      <c r="D8" s="366"/>
      <c r="E8" s="366"/>
      <c r="F8" s="366"/>
    </row>
    <row r="9" spans="1:13" s="4" customFormat="1" ht="13.5" customHeight="1" x14ac:dyDescent="0.2">
      <c r="A9" s="366" t="s">
        <v>242</v>
      </c>
      <c r="B9" s="366"/>
      <c r="C9" s="366"/>
      <c r="D9" s="366"/>
      <c r="E9" s="366"/>
      <c r="F9" s="366"/>
    </row>
    <row r="10" spans="1:13" s="4" customFormat="1" ht="26.85" customHeight="1" x14ac:dyDescent="0.2"/>
  </sheetData>
  <mergeCells count="11">
    <mergeCell ref="A8:F8"/>
    <mergeCell ref="A9:F9"/>
    <mergeCell ref="A1:M1"/>
    <mergeCell ref="A2:A3"/>
    <mergeCell ref="B2:I2"/>
    <mergeCell ref="J2:K3"/>
    <mergeCell ref="L2:M3"/>
    <mergeCell ref="B3:C3"/>
    <mergeCell ref="D3:E3"/>
    <mergeCell ref="F3:G3"/>
    <mergeCell ref="H3:I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
  <sheetViews>
    <sheetView workbookViewId="0">
      <selection sqref="A1:M1"/>
    </sheetView>
  </sheetViews>
  <sheetFormatPr defaultRowHeight="12.75" x14ac:dyDescent="0.2"/>
  <cols>
    <col min="1" max="13" width="14.7109375" bestFit="1" customWidth="1"/>
    <col min="14" max="14" width="5.28515625" bestFit="1" customWidth="1"/>
  </cols>
  <sheetData>
    <row r="1" spans="1:13" ht="19.5" customHeight="1" x14ac:dyDescent="0.2">
      <c r="A1" s="398" t="s">
        <v>243</v>
      </c>
      <c r="B1" s="398"/>
      <c r="C1" s="398"/>
      <c r="D1" s="398"/>
      <c r="E1" s="398"/>
      <c r="F1" s="398"/>
      <c r="G1" s="398"/>
      <c r="H1" s="398"/>
      <c r="I1" s="398"/>
      <c r="J1" s="398"/>
      <c r="K1" s="398"/>
      <c r="L1" s="398"/>
      <c r="M1" s="398"/>
    </row>
    <row r="2" spans="1:13" s="4" customFormat="1" ht="18" customHeight="1" x14ac:dyDescent="0.2">
      <c r="A2" s="40" t="s">
        <v>233</v>
      </c>
      <c r="B2" s="388" t="s">
        <v>244</v>
      </c>
      <c r="C2" s="390"/>
      <c r="D2" s="388" t="s">
        <v>245</v>
      </c>
      <c r="E2" s="390"/>
      <c r="F2" s="388" t="s">
        <v>246</v>
      </c>
      <c r="G2" s="390"/>
      <c r="H2" s="382" t="s">
        <v>247</v>
      </c>
      <c r="I2" s="383"/>
      <c r="J2" s="388" t="s">
        <v>248</v>
      </c>
      <c r="K2" s="390"/>
      <c r="L2" s="388" t="s">
        <v>140</v>
      </c>
      <c r="M2" s="390"/>
    </row>
    <row r="3" spans="1:13" s="4" customFormat="1" ht="27" customHeight="1" x14ac:dyDescent="0.2">
      <c r="A3" s="41" t="s">
        <v>240</v>
      </c>
      <c r="B3" s="25" t="s">
        <v>165</v>
      </c>
      <c r="C3" s="28" t="s">
        <v>171</v>
      </c>
      <c r="D3" s="25" t="s">
        <v>165</v>
      </c>
      <c r="E3" s="28" t="s">
        <v>171</v>
      </c>
      <c r="F3" s="25" t="s">
        <v>165</v>
      </c>
      <c r="G3" s="28" t="s">
        <v>171</v>
      </c>
      <c r="H3" s="25" t="s">
        <v>165</v>
      </c>
      <c r="I3" s="28" t="s">
        <v>171</v>
      </c>
      <c r="J3" s="25" t="s">
        <v>165</v>
      </c>
      <c r="K3" s="28" t="s">
        <v>171</v>
      </c>
      <c r="L3" s="25" t="s">
        <v>165</v>
      </c>
      <c r="M3" s="28" t="s">
        <v>171</v>
      </c>
    </row>
    <row r="4" spans="1:13" s="4" customFormat="1" ht="18" customHeight="1" x14ac:dyDescent="0.2">
      <c r="A4" s="3" t="s">
        <v>61</v>
      </c>
      <c r="B4" s="26">
        <v>711</v>
      </c>
      <c r="C4" s="39">
        <v>314241.217</v>
      </c>
      <c r="D4" s="11">
        <v>892</v>
      </c>
      <c r="E4" s="39">
        <v>913562.25</v>
      </c>
      <c r="F4" s="26">
        <v>5489</v>
      </c>
      <c r="G4" s="42">
        <v>12252044.543</v>
      </c>
      <c r="H4" s="26">
        <v>494</v>
      </c>
      <c r="I4" s="39">
        <v>1124407.72</v>
      </c>
      <c r="J4" s="26">
        <v>1101</v>
      </c>
      <c r="K4" s="39">
        <v>475759.98</v>
      </c>
      <c r="L4" s="26">
        <v>8687</v>
      </c>
      <c r="M4" s="42">
        <v>15079015.869999999</v>
      </c>
    </row>
    <row r="5" spans="1:13" s="4" customFormat="1" ht="18" customHeight="1" x14ac:dyDescent="0.2">
      <c r="A5" s="3" t="s">
        <v>62</v>
      </c>
      <c r="B5" s="26">
        <v>4</v>
      </c>
      <c r="C5" s="26">
        <v>21200</v>
      </c>
      <c r="D5" s="11">
        <v>148</v>
      </c>
      <c r="E5" s="39">
        <v>186753.51</v>
      </c>
      <c r="F5" s="26">
        <v>62</v>
      </c>
      <c r="G5" s="26">
        <v>71602.33</v>
      </c>
      <c r="H5" s="26">
        <v>136</v>
      </c>
      <c r="I5" s="39">
        <v>226341.18</v>
      </c>
      <c r="J5" s="26">
        <v>29</v>
      </c>
      <c r="K5" s="26">
        <v>2545</v>
      </c>
      <c r="L5" s="26">
        <v>379</v>
      </c>
      <c r="M5" s="39">
        <v>508442.02</v>
      </c>
    </row>
    <row r="6" spans="1:13" s="4" customFormat="1" ht="18" customHeight="1" x14ac:dyDescent="0.2">
      <c r="A6" s="3" t="s">
        <v>146</v>
      </c>
      <c r="B6" s="26">
        <v>4</v>
      </c>
      <c r="C6" s="26">
        <v>21200</v>
      </c>
      <c r="D6" s="11">
        <v>148</v>
      </c>
      <c r="E6" s="39">
        <v>186753.51</v>
      </c>
      <c r="F6" s="26">
        <v>62</v>
      </c>
      <c r="G6" s="26">
        <v>71602.33</v>
      </c>
      <c r="H6" s="26">
        <v>136</v>
      </c>
      <c r="I6" s="39">
        <v>226341.18</v>
      </c>
      <c r="J6" s="26">
        <v>29</v>
      </c>
      <c r="K6" s="26">
        <v>2545</v>
      </c>
      <c r="L6" s="26">
        <v>379</v>
      </c>
      <c r="M6" s="39">
        <v>508442.02</v>
      </c>
    </row>
    <row r="7" spans="1:13" s="4" customFormat="1" ht="19.5" customHeight="1" x14ac:dyDescent="0.2">
      <c r="A7" s="366" t="s">
        <v>98</v>
      </c>
      <c r="B7" s="366"/>
      <c r="C7" s="366"/>
      <c r="D7" s="366"/>
      <c r="E7" s="366"/>
      <c r="F7" s="366"/>
      <c r="G7" s="366"/>
      <c r="H7" s="366"/>
      <c r="I7" s="366"/>
      <c r="J7" s="366"/>
      <c r="K7" s="366"/>
      <c r="L7" s="366"/>
      <c r="M7" s="366"/>
    </row>
    <row r="8" spans="1:13" s="4" customFormat="1" ht="18" customHeight="1" x14ac:dyDescent="0.2">
      <c r="A8" s="366" t="s">
        <v>242</v>
      </c>
      <c r="B8" s="366"/>
      <c r="C8" s="366"/>
      <c r="D8" s="366"/>
      <c r="E8" s="366"/>
      <c r="F8" s="366"/>
      <c r="G8" s="366"/>
      <c r="H8" s="366"/>
      <c r="I8" s="366"/>
      <c r="J8" s="366"/>
      <c r="K8" s="366"/>
      <c r="L8" s="366"/>
      <c r="M8" s="366"/>
    </row>
    <row r="9" spans="1:13" s="4" customFormat="1" ht="23.85" customHeight="1" x14ac:dyDescent="0.2"/>
  </sheetData>
  <mergeCells count="9">
    <mergeCell ref="A7:M7"/>
    <mergeCell ref="A8:M8"/>
    <mergeCell ref="A1:M1"/>
    <mergeCell ref="B2:C2"/>
    <mergeCell ref="D2:E2"/>
    <mergeCell ref="F2:G2"/>
    <mergeCell ref="H2:I2"/>
    <mergeCell ref="J2:K2"/>
    <mergeCell ref="L2:M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8"/>
  <sheetViews>
    <sheetView workbookViewId="0">
      <selection sqref="A1:E1"/>
    </sheetView>
  </sheetViews>
  <sheetFormatPr defaultRowHeight="12.75" x14ac:dyDescent="0.2"/>
  <cols>
    <col min="1" max="4" width="14.7109375" bestFit="1" customWidth="1"/>
    <col min="5" max="5" width="24.140625" bestFit="1" customWidth="1"/>
    <col min="6" max="6" width="4.7109375" bestFit="1" customWidth="1"/>
  </cols>
  <sheetData>
    <row r="1" spans="1:5" ht="16.5" customHeight="1" x14ac:dyDescent="0.2">
      <c r="A1" s="413" t="s">
        <v>249</v>
      </c>
      <c r="B1" s="413"/>
      <c r="C1" s="413"/>
      <c r="D1" s="413"/>
      <c r="E1" s="413"/>
    </row>
    <row r="2" spans="1:5" s="4" customFormat="1" ht="18" customHeight="1" x14ac:dyDescent="0.2">
      <c r="A2" s="33" t="s">
        <v>250</v>
      </c>
      <c r="B2" s="2" t="s">
        <v>61</v>
      </c>
      <c r="C2" s="2" t="s">
        <v>62</v>
      </c>
      <c r="D2" s="2" t="s">
        <v>146</v>
      </c>
    </row>
    <row r="3" spans="1:5" s="4" customFormat="1" ht="18" customHeight="1" x14ac:dyDescent="0.2">
      <c r="A3" s="43" t="s">
        <v>227</v>
      </c>
      <c r="B3" s="44">
        <v>775590.08</v>
      </c>
      <c r="C3" s="7">
        <v>55867.81</v>
      </c>
      <c r="D3" s="7">
        <v>55867.81</v>
      </c>
    </row>
    <row r="4" spans="1:5" s="4" customFormat="1" ht="18" customHeight="1" x14ac:dyDescent="0.2">
      <c r="A4" s="43" t="s">
        <v>229</v>
      </c>
      <c r="B4" s="7">
        <v>30.293250435000001</v>
      </c>
      <c r="C4" s="7">
        <v>7.4556996</v>
      </c>
      <c r="D4" s="7">
        <v>7.4556996</v>
      </c>
    </row>
    <row r="5" spans="1:5" s="4" customFormat="1" ht="18" customHeight="1" x14ac:dyDescent="0.2">
      <c r="A5" s="43" t="s">
        <v>228</v>
      </c>
      <c r="B5" s="44">
        <v>7949004.3090000004</v>
      </c>
      <c r="C5" s="44">
        <v>640115.38740000001</v>
      </c>
      <c r="D5" s="44">
        <v>640115.38740000001</v>
      </c>
    </row>
    <row r="6" spans="1:5" s="4" customFormat="1" ht="18.75" customHeight="1" x14ac:dyDescent="0.2">
      <c r="A6" s="366" t="s">
        <v>225</v>
      </c>
      <c r="B6" s="366"/>
      <c r="C6" s="366"/>
      <c r="D6" s="366"/>
    </row>
    <row r="7" spans="1:5" s="4" customFormat="1" ht="18" customHeight="1" x14ac:dyDescent="0.2">
      <c r="A7" s="366" t="s">
        <v>219</v>
      </c>
      <c r="B7" s="366"/>
      <c r="C7" s="366"/>
      <c r="D7" s="366"/>
    </row>
    <row r="8" spans="1:5" s="4" customFormat="1" ht="28.35" customHeight="1" x14ac:dyDescent="0.2"/>
  </sheetData>
  <mergeCells count="3">
    <mergeCell ref="A1:E1"/>
    <mergeCell ref="A6:D6"/>
    <mergeCell ref="A7:D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9"/>
  <sheetViews>
    <sheetView workbookViewId="0">
      <selection sqref="A1:Q1"/>
    </sheetView>
  </sheetViews>
  <sheetFormatPr defaultRowHeight="12.75" x14ac:dyDescent="0.2"/>
  <cols>
    <col min="1" max="12" width="14.7109375" bestFit="1" customWidth="1"/>
    <col min="13" max="13" width="14" bestFit="1" customWidth="1"/>
    <col min="14" max="16" width="14.7109375" bestFit="1" customWidth="1"/>
    <col min="17" max="17" width="0.42578125" bestFit="1" customWidth="1"/>
    <col min="18" max="18" width="4.7109375" bestFit="1" customWidth="1"/>
  </cols>
  <sheetData>
    <row r="1" spans="1:17" ht="18.75" customHeight="1" x14ac:dyDescent="0.2">
      <c r="A1" s="398" t="s">
        <v>251</v>
      </c>
      <c r="B1" s="398"/>
      <c r="C1" s="398"/>
      <c r="D1" s="398"/>
      <c r="E1" s="398"/>
      <c r="F1" s="398"/>
      <c r="G1" s="398"/>
      <c r="H1" s="398"/>
      <c r="I1" s="398"/>
      <c r="J1" s="398"/>
      <c r="K1" s="398"/>
      <c r="L1" s="398"/>
      <c r="M1" s="398"/>
      <c r="N1" s="398"/>
      <c r="O1" s="398"/>
      <c r="P1" s="398"/>
      <c r="Q1" s="398"/>
    </row>
    <row r="2" spans="1:17" s="4" customFormat="1" ht="18" customHeight="1" x14ac:dyDescent="0.2">
      <c r="A2" s="416" t="s">
        <v>137</v>
      </c>
      <c r="B2" s="416" t="s">
        <v>252</v>
      </c>
      <c r="C2" s="416" t="s">
        <v>253</v>
      </c>
      <c r="D2" s="416" t="s">
        <v>254</v>
      </c>
      <c r="E2" s="416" t="s">
        <v>255</v>
      </c>
      <c r="F2" s="416" t="s">
        <v>256</v>
      </c>
      <c r="G2" s="416" t="s">
        <v>257</v>
      </c>
      <c r="H2" s="414" t="s">
        <v>258</v>
      </c>
      <c r="I2" s="414" t="s">
        <v>259</v>
      </c>
      <c r="J2" s="414" t="s">
        <v>260</v>
      </c>
      <c r="K2" s="416" t="s">
        <v>261</v>
      </c>
      <c r="L2" s="414" t="s">
        <v>262</v>
      </c>
      <c r="M2" s="414" t="s">
        <v>263</v>
      </c>
      <c r="N2" s="418" t="s">
        <v>264</v>
      </c>
      <c r="O2" s="419"/>
      <c r="P2" s="420"/>
    </row>
    <row r="3" spans="1:17" s="4" customFormat="1" ht="21.75" customHeight="1" x14ac:dyDescent="0.2">
      <c r="A3" s="417"/>
      <c r="B3" s="417"/>
      <c r="C3" s="417"/>
      <c r="D3" s="417"/>
      <c r="E3" s="417"/>
      <c r="F3" s="417"/>
      <c r="G3" s="417"/>
      <c r="H3" s="415"/>
      <c r="I3" s="415"/>
      <c r="J3" s="415"/>
      <c r="K3" s="417"/>
      <c r="L3" s="415"/>
      <c r="M3" s="415"/>
      <c r="N3" s="45" t="s">
        <v>265</v>
      </c>
      <c r="O3" s="45" t="s">
        <v>266</v>
      </c>
      <c r="P3" s="45" t="s">
        <v>267</v>
      </c>
    </row>
    <row r="4" spans="1:17" s="4" customFormat="1" ht="18" customHeight="1" x14ac:dyDescent="0.2">
      <c r="A4" s="29" t="s">
        <v>61</v>
      </c>
      <c r="B4" s="7">
        <v>5262</v>
      </c>
      <c r="C4" s="7">
        <v>36</v>
      </c>
      <c r="D4" s="7">
        <v>4086</v>
      </c>
      <c r="E4" s="8">
        <v>248</v>
      </c>
      <c r="F4" s="7">
        <v>3145.25</v>
      </c>
      <c r="G4" s="44">
        <v>518103.44</v>
      </c>
      <c r="H4" s="44">
        <v>775590.08</v>
      </c>
      <c r="I4" s="7">
        <v>3127.3793548389999</v>
      </c>
      <c r="J4" s="7">
        <v>24659.091646133002</v>
      </c>
      <c r="K4" s="44">
        <v>518103.44</v>
      </c>
      <c r="L4" s="44">
        <v>775589.97</v>
      </c>
      <c r="M4" s="46">
        <v>15108711.01</v>
      </c>
      <c r="N4" s="7">
        <v>38989.65</v>
      </c>
      <c r="O4" s="7">
        <v>32972.559999999998</v>
      </c>
      <c r="P4" s="7">
        <v>38672.910000000003</v>
      </c>
    </row>
    <row r="5" spans="1:17" s="4" customFormat="1" ht="18" customHeight="1" x14ac:dyDescent="0.2">
      <c r="A5" s="29" t="s">
        <v>62</v>
      </c>
      <c r="B5" s="7">
        <v>5282</v>
      </c>
      <c r="C5" s="7">
        <v>36</v>
      </c>
      <c r="D5" s="7">
        <v>3580</v>
      </c>
      <c r="E5" s="8">
        <v>19</v>
      </c>
      <c r="F5" s="7">
        <v>254.6</v>
      </c>
      <c r="G5" s="7">
        <v>76938.820000000007</v>
      </c>
      <c r="H5" s="7">
        <v>55867.81</v>
      </c>
      <c r="I5" s="7">
        <v>2940.4110526320001</v>
      </c>
      <c r="J5" s="7">
        <v>21943.366064415</v>
      </c>
      <c r="K5" s="7">
        <v>76938.820000000007</v>
      </c>
      <c r="L5" s="7">
        <v>55867.81</v>
      </c>
      <c r="M5" s="46">
        <v>15254028.060000001</v>
      </c>
      <c r="N5" s="7">
        <v>39487.449999999997</v>
      </c>
      <c r="O5" s="7">
        <v>38460.25</v>
      </c>
      <c r="P5" s="7">
        <v>39031.550000000003</v>
      </c>
    </row>
    <row r="6" spans="1:17" s="4" customFormat="1" ht="18" customHeight="1" x14ac:dyDescent="0.2">
      <c r="A6" s="29" t="s">
        <v>146</v>
      </c>
      <c r="B6" s="7">
        <v>5282</v>
      </c>
      <c r="C6" s="7">
        <v>36</v>
      </c>
      <c r="D6" s="7">
        <v>3580</v>
      </c>
      <c r="E6" s="8">
        <v>19</v>
      </c>
      <c r="F6" s="7">
        <v>254.6</v>
      </c>
      <c r="G6" s="7">
        <v>76938.820000000007</v>
      </c>
      <c r="H6" s="7">
        <v>55867.81</v>
      </c>
      <c r="I6" s="7">
        <v>2940.4110526320001</v>
      </c>
      <c r="J6" s="7">
        <v>21943.366064415</v>
      </c>
      <c r="K6" s="7">
        <v>76938.820000000007</v>
      </c>
      <c r="L6" s="7">
        <v>55867.81</v>
      </c>
      <c r="M6" s="46">
        <v>15254028.060000001</v>
      </c>
      <c r="N6" s="7">
        <v>39487.449999999997</v>
      </c>
      <c r="O6" s="7">
        <v>38460.25</v>
      </c>
      <c r="P6" s="7">
        <v>39031.550000000003</v>
      </c>
    </row>
    <row r="7" spans="1:17" s="4" customFormat="1" ht="19.5" customHeight="1" x14ac:dyDescent="0.2">
      <c r="A7" s="366" t="s">
        <v>98</v>
      </c>
      <c r="B7" s="366"/>
      <c r="C7" s="366"/>
      <c r="D7" s="366"/>
      <c r="E7" s="366"/>
      <c r="F7" s="366"/>
      <c r="G7" s="366"/>
      <c r="H7" s="366"/>
    </row>
    <row r="8" spans="1:17" s="4" customFormat="1" ht="18" customHeight="1" x14ac:dyDescent="0.2">
      <c r="A8" s="366" t="s">
        <v>268</v>
      </c>
      <c r="B8" s="366"/>
      <c r="C8" s="366"/>
      <c r="D8" s="366"/>
      <c r="E8" s="366"/>
      <c r="F8" s="366"/>
      <c r="G8" s="366"/>
      <c r="H8" s="366"/>
    </row>
    <row r="9" spans="1:17" s="4" customFormat="1" ht="24.6" customHeight="1" x14ac:dyDescent="0.2"/>
  </sheetData>
  <mergeCells count="17">
    <mergeCell ref="N2:P2"/>
    <mergeCell ref="A7:H7"/>
    <mergeCell ref="A1:Q1"/>
    <mergeCell ref="A2:A3"/>
    <mergeCell ref="B2:B3"/>
    <mergeCell ref="C2:C3"/>
    <mergeCell ref="D2:D3"/>
    <mergeCell ref="E2:E3"/>
    <mergeCell ref="F2:F3"/>
    <mergeCell ref="G2:G3"/>
    <mergeCell ref="H2:H3"/>
    <mergeCell ref="I2:I3"/>
    <mergeCell ref="A8:H8"/>
    <mergeCell ref="J2:J3"/>
    <mergeCell ref="K2:K3"/>
    <mergeCell ref="L2:L3"/>
    <mergeCell ref="M2:M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0"/>
  <sheetViews>
    <sheetView workbookViewId="0">
      <selection sqref="A1:P1"/>
    </sheetView>
  </sheetViews>
  <sheetFormatPr defaultRowHeight="12.75" x14ac:dyDescent="0.2"/>
  <cols>
    <col min="1" max="16" width="14.7109375" bestFit="1" customWidth="1"/>
    <col min="17" max="17" width="4.7109375" bestFit="1" customWidth="1"/>
  </cols>
  <sheetData>
    <row r="1" spans="1:16" ht="14.25" customHeight="1" x14ac:dyDescent="0.2">
      <c r="A1" s="398" t="s">
        <v>269</v>
      </c>
      <c r="B1" s="398"/>
      <c r="C1" s="398"/>
      <c r="D1" s="398"/>
      <c r="E1" s="398"/>
      <c r="F1" s="398"/>
      <c r="G1" s="398"/>
      <c r="H1" s="398"/>
      <c r="I1" s="398"/>
      <c r="J1" s="398"/>
      <c r="K1" s="398"/>
      <c r="L1" s="398"/>
      <c r="M1" s="398"/>
      <c r="N1" s="398"/>
      <c r="O1" s="398"/>
      <c r="P1" s="398"/>
    </row>
    <row r="2" spans="1:16" s="4" customFormat="1" ht="18.75" customHeight="1" x14ac:dyDescent="0.2">
      <c r="A2" s="368" t="s">
        <v>137</v>
      </c>
      <c r="B2" s="368" t="s">
        <v>252</v>
      </c>
      <c r="C2" s="368" t="s">
        <v>253</v>
      </c>
      <c r="D2" s="368" t="s">
        <v>254</v>
      </c>
      <c r="E2" s="368" t="s">
        <v>255</v>
      </c>
      <c r="F2" s="368" t="s">
        <v>256</v>
      </c>
      <c r="G2" s="368" t="s">
        <v>257</v>
      </c>
      <c r="H2" s="374" t="s">
        <v>258</v>
      </c>
      <c r="I2" s="374" t="s">
        <v>259</v>
      </c>
      <c r="J2" s="374" t="s">
        <v>260</v>
      </c>
      <c r="K2" s="368" t="s">
        <v>261</v>
      </c>
      <c r="L2" s="374" t="s">
        <v>262</v>
      </c>
      <c r="M2" s="374" t="s">
        <v>263</v>
      </c>
      <c r="N2" s="370" t="s">
        <v>270</v>
      </c>
      <c r="O2" s="421"/>
      <c r="P2" s="371"/>
    </row>
    <row r="3" spans="1:16" s="4" customFormat="1" ht="21" customHeight="1" x14ac:dyDescent="0.2">
      <c r="A3" s="369"/>
      <c r="B3" s="369"/>
      <c r="C3" s="369"/>
      <c r="D3" s="369"/>
      <c r="E3" s="369"/>
      <c r="F3" s="369"/>
      <c r="G3" s="369"/>
      <c r="H3" s="375"/>
      <c r="I3" s="375"/>
      <c r="J3" s="375"/>
      <c r="K3" s="369"/>
      <c r="L3" s="375"/>
      <c r="M3" s="375"/>
      <c r="N3" s="9" t="s">
        <v>265</v>
      </c>
      <c r="O3" s="9" t="s">
        <v>266</v>
      </c>
      <c r="P3" s="9" t="s">
        <v>267</v>
      </c>
    </row>
    <row r="4" spans="1:16" s="4" customFormat="1" ht="18" customHeight="1" x14ac:dyDescent="0.2">
      <c r="A4" s="3" t="s">
        <v>61</v>
      </c>
      <c r="B4" s="11">
        <v>1931</v>
      </c>
      <c r="C4" s="11">
        <v>4</v>
      </c>
      <c r="D4" s="11">
        <v>1922</v>
      </c>
      <c r="E4" s="11">
        <v>248</v>
      </c>
      <c r="F4" s="26">
        <v>28531.564409999999</v>
      </c>
      <c r="G4" s="39">
        <v>3749975.932</v>
      </c>
      <c r="H4" s="39">
        <v>7949004.3090000004</v>
      </c>
      <c r="I4" s="26">
        <v>32052.436730000001</v>
      </c>
      <c r="J4" s="26">
        <v>27860.387170000002</v>
      </c>
      <c r="K4" s="39">
        <v>3749975.932</v>
      </c>
      <c r="L4" s="39">
        <v>7949004.3090000004</v>
      </c>
      <c r="M4" s="42">
        <v>14934226.84</v>
      </c>
      <c r="N4" s="26">
        <v>11760.2</v>
      </c>
      <c r="O4" s="26">
        <v>10004.549999999999</v>
      </c>
      <c r="P4" s="26">
        <v>11623.9</v>
      </c>
    </row>
    <row r="5" spans="1:16" s="4" customFormat="1" ht="18" customHeight="1" x14ac:dyDescent="0.2">
      <c r="A5" s="3" t="s">
        <v>62</v>
      </c>
      <c r="B5" s="11">
        <v>1938</v>
      </c>
      <c r="C5" s="11">
        <v>4</v>
      </c>
      <c r="D5" s="11">
        <v>1856</v>
      </c>
      <c r="E5" s="11">
        <v>19</v>
      </c>
      <c r="F5" s="26">
        <v>2147.2409699999998</v>
      </c>
      <c r="G5" s="39">
        <v>308635.8309</v>
      </c>
      <c r="H5" s="39">
        <v>640115.38740000001</v>
      </c>
      <c r="I5" s="26">
        <v>33690.28355</v>
      </c>
      <c r="J5" s="26">
        <v>29811.06436</v>
      </c>
      <c r="K5" s="39">
        <v>308635.8309</v>
      </c>
      <c r="L5" s="39">
        <v>640115.38740000001</v>
      </c>
      <c r="M5" s="42">
        <v>15043275.5</v>
      </c>
      <c r="N5" s="26">
        <v>11856.15</v>
      </c>
      <c r="O5" s="26">
        <v>11549.1</v>
      </c>
      <c r="P5" s="26">
        <v>11748.15</v>
      </c>
    </row>
    <row r="6" spans="1:16" s="4" customFormat="1" ht="18" customHeight="1" x14ac:dyDescent="0.2">
      <c r="A6" s="3" t="s">
        <v>146</v>
      </c>
      <c r="B6" s="11">
        <v>1938</v>
      </c>
      <c r="C6" s="11">
        <v>4</v>
      </c>
      <c r="D6" s="11">
        <v>1856</v>
      </c>
      <c r="E6" s="11">
        <v>19</v>
      </c>
      <c r="F6" s="26">
        <v>2147.2409699999998</v>
      </c>
      <c r="G6" s="39">
        <v>308635.8309</v>
      </c>
      <c r="H6" s="39">
        <v>640115.38740000001</v>
      </c>
      <c r="I6" s="26">
        <v>33690.28355</v>
      </c>
      <c r="J6" s="26">
        <v>29811.06436</v>
      </c>
      <c r="K6" s="39">
        <v>308635.8309</v>
      </c>
      <c r="L6" s="39">
        <v>640115.38740000001</v>
      </c>
      <c r="M6" s="42">
        <v>15043275.5</v>
      </c>
      <c r="N6" s="26">
        <v>11856.15</v>
      </c>
      <c r="O6" s="26">
        <v>11549.1</v>
      </c>
      <c r="P6" s="26">
        <v>11748.15</v>
      </c>
    </row>
    <row r="7" spans="1:16" s="4" customFormat="1" ht="15" customHeight="1" x14ac:dyDescent="0.2">
      <c r="A7" s="386" t="s">
        <v>271</v>
      </c>
      <c r="B7" s="386"/>
      <c r="C7" s="386"/>
      <c r="D7" s="386"/>
      <c r="E7" s="386"/>
      <c r="F7" s="386"/>
      <c r="G7" s="386"/>
      <c r="H7" s="386"/>
    </row>
    <row r="8" spans="1:16" s="4" customFormat="1" ht="13.5" customHeight="1" x14ac:dyDescent="0.2">
      <c r="A8" s="386" t="s">
        <v>98</v>
      </c>
      <c r="B8" s="386"/>
      <c r="C8" s="386"/>
      <c r="D8" s="386"/>
      <c r="E8" s="386"/>
      <c r="F8" s="386"/>
      <c r="G8" s="386"/>
      <c r="H8" s="386"/>
    </row>
    <row r="9" spans="1:16" s="4" customFormat="1" ht="13.5" customHeight="1" x14ac:dyDescent="0.2">
      <c r="A9" s="386" t="s">
        <v>272</v>
      </c>
      <c r="B9" s="386"/>
      <c r="C9" s="386"/>
      <c r="D9" s="386"/>
      <c r="E9" s="386"/>
      <c r="F9" s="386"/>
      <c r="G9" s="386"/>
      <c r="H9" s="386"/>
    </row>
    <row r="10" spans="1:16" s="4" customFormat="1" ht="28.35" customHeight="1" x14ac:dyDescent="0.2"/>
  </sheetData>
  <mergeCells count="18">
    <mergeCell ref="M2:M3"/>
    <mergeCell ref="N2:P2"/>
    <mergeCell ref="A7:H7"/>
    <mergeCell ref="A1:P1"/>
    <mergeCell ref="A2:A3"/>
    <mergeCell ref="B2:B3"/>
    <mergeCell ref="C2:C3"/>
    <mergeCell ref="D2:D3"/>
    <mergeCell ref="E2:E3"/>
    <mergeCell ref="F2:F3"/>
    <mergeCell ref="G2:G3"/>
    <mergeCell ref="H2:H3"/>
    <mergeCell ref="I2:I3"/>
    <mergeCell ref="A8:H8"/>
    <mergeCell ref="A9:H9"/>
    <mergeCell ref="J2:J3"/>
    <mergeCell ref="K2:K3"/>
    <mergeCell ref="L2:L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9"/>
  <sheetViews>
    <sheetView workbookViewId="0">
      <selection sqref="A1:C1"/>
    </sheetView>
  </sheetViews>
  <sheetFormatPr defaultRowHeight="12.75" x14ac:dyDescent="0.2"/>
  <cols>
    <col min="1" max="16" width="14.7109375" bestFit="1" customWidth="1"/>
    <col min="17" max="17" width="4.7109375" bestFit="1" customWidth="1"/>
  </cols>
  <sheetData>
    <row r="1" spans="1:16" ht="31.5" customHeight="1" x14ac:dyDescent="0.2">
      <c r="A1" s="364" t="s">
        <v>22</v>
      </c>
      <c r="B1" s="364"/>
      <c r="C1" s="364"/>
    </row>
    <row r="2" spans="1:16" s="4" customFormat="1" ht="32.25" customHeight="1" x14ac:dyDescent="0.2">
      <c r="A2" s="416" t="s">
        <v>220</v>
      </c>
      <c r="B2" s="416" t="s">
        <v>252</v>
      </c>
      <c r="C2" s="416" t="s">
        <v>273</v>
      </c>
      <c r="D2" s="416" t="s">
        <v>274</v>
      </c>
      <c r="E2" s="416" t="s">
        <v>255</v>
      </c>
      <c r="F2" s="416" t="s">
        <v>256</v>
      </c>
      <c r="G2" s="416" t="s">
        <v>257</v>
      </c>
      <c r="H2" s="416" t="s">
        <v>275</v>
      </c>
      <c r="I2" s="416" t="s">
        <v>276</v>
      </c>
      <c r="J2" s="414" t="s">
        <v>260</v>
      </c>
      <c r="K2" s="416" t="s">
        <v>261</v>
      </c>
      <c r="L2" s="416" t="s">
        <v>277</v>
      </c>
      <c r="M2" s="416" t="s">
        <v>278</v>
      </c>
      <c r="N2" s="418" t="s">
        <v>279</v>
      </c>
      <c r="O2" s="419"/>
      <c r="P2" s="420"/>
    </row>
    <row r="3" spans="1:16" s="4" customFormat="1" ht="21" customHeight="1" x14ac:dyDescent="0.2">
      <c r="A3" s="417"/>
      <c r="B3" s="417"/>
      <c r="C3" s="417"/>
      <c r="D3" s="417"/>
      <c r="E3" s="417"/>
      <c r="F3" s="417"/>
      <c r="G3" s="417"/>
      <c r="H3" s="417"/>
      <c r="I3" s="417"/>
      <c r="J3" s="415"/>
      <c r="K3" s="417"/>
      <c r="L3" s="417"/>
      <c r="M3" s="417"/>
      <c r="N3" s="45" t="s">
        <v>265</v>
      </c>
      <c r="O3" s="45" t="s">
        <v>266</v>
      </c>
      <c r="P3" s="45" t="s">
        <v>267</v>
      </c>
    </row>
    <row r="4" spans="1:16" s="4" customFormat="1" ht="18" customHeight="1" x14ac:dyDescent="0.2">
      <c r="A4" s="29" t="s">
        <v>61</v>
      </c>
      <c r="B4" s="7">
        <v>287</v>
      </c>
      <c r="C4" s="7">
        <v>1309</v>
      </c>
      <c r="D4" s="7">
        <v>8</v>
      </c>
      <c r="E4" s="7">
        <v>248</v>
      </c>
      <c r="F4" s="7">
        <v>1.9109999999999999E-2</v>
      </c>
      <c r="G4" s="7">
        <v>14.16864</v>
      </c>
      <c r="H4" s="7">
        <v>30.293250435000001</v>
      </c>
      <c r="I4" s="7">
        <v>0.122150203</v>
      </c>
      <c r="J4" s="44">
        <v>158520.41043955999</v>
      </c>
      <c r="K4" s="7">
        <v>14.168530000000001</v>
      </c>
      <c r="L4" s="7">
        <v>30.288544030000001</v>
      </c>
      <c r="M4" s="46">
        <v>14751584.310000001</v>
      </c>
      <c r="N4" s="7">
        <v>22872.75</v>
      </c>
      <c r="O4" s="7">
        <v>19644.59</v>
      </c>
      <c r="P4" s="7">
        <v>22743.31</v>
      </c>
    </row>
    <row r="5" spans="1:16" s="4" customFormat="1" ht="18" customHeight="1" x14ac:dyDescent="0.2">
      <c r="A5" s="29" t="s">
        <v>62</v>
      </c>
      <c r="B5" s="7">
        <v>286</v>
      </c>
      <c r="C5" s="7">
        <v>1308</v>
      </c>
      <c r="D5" s="7">
        <v>6</v>
      </c>
      <c r="E5" s="7">
        <v>19</v>
      </c>
      <c r="F5" s="7">
        <v>2.2699999999999999E-3</v>
      </c>
      <c r="G5" s="7">
        <v>3.8297400000000001</v>
      </c>
      <c r="H5" s="7">
        <v>7.4556996</v>
      </c>
      <c r="I5" s="7">
        <v>0.39240524199999999</v>
      </c>
      <c r="J5" s="44">
        <v>328444.916299559</v>
      </c>
      <c r="K5" s="7">
        <v>3.8297400000000001</v>
      </c>
      <c r="L5" s="7">
        <v>7.4557000000000002</v>
      </c>
      <c r="M5" s="46">
        <v>14842660.65</v>
      </c>
      <c r="N5" s="7">
        <v>23072</v>
      </c>
      <c r="O5" s="7">
        <v>22659.08</v>
      </c>
      <c r="P5" s="7">
        <v>23000.87</v>
      </c>
    </row>
    <row r="6" spans="1:16" s="4" customFormat="1" ht="18" customHeight="1" x14ac:dyDescent="0.2">
      <c r="A6" s="29" t="s">
        <v>146</v>
      </c>
      <c r="B6" s="7">
        <v>286</v>
      </c>
      <c r="C6" s="7">
        <v>1308</v>
      </c>
      <c r="D6" s="7">
        <v>6</v>
      </c>
      <c r="E6" s="7">
        <v>19</v>
      </c>
      <c r="F6" s="7">
        <v>2.2699999999999999E-3</v>
      </c>
      <c r="G6" s="7">
        <v>3.8297400000000001</v>
      </c>
      <c r="H6" s="7">
        <v>7.4556996</v>
      </c>
      <c r="I6" s="7">
        <v>0.39240524199999999</v>
      </c>
      <c r="J6" s="44">
        <v>328444.916299559</v>
      </c>
      <c r="K6" s="7">
        <v>3.8297400000000001</v>
      </c>
      <c r="L6" s="7">
        <v>7.4557000000000002</v>
      </c>
      <c r="M6" s="46">
        <v>14842660.65</v>
      </c>
      <c r="N6" s="7">
        <v>23072</v>
      </c>
      <c r="O6" s="7">
        <v>22659.08</v>
      </c>
      <c r="P6" s="7">
        <v>23000.87</v>
      </c>
    </row>
    <row r="7" spans="1:16" s="4" customFormat="1" ht="18.75" customHeight="1" x14ac:dyDescent="0.2">
      <c r="A7" s="366" t="s">
        <v>225</v>
      </c>
      <c r="B7" s="366"/>
      <c r="C7" s="366"/>
      <c r="D7" s="366"/>
      <c r="E7" s="366"/>
      <c r="F7" s="366"/>
      <c r="G7" s="366"/>
      <c r="H7" s="366"/>
      <c r="I7" s="366"/>
      <c r="J7" s="366"/>
      <c r="K7" s="366"/>
      <c r="L7" s="366"/>
      <c r="M7" s="366"/>
      <c r="N7" s="366"/>
      <c r="O7" s="366"/>
      <c r="P7" s="366"/>
    </row>
    <row r="8" spans="1:16" s="4" customFormat="1" ht="18.75" customHeight="1" x14ac:dyDescent="0.2">
      <c r="A8" s="366" t="s">
        <v>280</v>
      </c>
      <c r="B8" s="366"/>
      <c r="C8" s="366"/>
      <c r="D8" s="366"/>
      <c r="E8" s="366"/>
      <c r="F8" s="366"/>
      <c r="G8" s="366"/>
      <c r="H8" s="366"/>
      <c r="I8" s="366"/>
      <c r="J8" s="366"/>
      <c r="K8" s="366"/>
      <c r="L8" s="366"/>
      <c r="M8" s="366"/>
      <c r="N8" s="366"/>
      <c r="O8" s="366"/>
      <c r="P8" s="366"/>
    </row>
    <row r="9" spans="1:16" s="4" customFormat="1" ht="28.35" customHeight="1" x14ac:dyDescent="0.2"/>
  </sheetData>
  <mergeCells count="17">
    <mergeCell ref="A1:C1"/>
    <mergeCell ref="A2:A3"/>
    <mergeCell ref="B2:B3"/>
    <mergeCell ref="C2:C3"/>
    <mergeCell ref="D2:D3"/>
    <mergeCell ref="L2:L3"/>
    <mergeCell ref="M2:M3"/>
    <mergeCell ref="N2:P2"/>
    <mergeCell ref="A7:P7"/>
    <mergeCell ref="A8:P8"/>
    <mergeCell ref="F2:F3"/>
    <mergeCell ref="G2:G3"/>
    <mergeCell ref="H2:H3"/>
    <mergeCell ref="I2:I3"/>
    <mergeCell ref="J2:J3"/>
    <mergeCell ref="K2:K3"/>
    <mergeCell ref="E2:E3"/>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0"/>
  <sheetViews>
    <sheetView workbookViewId="0">
      <selection sqref="A1:D1"/>
    </sheetView>
  </sheetViews>
  <sheetFormatPr defaultRowHeight="12.75" x14ac:dyDescent="0.2"/>
  <cols>
    <col min="1" max="1" width="6.42578125" bestFit="1" customWidth="1"/>
    <col min="2" max="2" width="36.28515625" bestFit="1" customWidth="1"/>
    <col min="3" max="8" width="13.5703125" bestFit="1" customWidth="1"/>
    <col min="9" max="9" width="4.85546875" bestFit="1" customWidth="1"/>
  </cols>
  <sheetData>
    <row r="1" spans="1:8" ht="13.5" customHeight="1" x14ac:dyDescent="0.2">
      <c r="A1" s="403" t="s">
        <v>281</v>
      </c>
      <c r="B1" s="403"/>
      <c r="C1" s="403"/>
      <c r="D1" s="403"/>
    </row>
    <row r="2" spans="1:8" s="4" customFormat="1" ht="19.5" customHeight="1" x14ac:dyDescent="0.2">
      <c r="A2" s="388" t="s">
        <v>282</v>
      </c>
      <c r="B2" s="389"/>
      <c r="C2" s="389"/>
      <c r="D2" s="389"/>
      <c r="E2" s="389"/>
      <c r="F2" s="389"/>
      <c r="G2" s="389"/>
      <c r="H2" s="390"/>
    </row>
    <row r="3" spans="1:8" s="4" customFormat="1" ht="15" customHeight="1" x14ac:dyDescent="0.2">
      <c r="A3" s="376" t="s">
        <v>283</v>
      </c>
      <c r="B3" s="376" t="s">
        <v>284</v>
      </c>
      <c r="C3" s="382" t="s">
        <v>227</v>
      </c>
      <c r="D3" s="383"/>
      <c r="E3" s="382" t="s">
        <v>228</v>
      </c>
      <c r="F3" s="383"/>
      <c r="G3" s="388" t="s">
        <v>229</v>
      </c>
      <c r="H3" s="390"/>
    </row>
    <row r="4" spans="1:8" s="4" customFormat="1" ht="18" customHeight="1" x14ac:dyDescent="0.2">
      <c r="A4" s="378"/>
      <c r="B4" s="378"/>
      <c r="C4" s="25" t="s">
        <v>61</v>
      </c>
      <c r="D4" s="25" t="s">
        <v>146</v>
      </c>
      <c r="E4" s="25" t="s">
        <v>61</v>
      </c>
      <c r="F4" s="25" t="s">
        <v>146</v>
      </c>
      <c r="G4" s="25" t="s">
        <v>61</v>
      </c>
      <c r="H4" s="25" t="s">
        <v>146</v>
      </c>
    </row>
    <row r="5" spans="1:8" s="4" customFormat="1" ht="18" customHeight="1" x14ac:dyDescent="0.2">
      <c r="A5" s="11">
        <v>1</v>
      </c>
      <c r="B5" s="3" t="s">
        <v>285</v>
      </c>
      <c r="C5" s="47">
        <v>2.540772</v>
      </c>
      <c r="D5" s="47">
        <v>2.1284174249999999</v>
      </c>
      <c r="E5" s="47">
        <v>2.2400000000000002</v>
      </c>
      <c r="F5" s="47">
        <v>1.9</v>
      </c>
      <c r="G5" s="47">
        <v>0</v>
      </c>
      <c r="H5" s="47">
        <v>0</v>
      </c>
    </row>
    <row r="6" spans="1:8" s="4" customFormat="1" ht="18" customHeight="1" x14ac:dyDescent="0.2">
      <c r="A6" s="11">
        <v>2</v>
      </c>
      <c r="B6" s="3" t="s">
        <v>286</v>
      </c>
      <c r="C6" s="47">
        <v>0.453121</v>
      </c>
      <c r="D6" s="47">
        <v>0.95835609600000005</v>
      </c>
      <c r="E6" s="47">
        <v>3.84</v>
      </c>
      <c r="F6" s="47">
        <v>3</v>
      </c>
      <c r="G6" s="47">
        <v>0</v>
      </c>
      <c r="H6" s="47">
        <v>0</v>
      </c>
    </row>
    <row r="7" spans="1:8" s="4" customFormat="1" ht="18" customHeight="1" x14ac:dyDescent="0.2">
      <c r="A7" s="11">
        <v>3</v>
      </c>
      <c r="B7" s="3" t="s">
        <v>287</v>
      </c>
      <c r="C7" s="47">
        <v>0.90787099999999998</v>
      </c>
      <c r="D7" s="47">
        <v>0.944894028</v>
      </c>
      <c r="E7" s="47">
        <v>0.3</v>
      </c>
      <c r="F7" s="47">
        <v>0.24</v>
      </c>
      <c r="G7" s="47">
        <v>0</v>
      </c>
      <c r="H7" s="47">
        <v>0</v>
      </c>
    </row>
    <row r="8" spans="1:8" s="4" customFormat="1" ht="18" customHeight="1" x14ac:dyDescent="0.2">
      <c r="A8" s="11">
        <v>4</v>
      </c>
      <c r="B8" s="3" t="s">
        <v>288</v>
      </c>
      <c r="C8" s="47">
        <v>1.9894999999999999E-2</v>
      </c>
      <c r="D8" s="47">
        <v>1.4461141E-2</v>
      </c>
      <c r="E8" s="47">
        <v>0</v>
      </c>
      <c r="F8" s="47">
        <v>0</v>
      </c>
      <c r="G8" s="47">
        <v>0</v>
      </c>
      <c r="H8" s="47">
        <v>0</v>
      </c>
    </row>
    <row r="9" spans="1:8" s="4" customFormat="1" ht="18" customHeight="1" x14ac:dyDescent="0.2">
      <c r="A9" s="11">
        <v>5</v>
      </c>
      <c r="B9" s="3" t="s">
        <v>289</v>
      </c>
      <c r="C9" s="47">
        <v>1.090857</v>
      </c>
      <c r="D9" s="47">
        <v>1.218653397</v>
      </c>
      <c r="E9" s="47">
        <v>0.86</v>
      </c>
      <c r="F9" s="47">
        <v>0.82</v>
      </c>
      <c r="G9" s="47">
        <v>0</v>
      </c>
      <c r="H9" s="47">
        <v>0</v>
      </c>
    </row>
    <row r="10" spans="1:8" s="4" customFormat="1" ht="18" customHeight="1" x14ac:dyDescent="0.2">
      <c r="A10" s="11">
        <v>6</v>
      </c>
      <c r="B10" s="3" t="s">
        <v>290</v>
      </c>
      <c r="C10" s="47">
        <v>0.10466200000000001</v>
      </c>
      <c r="D10" s="47">
        <v>8.8157027999999998E-2</v>
      </c>
      <c r="E10" s="47">
        <v>0.75</v>
      </c>
      <c r="F10" s="47">
        <v>0.8</v>
      </c>
      <c r="G10" s="47">
        <v>0</v>
      </c>
      <c r="H10" s="47">
        <v>0</v>
      </c>
    </row>
    <row r="11" spans="1:8" s="4" customFormat="1" ht="18" customHeight="1" x14ac:dyDescent="0.2">
      <c r="A11" s="11">
        <v>7</v>
      </c>
      <c r="B11" s="3" t="s">
        <v>291</v>
      </c>
      <c r="C11" s="47">
        <v>4.2660999999999998E-2</v>
      </c>
      <c r="D11" s="47">
        <v>3.9403649999999998E-2</v>
      </c>
      <c r="E11" s="47">
        <v>0.05</v>
      </c>
      <c r="F11" s="47">
        <v>0.04</v>
      </c>
      <c r="G11" s="47">
        <v>0</v>
      </c>
      <c r="H11" s="47">
        <v>0</v>
      </c>
    </row>
    <row r="12" spans="1:8" s="4" customFormat="1" ht="18" customHeight="1" x14ac:dyDescent="0.2">
      <c r="A12" s="11">
        <v>8</v>
      </c>
      <c r="B12" s="3" t="s">
        <v>292</v>
      </c>
      <c r="C12" s="47">
        <v>1.6045739999999999</v>
      </c>
      <c r="D12" s="47">
        <v>1.362565542</v>
      </c>
      <c r="E12" s="47">
        <v>6.34</v>
      </c>
      <c r="F12" s="47">
        <v>6.57</v>
      </c>
      <c r="G12" s="47">
        <v>29.35</v>
      </c>
      <c r="H12" s="47">
        <v>49.36</v>
      </c>
    </row>
    <row r="13" spans="1:8" s="4" customFormat="1" ht="18" customHeight="1" x14ac:dyDescent="0.2">
      <c r="A13" s="11">
        <v>9</v>
      </c>
      <c r="B13" s="3" t="s">
        <v>293</v>
      </c>
      <c r="C13" s="47">
        <v>4.6059000000000003E-2</v>
      </c>
      <c r="D13" s="47">
        <v>3.2742055999999999E-2</v>
      </c>
      <c r="E13" s="47">
        <v>0</v>
      </c>
      <c r="F13" s="47">
        <v>0</v>
      </c>
      <c r="G13" s="47">
        <v>0</v>
      </c>
      <c r="H13" s="47">
        <v>0</v>
      </c>
    </row>
    <row r="14" spans="1:8" s="4" customFormat="1" ht="18" customHeight="1" x14ac:dyDescent="0.2">
      <c r="A14" s="11">
        <v>10</v>
      </c>
      <c r="B14" s="3" t="s">
        <v>294</v>
      </c>
      <c r="C14" s="47">
        <v>0.42801600000000001</v>
      </c>
      <c r="D14" s="47">
        <v>0.79549534099999997</v>
      </c>
      <c r="E14" s="47">
        <v>3.36</v>
      </c>
      <c r="F14" s="47">
        <v>3.17</v>
      </c>
      <c r="G14" s="47">
        <v>0.08</v>
      </c>
      <c r="H14" s="47">
        <v>0</v>
      </c>
    </row>
    <row r="15" spans="1:8" s="4" customFormat="1" ht="18" customHeight="1" x14ac:dyDescent="0.2">
      <c r="A15" s="11">
        <v>11</v>
      </c>
      <c r="B15" s="3" t="s">
        <v>295</v>
      </c>
      <c r="C15" s="47">
        <v>0.350443</v>
      </c>
      <c r="D15" s="47">
        <v>0.35068354099999999</v>
      </c>
      <c r="E15" s="47">
        <v>0.44</v>
      </c>
      <c r="F15" s="47">
        <v>0.32</v>
      </c>
      <c r="G15" s="47">
        <v>0</v>
      </c>
      <c r="H15" s="47">
        <v>0</v>
      </c>
    </row>
    <row r="16" spans="1:8" s="4" customFormat="1" ht="18" customHeight="1" x14ac:dyDescent="0.2">
      <c r="A16" s="11">
        <v>12</v>
      </c>
      <c r="B16" s="3" t="s">
        <v>296</v>
      </c>
      <c r="C16" s="47">
        <v>0.55899100000000002</v>
      </c>
      <c r="D16" s="47">
        <v>0.55170980000000003</v>
      </c>
      <c r="E16" s="47">
        <v>0.32</v>
      </c>
      <c r="F16" s="47">
        <v>0.3</v>
      </c>
      <c r="G16" s="47">
        <v>0.09</v>
      </c>
      <c r="H16" s="47">
        <v>0</v>
      </c>
    </row>
    <row r="17" spans="1:8" s="4" customFormat="1" ht="18" customHeight="1" x14ac:dyDescent="0.2">
      <c r="A17" s="11">
        <v>13</v>
      </c>
      <c r="B17" s="3" t="s">
        <v>297</v>
      </c>
      <c r="C17" s="47">
        <v>0.28089900000000001</v>
      </c>
      <c r="D17" s="47">
        <v>0.28524822</v>
      </c>
      <c r="E17" s="47">
        <v>7.0000000000000007E-2</v>
      </c>
      <c r="F17" s="47">
        <v>7.0000000000000007E-2</v>
      </c>
      <c r="G17" s="47">
        <v>0</v>
      </c>
      <c r="H17" s="47">
        <v>0</v>
      </c>
    </row>
    <row r="18" spans="1:8" s="4" customFormat="1" ht="18" customHeight="1" x14ac:dyDescent="0.2">
      <c r="A18" s="11">
        <v>14</v>
      </c>
      <c r="B18" s="3" t="s">
        <v>298</v>
      </c>
      <c r="C18" s="47">
        <v>2.4107639999999999</v>
      </c>
      <c r="D18" s="47">
        <v>2.272685514</v>
      </c>
      <c r="E18" s="47">
        <v>4.84</v>
      </c>
      <c r="F18" s="47">
        <v>4.75</v>
      </c>
      <c r="G18" s="47">
        <v>0</v>
      </c>
      <c r="H18" s="47">
        <v>0</v>
      </c>
    </row>
    <row r="19" spans="1:8" s="4" customFormat="1" ht="18" customHeight="1" x14ac:dyDescent="0.2">
      <c r="A19" s="11">
        <v>15</v>
      </c>
      <c r="B19" s="3" t="s">
        <v>299</v>
      </c>
      <c r="C19" s="47">
        <v>8.7381E-2</v>
      </c>
      <c r="D19" s="47">
        <v>9.0176134000000005E-2</v>
      </c>
      <c r="E19" s="47">
        <v>0.19</v>
      </c>
      <c r="F19" s="47">
        <v>0.13</v>
      </c>
      <c r="G19" s="47">
        <v>0</v>
      </c>
      <c r="H19" s="47">
        <v>0</v>
      </c>
    </row>
    <row r="20" spans="1:8" s="4" customFormat="1" ht="18" customHeight="1" x14ac:dyDescent="0.2">
      <c r="A20" s="11">
        <v>16</v>
      </c>
      <c r="B20" s="3" t="s">
        <v>300</v>
      </c>
      <c r="C20" s="47">
        <v>1.6735E-2</v>
      </c>
      <c r="D20" s="47">
        <v>2.1938732999999998E-2</v>
      </c>
      <c r="E20" s="47">
        <v>0</v>
      </c>
      <c r="F20" s="47">
        <v>0</v>
      </c>
      <c r="G20" s="47">
        <v>0</v>
      </c>
      <c r="H20" s="47">
        <v>0</v>
      </c>
    </row>
    <row r="21" spans="1:8" s="4" customFormat="1" ht="18" customHeight="1" x14ac:dyDescent="0.2">
      <c r="A21" s="11">
        <v>17</v>
      </c>
      <c r="B21" s="3" t="s">
        <v>301</v>
      </c>
      <c r="C21" s="47">
        <v>56.412700000000001</v>
      </c>
      <c r="D21" s="47">
        <v>54.471601759999999</v>
      </c>
      <c r="E21" s="47">
        <v>64.31</v>
      </c>
      <c r="F21" s="47">
        <v>65.25</v>
      </c>
      <c r="G21" s="47">
        <v>40.659999999999997</v>
      </c>
      <c r="H21" s="47">
        <v>15.13</v>
      </c>
    </row>
    <row r="22" spans="1:8" s="4" customFormat="1" ht="18" customHeight="1" x14ac:dyDescent="0.2">
      <c r="A22" s="11">
        <v>18</v>
      </c>
      <c r="B22" s="3" t="s">
        <v>302</v>
      </c>
      <c r="C22" s="47">
        <v>5.1506999999999997E-2</v>
      </c>
      <c r="D22" s="47">
        <v>5.4132259000000002E-2</v>
      </c>
      <c r="E22" s="47">
        <v>0</v>
      </c>
      <c r="F22" s="47">
        <v>0</v>
      </c>
      <c r="G22" s="47">
        <v>0</v>
      </c>
      <c r="H22" s="47">
        <v>0</v>
      </c>
    </row>
    <row r="23" spans="1:8" s="4" customFormat="1" ht="18" customHeight="1" x14ac:dyDescent="0.2">
      <c r="A23" s="11">
        <v>19</v>
      </c>
      <c r="B23" s="3" t="s">
        <v>303</v>
      </c>
      <c r="C23" s="47">
        <v>0.32509300000000002</v>
      </c>
      <c r="D23" s="47">
        <v>0.35719058599999998</v>
      </c>
      <c r="E23" s="47">
        <v>0.1</v>
      </c>
      <c r="F23" s="47">
        <v>0.09</v>
      </c>
      <c r="G23" s="47">
        <v>0</v>
      </c>
      <c r="H23" s="47">
        <v>0</v>
      </c>
    </row>
    <row r="24" spans="1:8" s="4" customFormat="1" ht="18" customHeight="1" x14ac:dyDescent="0.2">
      <c r="A24" s="11">
        <v>20</v>
      </c>
      <c r="B24" s="3" t="s">
        <v>304</v>
      </c>
      <c r="C24" s="47">
        <v>1.6684300000000001</v>
      </c>
      <c r="D24" s="47">
        <v>1.6783989109999999</v>
      </c>
      <c r="E24" s="47">
        <v>1.17</v>
      </c>
      <c r="F24" s="47">
        <v>1.17</v>
      </c>
      <c r="G24" s="47">
        <v>0</v>
      </c>
      <c r="H24" s="47">
        <v>0</v>
      </c>
    </row>
    <row r="25" spans="1:8" s="4" customFormat="1" ht="18" customHeight="1" x14ac:dyDescent="0.2">
      <c r="A25" s="11">
        <v>21</v>
      </c>
      <c r="B25" s="3" t="s">
        <v>305</v>
      </c>
      <c r="C25" s="47">
        <v>30.598569999999999</v>
      </c>
      <c r="D25" s="47">
        <v>32.283088839999998</v>
      </c>
      <c r="E25" s="47">
        <v>10.84</v>
      </c>
      <c r="F25" s="47">
        <v>11.38</v>
      </c>
      <c r="G25" s="47">
        <v>29.82</v>
      </c>
      <c r="H25" s="47">
        <v>35.51</v>
      </c>
    </row>
    <row r="26" spans="1:8" s="4" customFormat="1" ht="18" customHeight="1" x14ac:dyDescent="0.2">
      <c r="A26" s="29"/>
      <c r="B26" s="29" t="s">
        <v>140</v>
      </c>
      <c r="C26" s="51">
        <v>100.000001</v>
      </c>
      <c r="D26" s="49">
        <v>100.00000000199999</v>
      </c>
      <c r="E26" s="50">
        <v>100.02</v>
      </c>
      <c r="F26" s="51">
        <v>99.999999999999986</v>
      </c>
      <c r="G26" s="50">
        <v>100</v>
      </c>
      <c r="H26" s="49">
        <v>100</v>
      </c>
    </row>
    <row r="27" spans="1:8" s="4" customFormat="1" ht="14.25" customHeight="1" x14ac:dyDescent="0.2">
      <c r="A27" s="422" t="s">
        <v>306</v>
      </c>
      <c r="B27" s="423"/>
      <c r="C27" s="423"/>
      <c r="D27" s="423"/>
      <c r="E27" s="423"/>
      <c r="F27" s="423"/>
      <c r="G27" s="423"/>
      <c r="H27" s="424"/>
    </row>
    <row r="28" spans="1:8" s="4" customFormat="1" ht="24" customHeight="1" x14ac:dyDescent="0.2">
      <c r="A28" s="422" t="s">
        <v>307</v>
      </c>
      <c r="B28" s="423"/>
      <c r="C28" s="423"/>
      <c r="D28" s="423"/>
      <c r="E28" s="423"/>
      <c r="F28" s="423"/>
      <c r="G28" s="423"/>
      <c r="H28" s="424"/>
    </row>
    <row r="29" spans="1:8" s="4" customFormat="1" ht="13.5" customHeight="1" x14ac:dyDescent="0.2">
      <c r="A29" s="422" t="s">
        <v>219</v>
      </c>
      <c r="B29" s="423"/>
      <c r="C29" s="423"/>
      <c r="D29" s="423"/>
      <c r="E29" s="423"/>
      <c r="F29" s="423"/>
      <c r="G29" s="423"/>
      <c r="H29" s="424"/>
    </row>
    <row r="30" spans="1:8" s="4" customFormat="1" ht="28.35" customHeight="1" x14ac:dyDescent="0.2"/>
  </sheetData>
  <mergeCells count="10">
    <mergeCell ref="A27:H27"/>
    <mergeCell ref="A28:H28"/>
    <mergeCell ref="A29:H29"/>
    <mergeCell ref="A1:D1"/>
    <mergeCell ref="A2:H2"/>
    <mergeCell ref="A3:A4"/>
    <mergeCell ref="B3:B4"/>
    <mergeCell ref="C3:D3"/>
    <mergeCell ref="E3:F3"/>
    <mergeCell ref="G3:H3"/>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
  <sheetViews>
    <sheetView workbookViewId="0">
      <selection sqref="A1:F1"/>
    </sheetView>
  </sheetViews>
  <sheetFormatPr defaultRowHeight="12.75" x14ac:dyDescent="0.2"/>
  <cols>
    <col min="1" max="6" width="14.7109375" bestFit="1" customWidth="1"/>
    <col min="7" max="7" width="4.7109375" bestFit="1" customWidth="1"/>
  </cols>
  <sheetData>
    <row r="1" spans="1:6" ht="15" customHeight="1" x14ac:dyDescent="0.2">
      <c r="A1" s="398" t="s">
        <v>24</v>
      </c>
      <c r="B1" s="398"/>
      <c r="C1" s="398"/>
      <c r="D1" s="398"/>
      <c r="E1" s="398"/>
      <c r="F1" s="398"/>
    </row>
    <row r="2" spans="1:6" s="4" customFormat="1" ht="18" customHeight="1" x14ac:dyDescent="0.2">
      <c r="A2" s="376" t="s">
        <v>137</v>
      </c>
      <c r="B2" s="382" t="s">
        <v>308</v>
      </c>
      <c r="C2" s="408"/>
      <c r="D2" s="408"/>
      <c r="E2" s="408"/>
      <c r="F2" s="383"/>
    </row>
    <row r="3" spans="1:6" s="4" customFormat="1" ht="18" customHeight="1" x14ac:dyDescent="0.2">
      <c r="A3" s="378"/>
      <c r="B3" s="25" t="s">
        <v>309</v>
      </c>
      <c r="C3" s="25" t="s">
        <v>310</v>
      </c>
      <c r="D3" s="25" t="s">
        <v>89</v>
      </c>
      <c r="E3" s="25" t="s">
        <v>311</v>
      </c>
      <c r="F3" s="25" t="s">
        <v>305</v>
      </c>
    </row>
    <row r="4" spans="1:6" s="4" customFormat="1" ht="18" customHeight="1" x14ac:dyDescent="0.2">
      <c r="A4" s="3" t="s">
        <v>61</v>
      </c>
      <c r="B4" s="47">
        <v>22.352499999999999</v>
      </c>
      <c r="C4" s="47">
        <v>12.430833333000001</v>
      </c>
      <c r="D4" s="47">
        <v>7.94</v>
      </c>
      <c r="E4" s="47">
        <v>5.1666666999999999E-2</v>
      </c>
      <c r="F4" s="47">
        <v>57.224166666999999</v>
      </c>
    </row>
    <row r="5" spans="1:6" s="4" customFormat="1" ht="18" customHeight="1" x14ac:dyDescent="0.2">
      <c r="A5" s="3" t="s">
        <v>62</v>
      </c>
      <c r="B5" s="47">
        <v>22.47</v>
      </c>
      <c r="C5" s="47">
        <v>7.12</v>
      </c>
      <c r="D5" s="47">
        <v>6.77</v>
      </c>
      <c r="E5" s="47">
        <v>0.04</v>
      </c>
      <c r="F5" s="47">
        <v>63.59</v>
      </c>
    </row>
    <row r="6" spans="1:6" s="4" customFormat="1" ht="18" customHeight="1" x14ac:dyDescent="0.2">
      <c r="A6" s="3" t="s">
        <v>146</v>
      </c>
      <c r="B6" s="47">
        <v>22.47</v>
      </c>
      <c r="C6" s="47">
        <v>7.12</v>
      </c>
      <c r="D6" s="47">
        <v>6.77</v>
      </c>
      <c r="E6" s="47">
        <v>0.04</v>
      </c>
      <c r="F6" s="47">
        <v>63.59</v>
      </c>
    </row>
    <row r="7" spans="1:6" s="4" customFormat="1" ht="15" customHeight="1" x14ac:dyDescent="0.2">
      <c r="A7" s="366" t="s">
        <v>98</v>
      </c>
      <c r="B7" s="366"/>
      <c r="C7" s="366"/>
      <c r="D7" s="366"/>
      <c r="E7" s="366"/>
    </row>
    <row r="8" spans="1:6" s="4" customFormat="1" ht="13.5" customHeight="1" x14ac:dyDescent="0.2">
      <c r="A8" s="366" t="s">
        <v>312</v>
      </c>
      <c r="B8" s="366"/>
      <c r="C8" s="366"/>
      <c r="D8" s="366"/>
      <c r="E8" s="366"/>
    </row>
    <row r="9" spans="1:6" s="4" customFormat="1" ht="28.35" customHeight="1" x14ac:dyDescent="0.2"/>
  </sheetData>
  <mergeCells count="5">
    <mergeCell ref="A1:F1"/>
    <mergeCell ref="A2:A3"/>
    <mergeCell ref="B2:F2"/>
    <mergeCell ref="A7:E7"/>
    <mergeCell ref="A8:E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
  <sheetViews>
    <sheetView workbookViewId="0">
      <selection sqref="A1:F1"/>
    </sheetView>
  </sheetViews>
  <sheetFormatPr defaultRowHeight="12.75" x14ac:dyDescent="0.2"/>
  <cols>
    <col min="1" max="6" width="14.7109375" bestFit="1" customWidth="1"/>
    <col min="7" max="7" width="4.7109375" bestFit="1" customWidth="1"/>
  </cols>
  <sheetData>
    <row r="1" spans="1:6" ht="18" customHeight="1" x14ac:dyDescent="0.2">
      <c r="A1" s="398" t="s">
        <v>25</v>
      </c>
      <c r="B1" s="398"/>
      <c r="C1" s="398"/>
      <c r="D1" s="398"/>
      <c r="E1" s="398"/>
      <c r="F1" s="398"/>
    </row>
    <row r="2" spans="1:6" s="4" customFormat="1" ht="18" customHeight="1" x14ac:dyDescent="0.2">
      <c r="A2" s="376" t="s">
        <v>313</v>
      </c>
      <c r="B2" s="382" t="s">
        <v>308</v>
      </c>
      <c r="C2" s="408"/>
      <c r="D2" s="408"/>
      <c r="E2" s="408"/>
      <c r="F2" s="383"/>
    </row>
    <row r="3" spans="1:6" s="4" customFormat="1" ht="18" customHeight="1" x14ac:dyDescent="0.2">
      <c r="A3" s="378"/>
      <c r="B3" s="25" t="s">
        <v>309</v>
      </c>
      <c r="C3" s="25" t="s">
        <v>310</v>
      </c>
      <c r="D3" s="25" t="s">
        <v>89</v>
      </c>
      <c r="E3" s="25" t="s">
        <v>311</v>
      </c>
      <c r="F3" s="25" t="s">
        <v>305</v>
      </c>
    </row>
    <row r="4" spans="1:6" s="4" customFormat="1" ht="18" customHeight="1" x14ac:dyDescent="0.2">
      <c r="A4" s="3" t="s">
        <v>61</v>
      </c>
      <c r="B4" s="47">
        <v>21.53</v>
      </c>
      <c r="C4" s="47">
        <v>15.1</v>
      </c>
      <c r="D4" s="47">
        <v>7.49</v>
      </c>
      <c r="E4" s="47">
        <v>0.22</v>
      </c>
      <c r="F4" s="47">
        <v>55.66</v>
      </c>
    </row>
    <row r="5" spans="1:6" s="4" customFormat="1" ht="18" customHeight="1" x14ac:dyDescent="0.2">
      <c r="A5" s="3" t="s">
        <v>62</v>
      </c>
      <c r="B5" s="47">
        <v>22.66</v>
      </c>
      <c r="C5" s="47">
        <v>14.33</v>
      </c>
      <c r="D5" s="47">
        <v>6.69</v>
      </c>
      <c r="E5" s="47">
        <v>0.15</v>
      </c>
      <c r="F5" s="47">
        <v>56.17</v>
      </c>
    </row>
    <row r="6" spans="1:6" s="4" customFormat="1" ht="18" customHeight="1" x14ac:dyDescent="0.2">
      <c r="A6" s="3" t="s">
        <v>146</v>
      </c>
      <c r="B6" s="47">
        <v>22.66</v>
      </c>
      <c r="C6" s="47">
        <v>14.33</v>
      </c>
      <c r="D6" s="47">
        <v>6.69</v>
      </c>
      <c r="E6" s="47">
        <v>0.15</v>
      </c>
      <c r="F6" s="47">
        <v>56.17</v>
      </c>
    </row>
    <row r="7" spans="1:6" s="4" customFormat="1" ht="15" customHeight="1" x14ac:dyDescent="0.2">
      <c r="A7" s="366" t="s">
        <v>98</v>
      </c>
      <c r="B7" s="366"/>
      <c r="C7" s="366"/>
      <c r="D7" s="366"/>
      <c r="E7" s="366"/>
      <c r="F7" s="366"/>
    </row>
    <row r="8" spans="1:6" s="4" customFormat="1" ht="13.5" customHeight="1" x14ac:dyDescent="0.2">
      <c r="A8" s="366" t="s">
        <v>314</v>
      </c>
      <c r="B8" s="366"/>
      <c r="C8" s="366"/>
      <c r="D8" s="366"/>
      <c r="E8" s="366"/>
      <c r="F8" s="366"/>
    </row>
    <row r="9" spans="1:6" s="4" customFormat="1" ht="25.35" customHeight="1" x14ac:dyDescent="0.2"/>
  </sheetData>
  <mergeCells count="5">
    <mergeCell ref="A1:F1"/>
    <mergeCell ref="A2:A3"/>
    <mergeCell ref="B2:F2"/>
    <mergeCell ref="A7:F7"/>
    <mergeCell ref="A8:F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9"/>
  <sheetViews>
    <sheetView workbookViewId="0">
      <selection sqref="A1:D1"/>
    </sheetView>
  </sheetViews>
  <sheetFormatPr defaultRowHeight="12.75" x14ac:dyDescent="0.2"/>
  <cols>
    <col min="1" max="6" width="14.7109375" bestFit="1" customWidth="1"/>
    <col min="7" max="7" width="4.7109375" bestFit="1" customWidth="1"/>
  </cols>
  <sheetData>
    <row r="1" spans="1:6" ht="21" customHeight="1" x14ac:dyDescent="0.2">
      <c r="A1" s="364" t="s">
        <v>26</v>
      </c>
      <c r="B1" s="364"/>
      <c r="C1" s="364"/>
      <c r="D1" s="364"/>
    </row>
    <row r="2" spans="1:6" s="4" customFormat="1" ht="18.75" customHeight="1" x14ac:dyDescent="0.2">
      <c r="A2" s="425" t="s">
        <v>137</v>
      </c>
      <c r="B2" s="427" t="s">
        <v>308</v>
      </c>
      <c r="C2" s="428"/>
      <c r="D2" s="428"/>
      <c r="E2" s="428"/>
      <c r="F2" s="429"/>
    </row>
    <row r="3" spans="1:6" s="4" customFormat="1" ht="18" customHeight="1" x14ac:dyDescent="0.2">
      <c r="A3" s="426"/>
      <c r="B3" s="2" t="s">
        <v>309</v>
      </c>
      <c r="C3" s="2" t="s">
        <v>310</v>
      </c>
      <c r="D3" s="2" t="s">
        <v>89</v>
      </c>
      <c r="E3" s="2" t="s">
        <v>311</v>
      </c>
      <c r="F3" s="2" t="s">
        <v>305</v>
      </c>
    </row>
    <row r="4" spans="1:6" s="4" customFormat="1" ht="18" customHeight="1" x14ac:dyDescent="0.2">
      <c r="A4" s="29" t="s">
        <v>61</v>
      </c>
      <c r="B4" s="8">
        <v>0</v>
      </c>
      <c r="C4" s="8">
        <v>0</v>
      </c>
      <c r="D4" s="8">
        <v>0</v>
      </c>
      <c r="E4" s="8">
        <v>0</v>
      </c>
      <c r="F4" s="8">
        <v>100</v>
      </c>
    </row>
    <row r="5" spans="1:6" s="4" customFormat="1" ht="18" customHeight="1" x14ac:dyDescent="0.2">
      <c r="A5" s="29" t="s">
        <v>62</v>
      </c>
      <c r="B5" s="8">
        <v>0</v>
      </c>
      <c r="C5" s="8">
        <v>0</v>
      </c>
      <c r="D5" s="8">
        <v>0</v>
      </c>
      <c r="E5" s="8">
        <v>0</v>
      </c>
      <c r="F5" s="8">
        <v>100</v>
      </c>
    </row>
    <row r="6" spans="1:6" s="4" customFormat="1" ht="18" customHeight="1" x14ac:dyDescent="0.2">
      <c r="A6" s="29" t="s">
        <v>146</v>
      </c>
      <c r="B6" s="8">
        <v>0</v>
      </c>
      <c r="C6" s="8">
        <v>0</v>
      </c>
      <c r="D6" s="8">
        <v>0</v>
      </c>
      <c r="E6" s="8">
        <v>0</v>
      </c>
      <c r="F6" s="8">
        <v>100</v>
      </c>
    </row>
    <row r="7" spans="1:6" s="4" customFormat="1" ht="18" customHeight="1" x14ac:dyDescent="0.2">
      <c r="A7" s="430" t="s">
        <v>225</v>
      </c>
      <c r="B7" s="431"/>
      <c r="C7" s="431"/>
      <c r="D7" s="431"/>
      <c r="E7" s="431"/>
      <c r="F7" s="432"/>
    </row>
    <row r="8" spans="1:6" s="4" customFormat="1" ht="18" customHeight="1" x14ac:dyDescent="0.2">
      <c r="A8" s="430" t="s">
        <v>315</v>
      </c>
      <c r="B8" s="431"/>
      <c r="C8" s="431"/>
      <c r="D8" s="431"/>
      <c r="E8" s="431"/>
      <c r="F8" s="432"/>
    </row>
    <row r="9" spans="1:6" s="4" customFormat="1" ht="28.35" customHeight="1" x14ac:dyDescent="0.2"/>
  </sheetData>
  <mergeCells count="5">
    <mergeCell ref="A1:D1"/>
    <mergeCell ref="A2:A3"/>
    <mergeCell ref="B2:F2"/>
    <mergeCell ref="A7:F7"/>
    <mergeCell ref="A8:F8"/>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0"/>
  <sheetViews>
    <sheetView workbookViewId="0">
      <selection sqref="A1:K1"/>
    </sheetView>
  </sheetViews>
  <sheetFormatPr defaultRowHeight="12.75" x14ac:dyDescent="0.2"/>
  <cols>
    <col min="1" max="1" width="6.42578125" bestFit="1" customWidth="1"/>
    <col min="2" max="2" width="20.7109375" bestFit="1" customWidth="1"/>
    <col min="3" max="3" width="10"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5.140625" bestFit="1" customWidth="1"/>
    <col min="12" max="12" width="4.7109375" bestFit="1" customWidth="1"/>
  </cols>
  <sheetData>
    <row r="1" spans="1:11" ht="15.75" customHeight="1" x14ac:dyDescent="0.2">
      <c r="A1" s="367" t="s">
        <v>316</v>
      </c>
      <c r="B1" s="367"/>
      <c r="C1" s="367"/>
      <c r="D1" s="367"/>
      <c r="E1" s="367"/>
      <c r="F1" s="367"/>
      <c r="G1" s="367"/>
      <c r="H1" s="367"/>
      <c r="I1" s="367"/>
      <c r="J1" s="367"/>
      <c r="K1" s="367"/>
    </row>
    <row r="2" spans="1:11" s="4" customFormat="1" ht="58.5" customHeight="1" x14ac:dyDescent="0.2">
      <c r="A2" s="9" t="s">
        <v>125</v>
      </c>
      <c r="B2" s="9" t="s">
        <v>317</v>
      </c>
      <c r="C2" s="16" t="s">
        <v>318</v>
      </c>
      <c r="D2" s="16" t="s">
        <v>319</v>
      </c>
      <c r="E2" s="9" t="s">
        <v>320</v>
      </c>
      <c r="F2" s="9" t="s">
        <v>321</v>
      </c>
      <c r="G2" s="9" t="s">
        <v>322</v>
      </c>
      <c r="H2" s="17" t="s">
        <v>323</v>
      </c>
      <c r="I2" s="17" t="s">
        <v>324</v>
      </c>
      <c r="J2" s="17" t="s">
        <v>325</v>
      </c>
    </row>
    <row r="3" spans="1:11" s="4" customFormat="1" ht="15" customHeight="1" x14ac:dyDescent="0.2">
      <c r="A3" s="18">
        <v>1</v>
      </c>
      <c r="B3" s="19" t="s">
        <v>326</v>
      </c>
      <c r="C3" s="52">
        <v>545.01</v>
      </c>
      <c r="D3" s="53">
        <v>497038.0612</v>
      </c>
      <c r="E3" s="23">
        <v>12.51817629</v>
      </c>
      <c r="F3" s="54">
        <v>0.71</v>
      </c>
      <c r="G3" s="54">
        <v>0.30622899999999997</v>
      </c>
      <c r="H3" s="54">
        <v>0.99</v>
      </c>
      <c r="I3" s="54">
        <v>-4.3167999999999998E-2</v>
      </c>
      <c r="J3" s="54">
        <v>0.04</v>
      </c>
    </row>
    <row r="4" spans="1:11" s="4" customFormat="1" ht="15" customHeight="1" x14ac:dyDescent="0.2">
      <c r="A4" s="18">
        <v>2</v>
      </c>
      <c r="B4" s="19" t="s">
        <v>327</v>
      </c>
      <c r="C4" s="52">
        <v>6338.75</v>
      </c>
      <c r="D4" s="53">
        <v>449532.35320000001</v>
      </c>
      <c r="E4" s="23">
        <v>11.32171896</v>
      </c>
      <c r="F4" s="54">
        <v>1.5</v>
      </c>
      <c r="G4" s="54">
        <v>0.46317199999999997</v>
      </c>
      <c r="H4" s="54">
        <v>1.72</v>
      </c>
      <c r="I4" s="54">
        <v>2.1092399999999998</v>
      </c>
      <c r="J4" s="54">
        <v>0.02</v>
      </c>
    </row>
    <row r="5" spans="1:11" s="4" customFormat="1" ht="15" customHeight="1" x14ac:dyDescent="0.2">
      <c r="A5" s="18">
        <v>3</v>
      </c>
      <c r="B5" s="19" t="s">
        <v>328</v>
      </c>
      <c r="C5" s="52">
        <v>344.29</v>
      </c>
      <c r="D5" s="53">
        <v>342760.03450000001</v>
      </c>
      <c r="E5" s="23">
        <v>8.6325995340000006</v>
      </c>
      <c r="F5" s="54">
        <v>1.23</v>
      </c>
      <c r="G5" s="54">
        <v>0.45008999999999999</v>
      </c>
      <c r="H5" s="54">
        <v>1.42</v>
      </c>
      <c r="I5" s="54">
        <v>1.428353</v>
      </c>
      <c r="J5" s="54">
        <v>0.04</v>
      </c>
    </row>
    <row r="6" spans="1:11" s="4" customFormat="1" ht="15" customHeight="1" x14ac:dyDescent="0.2">
      <c r="A6" s="18">
        <v>4</v>
      </c>
      <c r="B6" s="19" t="s">
        <v>329</v>
      </c>
      <c r="C6" s="52">
        <v>2184.4699999999998</v>
      </c>
      <c r="D6" s="53">
        <v>285007.74469999998</v>
      </c>
      <c r="E6" s="23">
        <v>7.1780764279999998</v>
      </c>
      <c r="F6" s="54">
        <v>0.84</v>
      </c>
      <c r="G6" s="54">
        <v>2.1125000000000001E-2</v>
      </c>
      <c r="H6" s="54">
        <v>4.5</v>
      </c>
      <c r="I6" s="54">
        <v>1.0305800000000001</v>
      </c>
      <c r="J6" s="54">
        <v>0.04</v>
      </c>
    </row>
    <row r="7" spans="1:11" s="4" customFormat="1" ht="15" customHeight="1" x14ac:dyDescent="0.2">
      <c r="A7" s="18">
        <v>5</v>
      </c>
      <c r="B7" s="19" t="s">
        <v>330</v>
      </c>
      <c r="C7" s="52">
        <v>1289.42</v>
      </c>
      <c r="D7" s="53">
        <v>261553.48009999999</v>
      </c>
      <c r="E7" s="23">
        <v>6.5873679049999998</v>
      </c>
      <c r="F7" s="54">
        <v>1.33</v>
      </c>
      <c r="G7" s="54">
        <v>0.30952299999999999</v>
      </c>
      <c r="H7" s="54">
        <v>1.86</v>
      </c>
      <c r="I7" s="54">
        <v>2.2314150000000001</v>
      </c>
      <c r="J7" s="54">
        <v>0.06</v>
      </c>
    </row>
    <row r="8" spans="1:11" s="4" customFormat="1" ht="15" customHeight="1" x14ac:dyDescent="0.2">
      <c r="A8" s="18">
        <v>6</v>
      </c>
      <c r="B8" s="19" t="s">
        <v>331</v>
      </c>
      <c r="C8" s="52">
        <v>1225.8599999999999</v>
      </c>
      <c r="D8" s="53">
        <v>257017.49710000001</v>
      </c>
      <c r="E8" s="23">
        <v>6.4731266830000003</v>
      </c>
      <c r="F8" s="54">
        <v>0.93</v>
      </c>
      <c r="G8" s="54">
        <v>0.32214999999999999</v>
      </c>
      <c r="H8" s="54">
        <v>1.27</v>
      </c>
      <c r="I8" s="54">
        <v>1.634647</v>
      </c>
      <c r="J8" s="54">
        <v>0.06</v>
      </c>
    </row>
    <row r="9" spans="1:11" s="4" customFormat="1" ht="15" customHeight="1" x14ac:dyDescent="0.2">
      <c r="A9" s="18">
        <v>7</v>
      </c>
      <c r="B9" s="19" t="s">
        <v>332</v>
      </c>
      <c r="C9" s="52">
        <v>375.24</v>
      </c>
      <c r="D9" s="53">
        <v>236920.33559999999</v>
      </c>
      <c r="E9" s="23">
        <v>5.9669686439999996</v>
      </c>
      <c r="F9" s="54">
        <v>-0.01</v>
      </c>
      <c r="G9" s="54">
        <v>1.9999999999999999E-6</v>
      </c>
      <c r="H9" s="54">
        <v>4.71</v>
      </c>
      <c r="I9" s="54">
        <v>12.724955</v>
      </c>
      <c r="J9" s="54">
        <v>0.03</v>
      </c>
    </row>
    <row r="10" spans="1:11" s="4" customFormat="1" ht="15" customHeight="1" x14ac:dyDescent="0.2">
      <c r="A10" s="18">
        <v>8</v>
      </c>
      <c r="B10" s="19" t="s">
        <v>333</v>
      </c>
      <c r="C10" s="52">
        <v>280.55</v>
      </c>
      <c r="D10" s="53">
        <v>164219.97080000001</v>
      </c>
      <c r="E10" s="23">
        <v>4.1359700689999999</v>
      </c>
      <c r="F10" s="54">
        <v>0.91</v>
      </c>
      <c r="G10" s="54">
        <v>0.28799000000000002</v>
      </c>
      <c r="H10" s="54">
        <v>1.31</v>
      </c>
      <c r="I10" s="54">
        <v>-2.6227369999999999</v>
      </c>
      <c r="J10" s="54">
        <v>0.03</v>
      </c>
    </row>
    <row r="11" spans="1:11" s="4" customFormat="1" ht="15" customHeight="1" x14ac:dyDescent="0.2">
      <c r="A11" s="18">
        <v>9</v>
      </c>
      <c r="B11" s="19" t="s">
        <v>334</v>
      </c>
      <c r="C11" s="52">
        <v>954.42</v>
      </c>
      <c r="D11" s="53">
        <v>163701.4137</v>
      </c>
      <c r="E11" s="23">
        <v>4.1229099219999998</v>
      </c>
      <c r="F11" s="54">
        <v>0.97</v>
      </c>
      <c r="G11" s="54">
        <v>0.23905999999999999</v>
      </c>
      <c r="H11" s="54">
        <v>1.54</v>
      </c>
      <c r="I11" s="54">
        <v>3.8405390000000001</v>
      </c>
      <c r="J11" s="54">
        <v>0.03</v>
      </c>
    </row>
    <row r="12" spans="1:11" s="4" customFormat="1" ht="15" customHeight="1" x14ac:dyDescent="0.2">
      <c r="A12" s="18">
        <v>10</v>
      </c>
      <c r="B12" s="19" t="s">
        <v>335</v>
      </c>
      <c r="C12" s="52">
        <v>514.47</v>
      </c>
      <c r="D12" s="53">
        <v>135670.53049999999</v>
      </c>
      <c r="E12" s="23">
        <v>3.416936749</v>
      </c>
      <c r="F12" s="54">
        <v>1.1599999999999999</v>
      </c>
      <c r="G12" s="54">
        <v>0.28464899999999999</v>
      </c>
      <c r="H12" s="54">
        <v>1.68</v>
      </c>
      <c r="I12" s="54">
        <v>-1.185414</v>
      </c>
      <c r="J12" s="54">
        <v>0.03</v>
      </c>
    </row>
    <row r="13" spans="1:11" s="4" customFormat="1" ht="15" customHeight="1" x14ac:dyDescent="0.2">
      <c r="A13" s="18">
        <v>11</v>
      </c>
      <c r="B13" s="19" t="s">
        <v>336</v>
      </c>
      <c r="C13" s="52">
        <v>216.47</v>
      </c>
      <c r="D13" s="53">
        <v>125279.9918</v>
      </c>
      <c r="E13" s="23">
        <v>3.1552453310000002</v>
      </c>
      <c r="F13" s="54">
        <v>0.72</v>
      </c>
      <c r="G13" s="54">
        <v>0.18160599999999999</v>
      </c>
      <c r="H13" s="54">
        <v>1.31</v>
      </c>
      <c r="I13" s="54">
        <v>2.7023069999999998</v>
      </c>
      <c r="J13" s="54">
        <v>0.04</v>
      </c>
    </row>
    <row r="14" spans="1:11" s="4" customFormat="1" ht="15" customHeight="1" x14ac:dyDescent="0.2">
      <c r="A14" s="18">
        <v>12</v>
      </c>
      <c r="B14" s="19" t="s">
        <v>337</v>
      </c>
      <c r="C14" s="52">
        <v>892.46</v>
      </c>
      <c r="D14" s="53">
        <v>116273.1023</v>
      </c>
      <c r="E14" s="23">
        <v>2.9284018779999998</v>
      </c>
      <c r="F14" s="54">
        <v>1.33</v>
      </c>
      <c r="G14" s="54">
        <v>0.33068700000000001</v>
      </c>
      <c r="H14" s="54">
        <v>1.8</v>
      </c>
      <c r="I14" s="54">
        <v>-3.3042389999999999</v>
      </c>
      <c r="J14" s="54">
        <v>0.04</v>
      </c>
    </row>
    <row r="15" spans="1:11" s="4" customFormat="1" ht="15" customHeight="1" x14ac:dyDescent="0.2">
      <c r="A15" s="18">
        <v>13</v>
      </c>
      <c r="B15" s="19" t="s">
        <v>338</v>
      </c>
      <c r="C15" s="52">
        <v>151.04</v>
      </c>
      <c r="D15" s="52">
        <v>88504.244219999993</v>
      </c>
      <c r="E15" s="23">
        <v>2.229027951</v>
      </c>
      <c r="F15" s="54">
        <v>1.1399999999999999</v>
      </c>
      <c r="G15" s="54">
        <v>0.28468199999999999</v>
      </c>
      <c r="H15" s="54">
        <v>1.66</v>
      </c>
      <c r="I15" s="54">
        <v>-0.194852</v>
      </c>
      <c r="J15" s="54">
        <v>0.03</v>
      </c>
    </row>
    <row r="16" spans="1:11" s="4" customFormat="1" ht="15" customHeight="1" x14ac:dyDescent="0.2">
      <c r="A16" s="18">
        <v>14</v>
      </c>
      <c r="B16" s="19" t="s">
        <v>339</v>
      </c>
      <c r="C16" s="52">
        <v>602.91999999999996</v>
      </c>
      <c r="D16" s="52">
        <v>80850.358410000001</v>
      </c>
      <c r="E16" s="23">
        <v>2.0362606369999998</v>
      </c>
      <c r="F16" s="54">
        <v>1.07</v>
      </c>
      <c r="G16" s="54">
        <v>0.231576</v>
      </c>
      <c r="H16" s="54">
        <v>1.73</v>
      </c>
      <c r="I16" s="54">
        <v>-9.7862069999999992</v>
      </c>
      <c r="J16" s="54">
        <v>0.06</v>
      </c>
    </row>
    <row r="17" spans="1:10" s="4" customFormat="1" ht="15" customHeight="1" x14ac:dyDescent="0.2">
      <c r="A17" s="18">
        <v>15</v>
      </c>
      <c r="B17" s="19" t="s">
        <v>340</v>
      </c>
      <c r="C17" s="52">
        <v>115.59</v>
      </c>
      <c r="D17" s="52">
        <v>73134.449110000001</v>
      </c>
      <c r="E17" s="23">
        <v>1.841931228</v>
      </c>
      <c r="F17" s="54">
        <v>1.3</v>
      </c>
      <c r="G17" s="54">
        <v>0.21748600000000001</v>
      </c>
      <c r="H17" s="54">
        <v>2.16</v>
      </c>
      <c r="I17" s="54">
        <v>2.2943280000000001</v>
      </c>
      <c r="J17" s="54">
        <v>0.04</v>
      </c>
    </row>
    <row r="18" spans="1:10" s="4" customFormat="1" ht="15" customHeight="1" x14ac:dyDescent="0.2">
      <c r="A18" s="18">
        <v>16</v>
      </c>
      <c r="B18" s="19" t="s">
        <v>341</v>
      </c>
      <c r="C18" s="52">
        <v>95.92</v>
      </c>
      <c r="D18" s="52">
        <v>65955.413679999998</v>
      </c>
      <c r="E18" s="23">
        <v>1.6611232819999999</v>
      </c>
      <c r="F18" s="54">
        <v>1</v>
      </c>
      <c r="G18" s="54">
        <v>0.27850599999999998</v>
      </c>
      <c r="H18" s="54">
        <v>1.46</v>
      </c>
      <c r="I18" s="54">
        <v>-1.937127</v>
      </c>
      <c r="J18" s="54">
        <v>0.04</v>
      </c>
    </row>
    <row r="19" spans="1:10" s="4" customFormat="1" ht="15" customHeight="1" x14ac:dyDescent="0.2">
      <c r="A19" s="18">
        <v>17</v>
      </c>
      <c r="B19" s="19" t="s">
        <v>342</v>
      </c>
      <c r="C19" s="52">
        <v>271.26</v>
      </c>
      <c r="D19" s="52">
        <v>65888.359989999997</v>
      </c>
      <c r="E19" s="23">
        <v>1.659434498</v>
      </c>
      <c r="F19" s="54">
        <v>0.6</v>
      </c>
      <c r="G19" s="54">
        <v>7.4010999999999993E-2</v>
      </c>
      <c r="H19" s="54">
        <v>1.7</v>
      </c>
      <c r="I19" s="54">
        <v>8.7637859999999996</v>
      </c>
      <c r="J19" s="54">
        <v>0.05</v>
      </c>
    </row>
    <row r="20" spans="1:10" s="4" customFormat="1" ht="15" customHeight="1" x14ac:dyDescent="0.2">
      <c r="A20" s="18">
        <v>18</v>
      </c>
      <c r="B20" s="19" t="s">
        <v>343</v>
      </c>
      <c r="C20" s="52">
        <v>621.6</v>
      </c>
      <c r="D20" s="52">
        <v>60132.574710000001</v>
      </c>
      <c r="E20" s="23">
        <v>1.514471887</v>
      </c>
      <c r="F20" s="54">
        <v>1.23</v>
      </c>
      <c r="G20" s="54">
        <v>0.31476399999999999</v>
      </c>
      <c r="H20" s="54">
        <v>1.7</v>
      </c>
      <c r="I20" s="54">
        <v>-3.9222980000000001</v>
      </c>
      <c r="J20" s="54">
        <v>0.06</v>
      </c>
    </row>
    <row r="21" spans="1:10" s="4" customFormat="1" ht="15" customHeight="1" x14ac:dyDescent="0.2">
      <c r="A21" s="18">
        <v>19</v>
      </c>
      <c r="B21" s="19" t="s">
        <v>344</v>
      </c>
      <c r="C21" s="52">
        <v>2565.5</v>
      </c>
      <c r="D21" s="52">
        <v>54217.129979999998</v>
      </c>
      <c r="E21" s="23">
        <v>1.365488166</v>
      </c>
      <c r="F21" s="54">
        <v>1.2</v>
      </c>
      <c r="G21" s="54">
        <v>0.16253000000000001</v>
      </c>
      <c r="H21" s="54">
        <v>2.31</v>
      </c>
      <c r="I21" s="54">
        <v>4.776732</v>
      </c>
      <c r="J21" s="54">
        <v>0.09</v>
      </c>
    </row>
    <row r="22" spans="1:10" s="4" customFormat="1" ht="15" customHeight="1" x14ac:dyDescent="0.2">
      <c r="A22" s="18">
        <v>20</v>
      </c>
      <c r="B22" s="19" t="s">
        <v>345</v>
      </c>
      <c r="C22" s="52">
        <v>9894.56</v>
      </c>
      <c r="D22" s="52">
        <v>50251.491719999998</v>
      </c>
      <c r="E22" s="23">
        <v>1.265611391</v>
      </c>
      <c r="F22" s="54">
        <v>0.49</v>
      </c>
      <c r="G22" s="54">
        <v>5.0097999999999997E-2</v>
      </c>
      <c r="H22" s="54">
        <v>1.71</v>
      </c>
      <c r="I22" s="54">
        <v>-1.2560020000000001</v>
      </c>
      <c r="J22" s="54">
        <v>7.0000000000000007E-2</v>
      </c>
    </row>
    <row r="23" spans="1:10" s="4" customFormat="1" ht="15" customHeight="1" x14ac:dyDescent="0.2">
      <c r="A23" s="18">
        <v>21</v>
      </c>
      <c r="B23" s="19" t="s">
        <v>346</v>
      </c>
      <c r="C23" s="52">
        <v>239.93</v>
      </c>
      <c r="D23" s="52">
        <v>49335.095690000002</v>
      </c>
      <c r="E23" s="23">
        <v>1.2425314540000001</v>
      </c>
      <c r="F23" s="54">
        <v>0.76</v>
      </c>
      <c r="G23" s="54">
        <v>6.7490999999999995E-2</v>
      </c>
      <c r="H23" s="54">
        <v>2.27</v>
      </c>
      <c r="I23" s="54">
        <v>-4.6531029999999998</v>
      </c>
      <c r="J23" s="54">
        <v>0.04</v>
      </c>
    </row>
    <row r="24" spans="1:10" s="4" customFormat="1" ht="15" customHeight="1" x14ac:dyDescent="0.2">
      <c r="A24" s="18">
        <v>22</v>
      </c>
      <c r="B24" s="19" t="s">
        <v>347</v>
      </c>
      <c r="C24" s="52">
        <v>6416.62</v>
      </c>
      <c r="D24" s="52">
        <v>47798.667079999999</v>
      </c>
      <c r="E24" s="23">
        <v>1.2038356560000001</v>
      </c>
      <c r="F24" s="54">
        <v>0.96</v>
      </c>
      <c r="G24" s="54">
        <v>0.14607600000000001</v>
      </c>
      <c r="H24" s="54">
        <v>1.95</v>
      </c>
      <c r="I24" s="54">
        <v>6.1109369999999998</v>
      </c>
      <c r="J24" s="54">
        <v>0.06</v>
      </c>
    </row>
    <row r="25" spans="1:10" s="4" customFormat="1" ht="15" customHeight="1" x14ac:dyDescent="0.2">
      <c r="A25" s="18">
        <v>23</v>
      </c>
      <c r="B25" s="19" t="s">
        <v>348</v>
      </c>
      <c r="C25" s="52">
        <v>5231.59</v>
      </c>
      <c r="D25" s="52">
        <v>42884.38955</v>
      </c>
      <c r="E25" s="23">
        <v>1.08006688</v>
      </c>
      <c r="F25" s="54">
        <v>0.56999999999999995</v>
      </c>
      <c r="G25" s="54">
        <v>0.107722</v>
      </c>
      <c r="H25" s="54">
        <v>1.34</v>
      </c>
      <c r="I25" s="54">
        <v>-5.9565869999999999</v>
      </c>
      <c r="J25" s="54">
        <v>0.08</v>
      </c>
    </row>
    <row r="26" spans="1:10" s="4" customFormat="1" ht="15" customHeight="1" x14ac:dyDescent="0.2">
      <c r="A26" s="18">
        <v>24</v>
      </c>
      <c r="B26" s="19" t="s">
        <v>349</v>
      </c>
      <c r="C26" s="52">
        <v>1145.9000000000001</v>
      </c>
      <c r="D26" s="52">
        <v>42629.307309999997</v>
      </c>
      <c r="E26" s="23">
        <v>1.073642494</v>
      </c>
      <c r="F26" s="54">
        <v>1.23</v>
      </c>
      <c r="G26" s="54">
        <v>0.23511499999999999</v>
      </c>
      <c r="H26" s="54">
        <v>1.97</v>
      </c>
      <c r="I26" s="54">
        <v>6.834981</v>
      </c>
      <c r="J26" s="54">
        <v>0.03</v>
      </c>
    </row>
    <row r="27" spans="1:10" s="4" customFormat="1" ht="15" customHeight="1" x14ac:dyDescent="0.2">
      <c r="A27" s="18">
        <v>25</v>
      </c>
      <c r="B27" s="19" t="s">
        <v>350</v>
      </c>
      <c r="C27" s="52">
        <v>289.37</v>
      </c>
      <c r="D27" s="52">
        <v>40709.086000000003</v>
      </c>
      <c r="E27" s="23">
        <v>1.0252806670000001</v>
      </c>
      <c r="F27" s="54">
        <v>0.87</v>
      </c>
      <c r="G27" s="54">
        <v>0.17438500000000001</v>
      </c>
      <c r="H27" s="54">
        <v>1.61</v>
      </c>
      <c r="I27" s="54">
        <v>2.6826289999999999</v>
      </c>
      <c r="J27" s="54">
        <v>0.05</v>
      </c>
    </row>
    <row r="28" spans="1:10" s="4" customFormat="1" ht="15" customHeight="1" x14ac:dyDescent="0.2">
      <c r="A28" s="18">
        <v>26</v>
      </c>
      <c r="B28" s="19" t="s">
        <v>351</v>
      </c>
      <c r="C28" s="52">
        <v>577.47</v>
      </c>
      <c r="D28" s="52">
        <v>38963.606319999999</v>
      </c>
      <c r="E28" s="23">
        <v>0.98131980399999996</v>
      </c>
      <c r="F28" s="54">
        <v>1.43</v>
      </c>
      <c r="G28" s="54">
        <v>0.16322500000000001</v>
      </c>
      <c r="H28" s="54">
        <v>2.75</v>
      </c>
      <c r="I28" s="54">
        <v>22.891566000000001</v>
      </c>
      <c r="J28" s="54">
        <v>0.04</v>
      </c>
    </row>
    <row r="29" spans="1:10" s="4" customFormat="1" ht="15" customHeight="1" x14ac:dyDescent="0.2">
      <c r="A29" s="18">
        <v>27</v>
      </c>
      <c r="B29" s="19" t="s">
        <v>352</v>
      </c>
      <c r="C29" s="52">
        <v>6207.41</v>
      </c>
      <c r="D29" s="52">
        <v>34407.047350000001</v>
      </c>
      <c r="E29" s="23">
        <v>0.86656036599999997</v>
      </c>
      <c r="F29" s="54">
        <v>0.42</v>
      </c>
      <c r="G29" s="54">
        <v>4.6843000000000003E-2</v>
      </c>
      <c r="H29" s="54">
        <v>1.52</v>
      </c>
      <c r="I29" s="54">
        <v>6.3978039999999998</v>
      </c>
      <c r="J29" s="54">
        <v>0.06</v>
      </c>
    </row>
    <row r="30" spans="1:10" s="4" customFormat="1" ht="15" customHeight="1" x14ac:dyDescent="0.2">
      <c r="A30" s="18">
        <v>28</v>
      </c>
      <c r="B30" s="19" t="s">
        <v>353</v>
      </c>
      <c r="C30" s="52">
        <v>39.950000000000003</v>
      </c>
      <c r="D30" s="52">
        <v>32614.963360000002</v>
      </c>
      <c r="E30" s="23">
        <v>0.82142574700000004</v>
      </c>
      <c r="F30" s="54">
        <v>0.92</v>
      </c>
      <c r="G30" s="54">
        <v>0.16869200000000001</v>
      </c>
      <c r="H30" s="54">
        <v>1.74</v>
      </c>
      <c r="I30" s="54">
        <v>-1.6671549999999999</v>
      </c>
      <c r="J30" s="54">
        <v>0.04</v>
      </c>
    </row>
    <row r="31" spans="1:10" s="4" customFormat="1" ht="15" customHeight="1" x14ac:dyDescent="0.2">
      <c r="A31" s="18">
        <v>29</v>
      </c>
      <c r="B31" s="19" t="s">
        <v>354</v>
      </c>
      <c r="C31" s="52">
        <v>463.21</v>
      </c>
      <c r="D31" s="52">
        <v>31072.64832</v>
      </c>
      <c r="E31" s="23">
        <v>0.78258169700000002</v>
      </c>
      <c r="F31" s="54">
        <v>1.1499999999999999</v>
      </c>
      <c r="G31" s="54">
        <v>3.7247000000000002E-2</v>
      </c>
      <c r="H31" s="54">
        <v>4.62</v>
      </c>
      <c r="I31" s="54">
        <v>-38.920195999999997</v>
      </c>
      <c r="J31" s="54">
        <v>0.03</v>
      </c>
    </row>
    <row r="32" spans="1:10" s="4" customFormat="1" ht="15" customHeight="1" x14ac:dyDescent="0.2">
      <c r="A32" s="18">
        <v>30</v>
      </c>
      <c r="B32" s="19" t="s">
        <v>355</v>
      </c>
      <c r="C32" s="52">
        <v>371.72</v>
      </c>
      <c r="D32" s="52">
        <v>31010.69095</v>
      </c>
      <c r="E32" s="23">
        <v>0.78102126599999999</v>
      </c>
      <c r="F32" s="54">
        <v>1.25</v>
      </c>
      <c r="G32" s="54">
        <v>0.145261</v>
      </c>
      <c r="H32" s="54">
        <v>2.5499999999999998</v>
      </c>
      <c r="I32" s="54">
        <v>-9.1972780000000007</v>
      </c>
      <c r="J32" s="54">
        <v>0.04</v>
      </c>
    </row>
    <row r="33" spans="1:10" s="4" customFormat="1" ht="15" customHeight="1" x14ac:dyDescent="0.2">
      <c r="A33" s="18">
        <v>31</v>
      </c>
      <c r="B33" s="19" t="s">
        <v>356</v>
      </c>
      <c r="C33" s="52">
        <v>101.7</v>
      </c>
      <c r="D33" s="52">
        <v>5196.8904400000001</v>
      </c>
      <c r="E33" s="23">
        <v>0.13</v>
      </c>
      <c r="F33" s="54">
        <v>1.38</v>
      </c>
      <c r="G33" s="54">
        <v>0.178426</v>
      </c>
      <c r="H33" s="54">
        <v>2.5299999999999998</v>
      </c>
      <c r="I33" s="54">
        <v>19.114219110000001</v>
      </c>
      <c r="J33" s="54">
        <v>0.12</v>
      </c>
    </row>
    <row r="34" spans="1:10" s="4" customFormat="1" ht="24.75" customHeight="1" x14ac:dyDescent="0.2">
      <c r="A34" s="422" t="s">
        <v>357</v>
      </c>
      <c r="B34" s="423"/>
      <c r="C34" s="423"/>
      <c r="D34" s="423"/>
      <c r="E34" s="423"/>
      <c r="F34" s="423"/>
      <c r="G34" s="423"/>
      <c r="H34" s="423"/>
      <c r="I34" s="423"/>
      <c r="J34" s="424"/>
    </row>
    <row r="35" spans="1:10" s="4" customFormat="1" ht="24" customHeight="1" x14ac:dyDescent="0.2">
      <c r="A35" s="422" t="s">
        <v>358</v>
      </c>
      <c r="B35" s="423"/>
      <c r="C35" s="423"/>
      <c r="D35" s="423"/>
      <c r="E35" s="423"/>
      <c r="F35" s="423"/>
      <c r="G35" s="423"/>
      <c r="H35" s="423"/>
      <c r="I35" s="423"/>
      <c r="J35" s="424"/>
    </row>
    <row r="36" spans="1:10" s="4" customFormat="1" ht="13.5" customHeight="1" x14ac:dyDescent="0.2">
      <c r="A36" s="422" t="s">
        <v>359</v>
      </c>
      <c r="B36" s="423"/>
      <c r="C36" s="423"/>
      <c r="D36" s="423"/>
      <c r="E36" s="423"/>
      <c r="F36" s="423"/>
      <c r="G36" s="423"/>
      <c r="H36" s="423"/>
      <c r="I36" s="423"/>
      <c r="J36" s="424"/>
    </row>
    <row r="37" spans="1:10" s="4" customFormat="1" ht="24" customHeight="1" x14ac:dyDescent="0.2">
      <c r="A37" s="422" t="s">
        <v>360</v>
      </c>
      <c r="B37" s="423"/>
      <c r="C37" s="423"/>
      <c r="D37" s="423"/>
      <c r="E37" s="423"/>
      <c r="F37" s="423"/>
      <c r="G37" s="423"/>
      <c r="H37" s="423"/>
      <c r="I37" s="423"/>
      <c r="J37" s="424"/>
    </row>
    <row r="38" spans="1:10" s="4" customFormat="1" ht="13.5" customHeight="1" x14ac:dyDescent="0.2">
      <c r="A38" s="422" t="s">
        <v>361</v>
      </c>
      <c r="B38" s="423"/>
      <c r="C38" s="423"/>
      <c r="D38" s="423"/>
      <c r="E38" s="423"/>
      <c r="F38" s="423"/>
      <c r="G38" s="423"/>
      <c r="H38" s="423"/>
      <c r="I38" s="423"/>
      <c r="J38" s="424"/>
    </row>
    <row r="39" spans="1:10" s="4" customFormat="1" ht="13.5" customHeight="1" x14ac:dyDescent="0.2">
      <c r="A39" s="422" t="s">
        <v>362</v>
      </c>
      <c r="B39" s="423"/>
      <c r="C39" s="423"/>
      <c r="D39" s="423"/>
      <c r="E39" s="423"/>
      <c r="F39" s="423"/>
      <c r="G39" s="423"/>
      <c r="H39" s="423"/>
      <c r="I39" s="423"/>
      <c r="J39" s="424"/>
    </row>
    <row r="40" spans="1:10" s="4" customFormat="1" ht="27.6" customHeight="1" x14ac:dyDescent="0.2"/>
  </sheetData>
  <mergeCells count="7">
    <mergeCell ref="A39:J39"/>
    <mergeCell ref="A1:K1"/>
    <mergeCell ref="A34:J34"/>
    <mergeCell ref="A35:J35"/>
    <mergeCell ref="A36:J36"/>
    <mergeCell ref="A37:J37"/>
    <mergeCell ref="A38:J3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59"/>
  <sheetViews>
    <sheetView workbookViewId="0">
      <selection sqref="A1:K1"/>
    </sheetView>
  </sheetViews>
  <sheetFormatPr defaultRowHeight="12.75" x14ac:dyDescent="0.2"/>
  <cols>
    <col min="1" max="1" width="6.42578125" bestFit="1" customWidth="1"/>
    <col min="2" max="2" width="20.7109375" bestFit="1" customWidth="1"/>
    <col min="3" max="3" width="14.7109375" bestFit="1" customWidth="1"/>
    <col min="4" max="4" width="13.85546875" bestFit="1" customWidth="1"/>
    <col min="5" max="5" width="7.7109375" bestFit="1" customWidth="1"/>
    <col min="6" max="7" width="6" bestFit="1" customWidth="1"/>
    <col min="8" max="8" width="9.7109375" bestFit="1" customWidth="1"/>
    <col min="9" max="9" width="10.7109375" bestFit="1" customWidth="1"/>
    <col min="10" max="10" width="10" bestFit="1" customWidth="1"/>
    <col min="11" max="11" width="30.42578125" bestFit="1" customWidth="1"/>
    <col min="12" max="12" width="4.7109375" bestFit="1" customWidth="1"/>
  </cols>
  <sheetData>
    <row r="1" spans="1:11" ht="17.25" customHeight="1" x14ac:dyDescent="0.2">
      <c r="A1" s="367" t="s">
        <v>363</v>
      </c>
      <c r="B1" s="367"/>
      <c r="C1" s="367"/>
      <c r="D1" s="367"/>
      <c r="E1" s="367"/>
      <c r="F1" s="367"/>
      <c r="G1" s="367"/>
      <c r="H1" s="367"/>
      <c r="I1" s="367"/>
      <c r="J1" s="367"/>
      <c r="K1" s="367"/>
    </row>
    <row r="2" spans="1:11" s="4" customFormat="1" ht="58.5" customHeight="1" x14ac:dyDescent="0.2">
      <c r="A2" s="9" t="s">
        <v>364</v>
      </c>
      <c r="B2" s="9" t="s">
        <v>317</v>
      </c>
      <c r="C2" s="16" t="s">
        <v>365</v>
      </c>
      <c r="D2" s="16" t="s">
        <v>319</v>
      </c>
      <c r="E2" s="9" t="s">
        <v>320</v>
      </c>
      <c r="F2" s="9" t="s">
        <v>321</v>
      </c>
      <c r="G2" s="9" t="s">
        <v>322</v>
      </c>
      <c r="H2" s="17" t="s">
        <v>323</v>
      </c>
      <c r="I2" s="17" t="s">
        <v>324</v>
      </c>
      <c r="J2" s="17" t="s">
        <v>325</v>
      </c>
    </row>
    <row r="3" spans="1:11" s="4" customFormat="1" ht="15" customHeight="1" x14ac:dyDescent="0.2">
      <c r="A3" s="18">
        <v>1</v>
      </c>
      <c r="B3" s="19" t="s">
        <v>366</v>
      </c>
      <c r="C3" s="52">
        <v>544.66</v>
      </c>
      <c r="D3" s="53">
        <v>498579.03</v>
      </c>
      <c r="E3" s="54">
        <v>10.53</v>
      </c>
      <c r="F3" s="54">
        <v>0.68</v>
      </c>
      <c r="G3" s="54">
        <v>0.28000000000000003</v>
      </c>
      <c r="H3" s="54">
        <v>1</v>
      </c>
      <c r="I3" s="54">
        <v>-0.06</v>
      </c>
      <c r="J3" s="54">
        <v>0.02</v>
      </c>
    </row>
    <row r="4" spans="1:11" s="4" customFormat="1" ht="27" customHeight="1" x14ac:dyDescent="0.2">
      <c r="A4" s="18">
        <v>2</v>
      </c>
      <c r="B4" s="19" t="s">
        <v>367</v>
      </c>
      <c r="C4" s="52">
        <v>6338.69</v>
      </c>
      <c r="D4" s="53">
        <v>476740.68</v>
      </c>
      <c r="E4" s="54">
        <v>10.07</v>
      </c>
      <c r="F4" s="54">
        <v>1.46</v>
      </c>
      <c r="G4" s="54">
        <v>0.45</v>
      </c>
      <c r="H4" s="54">
        <v>1.42</v>
      </c>
      <c r="I4" s="54">
        <v>2.17</v>
      </c>
      <c r="J4" s="54">
        <v>0.02</v>
      </c>
    </row>
    <row r="5" spans="1:11" s="4" customFormat="1" ht="39" customHeight="1" x14ac:dyDescent="0.2">
      <c r="A5" s="18">
        <v>3</v>
      </c>
      <c r="B5" s="19" t="s">
        <v>368</v>
      </c>
      <c r="C5" s="52">
        <v>343.74</v>
      </c>
      <c r="D5" s="53">
        <v>329173.86</v>
      </c>
      <c r="E5" s="54">
        <v>6.95</v>
      </c>
      <c r="F5" s="54">
        <v>1.22</v>
      </c>
      <c r="G5" s="54">
        <v>0.43</v>
      </c>
      <c r="H5" s="54">
        <v>1.28</v>
      </c>
      <c r="I5" s="54">
        <v>1.36</v>
      </c>
      <c r="J5" s="54">
        <v>0.01</v>
      </c>
    </row>
    <row r="6" spans="1:11" s="4" customFormat="1" ht="15" customHeight="1" x14ac:dyDescent="0.2">
      <c r="A6" s="18">
        <v>4</v>
      </c>
      <c r="B6" s="19" t="s">
        <v>369</v>
      </c>
      <c r="C6" s="52">
        <v>2184.4699999999998</v>
      </c>
      <c r="D6" s="53">
        <v>285585.90999999997</v>
      </c>
      <c r="E6" s="54">
        <v>6.03</v>
      </c>
      <c r="F6" s="54">
        <v>0.59</v>
      </c>
      <c r="G6" s="54">
        <v>0.1</v>
      </c>
      <c r="H6" s="54">
        <v>1.21</v>
      </c>
      <c r="I6" s="54">
        <v>1.01</v>
      </c>
      <c r="J6" s="54">
        <v>0.02</v>
      </c>
    </row>
    <row r="7" spans="1:11" s="4" customFormat="1" ht="15" customHeight="1" x14ac:dyDescent="0.2">
      <c r="A7" s="18">
        <v>5</v>
      </c>
      <c r="B7" s="19" t="s">
        <v>370</v>
      </c>
      <c r="C7" s="52">
        <v>1288.92</v>
      </c>
      <c r="D7" s="53">
        <v>262617.28000000003</v>
      </c>
      <c r="E7" s="54">
        <v>5.55</v>
      </c>
      <c r="F7" s="54">
        <v>1.31</v>
      </c>
      <c r="G7" s="54">
        <v>0.3</v>
      </c>
      <c r="H7" s="54">
        <v>1.58</v>
      </c>
      <c r="I7" s="54">
        <v>1.75</v>
      </c>
      <c r="J7" s="54">
        <v>0.03</v>
      </c>
    </row>
    <row r="8" spans="1:11" s="4" customFormat="1" ht="15" customHeight="1" x14ac:dyDescent="0.2">
      <c r="A8" s="18">
        <v>6</v>
      </c>
      <c r="B8" s="19" t="s">
        <v>371</v>
      </c>
      <c r="C8" s="52">
        <v>1225.3900000000001</v>
      </c>
      <c r="D8" s="53">
        <v>258490.02</v>
      </c>
      <c r="E8" s="54">
        <v>5.46</v>
      </c>
      <c r="F8" s="54">
        <v>0.9</v>
      </c>
      <c r="G8" s="54">
        <v>0.3</v>
      </c>
      <c r="H8" s="54">
        <v>0.99</v>
      </c>
      <c r="I8" s="54">
        <v>1.38</v>
      </c>
      <c r="J8" s="54">
        <v>0.02</v>
      </c>
    </row>
    <row r="9" spans="1:11" s="4" customFormat="1" ht="27" customHeight="1" x14ac:dyDescent="0.2">
      <c r="A9" s="18">
        <v>7</v>
      </c>
      <c r="B9" s="19" t="s">
        <v>372</v>
      </c>
      <c r="C9" s="52">
        <v>375.24</v>
      </c>
      <c r="D9" s="53">
        <v>237487.68</v>
      </c>
      <c r="E9" s="54">
        <v>5.01</v>
      </c>
      <c r="F9" s="54">
        <v>0.48</v>
      </c>
      <c r="G9" s="54">
        <v>0.06</v>
      </c>
      <c r="H9" s="54">
        <v>1.72</v>
      </c>
      <c r="I9" s="54">
        <v>12.92</v>
      </c>
      <c r="J9" s="54">
        <v>0.02</v>
      </c>
    </row>
    <row r="10" spans="1:11" s="4" customFormat="1" ht="27" customHeight="1" x14ac:dyDescent="0.2">
      <c r="A10" s="18">
        <v>8</v>
      </c>
      <c r="B10" s="19" t="s">
        <v>373</v>
      </c>
      <c r="C10" s="52">
        <v>954.02</v>
      </c>
      <c r="D10" s="53">
        <v>185190.92</v>
      </c>
      <c r="E10" s="54">
        <v>3.91</v>
      </c>
      <c r="F10" s="54">
        <v>0.94</v>
      </c>
      <c r="G10" s="54">
        <v>0.23</v>
      </c>
      <c r="H10" s="54">
        <v>0.87</v>
      </c>
      <c r="I10" s="54">
        <v>3.9</v>
      </c>
      <c r="J10" s="54">
        <v>0.02</v>
      </c>
    </row>
    <row r="11" spans="1:11" s="4" customFormat="1" ht="15" customHeight="1" x14ac:dyDescent="0.2">
      <c r="A11" s="18">
        <v>9</v>
      </c>
      <c r="B11" s="19" t="s">
        <v>374</v>
      </c>
      <c r="C11" s="52">
        <v>280.52</v>
      </c>
      <c r="D11" s="53">
        <v>166452.82</v>
      </c>
      <c r="E11" s="54">
        <v>3.51</v>
      </c>
      <c r="F11" s="54">
        <v>0.92</v>
      </c>
      <c r="G11" s="54">
        <v>0.3</v>
      </c>
      <c r="H11" s="54">
        <v>0.89</v>
      </c>
      <c r="I11" s="54">
        <v>-2.65</v>
      </c>
      <c r="J11" s="54">
        <v>0.02</v>
      </c>
    </row>
    <row r="12" spans="1:11" s="4" customFormat="1" ht="15" customHeight="1" x14ac:dyDescent="0.2">
      <c r="A12" s="18">
        <v>10</v>
      </c>
      <c r="B12" s="19" t="s">
        <v>375</v>
      </c>
      <c r="C12" s="52">
        <v>514.25</v>
      </c>
      <c r="D12" s="53">
        <v>149852.78</v>
      </c>
      <c r="E12" s="54">
        <v>3.16</v>
      </c>
      <c r="F12" s="54">
        <v>1.1599999999999999</v>
      </c>
      <c r="G12" s="54">
        <v>0.28999999999999998</v>
      </c>
      <c r="H12" s="54">
        <v>1.1100000000000001</v>
      </c>
      <c r="I12" s="54">
        <v>-1.34</v>
      </c>
      <c r="J12" s="54">
        <v>0.02</v>
      </c>
    </row>
    <row r="13" spans="1:11" s="4" customFormat="1" ht="27" customHeight="1" x14ac:dyDescent="0.2">
      <c r="A13" s="18">
        <v>11</v>
      </c>
      <c r="B13" s="19" t="s">
        <v>376</v>
      </c>
      <c r="C13" s="52">
        <v>216.47</v>
      </c>
      <c r="D13" s="53">
        <v>125559.85</v>
      </c>
      <c r="E13" s="54">
        <v>2.65</v>
      </c>
      <c r="F13" s="54">
        <v>0.72</v>
      </c>
      <c r="G13" s="54">
        <v>0.18</v>
      </c>
      <c r="H13" s="54">
        <v>0.61</v>
      </c>
      <c r="I13" s="54">
        <v>2.98</v>
      </c>
      <c r="J13" s="54">
        <v>0.02</v>
      </c>
    </row>
    <row r="14" spans="1:11" s="4" customFormat="1" ht="15" customHeight="1" x14ac:dyDescent="0.2">
      <c r="A14" s="18">
        <v>12</v>
      </c>
      <c r="B14" s="19" t="s">
        <v>377</v>
      </c>
      <c r="C14" s="52">
        <v>892.46</v>
      </c>
      <c r="D14" s="53">
        <v>116179.7</v>
      </c>
      <c r="E14" s="54">
        <v>2.4500000000000002</v>
      </c>
      <c r="F14" s="54">
        <v>1.34</v>
      </c>
      <c r="G14" s="54">
        <v>0.33</v>
      </c>
      <c r="H14" s="54">
        <v>1.34</v>
      </c>
      <c r="I14" s="54">
        <v>-3.37</v>
      </c>
      <c r="J14" s="54">
        <v>0.02</v>
      </c>
    </row>
    <row r="15" spans="1:11" s="4" customFormat="1" ht="27" customHeight="1" x14ac:dyDescent="0.2">
      <c r="A15" s="18">
        <v>13</v>
      </c>
      <c r="B15" s="19" t="s">
        <v>378</v>
      </c>
      <c r="C15" s="52">
        <v>151.04</v>
      </c>
      <c r="D15" s="52">
        <v>88606.61</v>
      </c>
      <c r="E15" s="54">
        <v>1.87</v>
      </c>
      <c r="F15" s="54">
        <v>1.1299999999999999</v>
      </c>
      <c r="G15" s="54">
        <v>0.28999999999999998</v>
      </c>
      <c r="H15" s="54">
        <v>1.55</v>
      </c>
      <c r="I15" s="54">
        <v>-0.09</v>
      </c>
      <c r="J15" s="54">
        <v>0.02</v>
      </c>
    </row>
    <row r="16" spans="1:11" s="4" customFormat="1" ht="15" customHeight="1" x14ac:dyDescent="0.2">
      <c r="A16" s="18">
        <v>14</v>
      </c>
      <c r="B16" s="19" t="s">
        <v>379</v>
      </c>
      <c r="C16" s="52">
        <v>602.69000000000005</v>
      </c>
      <c r="D16" s="52">
        <v>82298.22</v>
      </c>
      <c r="E16" s="54">
        <v>1.74</v>
      </c>
      <c r="F16" s="54">
        <v>1.05</v>
      </c>
      <c r="G16" s="54">
        <v>0.23</v>
      </c>
      <c r="H16" s="54">
        <v>2.31</v>
      </c>
      <c r="I16" s="54">
        <v>-9.75</v>
      </c>
      <c r="J16" s="54">
        <v>0.02</v>
      </c>
    </row>
    <row r="17" spans="1:10" s="4" customFormat="1" ht="15" customHeight="1" x14ac:dyDescent="0.2">
      <c r="A17" s="18">
        <v>15</v>
      </c>
      <c r="B17" s="19" t="s">
        <v>380</v>
      </c>
      <c r="C17" s="52">
        <v>115.59</v>
      </c>
      <c r="D17" s="52">
        <v>73363.81</v>
      </c>
      <c r="E17" s="54">
        <v>1.55</v>
      </c>
      <c r="F17" s="54">
        <v>1.44</v>
      </c>
      <c r="G17" s="54">
        <v>0.26</v>
      </c>
      <c r="H17" s="54">
        <v>1.28</v>
      </c>
      <c r="I17" s="54">
        <v>2.35</v>
      </c>
      <c r="J17" s="54">
        <v>0.02</v>
      </c>
    </row>
    <row r="18" spans="1:10" s="4" customFormat="1" ht="15" customHeight="1" x14ac:dyDescent="0.2">
      <c r="A18" s="18">
        <v>16</v>
      </c>
      <c r="B18" s="19" t="s">
        <v>381</v>
      </c>
      <c r="C18" s="52">
        <v>95.92</v>
      </c>
      <c r="D18" s="52">
        <v>65962.16</v>
      </c>
      <c r="E18" s="54">
        <v>1.39</v>
      </c>
      <c r="F18" s="54">
        <v>0.99</v>
      </c>
      <c r="G18" s="54">
        <v>0.28999999999999998</v>
      </c>
      <c r="H18" s="54">
        <v>1.48</v>
      </c>
      <c r="I18" s="54">
        <v>-1.98</v>
      </c>
      <c r="J18" s="54">
        <v>0.02</v>
      </c>
    </row>
    <row r="19" spans="1:10" s="4" customFormat="1" ht="27" customHeight="1" x14ac:dyDescent="0.2">
      <c r="A19" s="18">
        <v>17</v>
      </c>
      <c r="B19" s="19" t="s">
        <v>382</v>
      </c>
      <c r="C19" s="52">
        <v>271.25</v>
      </c>
      <c r="D19" s="52">
        <v>64197.36</v>
      </c>
      <c r="E19" s="54">
        <v>1.36</v>
      </c>
      <c r="F19" s="54">
        <v>0.59</v>
      </c>
      <c r="G19" s="54">
        <v>7.0000000000000007E-2</v>
      </c>
      <c r="H19" s="54">
        <v>1.55</v>
      </c>
      <c r="I19" s="54">
        <v>8.82</v>
      </c>
      <c r="J19" s="54">
        <v>0.02</v>
      </c>
    </row>
    <row r="20" spans="1:10" s="4" customFormat="1" ht="27" customHeight="1" x14ac:dyDescent="0.2">
      <c r="A20" s="18">
        <v>18</v>
      </c>
      <c r="B20" s="19" t="s">
        <v>383</v>
      </c>
      <c r="C20" s="52">
        <v>621.6</v>
      </c>
      <c r="D20" s="52">
        <v>60167.41</v>
      </c>
      <c r="E20" s="54">
        <v>1.27</v>
      </c>
      <c r="F20" s="54">
        <v>1.22</v>
      </c>
      <c r="G20" s="54">
        <v>0.32</v>
      </c>
      <c r="H20" s="54">
        <v>1.01</v>
      </c>
      <c r="I20" s="54">
        <v>-4.24</v>
      </c>
      <c r="J20" s="54">
        <v>0.02</v>
      </c>
    </row>
    <row r="21" spans="1:10" s="4" customFormat="1" ht="15" customHeight="1" x14ac:dyDescent="0.2">
      <c r="A21" s="18">
        <v>19</v>
      </c>
      <c r="B21" s="19" t="s">
        <v>384</v>
      </c>
      <c r="C21" s="52">
        <v>9894.56</v>
      </c>
      <c r="D21" s="52">
        <v>54380.98</v>
      </c>
      <c r="E21" s="54">
        <v>1.1499999999999999</v>
      </c>
      <c r="F21" s="54">
        <v>0.62</v>
      </c>
      <c r="G21" s="54">
        <v>0.12</v>
      </c>
      <c r="H21" s="54">
        <v>0.78</v>
      </c>
      <c r="I21" s="54">
        <v>-0.48</v>
      </c>
      <c r="J21" s="54">
        <v>0.03</v>
      </c>
    </row>
    <row r="22" spans="1:10" s="4" customFormat="1" ht="15" customHeight="1" x14ac:dyDescent="0.2">
      <c r="A22" s="18">
        <v>20</v>
      </c>
      <c r="B22" s="19" t="s">
        <v>385</v>
      </c>
      <c r="C22" s="52">
        <v>2565.5</v>
      </c>
      <c r="D22" s="52">
        <v>54234.06</v>
      </c>
      <c r="E22" s="54">
        <v>1.1499999999999999</v>
      </c>
      <c r="F22" s="54">
        <v>1.2</v>
      </c>
      <c r="G22" s="54">
        <v>0.18</v>
      </c>
      <c r="H22" s="54">
        <v>1.85</v>
      </c>
      <c r="I22" s="54">
        <v>4.7300000000000004</v>
      </c>
      <c r="J22" s="54">
        <v>0.03</v>
      </c>
    </row>
    <row r="23" spans="1:10" s="4" customFormat="1" ht="15" customHeight="1" x14ac:dyDescent="0.2">
      <c r="A23" s="18">
        <v>21</v>
      </c>
      <c r="B23" s="19" t="s">
        <v>386</v>
      </c>
      <c r="C23" s="52">
        <v>491.68</v>
      </c>
      <c r="D23" s="52">
        <v>52620.12</v>
      </c>
      <c r="E23" s="54">
        <v>1.1100000000000001</v>
      </c>
      <c r="F23" s="54">
        <v>0.7</v>
      </c>
      <c r="G23" s="54">
        <v>0.09</v>
      </c>
      <c r="H23" s="54">
        <v>0.9</v>
      </c>
      <c r="I23" s="54">
        <v>7.76</v>
      </c>
      <c r="J23" s="54">
        <v>0.02</v>
      </c>
    </row>
    <row r="24" spans="1:10" s="4" customFormat="1" ht="27" customHeight="1" x14ac:dyDescent="0.2">
      <c r="A24" s="18">
        <v>22</v>
      </c>
      <c r="B24" s="19" t="s">
        <v>387</v>
      </c>
      <c r="C24" s="52">
        <v>6290.14</v>
      </c>
      <c r="D24" s="52">
        <v>51086</v>
      </c>
      <c r="E24" s="54">
        <v>1.08</v>
      </c>
      <c r="F24" s="54">
        <v>1.01</v>
      </c>
      <c r="G24" s="54">
        <v>0.17</v>
      </c>
      <c r="H24" s="54">
        <v>1.37</v>
      </c>
      <c r="I24" s="54">
        <v>5.92</v>
      </c>
      <c r="J24" s="54">
        <v>0.03</v>
      </c>
    </row>
    <row r="25" spans="1:10" s="4" customFormat="1" ht="27" customHeight="1" x14ac:dyDescent="0.2">
      <c r="A25" s="18">
        <v>23</v>
      </c>
      <c r="B25" s="19" t="s">
        <v>388</v>
      </c>
      <c r="C25" s="52">
        <v>239.93</v>
      </c>
      <c r="D25" s="52">
        <v>50510.559999999998</v>
      </c>
      <c r="E25" s="54">
        <v>1.07</v>
      </c>
      <c r="F25" s="54">
        <v>0.84</v>
      </c>
      <c r="G25" s="54">
        <v>0.08</v>
      </c>
      <c r="H25" s="54">
        <v>1.35</v>
      </c>
      <c r="I25" s="54">
        <v>-4.43</v>
      </c>
      <c r="J25" s="54">
        <v>0.02</v>
      </c>
    </row>
    <row r="26" spans="1:10" s="4" customFormat="1" ht="15" customHeight="1" x14ac:dyDescent="0.2">
      <c r="A26" s="18">
        <v>24</v>
      </c>
      <c r="B26" s="19" t="s">
        <v>389</v>
      </c>
      <c r="C26" s="52">
        <v>88.78</v>
      </c>
      <c r="D26" s="52">
        <v>48341.599999999999</v>
      </c>
      <c r="E26" s="54">
        <v>1.02</v>
      </c>
      <c r="F26" s="54">
        <v>0.85</v>
      </c>
      <c r="G26" s="54">
        <v>0.16</v>
      </c>
      <c r="H26" s="54">
        <v>0.99</v>
      </c>
      <c r="I26" s="54">
        <v>1.46</v>
      </c>
      <c r="J26" s="54">
        <v>0.02</v>
      </c>
    </row>
    <row r="27" spans="1:10" s="4" customFormat="1" ht="15" customHeight="1" x14ac:dyDescent="0.2">
      <c r="A27" s="18">
        <v>25</v>
      </c>
      <c r="B27" s="19" t="s">
        <v>390</v>
      </c>
      <c r="C27" s="52">
        <v>274.64</v>
      </c>
      <c r="D27" s="52">
        <v>48182.49</v>
      </c>
      <c r="E27" s="54">
        <v>1.02</v>
      </c>
      <c r="F27" s="54">
        <v>1.1399999999999999</v>
      </c>
      <c r="G27" s="54">
        <v>0.27</v>
      </c>
      <c r="H27" s="54">
        <v>1.76</v>
      </c>
      <c r="I27" s="54">
        <v>15.47</v>
      </c>
      <c r="J27" s="54">
        <v>0.03</v>
      </c>
    </row>
    <row r="28" spans="1:10" s="4" customFormat="1" ht="15" customHeight="1" x14ac:dyDescent="0.2">
      <c r="A28" s="18">
        <v>26</v>
      </c>
      <c r="B28" s="19" t="s">
        <v>391</v>
      </c>
      <c r="C28" s="52">
        <v>79.569999999999993</v>
      </c>
      <c r="D28" s="52">
        <v>45477.46</v>
      </c>
      <c r="E28" s="54">
        <v>0.96</v>
      </c>
      <c r="F28" s="54">
        <v>1.39</v>
      </c>
      <c r="G28" s="54">
        <v>0.33</v>
      </c>
      <c r="H28" s="54">
        <v>1.18</v>
      </c>
      <c r="I28" s="54">
        <v>6.87</v>
      </c>
      <c r="J28" s="54">
        <v>0.02</v>
      </c>
    </row>
    <row r="29" spans="1:10" s="4" customFormat="1" ht="15" customHeight="1" x14ac:dyDescent="0.2">
      <c r="A29" s="18">
        <v>27</v>
      </c>
      <c r="B29" s="19" t="s">
        <v>392</v>
      </c>
      <c r="C29" s="52">
        <v>1206.78</v>
      </c>
      <c r="D29" s="52">
        <v>45035.35</v>
      </c>
      <c r="E29" s="54">
        <v>0.95</v>
      </c>
      <c r="F29" s="54">
        <v>0.47</v>
      </c>
      <c r="G29" s="54">
        <v>0.06</v>
      </c>
      <c r="H29" s="54">
        <v>1.29</v>
      </c>
      <c r="I29" s="54">
        <v>17.170000000000002</v>
      </c>
      <c r="J29" s="54">
        <v>0.02</v>
      </c>
    </row>
    <row r="30" spans="1:10" s="4" customFormat="1" ht="39" customHeight="1" x14ac:dyDescent="0.2">
      <c r="A30" s="18">
        <v>28</v>
      </c>
      <c r="B30" s="19" t="s">
        <v>393</v>
      </c>
      <c r="C30" s="52">
        <v>5231.59</v>
      </c>
      <c r="D30" s="52">
        <v>42907.41</v>
      </c>
      <c r="E30" s="54">
        <v>0.91</v>
      </c>
      <c r="F30" s="54">
        <v>0.56000000000000005</v>
      </c>
      <c r="G30" s="54">
        <v>0.1</v>
      </c>
      <c r="H30" s="54">
        <v>1.03</v>
      </c>
      <c r="I30" s="54">
        <v>-5.81</v>
      </c>
      <c r="J30" s="54">
        <v>0.02</v>
      </c>
    </row>
    <row r="31" spans="1:10" s="4" customFormat="1" ht="15" customHeight="1" x14ac:dyDescent="0.2">
      <c r="A31" s="18">
        <v>29</v>
      </c>
      <c r="B31" s="19" t="s">
        <v>394</v>
      </c>
      <c r="C31" s="52">
        <v>6207.41</v>
      </c>
      <c r="D31" s="52">
        <v>42260.35</v>
      </c>
      <c r="E31" s="54">
        <v>0.89</v>
      </c>
      <c r="F31" s="54">
        <v>0.5</v>
      </c>
      <c r="G31" s="54">
        <v>0.06</v>
      </c>
      <c r="H31" s="54">
        <v>1.1599999999999999</v>
      </c>
      <c r="I31" s="54">
        <v>6.3</v>
      </c>
      <c r="J31" s="54">
        <v>0.03</v>
      </c>
    </row>
    <row r="32" spans="1:10" s="4" customFormat="1" ht="15" customHeight="1" x14ac:dyDescent="0.2">
      <c r="A32" s="18">
        <v>30</v>
      </c>
      <c r="B32" s="19" t="s">
        <v>395</v>
      </c>
      <c r="C32" s="52">
        <v>1126.6099999999999</v>
      </c>
      <c r="D32" s="52">
        <v>42059.22</v>
      </c>
      <c r="E32" s="54">
        <v>0.89</v>
      </c>
      <c r="F32" s="54">
        <v>1.31</v>
      </c>
      <c r="G32" s="54">
        <v>0.26</v>
      </c>
      <c r="H32" s="54">
        <v>2.37</v>
      </c>
      <c r="I32" s="54">
        <v>6.95</v>
      </c>
      <c r="J32" s="54">
        <v>0.02</v>
      </c>
    </row>
    <row r="33" spans="1:10" s="4" customFormat="1" ht="15" customHeight="1" x14ac:dyDescent="0.2">
      <c r="A33" s="18">
        <v>31</v>
      </c>
      <c r="B33" s="19" t="s">
        <v>396</v>
      </c>
      <c r="C33" s="52">
        <v>289.37</v>
      </c>
      <c r="D33" s="52">
        <v>40584.51</v>
      </c>
      <c r="E33" s="54">
        <v>0.86</v>
      </c>
      <c r="F33" s="54">
        <v>0.85</v>
      </c>
      <c r="G33" s="54">
        <v>0.17</v>
      </c>
      <c r="H33" s="54">
        <v>1.17</v>
      </c>
      <c r="I33" s="54">
        <v>2.5099999999999998</v>
      </c>
      <c r="J33" s="54">
        <v>0.02</v>
      </c>
    </row>
    <row r="34" spans="1:10" s="4" customFormat="1" ht="15" customHeight="1" x14ac:dyDescent="0.2">
      <c r="A34" s="18">
        <v>32</v>
      </c>
      <c r="B34" s="19" t="s">
        <v>397</v>
      </c>
      <c r="C34" s="52">
        <v>577.47</v>
      </c>
      <c r="D34" s="52">
        <v>38981.81</v>
      </c>
      <c r="E34" s="54">
        <v>0.82</v>
      </c>
      <c r="F34" s="54">
        <v>1.43</v>
      </c>
      <c r="G34" s="54">
        <v>0.17</v>
      </c>
      <c r="H34" s="54">
        <v>3.22</v>
      </c>
      <c r="I34" s="54">
        <v>22.98</v>
      </c>
      <c r="J34" s="54">
        <v>0.03</v>
      </c>
    </row>
    <row r="35" spans="1:10" s="4" customFormat="1" ht="27" customHeight="1" x14ac:dyDescent="0.2">
      <c r="A35" s="18">
        <v>33</v>
      </c>
      <c r="B35" s="19" t="s">
        <v>398</v>
      </c>
      <c r="C35" s="52">
        <v>9414.16</v>
      </c>
      <c r="D35" s="52">
        <v>37197.699999999997</v>
      </c>
      <c r="E35" s="54">
        <v>0.79</v>
      </c>
      <c r="F35" s="54">
        <v>1.39</v>
      </c>
      <c r="G35" s="54">
        <v>0.2</v>
      </c>
      <c r="H35" s="54">
        <v>2.1</v>
      </c>
      <c r="I35" s="54">
        <v>-2.95</v>
      </c>
      <c r="J35" s="54">
        <v>0.03</v>
      </c>
    </row>
    <row r="36" spans="1:10" s="4" customFormat="1" ht="27" customHeight="1" x14ac:dyDescent="0.2">
      <c r="A36" s="18">
        <v>34</v>
      </c>
      <c r="B36" s="19" t="s">
        <v>399</v>
      </c>
      <c r="C36" s="52">
        <v>83.03</v>
      </c>
      <c r="D36" s="52">
        <v>35564.22</v>
      </c>
      <c r="E36" s="54">
        <v>0.75</v>
      </c>
      <c r="F36" s="54">
        <v>0.48</v>
      </c>
      <c r="G36" s="54">
        <v>0.04</v>
      </c>
      <c r="H36" s="54">
        <v>0.99</v>
      </c>
      <c r="I36" s="54">
        <v>5.52</v>
      </c>
      <c r="J36" s="54">
        <v>0.02</v>
      </c>
    </row>
    <row r="37" spans="1:10" s="4" customFormat="1" ht="15" customHeight="1" x14ac:dyDescent="0.2">
      <c r="A37" s="18">
        <v>35</v>
      </c>
      <c r="B37" s="19" t="s">
        <v>400</v>
      </c>
      <c r="C37" s="52">
        <v>131.52000000000001</v>
      </c>
      <c r="D37" s="52">
        <v>35557.660000000003</v>
      </c>
      <c r="E37" s="54">
        <v>0.75</v>
      </c>
      <c r="F37" s="54">
        <v>1.1299999999999999</v>
      </c>
      <c r="G37" s="54">
        <v>0.23</v>
      </c>
      <c r="H37" s="54">
        <v>1.64</v>
      </c>
      <c r="I37" s="54">
        <v>5.04</v>
      </c>
      <c r="J37" s="54">
        <v>0.02</v>
      </c>
    </row>
    <row r="38" spans="1:10" s="4" customFormat="1" ht="15" customHeight="1" x14ac:dyDescent="0.2">
      <c r="A38" s="18">
        <v>36</v>
      </c>
      <c r="B38" s="19" t="s">
        <v>401</v>
      </c>
      <c r="C38" s="52">
        <v>101.87</v>
      </c>
      <c r="D38" s="52">
        <v>35541.32</v>
      </c>
      <c r="E38" s="54">
        <v>0.75</v>
      </c>
      <c r="F38" s="54">
        <v>1.19</v>
      </c>
      <c r="G38" s="54">
        <v>0.2</v>
      </c>
      <c r="H38" s="54">
        <v>0.78</v>
      </c>
      <c r="I38" s="54">
        <v>1.07</v>
      </c>
      <c r="J38" s="54">
        <v>0.02</v>
      </c>
    </row>
    <row r="39" spans="1:10" s="4" customFormat="1" ht="27" customHeight="1" x14ac:dyDescent="0.2">
      <c r="A39" s="18">
        <v>37</v>
      </c>
      <c r="B39" s="19" t="s">
        <v>402</v>
      </c>
      <c r="C39" s="52">
        <v>24.03</v>
      </c>
      <c r="D39" s="52">
        <v>34102.720000000001</v>
      </c>
      <c r="E39" s="54">
        <v>0.72</v>
      </c>
      <c r="F39" s="54">
        <v>0.83</v>
      </c>
      <c r="G39" s="54">
        <v>0.21</v>
      </c>
      <c r="H39" s="54">
        <v>0.98</v>
      </c>
      <c r="I39" s="54">
        <v>-6.14</v>
      </c>
      <c r="J39" s="54">
        <v>0.02</v>
      </c>
    </row>
    <row r="40" spans="1:10" s="4" customFormat="1" ht="15" customHeight="1" x14ac:dyDescent="0.2">
      <c r="A40" s="18">
        <v>38</v>
      </c>
      <c r="B40" s="19" t="s">
        <v>403</v>
      </c>
      <c r="C40" s="52">
        <v>39.950000000000003</v>
      </c>
      <c r="D40" s="52">
        <v>32609.46</v>
      </c>
      <c r="E40" s="54">
        <v>0.69</v>
      </c>
      <c r="F40" s="54">
        <v>0.92</v>
      </c>
      <c r="G40" s="54">
        <v>0.17</v>
      </c>
      <c r="H40" s="54">
        <v>1.51</v>
      </c>
      <c r="I40" s="54">
        <v>-1.62</v>
      </c>
      <c r="J40" s="54">
        <v>0.01</v>
      </c>
    </row>
    <row r="41" spans="1:10" s="4" customFormat="1" ht="15" customHeight="1" x14ac:dyDescent="0.2">
      <c r="A41" s="18">
        <v>39</v>
      </c>
      <c r="B41" s="19" t="s">
        <v>404</v>
      </c>
      <c r="C41" s="52">
        <v>2255.0700000000002</v>
      </c>
      <c r="D41" s="52">
        <v>32107.7</v>
      </c>
      <c r="E41" s="54">
        <v>0.68</v>
      </c>
      <c r="F41" s="54">
        <v>0.92</v>
      </c>
      <c r="G41" s="54">
        <v>0.14000000000000001</v>
      </c>
      <c r="H41" s="54">
        <v>1.88</v>
      </c>
      <c r="I41" s="54">
        <v>2.39</v>
      </c>
      <c r="J41" s="54">
        <v>0.03</v>
      </c>
    </row>
    <row r="42" spans="1:10" s="4" customFormat="1" ht="15" customHeight="1" x14ac:dyDescent="0.2">
      <c r="A42" s="18">
        <v>40</v>
      </c>
      <c r="B42" s="19" t="s">
        <v>405</v>
      </c>
      <c r="C42" s="52">
        <v>241.72</v>
      </c>
      <c r="D42" s="52">
        <v>31304.7</v>
      </c>
      <c r="E42" s="54">
        <v>0.66</v>
      </c>
      <c r="F42" s="54">
        <v>1.22</v>
      </c>
      <c r="G42" s="54">
        <v>0.23</v>
      </c>
      <c r="H42" s="54">
        <v>1.92</v>
      </c>
      <c r="I42" s="54">
        <v>5.22</v>
      </c>
      <c r="J42" s="54">
        <v>0.03</v>
      </c>
    </row>
    <row r="43" spans="1:10" s="4" customFormat="1" ht="15" customHeight="1" x14ac:dyDescent="0.2">
      <c r="A43" s="18">
        <v>41</v>
      </c>
      <c r="B43" s="19" t="s">
        <v>406</v>
      </c>
      <c r="C43" s="52">
        <v>462.77</v>
      </c>
      <c r="D43" s="52">
        <v>31097.82</v>
      </c>
      <c r="E43" s="54">
        <v>0.66</v>
      </c>
      <c r="F43" s="54">
        <v>1.1100000000000001</v>
      </c>
      <c r="G43" s="54">
        <v>0.04</v>
      </c>
      <c r="H43" s="54">
        <v>6.91</v>
      </c>
      <c r="I43" s="54">
        <v>-38.93</v>
      </c>
      <c r="J43" s="54">
        <v>0.03</v>
      </c>
    </row>
    <row r="44" spans="1:10" s="4" customFormat="1" ht="39" customHeight="1" x14ac:dyDescent="0.2">
      <c r="A44" s="18">
        <v>42</v>
      </c>
      <c r="B44" s="19" t="s">
        <v>407</v>
      </c>
      <c r="C44" s="52">
        <v>414.19</v>
      </c>
      <c r="D44" s="52">
        <v>30911.85</v>
      </c>
      <c r="E44" s="54">
        <v>0.65</v>
      </c>
      <c r="F44" s="54">
        <v>1.37</v>
      </c>
      <c r="G44" s="54">
        <v>0.25</v>
      </c>
      <c r="H44" s="54">
        <v>1.05</v>
      </c>
      <c r="I44" s="54">
        <v>3.87</v>
      </c>
      <c r="J44" s="54">
        <v>0.02</v>
      </c>
    </row>
    <row r="45" spans="1:10" s="4" customFormat="1" ht="15" customHeight="1" x14ac:dyDescent="0.2">
      <c r="A45" s="18">
        <v>43</v>
      </c>
      <c r="B45" s="19" t="s">
        <v>408</v>
      </c>
      <c r="C45" s="52">
        <v>371.72</v>
      </c>
      <c r="D45" s="52">
        <v>30390.5</v>
      </c>
      <c r="E45" s="54">
        <v>0.64</v>
      </c>
      <c r="F45" s="54">
        <v>1.29</v>
      </c>
      <c r="G45" s="54">
        <v>0.17</v>
      </c>
      <c r="H45" s="54">
        <v>1.72</v>
      </c>
      <c r="I45" s="54">
        <v>-9.5399999999999991</v>
      </c>
      <c r="J45" s="54">
        <v>0.03</v>
      </c>
    </row>
    <row r="46" spans="1:10" s="4" customFormat="1" ht="27" customHeight="1" x14ac:dyDescent="0.2">
      <c r="A46" s="18">
        <v>44</v>
      </c>
      <c r="B46" s="19" t="s">
        <v>409</v>
      </c>
      <c r="C46" s="52">
        <v>224.55</v>
      </c>
      <c r="D46" s="52">
        <v>30074.95</v>
      </c>
      <c r="E46" s="54">
        <v>0.64</v>
      </c>
      <c r="F46" s="54">
        <v>1.39</v>
      </c>
      <c r="G46" s="54">
        <v>0.25</v>
      </c>
      <c r="H46" s="54">
        <v>1.87</v>
      </c>
      <c r="I46" s="54">
        <v>0.27</v>
      </c>
      <c r="J46" s="54">
        <v>0.02</v>
      </c>
    </row>
    <row r="47" spans="1:10" s="4" customFormat="1" ht="27" customHeight="1" x14ac:dyDescent="0.2">
      <c r="A47" s="18">
        <v>45</v>
      </c>
      <c r="B47" s="19" t="s">
        <v>410</v>
      </c>
      <c r="C47" s="52">
        <v>2169.25</v>
      </c>
      <c r="D47" s="52">
        <v>29663.66</v>
      </c>
      <c r="E47" s="54">
        <v>0.63</v>
      </c>
      <c r="F47" s="54">
        <v>1.61</v>
      </c>
      <c r="G47" s="54">
        <v>0.22</v>
      </c>
      <c r="H47" s="54">
        <v>2.65</v>
      </c>
      <c r="I47" s="54">
        <v>-4.45</v>
      </c>
      <c r="J47" s="54">
        <v>0.02</v>
      </c>
    </row>
    <row r="48" spans="1:10" s="4" customFormat="1" ht="15" customHeight="1" x14ac:dyDescent="0.2">
      <c r="A48" s="18">
        <v>46</v>
      </c>
      <c r="B48" s="19" t="s">
        <v>411</v>
      </c>
      <c r="C48" s="52">
        <v>161.13999999999999</v>
      </c>
      <c r="D48" s="52">
        <v>28678.86</v>
      </c>
      <c r="E48" s="54">
        <v>0.61</v>
      </c>
      <c r="F48" s="54">
        <v>0.77</v>
      </c>
      <c r="G48" s="54">
        <v>0.15</v>
      </c>
      <c r="H48" s="54">
        <v>1.24</v>
      </c>
      <c r="I48" s="54">
        <v>6.83</v>
      </c>
      <c r="J48" s="54">
        <v>0.02</v>
      </c>
    </row>
    <row r="49" spans="1:10" s="4" customFormat="1" ht="15" customHeight="1" x14ac:dyDescent="0.2">
      <c r="A49" s="18">
        <v>47</v>
      </c>
      <c r="B49" s="19" t="s">
        <v>412</v>
      </c>
      <c r="C49" s="52">
        <v>27.28</v>
      </c>
      <c r="D49" s="52">
        <v>28340.68</v>
      </c>
      <c r="E49" s="54">
        <v>0.6</v>
      </c>
      <c r="F49" s="54">
        <v>1.47</v>
      </c>
      <c r="G49" s="54">
        <v>0.28000000000000003</v>
      </c>
      <c r="H49" s="54">
        <v>1.48</v>
      </c>
      <c r="I49" s="54">
        <v>-0.87</v>
      </c>
      <c r="J49" s="54">
        <v>0.02</v>
      </c>
    </row>
    <row r="50" spans="1:10" s="4" customFormat="1" ht="27" customHeight="1" x14ac:dyDescent="0.2">
      <c r="A50" s="18">
        <v>48</v>
      </c>
      <c r="B50" s="19" t="s">
        <v>413</v>
      </c>
      <c r="C50" s="52">
        <v>96.05</v>
      </c>
      <c r="D50" s="52">
        <v>24098.87</v>
      </c>
      <c r="E50" s="54">
        <v>0.51</v>
      </c>
      <c r="F50" s="54">
        <v>0.78</v>
      </c>
      <c r="G50" s="54">
        <v>0.05</v>
      </c>
      <c r="H50" s="54">
        <v>2.12</v>
      </c>
      <c r="I50" s="54">
        <v>-2.9</v>
      </c>
      <c r="J50" s="54">
        <v>0.03</v>
      </c>
    </row>
    <row r="51" spans="1:10" s="4" customFormat="1" ht="27" customHeight="1" x14ac:dyDescent="0.2">
      <c r="A51" s="18">
        <v>49</v>
      </c>
      <c r="B51" s="19" t="s">
        <v>414</v>
      </c>
      <c r="C51" s="52">
        <v>85.48</v>
      </c>
      <c r="D51" s="52">
        <v>23184.54</v>
      </c>
      <c r="E51" s="54">
        <v>0.49</v>
      </c>
      <c r="F51" s="54">
        <v>2.29</v>
      </c>
      <c r="G51" s="54">
        <v>0.26</v>
      </c>
      <c r="H51" s="54">
        <v>3.12</v>
      </c>
      <c r="I51" s="54">
        <v>-18.97</v>
      </c>
      <c r="J51" s="54">
        <v>0.04</v>
      </c>
    </row>
    <row r="52" spans="1:10" s="4" customFormat="1" ht="15" customHeight="1" x14ac:dyDescent="0.2">
      <c r="A52" s="18">
        <v>50</v>
      </c>
      <c r="B52" s="19" t="s">
        <v>415</v>
      </c>
      <c r="C52" s="52">
        <v>1849.61</v>
      </c>
      <c r="D52" s="52">
        <v>22338.27</v>
      </c>
      <c r="E52" s="54">
        <v>0.47</v>
      </c>
      <c r="F52" s="54">
        <v>0.28999999999999998</v>
      </c>
      <c r="G52" s="54">
        <v>0.01</v>
      </c>
      <c r="H52" s="54">
        <v>2.68</v>
      </c>
      <c r="I52" s="54">
        <v>-16.23</v>
      </c>
      <c r="J52" s="54">
        <v>0.03</v>
      </c>
    </row>
    <row r="53" spans="1:10" s="4" customFormat="1" ht="24.75" customHeight="1" x14ac:dyDescent="0.2">
      <c r="A53" s="386" t="s">
        <v>416</v>
      </c>
      <c r="B53" s="386"/>
      <c r="C53" s="386"/>
      <c r="D53" s="386"/>
      <c r="E53" s="386"/>
      <c r="F53" s="386"/>
      <c r="G53" s="386"/>
      <c r="H53" s="386"/>
      <c r="I53" s="386"/>
      <c r="J53" s="386"/>
    </row>
    <row r="54" spans="1:10" s="4" customFormat="1" ht="24" customHeight="1" x14ac:dyDescent="0.2">
      <c r="A54" s="386" t="s">
        <v>358</v>
      </c>
      <c r="B54" s="386"/>
      <c r="C54" s="386"/>
      <c r="D54" s="386"/>
      <c r="E54" s="386"/>
      <c r="F54" s="386"/>
      <c r="G54" s="386"/>
      <c r="H54" s="386"/>
      <c r="I54" s="386"/>
      <c r="J54" s="386"/>
    </row>
    <row r="55" spans="1:10" s="4" customFormat="1" ht="13.5" customHeight="1" x14ac:dyDescent="0.2">
      <c r="A55" s="386" t="s">
        <v>417</v>
      </c>
      <c r="B55" s="386"/>
      <c r="C55" s="386"/>
      <c r="D55" s="386"/>
      <c r="E55" s="386"/>
      <c r="F55" s="386"/>
      <c r="G55" s="386"/>
      <c r="H55" s="386"/>
      <c r="I55" s="386"/>
      <c r="J55" s="386"/>
    </row>
    <row r="56" spans="1:10" s="4" customFormat="1" ht="24" customHeight="1" x14ac:dyDescent="0.2">
      <c r="A56" s="386" t="s">
        <v>360</v>
      </c>
      <c r="B56" s="386"/>
      <c r="C56" s="386"/>
      <c r="D56" s="386"/>
      <c r="E56" s="386"/>
      <c r="F56" s="386"/>
      <c r="G56" s="386"/>
      <c r="H56" s="386"/>
      <c r="I56" s="386"/>
      <c r="J56" s="386"/>
    </row>
    <row r="57" spans="1:10" s="4" customFormat="1" ht="13.5" customHeight="1" x14ac:dyDescent="0.2">
      <c r="A57" s="386" t="s">
        <v>418</v>
      </c>
      <c r="B57" s="386"/>
      <c r="C57" s="386"/>
      <c r="D57" s="386"/>
      <c r="E57" s="386"/>
      <c r="F57" s="386"/>
      <c r="G57" s="386"/>
      <c r="H57" s="386"/>
      <c r="I57" s="386"/>
      <c r="J57" s="386"/>
    </row>
    <row r="58" spans="1:10" s="4" customFormat="1" ht="13.5" customHeight="1" x14ac:dyDescent="0.2">
      <c r="A58" s="386" t="s">
        <v>419</v>
      </c>
      <c r="B58" s="386"/>
      <c r="C58" s="386"/>
      <c r="D58" s="386"/>
      <c r="E58" s="386"/>
      <c r="F58" s="386"/>
      <c r="G58" s="386"/>
      <c r="H58" s="386"/>
      <c r="I58" s="386"/>
      <c r="J58" s="386"/>
    </row>
    <row r="59" spans="1:10" s="4" customFormat="1" ht="26.1" customHeight="1" x14ac:dyDescent="0.2"/>
  </sheetData>
  <mergeCells count="7">
    <mergeCell ref="A58:J58"/>
    <mergeCell ref="A1:K1"/>
    <mergeCell ref="A53:J53"/>
    <mergeCell ref="A54:J54"/>
    <mergeCell ref="A55:J55"/>
    <mergeCell ref="A56:J56"/>
    <mergeCell ref="A57:J5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49"/>
  <sheetViews>
    <sheetView workbookViewId="0">
      <selection sqref="A1:B1"/>
    </sheetView>
  </sheetViews>
  <sheetFormatPr defaultRowHeight="12.75" x14ac:dyDescent="0.2"/>
  <cols>
    <col min="1" max="1" width="6.28515625" bestFit="1" customWidth="1"/>
    <col min="2" max="2" width="40.28515625" bestFit="1" customWidth="1"/>
    <col min="3" max="3" width="13.28515625" bestFit="1" customWidth="1"/>
    <col min="4" max="4" width="13" bestFit="1" customWidth="1"/>
    <col min="5" max="5" width="10.42578125" bestFit="1" customWidth="1"/>
    <col min="6" max="6" width="7.5703125" bestFit="1" customWidth="1"/>
    <col min="7" max="7" width="6.140625" bestFit="1" customWidth="1"/>
    <col min="8" max="8" width="10.28515625" bestFit="1" customWidth="1"/>
    <col min="9" max="9" width="12.5703125" bestFit="1" customWidth="1"/>
    <col min="10" max="10" width="12.140625" bestFit="1" customWidth="1"/>
    <col min="11" max="11" width="14.28515625" bestFit="1" customWidth="1"/>
    <col min="12" max="12" width="4.7109375" bestFit="1" customWidth="1"/>
  </cols>
  <sheetData>
    <row r="1" spans="1:10" ht="15.75" customHeight="1" x14ac:dyDescent="0.25">
      <c r="A1" s="434" t="s">
        <v>420</v>
      </c>
      <c r="B1" s="434"/>
    </row>
    <row r="2" spans="1:10" s="4" customFormat="1" ht="43.5" customHeight="1" x14ac:dyDescent="0.2">
      <c r="A2" s="45" t="s">
        <v>421</v>
      </c>
      <c r="B2" s="45" t="s">
        <v>317</v>
      </c>
      <c r="C2" s="45" t="s">
        <v>422</v>
      </c>
      <c r="D2" s="45" t="s">
        <v>423</v>
      </c>
      <c r="E2" s="45" t="s">
        <v>424</v>
      </c>
      <c r="F2" s="45" t="s">
        <v>321</v>
      </c>
      <c r="G2" s="45" t="s">
        <v>425</v>
      </c>
      <c r="H2" s="45" t="s">
        <v>426</v>
      </c>
      <c r="I2" s="45" t="s">
        <v>427</v>
      </c>
      <c r="J2" s="45" t="s">
        <v>428</v>
      </c>
    </row>
    <row r="3" spans="1:10" s="4" customFormat="1" ht="18" customHeight="1" x14ac:dyDescent="0.2">
      <c r="A3" s="55">
        <v>1</v>
      </c>
      <c r="B3" s="56" t="s">
        <v>429</v>
      </c>
      <c r="C3" s="57">
        <v>545.00882760000002</v>
      </c>
      <c r="D3" s="58">
        <v>496164.58338428498</v>
      </c>
      <c r="E3" s="59">
        <v>11.35</v>
      </c>
      <c r="F3" s="59">
        <v>0.67</v>
      </c>
      <c r="G3" s="59">
        <v>0.26</v>
      </c>
      <c r="H3" s="59">
        <v>0.92</v>
      </c>
      <c r="I3" s="59">
        <v>-0.06</v>
      </c>
      <c r="J3" s="56" t="s">
        <v>430</v>
      </c>
    </row>
    <row r="4" spans="1:10" s="4" customFormat="1" ht="18" customHeight="1" x14ac:dyDescent="0.2">
      <c r="A4" s="55">
        <v>2</v>
      </c>
      <c r="B4" s="56" t="s">
        <v>327</v>
      </c>
      <c r="C4" s="57">
        <v>6338.7505359999996</v>
      </c>
      <c r="D4" s="58">
        <v>451352.00132440001</v>
      </c>
      <c r="E4" s="59">
        <v>10.33</v>
      </c>
      <c r="F4" s="59">
        <v>1.5</v>
      </c>
      <c r="G4" s="59">
        <v>0.46</v>
      </c>
      <c r="H4" s="59">
        <v>1.51</v>
      </c>
      <c r="I4" s="59">
        <v>2.12</v>
      </c>
      <c r="J4" s="56" t="s">
        <v>430</v>
      </c>
    </row>
    <row r="5" spans="1:10" s="4" customFormat="1" ht="18" customHeight="1" x14ac:dyDescent="0.2">
      <c r="A5" s="55">
        <v>3</v>
      </c>
      <c r="B5" s="56" t="s">
        <v>328</v>
      </c>
      <c r="C5" s="57">
        <v>344.27048580000002</v>
      </c>
      <c r="D5" s="58">
        <v>330584.283239235</v>
      </c>
      <c r="E5" s="59">
        <v>7.56</v>
      </c>
      <c r="F5" s="59">
        <v>1.21</v>
      </c>
      <c r="G5" s="59">
        <v>0.42</v>
      </c>
      <c r="H5" s="59">
        <v>1.1200000000000001</v>
      </c>
      <c r="I5" s="59">
        <v>1.34</v>
      </c>
      <c r="J5" s="56" t="s">
        <v>430</v>
      </c>
    </row>
    <row r="6" spans="1:10" s="4" customFormat="1" ht="18" customHeight="1" x14ac:dyDescent="0.2">
      <c r="A6" s="55">
        <v>4</v>
      </c>
      <c r="B6" s="56" t="s">
        <v>431</v>
      </c>
      <c r="C6" s="57">
        <v>2182.684722</v>
      </c>
      <c r="D6" s="58">
        <v>284614.33791468001</v>
      </c>
      <c r="E6" s="59">
        <v>6.51</v>
      </c>
      <c r="F6" s="59">
        <v>0.67</v>
      </c>
      <c r="G6" s="59">
        <v>0.12</v>
      </c>
      <c r="H6" s="59">
        <v>1.19</v>
      </c>
      <c r="I6" s="59">
        <v>1</v>
      </c>
      <c r="J6" s="56" t="s">
        <v>430</v>
      </c>
    </row>
    <row r="7" spans="1:10" s="4" customFormat="1" ht="18" customHeight="1" x14ac:dyDescent="0.2">
      <c r="A7" s="55">
        <v>5</v>
      </c>
      <c r="B7" s="56" t="s">
        <v>432</v>
      </c>
      <c r="C7" s="57">
        <v>1289.2879212</v>
      </c>
      <c r="D7" s="58">
        <v>262591.01425250003</v>
      </c>
      <c r="E7" s="59">
        <v>6.01</v>
      </c>
      <c r="F7" s="59">
        <v>1.29</v>
      </c>
      <c r="G7" s="59">
        <v>0.28000000000000003</v>
      </c>
      <c r="H7" s="59">
        <v>1.47</v>
      </c>
      <c r="I7" s="59">
        <v>1.72</v>
      </c>
      <c r="J7" s="56" t="s">
        <v>430</v>
      </c>
    </row>
    <row r="8" spans="1:10" s="4" customFormat="1" ht="18" customHeight="1" x14ac:dyDescent="0.2">
      <c r="A8" s="55">
        <v>6</v>
      </c>
      <c r="B8" s="56" t="s">
        <v>433</v>
      </c>
      <c r="C8" s="57">
        <v>1225.4194130000001</v>
      </c>
      <c r="D8" s="58">
        <v>260059.87145092501</v>
      </c>
      <c r="E8" s="59">
        <v>5.95</v>
      </c>
      <c r="F8" s="59">
        <v>0.92</v>
      </c>
      <c r="G8" s="59">
        <v>0.31</v>
      </c>
      <c r="H8" s="59">
        <v>1.01</v>
      </c>
      <c r="I8" s="59">
        <v>1.36</v>
      </c>
      <c r="J8" s="56" t="s">
        <v>430</v>
      </c>
    </row>
    <row r="9" spans="1:10" s="4" customFormat="1" ht="18" customHeight="1" x14ac:dyDescent="0.2">
      <c r="A9" s="55">
        <v>7</v>
      </c>
      <c r="B9" s="56" t="s">
        <v>434</v>
      </c>
      <c r="C9" s="57">
        <v>375.23847060000003</v>
      </c>
      <c r="D9" s="58">
        <v>254296.87529336999</v>
      </c>
      <c r="E9" s="59">
        <v>5.82</v>
      </c>
      <c r="F9" s="59">
        <v>0.56000000000000005</v>
      </c>
      <c r="G9" s="59">
        <v>0.08</v>
      </c>
      <c r="H9" s="59">
        <v>1.56</v>
      </c>
      <c r="I9" s="59">
        <v>11.45</v>
      </c>
      <c r="J9" s="56" t="s">
        <v>430</v>
      </c>
    </row>
    <row r="10" spans="1:10" s="4" customFormat="1" ht="18" customHeight="1" x14ac:dyDescent="0.2">
      <c r="A10" s="55">
        <v>8</v>
      </c>
      <c r="B10" s="56" t="s">
        <v>435</v>
      </c>
      <c r="C10" s="57">
        <v>954.41780700000004</v>
      </c>
      <c r="D10" s="58">
        <v>172530.43545545501</v>
      </c>
      <c r="E10" s="59">
        <v>3.95</v>
      </c>
      <c r="F10" s="59">
        <v>0.93</v>
      </c>
      <c r="G10" s="59">
        <v>0.22</v>
      </c>
      <c r="H10" s="59">
        <v>1.2</v>
      </c>
      <c r="I10" s="59">
        <v>3.75</v>
      </c>
      <c r="J10" s="56" t="s">
        <v>430</v>
      </c>
    </row>
    <row r="11" spans="1:10" s="4" customFormat="1" ht="18" customHeight="1" x14ac:dyDescent="0.2">
      <c r="A11" s="55">
        <v>9</v>
      </c>
      <c r="B11" s="56" t="s">
        <v>436</v>
      </c>
      <c r="C11" s="57">
        <v>280.49146439999998</v>
      </c>
      <c r="D11" s="58">
        <v>165901.86898267499</v>
      </c>
      <c r="E11" s="59">
        <v>3.8</v>
      </c>
      <c r="F11" s="59">
        <v>0.94</v>
      </c>
      <c r="G11" s="59">
        <v>0.3</v>
      </c>
      <c r="H11" s="59">
        <v>1.17</v>
      </c>
      <c r="I11" s="59">
        <v>-2.73</v>
      </c>
      <c r="J11" s="56" t="s">
        <v>430</v>
      </c>
    </row>
    <row r="12" spans="1:10" s="4" customFormat="1" ht="18" customHeight="1" x14ac:dyDescent="0.2">
      <c r="A12" s="55">
        <v>10</v>
      </c>
      <c r="B12" s="56" t="s">
        <v>437</v>
      </c>
      <c r="C12" s="57">
        <v>514.18477819999998</v>
      </c>
      <c r="D12" s="58">
        <v>151474.74717238499</v>
      </c>
      <c r="E12" s="59">
        <v>3.47</v>
      </c>
      <c r="F12" s="59">
        <v>1.1599999999999999</v>
      </c>
      <c r="G12" s="59">
        <v>0.28000000000000003</v>
      </c>
      <c r="H12" s="59">
        <v>1.26</v>
      </c>
      <c r="I12" s="59">
        <v>-1.36</v>
      </c>
      <c r="J12" s="56" t="s">
        <v>430</v>
      </c>
    </row>
    <row r="13" spans="1:10" s="4" customFormat="1" ht="18" customHeight="1" x14ac:dyDescent="0.2">
      <c r="A13" s="55">
        <v>11</v>
      </c>
      <c r="B13" s="56" t="s">
        <v>438</v>
      </c>
      <c r="C13" s="57">
        <v>216.4704405</v>
      </c>
      <c r="D13" s="58">
        <v>124842.24095238</v>
      </c>
      <c r="E13" s="59">
        <v>2.86</v>
      </c>
      <c r="F13" s="59">
        <v>0.73</v>
      </c>
      <c r="G13" s="59">
        <v>0.18</v>
      </c>
      <c r="H13" s="59">
        <v>0.77</v>
      </c>
      <c r="I13" s="59">
        <v>2.9</v>
      </c>
      <c r="J13" s="56" t="s">
        <v>430</v>
      </c>
    </row>
    <row r="14" spans="1:10" s="4" customFormat="1" ht="18" customHeight="1" x14ac:dyDescent="0.2">
      <c r="A14" s="55">
        <v>12</v>
      </c>
      <c r="B14" s="56" t="s">
        <v>439</v>
      </c>
      <c r="C14" s="57">
        <v>892.46115339999994</v>
      </c>
      <c r="D14" s="58">
        <v>116877.00156572</v>
      </c>
      <c r="E14" s="59">
        <v>2.67</v>
      </c>
      <c r="F14" s="59">
        <v>1.32</v>
      </c>
      <c r="G14" s="59">
        <v>0.31</v>
      </c>
      <c r="H14" s="59">
        <v>1.52</v>
      </c>
      <c r="I14" s="59">
        <v>-3.48</v>
      </c>
      <c r="J14" s="56" t="s">
        <v>430</v>
      </c>
    </row>
    <row r="15" spans="1:10" s="4" customFormat="1" ht="18" customHeight="1" x14ac:dyDescent="0.2">
      <c r="A15" s="55">
        <v>13</v>
      </c>
      <c r="B15" s="56" t="s">
        <v>440</v>
      </c>
      <c r="C15" s="57">
        <v>151.04003</v>
      </c>
      <c r="D15" s="57">
        <v>88190.8855568</v>
      </c>
      <c r="E15" s="59">
        <v>2.02</v>
      </c>
      <c r="F15" s="59">
        <v>1.1399999999999999</v>
      </c>
      <c r="G15" s="59">
        <v>0.28000000000000003</v>
      </c>
      <c r="H15" s="59">
        <v>1.47</v>
      </c>
      <c r="I15" s="59">
        <v>-0.09</v>
      </c>
      <c r="J15" s="56" t="s">
        <v>430</v>
      </c>
    </row>
    <row r="16" spans="1:10" s="4" customFormat="1" ht="18" customHeight="1" x14ac:dyDescent="0.2">
      <c r="A16" s="55">
        <v>14</v>
      </c>
      <c r="B16" s="56" t="s">
        <v>441</v>
      </c>
      <c r="C16" s="57">
        <v>602.91603799999996</v>
      </c>
      <c r="D16" s="57">
        <v>81214.738979849993</v>
      </c>
      <c r="E16" s="59">
        <v>1.86</v>
      </c>
      <c r="F16" s="59">
        <v>1.04</v>
      </c>
      <c r="G16" s="59">
        <v>0.22</v>
      </c>
      <c r="H16" s="59">
        <v>1.96</v>
      </c>
      <c r="I16" s="59">
        <v>-10.8</v>
      </c>
      <c r="J16" s="56" t="s">
        <v>430</v>
      </c>
    </row>
    <row r="17" spans="1:10" s="4" customFormat="1" ht="18" customHeight="1" x14ac:dyDescent="0.2">
      <c r="A17" s="55">
        <v>15</v>
      </c>
      <c r="B17" s="56" t="s">
        <v>340</v>
      </c>
      <c r="C17" s="57">
        <v>115.5861776</v>
      </c>
      <c r="D17" s="57">
        <v>73925.618553930006</v>
      </c>
      <c r="E17" s="59">
        <v>1.69</v>
      </c>
      <c r="F17" s="59">
        <v>1.37</v>
      </c>
      <c r="G17" s="59">
        <v>0.23</v>
      </c>
      <c r="H17" s="59">
        <v>1.48</v>
      </c>
      <c r="I17" s="59">
        <v>2.29</v>
      </c>
      <c r="J17" s="56" t="s">
        <v>430</v>
      </c>
    </row>
    <row r="18" spans="1:10" s="4" customFormat="1" ht="18" customHeight="1" x14ac:dyDescent="0.2">
      <c r="A18" s="55">
        <v>16</v>
      </c>
      <c r="B18" s="56" t="s">
        <v>442</v>
      </c>
      <c r="C18" s="57">
        <v>271.2557736</v>
      </c>
      <c r="D18" s="57">
        <v>68479.768926870005</v>
      </c>
      <c r="E18" s="59">
        <v>1.57</v>
      </c>
      <c r="F18" s="59">
        <v>0.68</v>
      </c>
      <c r="G18" s="59">
        <v>0.09</v>
      </c>
      <c r="H18" s="59">
        <v>1.52</v>
      </c>
      <c r="I18" s="59">
        <v>8.1</v>
      </c>
      <c r="J18" s="56" t="s">
        <v>430</v>
      </c>
    </row>
    <row r="19" spans="1:10" s="4" customFormat="1" ht="18" customHeight="1" x14ac:dyDescent="0.2">
      <c r="A19" s="55">
        <v>17</v>
      </c>
      <c r="B19" s="56" t="s">
        <v>443</v>
      </c>
      <c r="C19" s="57">
        <v>95.919779000000005</v>
      </c>
      <c r="D19" s="57">
        <v>66253.379160020006</v>
      </c>
      <c r="E19" s="59">
        <v>1.52</v>
      </c>
      <c r="F19" s="59">
        <v>0.98</v>
      </c>
      <c r="G19" s="59">
        <v>0.27</v>
      </c>
      <c r="H19" s="59">
        <v>1.27</v>
      </c>
      <c r="I19" s="59">
        <v>-2.02</v>
      </c>
      <c r="J19" s="56" t="s">
        <v>430</v>
      </c>
    </row>
    <row r="20" spans="1:10" s="4" customFormat="1" ht="18" customHeight="1" x14ac:dyDescent="0.2">
      <c r="A20" s="55">
        <v>18</v>
      </c>
      <c r="B20" s="56" t="s">
        <v>444</v>
      </c>
      <c r="C20" s="57">
        <v>621.596272</v>
      </c>
      <c r="D20" s="57">
        <v>60171.736465080001</v>
      </c>
      <c r="E20" s="59">
        <v>1.38</v>
      </c>
      <c r="F20" s="59">
        <v>1.23</v>
      </c>
      <c r="G20" s="59">
        <v>0.31</v>
      </c>
      <c r="H20" s="59">
        <v>1.29</v>
      </c>
      <c r="I20" s="59">
        <v>-4.43</v>
      </c>
      <c r="J20" s="56" t="s">
        <v>430</v>
      </c>
    </row>
    <row r="21" spans="1:10" s="4" customFormat="1" ht="18" customHeight="1" x14ac:dyDescent="0.2">
      <c r="A21" s="55">
        <v>19</v>
      </c>
      <c r="B21" s="56" t="s">
        <v>445</v>
      </c>
      <c r="C21" s="57">
        <v>9894.5572800000009</v>
      </c>
      <c r="D21" s="57">
        <v>54470.723565965003</v>
      </c>
      <c r="E21" s="59">
        <v>1.25</v>
      </c>
      <c r="F21" s="59">
        <v>0.61</v>
      </c>
      <c r="G21" s="59">
        <v>0.11</v>
      </c>
      <c r="H21" s="59">
        <v>1.76</v>
      </c>
      <c r="I21" s="59">
        <v>-0.48</v>
      </c>
      <c r="J21" s="56" t="s">
        <v>430</v>
      </c>
    </row>
    <row r="22" spans="1:10" s="4" customFormat="1" ht="18" customHeight="1" x14ac:dyDescent="0.2">
      <c r="A22" s="55">
        <v>20</v>
      </c>
      <c r="B22" s="56" t="s">
        <v>446</v>
      </c>
      <c r="C22" s="57">
        <v>1998.7000535</v>
      </c>
      <c r="D22" s="57">
        <v>53946.335095789997</v>
      </c>
      <c r="E22" s="59">
        <v>1.23</v>
      </c>
      <c r="F22" s="59">
        <v>1.21</v>
      </c>
      <c r="G22" s="59">
        <v>0.18</v>
      </c>
      <c r="H22" s="59">
        <v>2.13</v>
      </c>
      <c r="I22" s="59">
        <v>-4</v>
      </c>
      <c r="J22" s="56" t="s">
        <v>430</v>
      </c>
    </row>
    <row r="23" spans="1:10" s="4" customFormat="1" ht="18" customHeight="1" x14ac:dyDescent="0.2">
      <c r="A23" s="55">
        <v>21</v>
      </c>
      <c r="B23" s="56" t="s">
        <v>447</v>
      </c>
      <c r="C23" s="57">
        <v>492.05012399999998</v>
      </c>
      <c r="D23" s="57">
        <v>52701.282117540002</v>
      </c>
      <c r="E23" s="59">
        <v>1.21</v>
      </c>
      <c r="F23" s="59">
        <v>0.73</v>
      </c>
      <c r="G23" s="59">
        <v>0.1</v>
      </c>
      <c r="H23" s="59">
        <v>1.18</v>
      </c>
      <c r="I23" s="59">
        <v>7.2</v>
      </c>
      <c r="J23" s="56" t="s">
        <v>430</v>
      </c>
    </row>
    <row r="24" spans="1:10" s="4" customFormat="1" ht="18" customHeight="1" x14ac:dyDescent="0.2">
      <c r="A24" s="55">
        <v>22</v>
      </c>
      <c r="B24" s="56" t="s">
        <v>448</v>
      </c>
      <c r="C24" s="57">
        <v>6290.1396029999996</v>
      </c>
      <c r="D24" s="57">
        <v>52683.650873999999</v>
      </c>
      <c r="E24" s="59">
        <v>1.21</v>
      </c>
      <c r="F24" s="59">
        <v>0.98</v>
      </c>
      <c r="G24" s="59">
        <v>0.16</v>
      </c>
      <c r="H24" s="59">
        <v>1.78</v>
      </c>
      <c r="I24" s="59">
        <v>5.59</v>
      </c>
      <c r="J24" s="56" t="s">
        <v>430</v>
      </c>
    </row>
    <row r="25" spans="1:10" s="4" customFormat="1" ht="18" customHeight="1" x14ac:dyDescent="0.2">
      <c r="A25" s="55">
        <v>23</v>
      </c>
      <c r="B25" s="56" t="s">
        <v>449</v>
      </c>
      <c r="C25" s="57">
        <v>239.92753300000001</v>
      </c>
      <c r="D25" s="57">
        <v>50086.128965985001</v>
      </c>
      <c r="E25" s="59">
        <v>1.1499999999999999</v>
      </c>
      <c r="F25" s="59">
        <v>0.84</v>
      </c>
      <c r="G25" s="59">
        <v>0.08</v>
      </c>
      <c r="H25" s="59">
        <v>1.54</v>
      </c>
      <c r="I25" s="59">
        <v>-4.63</v>
      </c>
      <c r="J25" s="56" t="s">
        <v>430</v>
      </c>
    </row>
    <row r="26" spans="1:10" s="4" customFormat="1" ht="18" customHeight="1" x14ac:dyDescent="0.2">
      <c r="A26" s="55">
        <v>24</v>
      </c>
      <c r="B26" s="56" t="s">
        <v>450</v>
      </c>
      <c r="C26" s="57">
        <v>1206.9133976000001</v>
      </c>
      <c r="D26" s="57">
        <v>45470.367081720004</v>
      </c>
      <c r="E26" s="59">
        <v>1.04</v>
      </c>
      <c r="F26" s="59">
        <v>0.52</v>
      </c>
      <c r="G26" s="59">
        <v>0.08</v>
      </c>
      <c r="H26" s="59">
        <v>1.66</v>
      </c>
      <c r="I26" s="59">
        <v>14.65</v>
      </c>
      <c r="J26" s="56" t="s">
        <v>430</v>
      </c>
    </row>
    <row r="27" spans="1:10" s="4" customFormat="1" ht="18" customHeight="1" x14ac:dyDescent="0.2">
      <c r="A27" s="55">
        <v>25</v>
      </c>
      <c r="B27" s="56" t="s">
        <v>451</v>
      </c>
      <c r="C27" s="57">
        <v>1126.4910850000001</v>
      </c>
      <c r="D27" s="57">
        <v>42715.536168480001</v>
      </c>
      <c r="E27" s="59">
        <v>0.98</v>
      </c>
      <c r="F27" s="59">
        <v>1.32</v>
      </c>
      <c r="G27" s="59">
        <v>0.26</v>
      </c>
      <c r="H27" s="59">
        <v>1.84</v>
      </c>
      <c r="I27" s="59">
        <v>6.5</v>
      </c>
      <c r="J27" s="56" t="s">
        <v>430</v>
      </c>
    </row>
    <row r="28" spans="1:10" s="4" customFormat="1" ht="18" customHeight="1" x14ac:dyDescent="0.2">
      <c r="A28" s="55">
        <v>26</v>
      </c>
      <c r="B28" s="56" t="s">
        <v>452</v>
      </c>
      <c r="C28" s="57">
        <v>6162.7283269999998</v>
      </c>
      <c r="D28" s="57">
        <v>42404.737807545003</v>
      </c>
      <c r="E28" s="59">
        <v>0.97</v>
      </c>
      <c r="F28" s="59">
        <v>0.49</v>
      </c>
      <c r="G28" s="59">
        <v>0.06</v>
      </c>
      <c r="H28" s="59">
        <v>1.4</v>
      </c>
      <c r="I28" s="59">
        <v>5.93</v>
      </c>
      <c r="J28" s="56" t="s">
        <v>430</v>
      </c>
    </row>
    <row r="29" spans="1:10" s="4" customFormat="1" ht="18" customHeight="1" x14ac:dyDescent="0.2">
      <c r="A29" s="55">
        <v>27</v>
      </c>
      <c r="B29" s="56" t="s">
        <v>453</v>
      </c>
      <c r="C29" s="57">
        <v>5231.5896480000001</v>
      </c>
      <c r="D29" s="57">
        <v>42577.725604079998</v>
      </c>
      <c r="E29" s="59">
        <v>0.97</v>
      </c>
      <c r="F29" s="59">
        <v>0.56999999999999995</v>
      </c>
      <c r="G29" s="59">
        <v>0.1</v>
      </c>
      <c r="H29" s="59">
        <v>1.22</v>
      </c>
      <c r="I29" s="59">
        <v>-6.17</v>
      </c>
      <c r="J29" s="56" t="s">
        <v>430</v>
      </c>
    </row>
    <row r="30" spans="1:10" s="4" customFormat="1" ht="18" customHeight="1" x14ac:dyDescent="0.2">
      <c r="A30" s="55">
        <v>28</v>
      </c>
      <c r="B30" s="56" t="s">
        <v>454</v>
      </c>
      <c r="C30" s="57">
        <v>577.46973879999996</v>
      </c>
      <c r="D30" s="57">
        <v>38811.779436620003</v>
      </c>
      <c r="E30" s="59">
        <v>0.89</v>
      </c>
      <c r="F30" s="59">
        <v>1.46</v>
      </c>
      <c r="G30" s="59">
        <v>0.18</v>
      </c>
      <c r="H30" s="59">
        <v>3.35</v>
      </c>
      <c r="I30" s="59">
        <v>18.690000000000001</v>
      </c>
      <c r="J30" s="56" t="s">
        <v>430</v>
      </c>
    </row>
    <row r="31" spans="1:10" s="4" customFormat="1" ht="18" customHeight="1" x14ac:dyDescent="0.2">
      <c r="A31" s="55">
        <v>29</v>
      </c>
      <c r="B31" s="56" t="s">
        <v>455</v>
      </c>
      <c r="C31" s="57">
        <v>9414.1589220000005</v>
      </c>
      <c r="D31" s="57">
        <v>37851.614078865001</v>
      </c>
      <c r="E31" s="59">
        <v>0.87</v>
      </c>
      <c r="F31" s="59">
        <v>1.36</v>
      </c>
      <c r="G31" s="59">
        <v>0.18</v>
      </c>
      <c r="H31" s="59">
        <v>2.21</v>
      </c>
      <c r="I31" s="59">
        <v>-3.04</v>
      </c>
      <c r="J31" s="56" t="s">
        <v>430</v>
      </c>
    </row>
    <row r="32" spans="1:10" s="4" customFormat="1" ht="18" customHeight="1" x14ac:dyDescent="0.2">
      <c r="A32" s="55">
        <v>30</v>
      </c>
      <c r="B32" s="56" t="s">
        <v>456</v>
      </c>
      <c r="C32" s="57">
        <v>289.36702000000002</v>
      </c>
      <c r="D32" s="57">
        <v>37784.033812139998</v>
      </c>
      <c r="E32" s="59">
        <v>0.86</v>
      </c>
      <c r="F32" s="59">
        <v>0.86</v>
      </c>
      <c r="G32" s="59">
        <v>0.17</v>
      </c>
      <c r="H32" s="59">
        <v>1.03</v>
      </c>
      <c r="I32" s="59">
        <v>2.4500000000000002</v>
      </c>
      <c r="J32" s="56" t="s">
        <v>430</v>
      </c>
    </row>
    <row r="33" spans="1:11" s="4" customFormat="1" ht="18" customHeight="1" x14ac:dyDescent="0.2">
      <c r="A33" s="55">
        <v>31</v>
      </c>
      <c r="B33" s="56" t="s">
        <v>457</v>
      </c>
      <c r="C33" s="57">
        <v>85.541694000000007</v>
      </c>
      <c r="D33" s="57">
        <v>37148.568302500003</v>
      </c>
      <c r="E33" s="59">
        <v>0.85</v>
      </c>
      <c r="F33" s="59">
        <v>0.51</v>
      </c>
      <c r="G33" s="59">
        <v>0.04</v>
      </c>
      <c r="H33" s="59">
        <v>1.21</v>
      </c>
      <c r="I33" s="59">
        <v>5.23</v>
      </c>
      <c r="J33" s="56" t="s">
        <v>430</v>
      </c>
    </row>
    <row r="34" spans="1:11" s="4" customFormat="1" ht="18" customHeight="1" x14ac:dyDescent="0.2">
      <c r="A34" s="55">
        <v>32</v>
      </c>
      <c r="B34" s="56" t="s">
        <v>458</v>
      </c>
      <c r="C34" s="57">
        <v>131.51967260000001</v>
      </c>
      <c r="D34" s="57">
        <v>35348.922848280003</v>
      </c>
      <c r="E34" s="59">
        <v>0.81</v>
      </c>
      <c r="F34" s="59">
        <v>1.1299999999999999</v>
      </c>
      <c r="G34" s="59">
        <v>0.23</v>
      </c>
      <c r="H34" s="59">
        <v>1.5</v>
      </c>
      <c r="I34" s="59">
        <v>4.8</v>
      </c>
      <c r="J34" s="56" t="s">
        <v>430</v>
      </c>
    </row>
    <row r="35" spans="1:11" s="4" customFormat="1" ht="18" customHeight="1" x14ac:dyDescent="0.2">
      <c r="A35" s="55">
        <v>33</v>
      </c>
      <c r="B35" s="56" t="s">
        <v>353</v>
      </c>
      <c r="C35" s="57">
        <v>39.945376799999998</v>
      </c>
      <c r="D35" s="57">
        <v>32794.91505037</v>
      </c>
      <c r="E35" s="59">
        <v>0.75</v>
      </c>
      <c r="F35" s="59">
        <v>0.92</v>
      </c>
      <c r="G35" s="59">
        <v>0.17</v>
      </c>
      <c r="H35" s="59">
        <v>1.47</v>
      </c>
      <c r="I35" s="59">
        <v>-1.64</v>
      </c>
      <c r="J35" s="56" t="s">
        <v>430</v>
      </c>
    </row>
    <row r="36" spans="1:11" s="4" customFormat="1" ht="18" customHeight="1" x14ac:dyDescent="0.2">
      <c r="A36" s="55">
        <v>34</v>
      </c>
      <c r="B36" s="56" t="s">
        <v>459</v>
      </c>
      <c r="C36" s="57">
        <v>463.20759759999999</v>
      </c>
      <c r="D36" s="57">
        <v>31171.743724799999</v>
      </c>
      <c r="E36" s="59">
        <v>0.71</v>
      </c>
      <c r="F36" s="59">
        <v>1.04</v>
      </c>
      <c r="G36" s="59">
        <v>0.03</v>
      </c>
      <c r="H36" s="59">
        <v>3.43</v>
      </c>
      <c r="I36" s="59">
        <v>-63.75</v>
      </c>
      <c r="J36" s="56" t="s">
        <v>430</v>
      </c>
    </row>
    <row r="37" spans="1:11" s="4" customFormat="1" ht="18" customHeight="1" x14ac:dyDescent="0.2">
      <c r="A37" s="55">
        <v>35</v>
      </c>
      <c r="B37" s="56" t="s">
        <v>355</v>
      </c>
      <c r="C37" s="57">
        <v>371.7196639</v>
      </c>
      <c r="D37" s="57">
        <v>30676.693101065001</v>
      </c>
      <c r="E37" s="59">
        <v>0.7</v>
      </c>
      <c r="F37" s="59">
        <v>1.3</v>
      </c>
      <c r="G37" s="59">
        <v>0.17</v>
      </c>
      <c r="H37" s="59">
        <v>2.36</v>
      </c>
      <c r="I37" s="59">
        <v>-10.55</v>
      </c>
      <c r="J37" s="56" t="s">
        <v>430</v>
      </c>
    </row>
    <row r="38" spans="1:11" s="4" customFormat="1" ht="18" customHeight="1" x14ac:dyDescent="0.2">
      <c r="A38" s="55">
        <v>36</v>
      </c>
      <c r="B38" s="56" t="s">
        <v>460</v>
      </c>
      <c r="C38" s="57">
        <v>414.19035220000001</v>
      </c>
      <c r="D38" s="57">
        <v>30666.760434960001</v>
      </c>
      <c r="E38" s="59">
        <v>0.7</v>
      </c>
      <c r="F38" s="59">
        <v>1.36</v>
      </c>
      <c r="G38" s="59">
        <v>0.24</v>
      </c>
      <c r="H38" s="59">
        <v>1.85</v>
      </c>
      <c r="I38" s="59">
        <v>3.73</v>
      </c>
      <c r="J38" s="56" t="s">
        <v>430</v>
      </c>
    </row>
    <row r="39" spans="1:11" s="4" customFormat="1" ht="18" customHeight="1" x14ac:dyDescent="0.2">
      <c r="A39" s="55">
        <v>37</v>
      </c>
      <c r="B39" s="56" t="s">
        <v>461</v>
      </c>
      <c r="C39" s="57">
        <v>224.55689910000001</v>
      </c>
      <c r="D39" s="57">
        <v>30139.3146925</v>
      </c>
      <c r="E39" s="59">
        <v>0.69</v>
      </c>
      <c r="F39" s="59">
        <v>1.43</v>
      </c>
      <c r="G39" s="59">
        <v>0.25</v>
      </c>
      <c r="H39" s="59">
        <v>1.88</v>
      </c>
      <c r="I39" s="59">
        <v>0.27</v>
      </c>
      <c r="J39" s="56" t="s">
        <v>430</v>
      </c>
    </row>
    <row r="40" spans="1:11" s="4" customFormat="1" ht="18" customHeight="1" x14ac:dyDescent="0.2">
      <c r="A40" s="55">
        <v>38</v>
      </c>
      <c r="B40" s="56" t="s">
        <v>462</v>
      </c>
      <c r="C40" s="57">
        <v>2169.2140439999998</v>
      </c>
      <c r="D40" s="57">
        <v>29561.031869695002</v>
      </c>
      <c r="E40" s="59">
        <v>0.68</v>
      </c>
      <c r="F40" s="59">
        <v>1.56</v>
      </c>
      <c r="G40" s="59">
        <v>0.2</v>
      </c>
      <c r="H40" s="59">
        <v>2.36</v>
      </c>
      <c r="I40" s="59">
        <v>-4.66</v>
      </c>
      <c r="J40" s="56" t="s">
        <v>430</v>
      </c>
    </row>
    <row r="41" spans="1:11" s="4" customFormat="1" ht="18" customHeight="1" x14ac:dyDescent="0.2">
      <c r="A41" s="55">
        <v>39</v>
      </c>
      <c r="B41" s="56" t="s">
        <v>463</v>
      </c>
      <c r="C41" s="57">
        <v>27.28257</v>
      </c>
      <c r="D41" s="57">
        <v>28161.50284669</v>
      </c>
      <c r="E41" s="59">
        <v>0.64</v>
      </c>
      <c r="F41" s="59">
        <v>1.45</v>
      </c>
      <c r="G41" s="59">
        <v>0.27</v>
      </c>
      <c r="H41" s="59">
        <v>1.95</v>
      </c>
      <c r="I41" s="59">
        <v>-0.88</v>
      </c>
      <c r="J41" s="56" t="s">
        <v>430</v>
      </c>
    </row>
    <row r="42" spans="1:11" s="4" customFormat="1" ht="18" customHeight="1" x14ac:dyDescent="0.2">
      <c r="A42" s="55">
        <v>40</v>
      </c>
      <c r="B42" s="56" t="s">
        <v>464</v>
      </c>
      <c r="C42" s="57">
        <v>96.04665</v>
      </c>
      <c r="D42" s="57">
        <v>24256.154018879999</v>
      </c>
      <c r="E42" s="59">
        <v>0.55000000000000004</v>
      </c>
      <c r="F42" s="59">
        <v>0.78</v>
      </c>
      <c r="G42" s="59">
        <v>0.04</v>
      </c>
      <c r="H42" s="59">
        <v>3</v>
      </c>
      <c r="I42" s="59">
        <v>-2.98</v>
      </c>
      <c r="J42" s="56" t="s">
        <v>430</v>
      </c>
    </row>
    <row r="43" spans="1:11" s="4" customFormat="1" ht="18.75" customHeight="1" x14ac:dyDescent="0.2">
      <c r="A43" s="433" t="s">
        <v>97</v>
      </c>
      <c r="B43" s="433"/>
      <c r="C43" s="433"/>
      <c r="D43" s="433"/>
      <c r="E43" s="433"/>
      <c r="F43" s="433"/>
      <c r="G43" s="433"/>
      <c r="H43" s="433"/>
      <c r="I43" s="433"/>
      <c r="J43" s="433"/>
      <c r="K43" s="433"/>
    </row>
    <row r="44" spans="1:11" s="4" customFormat="1" ht="18" customHeight="1" x14ac:dyDescent="0.2">
      <c r="A44" s="433" t="s">
        <v>465</v>
      </c>
      <c r="B44" s="433"/>
      <c r="C44" s="433"/>
      <c r="D44" s="433"/>
      <c r="E44" s="433"/>
      <c r="F44" s="433"/>
      <c r="G44" s="433"/>
      <c r="H44" s="433"/>
      <c r="I44" s="433"/>
      <c r="J44" s="433"/>
      <c r="K44" s="433"/>
    </row>
    <row r="45" spans="1:11" s="4" customFormat="1" ht="18" customHeight="1" x14ac:dyDescent="0.2">
      <c r="A45" s="433" t="s">
        <v>466</v>
      </c>
      <c r="B45" s="433"/>
      <c r="C45" s="433"/>
      <c r="D45" s="433"/>
      <c r="E45" s="433"/>
      <c r="F45" s="433"/>
      <c r="G45" s="433"/>
      <c r="H45" s="433"/>
      <c r="I45" s="433"/>
      <c r="J45" s="433"/>
      <c r="K45" s="433"/>
    </row>
    <row r="46" spans="1:11" s="4" customFormat="1" ht="18" customHeight="1" x14ac:dyDescent="0.2">
      <c r="A46" s="433" t="s">
        <v>467</v>
      </c>
      <c r="B46" s="433"/>
      <c r="C46" s="433"/>
      <c r="D46" s="433"/>
      <c r="E46" s="433"/>
      <c r="F46" s="433"/>
      <c r="G46" s="433"/>
      <c r="H46" s="433"/>
      <c r="I46" s="433"/>
      <c r="J46" s="433"/>
      <c r="K46" s="433"/>
    </row>
    <row r="47" spans="1:11" s="4" customFormat="1" ht="18" customHeight="1" x14ac:dyDescent="0.2">
      <c r="A47" s="433" t="s">
        <v>468</v>
      </c>
      <c r="B47" s="433"/>
      <c r="C47" s="433"/>
      <c r="D47" s="433"/>
      <c r="E47" s="433"/>
      <c r="F47" s="433"/>
      <c r="G47" s="433"/>
      <c r="H47" s="433"/>
      <c r="I47" s="433"/>
      <c r="J47" s="433"/>
      <c r="K47" s="433"/>
    </row>
    <row r="48" spans="1:11" s="4" customFormat="1" ht="18" customHeight="1" x14ac:dyDescent="0.2">
      <c r="A48" s="433" t="s">
        <v>469</v>
      </c>
      <c r="B48" s="433"/>
      <c r="C48" s="433"/>
      <c r="D48" s="433"/>
      <c r="E48" s="433"/>
      <c r="F48" s="433"/>
      <c r="G48" s="433"/>
      <c r="H48" s="433"/>
      <c r="I48" s="433"/>
      <c r="J48" s="433"/>
      <c r="K48" s="433"/>
    </row>
    <row r="49" s="4" customFormat="1" ht="28.35" customHeight="1" x14ac:dyDescent="0.2"/>
  </sheetData>
  <mergeCells count="7">
    <mergeCell ref="A48:K48"/>
    <mergeCell ref="A1:B1"/>
    <mergeCell ref="A43:K43"/>
    <mergeCell ref="A44:K44"/>
    <mergeCell ref="A45:K45"/>
    <mergeCell ref="A46:K46"/>
    <mergeCell ref="A47:K4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
  <sheetViews>
    <sheetView workbookViewId="0">
      <selection sqref="A1:G1"/>
    </sheetView>
  </sheetViews>
  <sheetFormatPr defaultRowHeight="12.75" x14ac:dyDescent="0.2"/>
  <cols>
    <col min="1" max="10" width="10.7109375" bestFit="1" customWidth="1"/>
    <col min="11" max="11" width="4.7109375" bestFit="1" customWidth="1"/>
  </cols>
  <sheetData>
    <row r="1" spans="1:10" ht="15.75" customHeight="1" x14ac:dyDescent="0.2">
      <c r="A1" s="364" t="s">
        <v>470</v>
      </c>
      <c r="B1" s="364"/>
      <c r="C1" s="364"/>
      <c r="D1" s="364"/>
      <c r="E1" s="364"/>
      <c r="F1" s="364"/>
      <c r="G1" s="364"/>
    </row>
    <row r="2" spans="1:10" s="4" customFormat="1" ht="15" customHeight="1" x14ac:dyDescent="0.2">
      <c r="A2" s="368" t="s">
        <v>164</v>
      </c>
      <c r="B2" s="370" t="s">
        <v>227</v>
      </c>
      <c r="C2" s="421"/>
      <c r="D2" s="371"/>
      <c r="E2" s="370" t="s">
        <v>228</v>
      </c>
      <c r="F2" s="421"/>
      <c r="G2" s="371"/>
      <c r="H2" s="370" t="s">
        <v>229</v>
      </c>
      <c r="I2" s="421"/>
      <c r="J2" s="371"/>
    </row>
    <row r="3" spans="1:10" s="4" customFormat="1" ht="37.5" customHeight="1" x14ac:dyDescent="0.2">
      <c r="A3" s="369"/>
      <c r="B3" s="9" t="s">
        <v>471</v>
      </c>
      <c r="C3" s="9" t="s">
        <v>472</v>
      </c>
      <c r="D3" s="9" t="s">
        <v>473</v>
      </c>
      <c r="E3" s="9" t="s">
        <v>471</v>
      </c>
      <c r="F3" s="9" t="s">
        <v>472</v>
      </c>
      <c r="G3" s="9" t="s">
        <v>473</v>
      </c>
      <c r="H3" s="9" t="s">
        <v>471</v>
      </c>
      <c r="I3" s="9" t="s">
        <v>472</v>
      </c>
      <c r="J3" s="9" t="s">
        <v>473</v>
      </c>
    </row>
    <row r="4" spans="1:10" s="4" customFormat="1" ht="15.75" customHeight="1" x14ac:dyDescent="0.2">
      <c r="A4" s="3" t="s">
        <v>61</v>
      </c>
      <c r="B4" s="26">
        <v>1156</v>
      </c>
      <c r="C4" s="26">
        <v>2730</v>
      </c>
      <c r="D4" s="60">
        <v>0.42344322299999998</v>
      </c>
      <c r="E4" s="26">
        <v>585</v>
      </c>
      <c r="F4" s="26">
        <v>1294</v>
      </c>
      <c r="G4" s="60">
        <v>0.45</v>
      </c>
      <c r="H4" s="11">
        <v>2</v>
      </c>
      <c r="I4" s="11">
        <v>5</v>
      </c>
      <c r="J4" s="48">
        <v>0.4</v>
      </c>
    </row>
    <row r="5" spans="1:10" s="4" customFormat="1" ht="15.75" customHeight="1" x14ac:dyDescent="0.2">
      <c r="A5" s="3" t="s">
        <v>62</v>
      </c>
      <c r="B5" s="26">
        <v>930</v>
      </c>
      <c r="C5" s="26">
        <v>2621</v>
      </c>
      <c r="D5" s="60">
        <v>0.35482640199999999</v>
      </c>
      <c r="E5" s="26">
        <v>353</v>
      </c>
      <c r="F5" s="26">
        <v>1434</v>
      </c>
      <c r="G5" s="60">
        <v>0.25</v>
      </c>
      <c r="H5" s="11">
        <v>2</v>
      </c>
      <c r="I5" s="11">
        <v>2</v>
      </c>
      <c r="J5" s="48">
        <v>1</v>
      </c>
    </row>
    <row r="6" spans="1:10" s="4" customFormat="1" ht="15.75" customHeight="1" x14ac:dyDescent="0.2">
      <c r="A6" s="3" t="s">
        <v>146</v>
      </c>
      <c r="B6" s="26">
        <v>1541</v>
      </c>
      <c r="C6" s="26">
        <v>1921</v>
      </c>
      <c r="D6" s="60">
        <v>0.80218636099999996</v>
      </c>
      <c r="E6" s="26">
        <v>879</v>
      </c>
      <c r="F6" s="26">
        <v>1040</v>
      </c>
      <c r="G6" s="60">
        <v>0.85</v>
      </c>
      <c r="H6" s="11">
        <v>2</v>
      </c>
      <c r="I6" s="11">
        <v>2</v>
      </c>
      <c r="J6" s="48">
        <v>1</v>
      </c>
    </row>
    <row r="7" spans="1:10" s="4" customFormat="1" ht="19.5" customHeight="1" x14ac:dyDescent="0.2">
      <c r="A7" s="366" t="s">
        <v>474</v>
      </c>
      <c r="B7" s="366"/>
      <c r="C7" s="366"/>
      <c r="D7" s="366"/>
      <c r="E7" s="366"/>
      <c r="F7" s="366"/>
    </row>
    <row r="8" spans="1:10" s="4" customFormat="1" ht="18" customHeight="1" x14ac:dyDescent="0.2">
      <c r="A8" s="366" t="s">
        <v>225</v>
      </c>
      <c r="B8" s="366"/>
      <c r="C8" s="366"/>
      <c r="D8" s="366"/>
      <c r="E8" s="366"/>
      <c r="F8" s="366"/>
    </row>
    <row r="9" spans="1:10" s="4" customFormat="1" ht="18" customHeight="1" x14ac:dyDescent="0.2">
      <c r="A9" s="366" t="s">
        <v>219</v>
      </c>
      <c r="B9" s="366"/>
      <c r="C9" s="366"/>
      <c r="D9" s="366"/>
      <c r="E9" s="366"/>
      <c r="F9" s="366"/>
    </row>
    <row r="10" spans="1:10" s="4" customFormat="1" ht="27.6" customHeight="1" x14ac:dyDescent="0.2"/>
  </sheetData>
  <mergeCells count="8">
    <mergeCell ref="H2:J2"/>
    <mergeCell ref="A7:F7"/>
    <mergeCell ref="A8:F8"/>
    <mergeCell ref="A9:F9"/>
    <mergeCell ref="A1:G1"/>
    <mergeCell ref="A2:A3"/>
    <mergeCell ref="B2:D2"/>
    <mergeCell ref="E2:G2"/>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workbookViewId="0">
      <selection sqref="A1:G1"/>
    </sheetView>
  </sheetViews>
  <sheetFormatPr defaultRowHeight="12.75" x14ac:dyDescent="0.2"/>
  <cols>
    <col min="1" max="1" width="9.85546875" bestFit="1" customWidth="1"/>
    <col min="2" max="10" width="13.5703125" bestFit="1" customWidth="1"/>
    <col min="11" max="11" width="4.7109375" bestFit="1" customWidth="1"/>
  </cols>
  <sheetData>
    <row r="1" spans="1:10" ht="13.5" customHeight="1" x14ac:dyDescent="0.2">
      <c r="A1" s="364" t="s">
        <v>475</v>
      </c>
      <c r="B1" s="364"/>
      <c r="C1" s="364"/>
      <c r="D1" s="364"/>
      <c r="E1" s="364"/>
      <c r="F1" s="364"/>
      <c r="G1" s="364"/>
    </row>
    <row r="2" spans="1:10" s="4" customFormat="1" ht="27.75" customHeight="1" x14ac:dyDescent="0.2">
      <c r="A2" s="376" t="s">
        <v>476</v>
      </c>
      <c r="B2" s="370" t="s">
        <v>227</v>
      </c>
      <c r="C2" s="421"/>
      <c r="D2" s="371"/>
      <c r="E2" s="370" t="s">
        <v>228</v>
      </c>
      <c r="F2" s="421"/>
      <c r="G2" s="371"/>
      <c r="H2" s="370" t="s">
        <v>229</v>
      </c>
      <c r="I2" s="421"/>
      <c r="J2" s="371"/>
    </row>
    <row r="3" spans="1:10" s="4" customFormat="1" ht="39" customHeight="1" x14ac:dyDescent="0.2">
      <c r="A3" s="378"/>
      <c r="B3" s="9" t="s">
        <v>477</v>
      </c>
      <c r="C3" s="9" t="s">
        <v>274</v>
      </c>
      <c r="D3" s="9" t="s">
        <v>478</v>
      </c>
      <c r="E3" s="9" t="s">
        <v>477</v>
      </c>
      <c r="F3" s="9" t="s">
        <v>274</v>
      </c>
      <c r="G3" s="9" t="s">
        <v>478</v>
      </c>
      <c r="H3" s="9" t="s">
        <v>477</v>
      </c>
      <c r="I3" s="9" t="s">
        <v>274</v>
      </c>
      <c r="J3" s="9" t="s">
        <v>478</v>
      </c>
    </row>
    <row r="4" spans="1:10" s="4" customFormat="1" ht="18" customHeight="1" x14ac:dyDescent="0.2">
      <c r="A4" s="3" t="s">
        <v>61</v>
      </c>
      <c r="B4" s="26">
        <v>5262</v>
      </c>
      <c r="C4" s="26">
        <v>4086</v>
      </c>
      <c r="D4" s="61">
        <v>77.651083238312424</v>
      </c>
      <c r="E4" s="26">
        <v>1931</v>
      </c>
      <c r="F4" s="26">
        <v>1922</v>
      </c>
      <c r="G4" s="61">
        <v>99.533920248575868</v>
      </c>
      <c r="H4" s="11">
        <v>287</v>
      </c>
      <c r="I4" s="11">
        <v>8</v>
      </c>
      <c r="J4" s="48">
        <v>2.7874564459930316</v>
      </c>
    </row>
    <row r="5" spans="1:10" s="4" customFormat="1" ht="18" customHeight="1" x14ac:dyDescent="0.2">
      <c r="A5" s="3" t="s">
        <v>62</v>
      </c>
      <c r="B5" s="26">
        <v>5282</v>
      </c>
      <c r="C5" s="26">
        <v>3580</v>
      </c>
      <c r="D5" s="61">
        <v>67.777357061719044</v>
      </c>
      <c r="E5" s="26">
        <v>1938</v>
      </c>
      <c r="F5" s="26">
        <v>1856</v>
      </c>
      <c r="G5" s="61">
        <v>95.768833849329198</v>
      </c>
      <c r="H5" s="11">
        <v>286</v>
      </c>
      <c r="I5" s="11">
        <v>6</v>
      </c>
      <c r="J5" s="48">
        <v>2.0979020979020979</v>
      </c>
    </row>
    <row r="6" spans="1:10" s="4" customFormat="1" ht="18" customHeight="1" x14ac:dyDescent="0.2">
      <c r="A6" s="3" t="s">
        <v>146</v>
      </c>
      <c r="B6" s="26">
        <v>5282</v>
      </c>
      <c r="C6" s="26">
        <v>3580</v>
      </c>
      <c r="D6" s="61">
        <v>67.777357061719044</v>
      </c>
      <c r="E6" s="26">
        <v>1938</v>
      </c>
      <c r="F6" s="26">
        <v>1856</v>
      </c>
      <c r="G6" s="61">
        <v>95.768833849329198</v>
      </c>
      <c r="H6" s="11">
        <v>286</v>
      </c>
      <c r="I6" s="11">
        <v>6</v>
      </c>
      <c r="J6" s="48">
        <v>2.0979020979020979</v>
      </c>
    </row>
    <row r="7" spans="1:10" s="4" customFormat="1" ht="15" customHeight="1" x14ac:dyDescent="0.2">
      <c r="A7" s="386" t="s">
        <v>98</v>
      </c>
      <c r="B7" s="386"/>
      <c r="C7" s="386"/>
      <c r="D7" s="386"/>
      <c r="E7" s="386"/>
      <c r="F7" s="386"/>
      <c r="G7" s="386"/>
    </row>
    <row r="8" spans="1:10" s="4" customFormat="1" ht="13.5" customHeight="1" x14ac:dyDescent="0.2">
      <c r="A8" s="386" t="s">
        <v>219</v>
      </c>
      <c r="B8" s="386"/>
      <c r="C8" s="386"/>
      <c r="D8" s="386"/>
      <c r="E8" s="386"/>
      <c r="F8" s="386"/>
      <c r="G8" s="386"/>
    </row>
    <row r="9" spans="1:10" s="4" customFormat="1" ht="28.35" customHeight="1" x14ac:dyDescent="0.2"/>
  </sheetData>
  <mergeCells count="7">
    <mergeCell ref="H2:J2"/>
    <mergeCell ref="A7:G7"/>
    <mergeCell ref="A8:G8"/>
    <mergeCell ref="A1:G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selection sqref="A1:C1"/>
    </sheetView>
  </sheetViews>
  <sheetFormatPr defaultRowHeight="12.75" x14ac:dyDescent="0.2"/>
  <cols>
    <col min="1" max="8" width="14.7109375" bestFit="1" customWidth="1"/>
    <col min="9" max="9" width="4.7109375" bestFit="1" customWidth="1"/>
  </cols>
  <sheetData>
    <row r="1" spans="1:8" ht="15.75" customHeight="1" x14ac:dyDescent="0.2">
      <c r="A1" s="398" t="s">
        <v>32</v>
      </c>
      <c r="B1" s="398"/>
      <c r="C1" s="398"/>
    </row>
    <row r="2" spans="1:8" s="4" customFormat="1" ht="38.25" customHeight="1" x14ac:dyDescent="0.2">
      <c r="A2" s="6" t="s">
        <v>137</v>
      </c>
      <c r="B2" s="9" t="s">
        <v>479</v>
      </c>
      <c r="C2" s="9" t="s">
        <v>480</v>
      </c>
      <c r="D2" s="9" t="s">
        <v>481</v>
      </c>
      <c r="E2" s="9" t="s">
        <v>482</v>
      </c>
      <c r="F2" s="9" t="s">
        <v>483</v>
      </c>
      <c r="G2" s="9" t="s">
        <v>484</v>
      </c>
      <c r="H2" s="9" t="s">
        <v>485</v>
      </c>
    </row>
    <row r="3" spans="1:8" s="4" customFormat="1" ht="18" customHeight="1" x14ac:dyDescent="0.2">
      <c r="A3" s="3" t="s">
        <v>61</v>
      </c>
      <c r="B3" s="62">
        <v>0.76505508</v>
      </c>
      <c r="C3" s="62">
        <v>0.79260673100000001</v>
      </c>
      <c r="D3" s="62">
        <v>0.80214608600000004</v>
      </c>
      <c r="E3" s="62">
        <v>0.78237730500000002</v>
      </c>
      <c r="F3" s="62">
        <v>1.020970889</v>
      </c>
      <c r="G3" s="62">
        <v>0.80626922999999995</v>
      </c>
      <c r="H3" s="62">
        <v>0.77</v>
      </c>
    </row>
    <row r="4" spans="1:8" s="4" customFormat="1" ht="18" customHeight="1" x14ac:dyDescent="0.2">
      <c r="A4" s="3" t="s">
        <v>62</v>
      </c>
      <c r="B4" s="62">
        <v>0.68796437700000002</v>
      </c>
      <c r="C4" s="62">
        <v>0.64456652299999995</v>
      </c>
      <c r="D4" s="62">
        <v>0.61263987900000005</v>
      </c>
      <c r="E4" s="62">
        <v>0.66285354100000005</v>
      </c>
      <c r="F4" s="62">
        <v>0.57229387799999998</v>
      </c>
      <c r="G4" s="62">
        <v>0.60203805300000002</v>
      </c>
      <c r="H4" s="62">
        <v>0.71</v>
      </c>
    </row>
    <row r="5" spans="1:8" s="4" customFormat="1" ht="18" customHeight="1" x14ac:dyDescent="0.2">
      <c r="A5" s="3" t="s">
        <v>146</v>
      </c>
      <c r="B5" s="62">
        <v>0.68796437700000002</v>
      </c>
      <c r="C5" s="62">
        <v>0.64456652299999995</v>
      </c>
      <c r="D5" s="62">
        <v>0.61263987900000005</v>
      </c>
      <c r="E5" s="62">
        <v>0.66285354100000005</v>
      </c>
      <c r="F5" s="62">
        <v>0.57229387799999998</v>
      </c>
      <c r="G5" s="62">
        <v>0.60203805300000002</v>
      </c>
      <c r="H5" s="62">
        <v>0.71</v>
      </c>
    </row>
    <row r="6" spans="1:8" s="4" customFormat="1" ht="19.5" customHeight="1" x14ac:dyDescent="0.2">
      <c r="A6" s="366" t="s">
        <v>486</v>
      </c>
      <c r="B6" s="366"/>
      <c r="C6" s="366"/>
      <c r="D6" s="366"/>
      <c r="E6" s="366"/>
      <c r="F6" s="366"/>
      <c r="G6" s="366"/>
    </row>
    <row r="7" spans="1:8" s="4" customFormat="1" ht="18" customHeight="1" x14ac:dyDescent="0.2">
      <c r="A7" s="366" t="s">
        <v>98</v>
      </c>
      <c r="B7" s="366"/>
      <c r="C7" s="366"/>
      <c r="D7" s="366"/>
      <c r="E7" s="366"/>
      <c r="F7" s="366"/>
      <c r="G7" s="366"/>
    </row>
    <row r="8" spans="1:8" s="4" customFormat="1" ht="18" customHeight="1" x14ac:dyDescent="0.2">
      <c r="A8" s="366" t="s">
        <v>487</v>
      </c>
      <c r="B8" s="366"/>
      <c r="C8" s="366"/>
      <c r="D8" s="366"/>
      <c r="E8" s="366"/>
      <c r="F8" s="366"/>
      <c r="G8" s="366"/>
    </row>
    <row r="9" spans="1:8" s="4" customFormat="1" ht="27.6" customHeight="1" x14ac:dyDescent="0.2"/>
  </sheetData>
  <mergeCells count="4">
    <mergeCell ref="A1:C1"/>
    <mergeCell ref="A6:G6"/>
    <mergeCell ref="A7:G7"/>
    <mergeCell ref="A8:G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P16"/>
  <sheetViews>
    <sheetView workbookViewId="0">
      <selection sqref="A1:K1"/>
    </sheetView>
  </sheetViews>
  <sheetFormatPr defaultRowHeight="12.75" x14ac:dyDescent="0.2"/>
  <cols>
    <col min="1" max="10" width="14.7109375" bestFit="1" customWidth="1"/>
    <col min="11" max="11" width="14.42578125" bestFit="1" customWidth="1"/>
    <col min="12" max="12" width="15" bestFit="1" customWidth="1"/>
    <col min="13" max="16" width="14.7109375" bestFit="1" customWidth="1"/>
    <col min="17" max="17" width="4.7109375" bestFit="1" customWidth="1"/>
  </cols>
  <sheetData>
    <row r="1" spans="1:16" ht="14.25" customHeight="1" x14ac:dyDescent="0.2">
      <c r="A1" s="398" t="s">
        <v>33</v>
      </c>
      <c r="B1" s="398"/>
      <c r="C1" s="398"/>
      <c r="D1" s="398"/>
      <c r="E1" s="398"/>
      <c r="F1" s="398"/>
      <c r="G1" s="398"/>
      <c r="H1" s="398"/>
      <c r="I1" s="398"/>
      <c r="J1" s="398"/>
      <c r="K1" s="398"/>
    </row>
    <row r="2" spans="1:16" s="4" customFormat="1" ht="18.75" customHeight="1" x14ac:dyDescent="0.2">
      <c r="A2" s="6" t="s">
        <v>164</v>
      </c>
      <c r="B2" s="382" t="s">
        <v>227</v>
      </c>
      <c r="C2" s="408"/>
      <c r="D2" s="408"/>
      <c r="E2" s="408"/>
      <c r="F2" s="383"/>
      <c r="G2" s="388" t="s">
        <v>228</v>
      </c>
      <c r="H2" s="389"/>
      <c r="I2" s="389"/>
      <c r="J2" s="389"/>
      <c r="K2" s="390"/>
      <c r="L2" s="388" t="s">
        <v>229</v>
      </c>
      <c r="M2" s="389"/>
      <c r="N2" s="389"/>
      <c r="O2" s="389"/>
      <c r="P2" s="390"/>
    </row>
    <row r="3" spans="1:16" s="4" customFormat="1" ht="18" customHeight="1" x14ac:dyDescent="0.2">
      <c r="A3" s="6" t="s">
        <v>488</v>
      </c>
      <c r="B3" s="25" t="s">
        <v>489</v>
      </c>
      <c r="C3" s="25" t="s">
        <v>490</v>
      </c>
      <c r="D3" s="25" t="s">
        <v>491</v>
      </c>
      <c r="E3" s="25" t="s">
        <v>492</v>
      </c>
      <c r="F3" s="25" t="s">
        <v>493</v>
      </c>
      <c r="G3" s="25" t="s">
        <v>489</v>
      </c>
      <c r="H3" s="25" t="s">
        <v>490</v>
      </c>
      <c r="I3" s="25" t="s">
        <v>491</v>
      </c>
      <c r="J3" s="25" t="s">
        <v>492</v>
      </c>
      <c r="K3" s="25" t="s">
        <v>493</v>
      </c>
      <c r="L3" s="25" t="s">
        <v>489</v>
      </c>
      <c r="M3" s="25" t="s">
        <v>490</v>
      </c>
      <c r="N3" s="25" t="s">
        <v>491</v>
      </c>
      <c r="O3" s="25" t="s">
        <v>492</v>
      </c>
      <c r="P3" s="25" t="s">
        <v>493</v>
      </c>
    </row>
    <row r="4" spans="1:16" s="4" customFormat="1" ht="18" customHeight="1" x14ac:dyDescent="0.2">
      <c r="A4" s="382" t="s">
        <v>494</v>
      </c>
      <c r="B4" s="408"/>
      <c r="C4" s="408"/>
      <c r="D4" s="408"/>
      <c r="E4" s="408"/>
      <c r="F4" s="408"/>
      <c r="G4" s="408"/>
      <c r="H4" s="408"/>
      <c r="I4" s="408"/>
      <c r="J4" s="408"/>
      <c r="K4" s="383"/>
      <c r="L4" s="25"/>
      <c r="M4" s="25"/>
      <c r="N4" s="25"/>
      <c r="O4" s="25"/>
      <c r="P4" s="25"/>
    </row>
    <row r="5" spans="1:16" s="4" customFormat="1" ht="16.5" customHeight="1" x14ac:dyDescent="0.2">
      <c r="A5" s="3" t="s">
        <v>61</v>
      </c>
      <c r="B5" s="47">
        <v>9.5289999999999999</v>
      </c>
      <c r="C5" s="47">
        <v>16.1709</v>
      </c>
      <c r="D5" s="47">
        <v>31.055199999999999</v>
      </c>
      <c r="E5" s="47">
        <v>44.2911</v>
      </c>
      <c r="F5" s="47">
        <v>60.239400000000003</v>
      </c>
      <c r="G5" s="47">
        <v>11.68</v>
      </c>
      <c r="H5" s="47">
        <v>20.43</v>
      </c>
      <c r="I5" s="47">
        <v>36.67</v>
      </c>
      <c r="J5" s="47">
        <v>52.57</v>
      </c>
      <c r="K5" s="47">
        <v>70.930000000000007</v>
      </c>
      <c r="L5" s="15">
        <v>98.9</v>
      </c>
      <c r="M5" s="31">
        <v>100</v>
      </c>
      <c r="N5" s="15">
        <v>100</v>
      </c>
      <c r="O5" s="15">
        <v>100</v>
      </c>
      <c r="P5" s="15">
        <v>100</v>
      </c>
    </row>
    <row r="6" spans="1:16" s="4" customFormat="1" ht="16.5" customHeight="1" x14ac:dyDescent="0.2">
      <c r="A6" s="3" t="s">
        <v>62</v>
      </c>
      <c r="B6" s="47">
        <v>16.79</v>
      </c>
      <c r="C6" s="47">
        <v>26.8901</v>
      </c>
      <c r="D6" s="47">
        <v>42.9178</v>
      </c>
      <c r="E6" s="47">
        <v>56.311700000000002</v>
      </c>
      <c r="F6" s="47">
        <v>70.250500000000002</v>
      </c>
      <c r="G6" s="47">
        <v>14.92</v>
      </c>
      <c r="H6" s="47">
        <v>24.97</v>
      </c>
      <c r="I6" s="47">
        <v>43</v>
      </c>
      <c r="J6" s="47">
        <v>59.47</v>
      </c>
      <c r="K6" s="47">
        <v>76.69</v>
      </c>
      <c r="L6" s="15">
        <v>99.47</v>
      </c>
      <c r="M6" s="31">
        <v>100</v>
      </c>
      <c r="N6" s="15">
        <v>100</v>
      </c>
      <c r="O6" s="15">
        <v>100</v>
      </c>
      <c r="P6" s="15">
        <v>100</v>
      </c>
    </row>
    <row r="7" spans="1:16" s="4" customFormat="1" ht="16.5" customHeight="1" x14ac:dyDescent="0.2">
      <c r="A7" s="3" t="s">
        <v>146</v>
      </c>
      <c r="B7" s="47">
        <v>16.79</v>
      </c>
      <c r="C7" s="47">
        <v>26.8901</v>
      </c>
      <c r="D7" s="47">
        <v>42.9178</v>
      </c>
      <c r="E7" s="47">
        <v>56.311700000000002</v>
      </c>
      <c r="F7" s="47">
        <v>70.250500000000002</v>
      </c>
      <c r="G7" s="47">
        <v>14.92</v>
      </c>
      <c r="H7" s="47">
        <v>24.97</v>
      </c>
      <c r="I7" s="47">
        <v>43</v>
      </c>
      <c r="J7" s="47">
        <v>59.47</v>
      </c>
      <c r="K7" s="47">
        <v>76.69</v>
      </c>
      <c r="L7" s="15">
        <v>99.47</v>
      </c>
      <c r="M7" s="31">
        <v>100</v>
      </c>
      <c r="N7" s="15">
        <v>100</v>
      </c>
      <c r="O7" s="15">
        <v>100</v>
      </c>
      <c r="P7" s="15">
        <v>100</v>
      </c>
    </row>
    <row r="8" spans="1:16" s="4" customFormat="1" ht="18" customHeight="1" x14ac:dyDescent="0.2">
      <c r="A8" s="382" t="s">
        <v>495</v>
      </c>
      <c r="B8" s="408"/>
      <c r="C8" s="408"/>
      <c r="D8" s="408"/>
      <c r="E8" s="408"/>
      <c r="F8" s="408"/>
      <c r="G8" s="408"/>
      <c r="H8" s="408"/>
      <c r="I8" s="408"/>
      <c r="J8" s="408"/>
      <c r="K8" s="408"/>
      <c r="L8" s="408"/>
      <c r="M8" s="408"/>
      <c r="N8" s="408"/>
      <c r="O8" s="408"/>
      <c r="P8" s="383"/>
    </row>
    <row r="9" spans="1:16" s="4" customFormat="1" ht="18" customHeight="1" x14ac:dyDescent="0.2">
      <c r="A9" s="3" t="s">
        <v>61</v>
      </c>
      <c r="B9" s="47">
        <v>24.2</v>
      </c>
      <c r="C9" s="47">
        <v>38.4</v>
      </c>
      <c r="D9" s="47">
        <v>61</v>
      </c>
      <c r="E9" s="47">
        <v>73.5</v>
      </c>
      <c r="F9" s="47">
        <v>84.5</v>
      </c>
      <c r="G9" s="47">
        <v>22.47</v>
      </c>
      <c r="H9" s="47">
        <v>34.340000000000003</v>
      </c>
      <c r="I9" s="47">
        <v>54.6</v>
      </c>
      <c r="J9" s="47">
        <v>72.37</v>
      </c>
      <c r="K9" s="47">
        <v>85.69</v>
      </c>
      <c r="L9" s="15">
        <v>94.71</v>
      </c>
      <c r="M9" s="31">
        <v>100</v>
      </c>
      <c r="N9" s="15">
        <v>100</v>
      </c>
      <c r="O9" s="15">
        <v>100</v>
      </c>
      <c r="P9" s="162" t="s">
        <v>430</v>
      </c>
    </row>
    <row r="10" spans="1:16" s="4" customFormat="1" ht="18" customHeight="1" x14ac:dyDescent="0.2">
      <c r="A10" s="3" t="s">
        <v>62</v>
      </c>
      <c r="B10" s="47">
        <v>31.24</v>
      </c>
      <c r="C10" s="47">
        <v>46.01</v>
      </c>
      <c r="D10" s="47">
        <v>62.89</v>
      </c>
      <c r="E10" s="47">
        <v>74.510000000000005</v>
      </c>
      <c r="F10" s="47">
        <v>84.49</v>
      </c>
      <c r="G10" s="47">
        <v>24.97</v>
      </c>
      <c r="H10" s="47">
        <v>37.18</v>
      </c>
      <c r="I10" s="47">
        <v>57.29</v>
      </c>
      <c r="J10" s="47">
        <v>74.099999999999994</v>
      </c>
      <c r="K10" s="47">
        <v>86.64</v>
      </c>
      <c r="L10" s="15">
        <v>88.28</v>
      </c>
      <c r="M10" s="31">
        <v>100</v>
      </c>
      <c r="N10" s="15">
        <v>100</v>
      </c>
      <c r="O10" s="15">
        <v>100</v>
      </c>
      <c r="P10" s="162" t="s">
        <v>430</v>
      </c>
    </row>
    <row r="11" spans="1:16" s="4" customFormat="1" ht="18" customHeight="1" x14ac:dyDescent="0.2">
      <c r="A11" s="3" t="s">
        <v>146</v>
      </c>
      <c r="B11" s="47">
        <v>31.24</v>
      </c>
      <c r="C11" s="47">
        <v>46.01</v>
      </c>
      <c r="D11" s="47">
        <v>62.89</v>
      </c>
      <c r="E11" s="47">
        <v>74.510000000000005</v>
      </c>
      <c r="F11" s="47">
        <v>84.49</v>
      </c>
      <c r="G11" s="47">
        <v>24.97</v>
      </c>
      <c r="H11" s="47">
        <v>37.18</v>
      </c>
      <c r="I11" s="47">
        <v>57.29</v>
      </c>
      <c r="J11" s="47">
        <v>74.099999999999994</v>
      </c>
      <c r="K11" s="47">
        <v>86.64</v>
      </c>
      <c r="L11" s="15">
        <v>88.28</v>
      </c>
      <c r="M11" s="31">
        <v>100</v>
      </c>
      <c r="N11" s="15">
        <v>100</v>
      </c>
      <c r="O11" s="15">
        <v>100</v>
      </c>
      <c r="P11" s="162" t="s">
        <v>430</v>
      </c>
    </row>
    <row r="12" spans="1:16" s="4" customFormat="1" ht="15" customHeight="1" x14ac:dyDescent="0.2">
      <c r="A12" s="386" t="s">
        <v>496</v>
      </c>
      <c r="B12" s="386"/>
      <c r="C12" s="386"/>
      <c r="D12" s="386"/>
      <c r="E12" s="386"/>
      <c r="F12" s="386"/>
      <c r="G12" s="386"/>
      <c r="H12" s="386"/>
      <c r="I12" s="386"/>
      <c r="J12" s="386"/>
      <c r="K12" s="386"/>
    </row>
    <row r="13" spans="1:16" s="4" customFormat="1" ht="15" customHeight="1" x14ac:dyDescent="0.2">
      <c r="A13" s="163" t="s">
        <v>885</v>
      </c>
      <c r="B13" s="85"/>
      <c r="C13" s="85"/>
      <c r="D13" s="85"/>
      <c r="E13" s="85"/>
      <c r="F13" s="85"/>
      <c r="G13" s="85"/>
      <c r="H13" s="85"/>
      <c r="I13" s="85"/>
      <c r="J13" s="85"/>
      <c r="K13" s="85"/>
    </row>
    <row r="14" spans="1:16" s="4" customFormat="1" ht="13.5" customHeight="1" x14ac:dyDescent="0.2">
      <c r="A14" s="386" t="s">
        <v>98</v>
      </c>
      <c r="B14" s="386"/>
      <c r="C14" s="386"/>
      <c r="D14" s="386"/>
      <c r="E14" s="386"/>
      <c r="F14" s="386"/>
      <c r="G14" s="386"/>
      <c r="H14" s="386"/>
      <c r="I14" s="386"/>
      <c r="J14" s="386"/>
      <c r="K14" s="386"/>
    </row>
    <row r="15" spans="1:16" s="4" customFormat="1" ht="13.5" customHeight="1" x14ac:dyDescent="0.2">
      <c r="A15" s="386" t="s">
        <v>219</v>
      </c>
      <c r="B15" s="386"/>
      <c r="C15" s="386"/>
      <c r="D15" s="386"/>
      <c r="E15" s="386"/>
      <c r="F15" s="386"/>
      <c r="G15" s="386"/>
      <c r="H15" s="386"/>
      <c r="I15" s="386"/>
      <c r="J15" s="386"/>
      <c r="K15" s="386"/>
    </row>
    <row r="16" spans="1:16" s="4" customFormat="1" ht="28.35" customHeight="1" x14ac:dyDescent="0.2"/>
  </sheetData>
  <mergeCells count="9">
    <mergeCell ref="A15:K15"/>
    <mergeCell ref="A1:K1"/>
    <mergeCell ref="B2:F2"/>
    <mergeCell ref="G2:K2"/>
    <mergeCell ref="L2:P2"/>
    <mergeCell ref="A4:K4"/>
    <mergeCell ref="A8:P8"/>
    <mergeCell ref="A12:K12"/>
    <mergeCell ref="A14:K14"/>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8"/>
  <sheetViews>
    <sheetView workbookViewId="0">
      <selection sqref="A1:I1"/>
    </sheetView>
  </sheetViews>
  <sheetFormatPr defaultRowHeight="12.75" x14ac:dyDescent="0.2"/>
  <cols>
    <col min="1" max="8" width="14.7109375" bestFit="1" customWidth="1"/>
    <col min="9" max="9" width="8.42578125" bestFit="1" customWidth="1"/>
    <col min="10" max="10" width="21" bestFit="1" customWidth="1"/>
    <col min="11" max="17" width="14.7109375" bestFit="1" customWidth="1"/>
    <col min="18" max="18" width="4.7109375" bestFit="1" customWidth="1"/>
  </cols>
  <sheetData>
    <row r="1" spans="1:17" ht="13.5" customHeight="1" x14ac:dyDescent="0.2">
      <c r="A1" s="398" t="s">
        <v>34</v>
      </c>
      <c r="B1" s="398"/>
      <c r="C1" s="398"/>
      <c r="D1" s="398"/>
      <c r="E1" s="398"/>
      <c r="F1" s="398"/>
      <c r="G1" s="398"/>
      <c r="H1" s="398"/>
      <c r="I1" s="398"/>
    </row>
    <row r="2" spans="1:17" s="4" customFormat="1" ht="88.5" customHeight="1" x14ac:dyDescent="0.2">
      <c r="A2" s="9" t="s">
        <v>497</v>
      </c>
      <c r="B2" s="9" t="s">
        <v>498</v>
      </c>
      <c r="C2" s="9" t="s">
        <v>499</v>
      </c>
      <c r="D2" s="9" t="s">
        <v>500</v>
      </c>
      <c r="E2" s="9" t="s">
        <v>501</v>
      </c>
      <c r="F2" s="10" t="s">
        <v>258</v>
      </c>
      <c r="G2" s="10" t="s">
        <v>502</v>
      </c>
      <c r="H2" s="9" t="s">
        <v>503</v>
      </c>
      <c r="I2" s="9" t="s">
        <v>504</v>
      </c>
      <c r="J2" s="9" t="s">
        <v>505</v>
      </c>
      <c r="K2" s="10" t="s">
        <v>506</v>
      </c>
      <c r="L2" s="9" t="s">
        <v>507</v>
      </c>
      <c r="M2" s="9" t="s">
        <v>508</v>
      </c>
      <c r="N2" s="9" t="s">
        <v>509</v>
      </c>
      <c r="O2" s="10" t="s">
        <v>510</v>
      </c>
      <c r="P2" s="10" t="s">
        <v>511</v>
      </c>
      <c r="Q2" s="10" t="s">
        <v>512</v>
      </c>
    </row>
    <row r="3" spans="1:17" s="4" customFormat="1" ht="18" customHeight="1" x14ac:dyDescent="0.2">
      <c r="A3" s="3" t="s">
        <v>61</v>
      </c>
      <c r="B3" s="32">
        <v>3145.2410599999998</v>
      </c>
      <c r="C3" s="39">
        <v>518108</v>
      </c>
      <c r="D3" s="39">
        <v>195611.69925000001</v>
      </c>
      <c r="E3" s="63">
        <v>37.528771651</v>
      </c>
      <c r="F3" s="39">
        <v>775589.75</v>
      </c>
      <c r="G3" s="39">
        <v>261208.29157517999</v>
      </c>
      <c r="H3" s="64">
        <v>33.097800724999999</v>
      </c>
      <c r="I3" s="39">
        <v>195277.88641000001</v>
      </c>
      <c r="J3" s="63">
        <v>99.814041696999993</v>
      </c>
      <c r="K3" s="39">
        <v>261207.80458154</v>
      </c>
      <c r="L3" s="47">
        <v>99.994166667000002</v>
      </c>
      <c r="M3" s="26">
        <v>458.18738999999999</v>
      </c>
      <c r="N3" s="62">
        <v>0.22265528900000001</v>
      </c>
      <c r="O3" s="39">
        <v>109583.71120999999</v>
      </c>
      <c r="P3" s="39">
        <v>194997.75012000001</v>
      </c>
      <c r="Q3" s="26">
        <v>207.14</v>
      </c>
    </row>
    <row r="4" spans="1:17" s="4" customFormat="1" ht="18" customHeight="1" x14ac:dyDescent="0.2">
      <c r="A4" s="3" t="s">
        <v>62</v>
      </c>
      <c r="B4" s="32">
        <v>254.76076</v>
      </c>
      <c r="C4" s="26">
        <v>59515</v>
      </c>
      <c r="D4" s="26">
        <v>49993.686300000001</v>
      </c>
      <c r="E4" s="63">
        <v>84.001825253999996</v>
      </c>
      <c r="F4" s="26">
        <v>56860.88</v>
      </c>
      <c r="G4" s="26">
        <v>19548.391253498001</v>
      </c>
      <c r="H4" s="64">
        <v>34.379332949999998</v>
      </c>
      <c r="I4" s="26">
        <v>16965.053370000001</v>
      </c>
      <c r="J4" s="63">
        <v>33.934391771000001</v>
      </c>
      <c r="K4" s="26">
        <v>19191.226139820999</v>
      </c>
      <c r="L4" s="47">
        <v>98.172918124000006</v>
      </c>
      <c r="M4" s="26">
        <v>30.627970000000001</v>
      </c>
      <c r="N4" s="62">
        <v>0.18053565399999999</v>
      </c>
      <c r="O4" s="26">
        <v>10404.407995899999</v>
      </c>
      <c r="P4" s="26">
        <v>19570.153934148999</v>
      </c>
      <c r="Q4" s="26">
        <v>208.35</v>
      </c>
    </row>
    <row r="5" spans="1:17" s="4" customFormat="1" ht="18" customHeight="1" x14ac:dyDescent="0.2">
      <c r="A5" s="3" t="s">
        <v>146</v>
      </c>
      <c r="B5" s="32">
        <v>254.76076</v>
      </c>
      <c r="C5" s="26">
        <v>59515</v>
      </c>
      <c r="D5" s="26">
        <v>49993.686300000001</v>
      </c>
      <c r="E5" s="63">
        <v>84.001825253999996</v>
      </c>
      <c r="F5" s="26">
        <v>56860.88</v>
      </c>
      <c r="G5" s="26">
        <v>19548.391253498001</v>
      </c>
      <c r="H5" s="64">
        <v>34.379332949999998</v>
      </c>
      <c r="I5" s="26">
        <v>16965.053370000001</v>
      </c>
      <c r="J5" s="63">
        <v>33.934391771000001</v>
      </c>
      <c r="K5" s="26">
        <v>19191.226139820999</v>
      </c>
      <c r="L5" s="47">
        <v>98.172918124000006</v>
      </c>
      <c r="M5" s="26">
        <v>30.627970000000001</v>
      </c>
      <c r="N5" s="62">
        <v>0.18053565399999999</v>
      </c>
      <c r="O5" s="26">
        <v>10404.407995899999</v>
      </c>
      <c r="P5" s="26">
        <v>19570.153934148999</v>
      </c>
      <c r="Q5" s="26">
        <v>208.35</v>
      </c>
    </row>
    <row r="6" spans="1:17" s="4" customFormat="1" ht="15" customHeight="1" x14ac:dyDescent="0.2">
      <c r="A6" s="386" t="s">
        <v>98</v>
      </c>
      <c r="B6" s="386"/>
      <c r="C6" s="386"/>
      <c r="D6" s="386"/>
    </row>
    <row r="7" spans="1:17" s="4" customFormat="1" ht="13.5" customHeight="1" x14ac:dyDescent="0.2">
      <c r="A7" s="386" t="s">
        <v>362</v>
      </c>
      <c r="B7" s="386"/>
      <c r="C7" s="386"/>
      <c r="D7" s="386"/>
    </row>
    <row r="8" spans="1:17" s="4" customFormat="1" ht="28.35" customHeight="1" x14ac:dyDescent="0.2"/>
  </sheetData>
  <mergeCells count="3">
    <mergeCell ref="A1:I1"/>
    <mergeCell ref="A6:D6"/>
    <mergeCell ref="A7:D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9"/>
  <sheetViews>
    <sheetView workbookViewId="0">
      <selection sqref="A1:I1"/>
    </sheetView>
  </sheetViews>
  <sheetFormatPr defaultRowHeight="12.75" x14ac:dyDescent="0.2"/>
  <cols>
    <col min="1" max="8" width="14.7109375" bestFit="1" customWidth="1"/>
    <col min="9" max="9" width="11.140625" bestFit="1" customWidth="1"/>
    <col min="10" max="10" width="18.28515625" bestFit="1" customWidth="1"/>
    <col min="11" max="17" width="14.7109375" bestFit="1" customWidth="1"/>
    <col min="18" max="18" width="4.7109375" bestFit="1" customWidth="1"/>
  </cols>
  <sheetData>
    <row r="1" spans="1:17" ht="18" customHeight="1" x14ac:dyDescent="0.2">
      <c r="A1" s="364" t="s">
        <v>513</v>
      </c>
      <c r="B1" s="364"/>
      <c r="C1" s="364"/>
      <c r="D1" s="364"/>
      <c r="E1" s="364"/>
      <c r="F1" s="364"/>
      <c r="G1" s="364"/>
      <c r="H1" s="364"/>
      <c r="I1" s="364"/>
    </row>
    <row r="2" spans="1:17" s="4" customFormat="1" ht="76.5" customHeight="1" x14ac:dyDescent="0.2">
      <c r="A2" s="9" t="s">
        <v>497</v>
      </c>
      <c r="B2" s="9" t="s">
        <v>498</v>
      </c>
      <c r="C2" s="9" t="s">
        <v>499</v>
      </c>
      <c r="D2" s="9" t="s">
        <v>500</v>
      </c>
      <c r="E2" s="9" t="s">
        <v>501</v>
      </c>
      <c r="F2" s="10" t="s">
        <v>258</v>
      </c>
      <c r="G2" s="10" t="s">
        <v>514</v>
      </c>
      <c r="H2" s="9" t="s">
        <v>503</v>
      </c>
      <c r="I2" s="9" t="s">
        <v>504</v>
      </c>
      <c r="J2" s="9" t="s">
        <v>505</v>
      </c>
      <c r="K2" s="10" t="s">
        <v>506</v>
      </c>
      <c r="L2" s="9" t="s">
        <v>507</v>
      </c>
      <c r="M2" s="9" t="s">
        <v>508</v>
      </c>
      <c r="N2" s="9" t="s">
        <v>509</v>
      </c>
      <c r="O2" s="10" t="s">
        <v>510</v>
      </c>
      <c r="P2" s="10" t="s">
        <v>511</v>
      </c>
      <c r="Q2" s="10" t="s">
        <v>512</v>
      </c>
    </row>
    <row r="3" spans="1:17" s="4" customFormat="1" ht="18" customHeight="1" x14ac:dyDescent="0.2">
      <c r="A3" s="3" t="s">
        <v>61</v>
      </c>
      <c r="B3" s="32">
        <v>28452.85</v>
      </c>
      <c r="C3" s="39">
        <v>3668649.11</v>
      </c>
      <c r="D3" s="39">
        <v>845400.34</v>
      </c>
      <c r="E3" s="47">
        <v>23.04</v>
      </c>
      <c r="F3" s="39">
        <v>7912284.4900000002</v>
      </c>
      <c r="G3" s="39">
        <v>1950906.33</v>
      </c>
      <c r="H3" s="47">
        <v>24.66</v>
      </c>
      <c r="I3" s="39">
        <v>844261.48</v>
      </c>
      <c r="J3" s="15">
        <v>100</v>
      </c>
      <c r="K3" s="39">
        <v>1949508.07</v>
      </c>
      <c r="L3" s="47">
        <v>100</v>
      </c>
      <c r="M3" s="32">
        <v>1138.8599999999999</v>
      </c>
      <c r="N3" s="47">
        <v>0.13</v>
      </c>
      <c r="O3" s="39">
        <v>533294.54</v>
      </c>
      <c r="P3" s="39">
        <v>1950906.33</v>
      </c>
      <c r="Q3" s="26">
        <v>270.69</v>
      </c>
    </row>
    <row r="4" spans="1:17" s="4" customFormat="1" ht="18" customHeight="1" x14ac:dyDescent="0.2">
      <c r="A4" s="3" t="s">
        <v>62</v>
      </c>
      <c r="B4" s="32">
        <v>2178.67535</v>
      </c>
      <c r="C4" s="39">
        <v>318767.12959999999</v>
      </c>
      <c r="D4" s="26">
        <v>83715.623930000002</v>
      </c>
      <c r="E4" s="47">
        <v>26.262313819999999</v>
      </c>
      <c r="F4" s="39">
        <v>660248.72569999995</v>
      </c>
      <c r="G4" s="39">
        <v>164990.22899999999</v>
      </c>
      <c r="H4" s="47">
        <v>24.989102219999999</v>
      </c>
      <c r="I4" s="26">
        <v>83612.943150000006</v>
      </c>
      <c r="J4" s="15">
        <v>100</v>
      </c>
      <c r="K4" s="39">
        <v>164854.60509999999</v>
      </c>
      <c r="L4" s="47">
        <v>100</v>
      </c>
      <c r="M4" s="32">
        <v>102.68078</v>
      </c>
      <c r="N4" s="47">
        <v>0.122654261</v>
      </c>
      <c r="O4" s="26">
        <v>43313.93</v>
      </c>
      <c r="P4" s="39">
        <v>164990.22899999999</v>
      </c>
      <c r="Q4" s="26">
        <v>273.14</v>
      </c>
    </row>
    <row r="5" spans="1:17" s="4" customFormat="1" ht="18" customHeight="1" x14ac:dyDescent="0.2">
      <c r="A5" s="3" t="s">
        <v>146</v>
      </c>
      <c r="B5" s="32">
        <v>2178.67535</v>
      </c>
      <c r="C5" s="39">
        <v>318767.12959999999</v>
      </c>
      <c r="D5" s="26">
        <v>83715.623930000002</v>
      </c>
      <c r="E5" s="47">
        <v>26.262313819999999</v>
      </c>
      <c r="F5" s="39">
        <v>660248.72569999995</v>
      </c>
      <c r="G5" s="39">
        <v>164990.22899999999</v>
      </c>
      <c r="H5" s="47">
        <v>24.989102219999999</v>
      </c>
      <c r="I5" s="26">
        <v>83612.943150000006</v>
      </c>
      <c r="J5" s="15">
        <v>100</v>
      </c>
      <c r="K5" s="39">
        <v>164854.60509999999</v>
      </c>
      <c r="L5" s="47">
        <v>100</v>
      </c>
      <c r="M5" s="32">
        <v>102.68078</v>
      </c>
      <c r="N5" s="47">
        <v>0.122654261</v>
      </c>
      <c r="O5" s="26">
        <v>43313.93</v>
      </c>
      <c r="P5" s="39">
        <v>164990.22899999999</v>
      </c>
      <c r="Q5" s="26">
        <v>273.14</v>
      </c>
    </row>
    <row r="6" spans="1:17" s="4" customFormat="1" ht="15" customHeight="1" x14ac:dyDescent="0.2">
      <c r="A6" s="366" t="s">
        <v>515</v>
      </c>
      <c r="B6" s="366"/>
      <c r="C6" s="366"/>
      <c r="D6" s="366"/>
    </row>
    <row r="7" spans="1:17" s="4" customFormat="1" ht="13.5" customHeight="1" x14ac:dyDescent="0.2">
      <c r="A7" s="366" t="s">
        <v>98</v>
      </c>
      <c r="B7" s="366"/>
      <c r="C7" s="366"/>
      <c r="D7" s="366"/>
    </row>
    <row r="8" spans="1:17" s="4" customFormat="1" ht="13.5" customHeight="1" x14ac:dyDescent="0.2">
      <c r="A8" s="366" t="s">
        <v>419</v>
      </c>
      <c r="B8" s="366"/>
      <c r="C8" s="366"/>
      <c r="D8" s="366"/>
    </row>
    <row r="9" spans="1:17" s="4" customFormat="1" ht="26.85" customHeight="1" x14ac:dyDescent="0.2"/>
  </sheetData>
  <mergeCells count="4">
    <mergeCell ref="A1:I1"/>
    <mergeCell ref="A6:D6"/>
    <mergeCell ref="A7:D7"/>
    <mergeCell ref="A8:D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
  <sheetViews>
    <sheetView workbookViewId="0">
      <selection sqref="A1:C1"/>
    </sheetView>
  </sheetViews>
  <sheetFormatPr defaultRowHeight="12.75" x14ac:dyDescent="0.2"/>
  <cols>
    <col min="1" max="15" width="14.7109375" bestFit="1" customWidth="1"/>
    <col min="16" max="16" width="4.7109375" bestFit="1" customWidth="1"/>
  </cols>
  <sheetData>
    <row r="1" spans="1:15" ht="14.25" customHeight="1" x14ac:dyDescent="0.2">
      <c r="A1" s="364" t="s">
        <v>516</v>
      </c>
      <c r="B1" s="364"/>
      <c r="C1" s="364"/>
    </row>
    <row r="2" spans="1:15" s="4" customFormat="1" ht="71.25" customHeight="1" x14ac:dyDescent="0.2">
      <c r="A2" s="45" t="s">
        <v>517</v>
      </c>
      <c r="B2" s="45" t="s">
        <v>498</v>
      </c>
      <c r="C2" s="45" t="s">
        <v>257</v>
      </c>
      <c r="D2" s="45" t="s">
        <v>500</v>
      </c>
      <c r="E2" s="45" t="s">
        <v>501</v>
      </c>
      <c r="F2" s="45" t="s">
        <v>275</v>
      </c>
      <c r="G2" s="45" t="s">
        <v>518</v>
      </c>
      <c r="H2" s="45" t="s">
        <v>503</v>
      </c>
      <c r="I2" s="45" t="s">
        <v>504</v>
      </c>
      <c r="J2" s="45" t="s">
        <v>505</v>
      </c>
      <c r="K2" s="45" t="s">
        <v>519</v>
      </c>
      <c r="L2" s="45" t="s">
        <v>507</v>
      </c>
      <c r="M2" s="45" t="s">
        <v>520</v>
      </c>
      <c r="N2" s="45" t="s">
        <v>521</v>
      </c>
      <c r="O2" s="45" t="s">
        <v>522</v>
      </c>
    </row>
    <row r="3" spans="1:15" s="4" customFormat="1" ht="18" customHeight="1" x14ac:dyDescent="0.2">
      <c r="A3" s="65" t="s">
        <v>61</v>
      </c>
      <c r="B3" s="66">
        <v>1.915E-2</v>
      </c>
      <c r="C3" s="67">
        <v>14.16864</v>
      </c>
      <c r="D3" s="67">
        <v>14.16864</v>
      </c>
      <c r="E3" s="68">
        <v>100</v>
      </c>
      <c r="F3" s="67">
        <v>30.293251940000001</v>
      </c>
      <c r="G3" s="67">
        <v>30.293251940000001</v>
      </c>
      <c r="H3" s="68">
        <v>100</v>
      </c>
      <c r="I3" s="67">
        <v>14.16864</v>
      </c>
      <c r="J3" s="68">
        <v>100</v>
      </c>
      <c r="K3" s="67">
        <v>30.293251940000001</v>
      </c>
      <c r="L3" s="66">
        <v>100</v>
      </c>
      <c r="M3" s="67">
        <v>30.293251940000001</v>
      </c>
      <c r="N3" s="67">
        <v>30.293251940000001</v>
      </c>
      <c r="O3" s="67">
        <v>0.32</v>
      </c>
    </row>
    <row r="4" spans="1:15" s="4" customFormat="1" ht="18" customHeight="1" x14ac:dyDescent="0.2">
      <c r="A4" s="65" t="s">
        <v>62</v>
      </c>
      <c r="B4" s="66">
        <v>2.2699999999999999E-3</v>
      </c>
      <c r="C4" s="67">
        <v>3.8297400000000001</v>
      </c>
      <c r="D4" s="67">
        <v>3.8297400000000001</v>
      </c>
      <c r="E4" s="68">
        <v>100</v>
      </c>
      <c r="F4" s="67">
        <v>7.4556996</v>
      </c>
      <c r="G4" s="67">
        <v>7.4556996</v>
      </c>
      <c r="H4" s="68">
        <v>100</v>
      </c>
      <c r="I4" s="67">
        <v>3.8297400000000001</v>
      </c>
      <c r="J4" s="68">
        <v>100</v>
      </c>
      <c r="K4" s="67">
        <v>7.4556996</v>
      </c>
      <c r="L4" s="66">
        <v>100</v>
      </c>
      <c r="M4" s="67">
        <v>7.4556996</v>
      </c>
      <c r="N4" s="67">
        <v>7.4556996</v>
      </c>
      <c r="O4" s="67">
        <v>0.32</v>
      </c>
    </row>
    <row r="5" spans="1:15" s="4" customFormat="1" ht="18" customHeight="1" x14ac:dyDescent="0.2">
      <c r="A5" s="65" t="s">
        <v>146</v>
      </c>
      <c r="B5" s="66">
        <v>2.2699999999999999E-3</v>
      </c>
      <c r="C5" s="67">
        <v>3.8297400000000001</v>
      </c>
      <c r="D5" s="67">
        <v>3.8297400000000001</v>
      </c>
      <c r="E5" s="68">
        <v>100</v>
      </c>
      <c r="F5" s="67">
        <v>7.4556996</v>
      </c>
      <c r="G5" s="67">
        <v>7.4556996</v>
      </c>
      <c r="H5" s="68">
        <v>100</v>
      </c>
      <c r="I5" s="67">
        <v>3.8297400000000001</v>
      </c>
      <c r="J5" s="68">
        <v>100</v>
      </c>
      <c r="K5" s="67">
        <v>7.4556996</v>
      </c>
      <c r="L5" s="66">
        <v>100</v>
      </c>
      <c r="M5" s="67">
        <v>7.4556996</v>
      </c>
      <c r="N5" s="67">
        <v>7.4556996</v>
      </c>
      <c r="O5" s="67">
        <v>0.32</v>
      </c>
    </row>
    <row r="6" spans="1:15" s="4" customFormat="1" ht="18" customHeight="1" x14ac:dyDescent="0.2">
      <c r="A6" s="435" t="s">
        <v>225</v>
      </c>
      <c r="B6" s="435"/>
      <c r="C6" s="435"/>
      <c r="D6" s="435"/>
      <c r="E6" s="435"/>
      <c r="F6" s="435"/>
      <c r="G6" s="435"/>
      <c r="H6" s="435"/>
      <c r="I6" s="435"/>
      <c r="J6" s="435"/>
      <c r="K6" s="435"/>
      <c r="L6" s="435"/>
      <c r="M6" s="435"/>
      <c r="N6" s="435"/>
      <c r="O6" s="435"/>
    </row>
    <row r="7" spans="1:15" s="4" customFormat="1" ht="17.25" customHeight="1" x14ac:dyDescent="0.2">
      <c r="A7" s="435" t="s">
        <v>469</v>
      </c>
      <c r="B7" s="435"/>
      <c r="C7" s="435"/>
      <c r="D7" s="435"/>
      <c r="E7" s="435"/>
      <c r="F7" s="435"/>
      <c r="G7" s="435"/>
      <c r="H7" s="435"/>
      <c r="I7" s="435"/>
      <c r="J7" s="435"/>
      <c r="K7" s="435"/>
      <c r="L7" s="435"/>
      <c r="M7" s="435"/>
      <c r="N7" s="435"/>
      <c r="O7" s="435"/>
    </row>
    <row r="8" spans="1:15" s="4" customFormat="1" ht="28.35" customHeight="1" x14ac:dyDescent="0.2"/>
  </sheetData>
  <mergeCells count="3">
    <mergeCell ref="A1:C1"/>
    <mergeCell ref="A6:O6"/>
    <mergeCell ref="A7:O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1"/>
  <sheetViews>
    <sheetView workbookViewId="0">
      <selection sqref="A1:R1"/>
    </sheetView>
  </sheetViews>
  <sheetFormatPr defaultRowHeight="12.75" x14ac:dyDescent="0.2"/>
  <cols>
    <col min="1" max="1" width="14.7109375" bestFit="1" customWidth="1"/>
    <col min="2" max="2" width="9.140625" bestFit="1" customWidth="1"/>
    <col min="3" max="3" width="10.140625" bestFit="1" customWidth="1"/>
    <col min="4" max="4" width="9.42578125" bestFit="1" customWidth="1"/>
    <col min="5" max="5" width="10.140625" bestFit="1" customWidth="1"/>
    <col min="6" max="6" width="9.5703125" bestFit="1" customWidth="1"/>
    <col min="7" max="11" width="10.140625" bestFit="1" customWidth="1"/>
    <col min="12" max="12" width="9.85546875" bestFit="1" customWidth="1"/>
    <col min="13" max="13" width="9.28515625" bestFit="1" customWidth="1"/>
    <col min="14" max="14" width="10.28515625" bestFit="1" customWidth="1"/>
    <col min="15" max="15" width="11.7109375" bestFit="1" customWidth="1"/>
    <col min="16" max="16" width="9.7109375" bestFit="1" customWidth="1"/>
    <col min="17" max="17" width="8.28515625" bestFit="1" customWidth="1"/>
    <col min="18" max="18" width="9.140625" bestFit="1" customWidth="1"/>
    <col min="19" max="19" width="4.7109375" bestFit="1" customWidth="1"/>
  </cols>
  <sheetData>
    <row r="1" spans="1:18" ht="18" customHeight="1" x14ac:dyDescent="0.2">
      <c r="A1" s="364" t="s">
        <v>37</v>
      </c>
      <c r="B1" s="364"/>
      <c r="C1" s="364"/>
      <c r="D1" s="364"/>
      <c r="E1" s="364"/>
      <c r="F1" s="364"/>
      <c r="G1" s="364"/>
      <c r="H1" s="364"/>
      <c r="I1" s="364"/>
      <c r="J1" s="364"/>
      <c r="K1" s="364"/>
      <c r="L1" s="364"/>
      <c r="M1" s="364"/>
      <c r="N1" s="364"/>
      <c r="O1" s="364"/>
      <c r="P1" s="364"/>
      <c r="Q1" s="364"/>
      <c r="R1" s="364"/>
    </row>
    <row r="2" spans="1:18" s="4" customFormat="1" ht="25.5" customHeight="1" x14ac:dyDescent="0.2">
      <c r="A2" s="368" t="s">
        <v>523</v>
      </c>
      <c r="B2" s="368" t="s">
        <v>255</v>
      </c>
      <c r="C2" s="391" t="s">
        <v>524</v>
      </c>
      <c r="D2" s="392"/>
      <c r="E2" s="391" t="s">
        <v>525</v>
      </c>
      <c r="F2" s="392"/>
      <c r="G2" s="388" t="s">
        <v>526</v>
      </c>
      <c r="H2" s="389"/>
      <c r="I2" s="389"/>
      <c r="J2" s="390"/>
      <c r="K2" s="388" t="s">
        <v>527</v>
      </c>
      <c r="L2" s="389"/>
      <c r="M2" s="389"/>
      <c r="N2" s="390"/>
      <c r="O2" s="391" t="s">
        <v>140</v>
      </c>
      <c r="P2" s="392"/>
      <c r="Q2" s="437" t="s">
        <v>528</v>
      </c>
      <c r="R2" s="438"/>
    </row>
    <row r="3" spans="1:18" s="4" customFormat="1" ht="13.5" customHeight="1" x14ac:dyDescent="0.2">
      <c r="A3" s="436"/>
      <c r="B3" s="436"/>
      <c r="C3" s="393"/>
      <c r="D3" s="394"/>
      <c r="E3" s="393"/>
      <c r="F3" s="394"/>
      <c r="G3" s="388" t="s">
        <v>529</v>
      </c>
      <c r="H3" s="390"/>
      <c r="I3" s="388" t="s">
        <v>530</v>
      </c>
      <c r="J3" s="390"/>
      <c r="K3" s="388" t="s">
        <v>529</v>
      </c>
      <c r="L3" s="390"/>
      <c r="M3" s="388" t="s">
        <v>530</v>
      </c>
      <c r="N3" s="390"/>
      <c r="O3" s="393"/>
      <c r="P3" s="394"/>
      <c r="Q3" s="439"/>
      <c r="R3" s="440"/>
    </row>
    <row r="4" spans="1:18" s="4" customFormat="1" ht="56.25" customHeight="1" x14ac:dyDescent="0.2">
      <c r="A4" s="369"/>
      <c r="B4" s="369"/>
      <c r="C4" s="17" t="s">
        <v>531</v>
      </c>
      <c r="D4" s="16" t="s">
        <v>532</v>
      </c>
      <c r="E4" s="17" t="s">
        <v>531</v>
      </c>
      <c r="F4" s="16" t="s">
        <v>532</v>
      </c>
      <c r="G4" s="17" t="s">
        <v>531</v>
      </c>
      <c r="H4" s="16" t="s">
        <v>532</v>
      </c>
      <c r="I4" s="17" t="s">
        <v>531</v>
      </c>
      <c r="J4" s="16" t="s">
        <v>532</v>
      </c>
      <c r="K4" s="17" t="s">
        <v>531</v>
      </c>
      <c r="L4" s="16" t="s">
        <v>532</v>
      </c>
      <c r="M4" s="17" t="s">
        <v>531</v>
      </c>
      <c r="N4" s="16" t="s">
        <v>532</v>
      </c>
      <c r="O4" s="17" t="s">
        <v>531</v>
      </c>
      <c r="P4" s="16" t="s">
        <v>532</v>
      </c>
      <c r="Q4" s="17" t="s">
        <v>533</v>
      </c>
      <c r="R4" s="16" t="s">
        <v>532</v>
      </c>
    </row>
    <row r="5" spans="1:18" s="4" customFormat="1" ht="15" customHeight="1" x14ac:dyDescent="0.2">
      <c r="A5" s="3" t="s">
        <v>61</v>
      </c>
      <c r="B5" s="11">
        <v>248</v>
      </c>
      <c r="C5" s="26">
        <v>438</v>
      </c>
      <c r="D5" s="26">
        <v>39.158369999999998</v>
      </c>
      <c r="E5" s="26">
        <v>271</v>
      </c>
      <c r="F5" s="26">
        <v>17.779123240000001</v>
      </c>
      <c r="G5" s="26">
        <v>19158</v>
      </c>
      <c r="H5" s="26">
        <v>1308.5016734999999</v>
      </c>
      <c r="I5" s="26">
        <v>11298</v>
      </c>
      <c r="J5" s="26">
        <v>884.62804249999999</v>
      </c>
      <c r="K5" s="26">
        <v>2</v>
      </c>
      <c r="L5" s="26">
        <v>7.5679999999999997E-2</v>
      </c>
      <c r="M5" s="26">
        <v>0</v>
      </c>
      <c r="N5" s="26">
        <v>0</v>
      </c>
      <c r="O5" s="26">
        <v>31167</v>
      </c>
      <c r="P5" s="26">
        <v>2250.1428892399999</v>
      </c>
      <c r="Q5" s="26">
        <v>9</v>
      </c>
      <c r="R5" s="26">
        <v>0.67341037000000004</v>
      </c>
    </row>
    <row r="6" spans="1:18" s="4" customFormat="1" ht="15" customHeight="1" x14ac:dyDescent="0.2">
      <c r="A6" s="3" t="s">
        <v>62</v>
      </c>
      <c r="B6" s="11">
        <v>19</v>
      </c>
      <c r="C6" s="26">
        <v>7</v>
      </c>
      <c r="D6" s="26">
        <v>0.68431137500000006</v>
      </c>
      <c r="E6" s="26">
        <v>51</v>
      </c>
      <c r="F6" s="26">
        <v>3.5252401999999998</v>
      </c>
      <c r="G6" s="26">
        <v>0</v>
      </c>
      <c r="H6" s="26">
        <v>0</v>
      </c>
      <c r="I6" s="26">
        <v>0</v>
      </c>
      <c r="J6" s="26">
        <v>0</v>
      </c>
      <c r="K6" s="26">
        <v>0</v>
      </c>
      <c r="L6" s="26">
        <v>0</v>
      </c>
      <c r="M6" s="26">
        <v>0</v>
      </c>
      <c r="N6" s="26">
        <v>0</v>
      </c>
      <c r="O6" s="26">
        <v>58</v>
      </c>
      <c r="P6" s="26">
        <v>4.2095515749999999</v>
      </c>
      <c r="Q6" s="26">
        <v>6</v>
      </c>
      <c r="R6" s="26">
        <v>0.47</v>
      </c>
    </row>
    <row r="7" spans="1:18" s="4" customFormat="1" ht="15" customHeight="1" x14ac:dyDescent="0.2">
      <c r="A7" s="3" t="s">
        <v>146</v>
      </c>
      <c r="B7" s="11">
        <v>19</v>
      </c>
      <c r="C7" s="26">
        <v>7</v>
      </c>
      <c r="D7" s="26">
        <v>0.68431137500000006</v>
      </c>
      <c r="E7" s="26">
        <v>51</v>
      </c>
      <c r="F7" s="26">
        <v>3.5252401999999998</v>
      </c>
      <c r="G7" s="26">
        <v>0</v>
      </c>
      <c r="H7" s="26">
        <v>0</v>
      </c>
      <c r="I7" s="26">
        <v>0</v>
      </c>
      <c r="J7" s="26">
        <v>0</v>
      </c>
      <c r="K7" s="26">
        <v>0</v>
      </c>
      <c r="L7" s="26">
        <v>0</v>
      </c>
      <c r="M7" s="26">
        <v>0</v>
      </c>
      <c r="N7" s="26">
        <v>0</v>
      </c>
      <c r="O7" s="26">
        <v>58</v>
      </c>
      <c r="P7" s="26">
        <v>4.2095515749999999</v>
      </c>
      <c r="Q7" s="26">
        <v>6</v>
      </c>
      <c r="R7" s="26">
        <v>0.47</v>
      </c>
    </row>
    <row r="8" spans="1:18" s="4" customFormat="1" ht="14.25" customHeight="1" x14ac:dyDescent="0.2">
      <c r="A8" s="366" t="s">
        <v>534</v>
      </c>
      <c r="B8" s="366"/>
      <c r="C8" s="366"/>
      <c r="D8" s="366"/>
      <c r="E8" s="366"/>
      <c r="F8" s="366"/>
      <c r="G8" s="366"/>
      <c r="H8" s="366"/>
      <c r="I8" s="366"/>
      <c r="J8" s="366"/>
    </row>
    <row r="9" spans="1:18" s="4" customFormat="1" ht="13.5" customHeight="1" x14ac:dyDescent="0.2">
      <c r="A9" s="366" t="s">
        <v>98</v>
      </c>
      <c r="B9" s="366"/>
      <c r="C9" s="366"/>
      <c r="D9" s="366"/>
      <c r="E9" s="366"/>
      <c r="F9" s="366"/>
      <c r="G9" s="366"/>
      <c r="H9" s="366"/>
      <c r="I9" s="366"/>
      <c r="J9" s="366"/>
    </row>
    <row r="10" spans="1:18" s="4" customFormat="1" ht="13.5" customHeight="1" x14ac:dyDescent="0.2">
      <c r="A10" s="366" t="s">
        <v>362</v>
      </c>
      <c r="B10" s="366"/>
      <c r="C10" s="366"/>
      <c r="D10" s="366"/>
      <c r="E10" s="366"/>
      <c r="F10" s="366"/>
      <c r="G10" s="366"/>
      <c r="H10" s="366"/>
      <c r="I10" s="366"/>
      <c r="J10" s="366"/>
    </row>
    <row r="11" spans="1:18" s="4" customFormat="1" ht="28.35" customHeight="1" x14ac:dyDescent="0.2"/>
  </sheetData>
  <mergeCells count="16">
    <mergeCell ref="A10:J10"/>
    <mergeCell ref="A1:R1"/>
    <mergeCell ref="A2:A4"/>
    <mergeCell ref="B2:B4"/>
    <mergeCell ref="C2:D3"/>
    <mergeCell ref="E2:F3"/>
    <mergeCell ref="G2:J2"/>
    <mergeCell ref="K2:N2"/>
    <mergeCell ref="O2:P3"/>
    <mergeCell ref="Q2:R3"/>
    <mergeCell ref="G3:H3"/>
    <mergeCell ref="I3:J3"/>
    <mergeCell ref="K3:L3"/>
    <mergeCell ref="M3:N3"/>
    <mergeCell ref="A8:J8"/>
    <mergeCell ref="A9:J9"/>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1"/>
  <sheetViews>
    <sheetView workbookViewId="0">
      <selection sqref="A1:N1"/>
    </sheetView>
  </sheetViews>
  <sheetFormatPr defaultRowHeight="12.75" x14ac:dyDescent="0.2"/>
  <cols>
    <col min="1" max="1" width="12.140625" bestFit="1" customWidth="1"/>
    <col min="2" max="2" width="9.140625" bestFit="1" customWidth="1"/>
    <col min="3" max="18" width="13.5703125" bestFit="1" customWidth="1"/>
    <col min="19" max="19" width="5" bestFit="1" customWidth="1"/>
  </cols>
  <sheetData>
    <row r="1" spans="1:18" ht="18" customHeight="1" x14ac:dyDescent="0.2">
      <c r="A1" s="364" t="s">
        <v>535</v>
      </c>
      <c r="B1" s="364"/>
      <c r="C1" s="364"/>
      <c r="D1" s="364"/>
      <c r="E1" s="364"/>
      <c r="F1" s="364"/>
      <c r="G1" s="364"/>
      <c r="H1" s="364"/>
      <c r="I1" s="364"/>
      <c r="J1" s="364"/>
      <c r="K1" s="364"/>
      <c r="L1" s="364"/>
      <c r="M1" s="364"/>
      <c r="N1" s="364"/>
    </row>
    <row r="2" spans="1:18" s="4" customFormat="1" ht="25.5" customHeight="1" x14ac:dyDescent="0.2">
      <c r="A2" s="368" t="s">
        <v>523</v>
      </c>
      <c r="B2" s="368" t="s">
        <v>255</v>
      </c>
      <c r="C2" s="391" t="s">
        <v>524</v>
      </c>
      <c r="D2" s="392"/>
      <c r="E2" s="391" t="s">
        <v>525</v>
      </c>
      <c r="F2" s="392"/>
      <c r="G2" s="388" t="s">
        <v>526</v>
      </c>
      <c r="H2" s="389"/>
      <c r="I2" s="389"/>
      <c r="J2" s="390"/>
      <c r="K2" s="388" t="s">
        <v>527</v>
      </c>
      <c r="L2" s="389"/>
      <c r="M2" s="389"/>
      <c r="N2" s="390"/>
      <c r="O2" s="391" t="s">
        <v>140</v>
      </c>
      <c r="P2" s="392"/>
      <c r="Q2" s="437" t="s">
        <v>528</v>
      </c>
      <c r="R2" s="438"/>
    </row>
    <row r="3" spans="1:18" s="4" customFormat="1" ht="13.5" customHeight="1" x14ac:dyDescent="0.2">
      <c r="A3" s="436"/>
      <c r="B3" s="436"/>
      <c r="C3" s="393"/>
      <c r="D3" s="394"/>
      <c r="E3" s="393"/>
      <c r="F3" s="394"/>
      <c r="G3" s="388" t="s">
        <v>529</v>
      </c>
      <c r="H3" s="390"/>
      <c r="I3" s="388" t="s">
        <v>530</v>
      </c>
      <c r="J3" s="390"/>
      <c r="K3" s="388" t="s">
        <v>529</v>
      </c>
      <c r="L3" s="390"/>
      <c r="M3" s="388" t="s">
        <v>530</v>
      </c>
      <c r="N3" s="390"/>
      <c r="O3" s="393"/>
      <c r="P3" s="394"/>
      <c r="Q3" s="439"/>
      <c r="R3" s="440"/>
    </row>
    <row r="4" spans="1:18" s="4" customFormat="1" ht="27" customHeight="1" x14ac:dyDescent="0.2">
      <c r="A4" s="369"/>
      <c r="B4" s="369"/>
      <c r="C4" s="17" t="s">
        <v>531</v>
      </c>
      <c r="D4" s="16" t="s">
        <v>532</v>
      </c>
      <c r="E4" s="17" t="s">
        <v>531</v>
      </c>
      <c r="F4" s="16" t="s">
        <v>532</v>
      </c>
      <c r="G4" s="17" t="s">
        <v>531</v>
      </c>
      <c r="H4" s="16" t="s">
        <v>532</v>
      </c>
      <c r="I4" s="17" t="s">
        <v>531</v>
      </c>
      <c r="J4" s="16" t="s">
        <v>532</v>
      </c>
      <c r="K4" s="17" t="s">
        <v>531</v>
      </c>
      <c r="L4" s="16" t="s">
        <v>532</v>
      </c>
      <c r="M4" s="17" t="s">
        <v>531</v>
      </c>
      <c r="N4" s="16" t="s">
        <v>532</v>
      </c>
      <c r="O4" s="17" t="s">
        <v>531</v>
      </c>
      <c r="P4" s="16" t="s">
        <v>532</v>
      </c>
      <c r="Q4" s="17" t="s">
        <v>531</v>
      </c>
      <c r="R4" s="16" t="s">
        <v>532</v>
      </c>
    </row>
    <row r="5" spans="1:18" s="4" customFormat="1" ht="15" customHeight="1" x14ac:dyDescent="0.2">
      <c r="A5" s="3" t="s">
        <v>61</v>
      </c>
      <c r="B5" s="11">
        <v>248</v>
      </c>
      <c r="C5" s="42">
        <v>69824522</v>
      </c>
      <c r="D5" s="39">
        <v>5568914.4199999999</v>
      </c>
      <c r="E5" s="42">
        <v>255533869</v>
      </c>
      <c r="F5" s="42">
        <v>16147010.83</v>
      </c>
      <c r="G5" s="69">
        <v>1391027617</v>
      </c>
      <c r="H5" s="42">
        <v>107726326.8</v>
      </c>
      <c r="I5" s="69">
        <v>1261429870</v>
      </c>
      <c r="J5" s="42">
        <v>95576078.140000001</v>
      </c>
      <c r="K5" s="42">
        <v>123510308</v>
      </c>
      <c r="L5" s="39">
        <v>8517920.4590000007</v>
      </c>
      <c r="M5" s="42">
        <v>63476234</v>
      </c>
      <c r="N5" s="39">
        <v>4064454.3810000001</v>
      </c>
      <c r="O5" s="69">
        <v>3164802420</v>
      </c>
      <c r="P5" s="42">
        <v>237600705</v>
      </c>
      <c r="Q5" s="39">
        <v>4038916</v>
      </c>
      <c r="R5" s="39">
        <v>286402.84869999997</v>
      </c>
    </row>
    <row r="6" spans="1:18" s="4" customFormat="1" ht="15" customHeight="1" x14ac:dyDescent="0.2">
      <c r="A6" s="3" t="s">
        <v>62</v>
      </c>
      <c r="B6" s="11">
        <v>19</v>
      </c>
      <c r="C6" s="39">
        <v>5521413</v>
      </c>
      <c r="D6" s="39">
        <v>406219.34</v>
      </c>
      <c r="E6" s="42">
        <v>18819091</v>
      </c>
      <c r="F6" s="39">
        <v>1159128.22</v>
      </c>
      <c r="G6" s="42">
        <v>161093858</v>
      </c>
      <c r="H6" s="42">
        <v>10860275.73</v>
      </c>
      <c r="I6" s="42">
        <v>137719004</v>
      </c>
      <c r="J6" s="39">
        <v>9170370.4100000001</v>
      </c>
      <c r="K6" s="39">
        <v>9936612</v>
      </c>
      <c r="L6" s="39">
        <v>651294.77</v>
      </c>
      <c r="M6" s="39">
        <v>5037643</v>
      </c>
      <c r="N6" s="39">
        <v>307998.01</v>
      </c>
      <c r="O6" s="42">
        <v>338127621</v>
      </c>
      <c r="P6" s="42">
        <v>22555286.48</v>
      </c>
      <c r="Q6" s="39">
        <v>4397035</v>
      </c>
      <c r="R6" s="39">
        <v>300027.62</v>
      </c>
    </row>
    <row r="7" spans="1:18" s="4" customFormat="1" ht="15" customHeight="1" x14ac:dyDescent="0.2">
      <c r="A7" s="3" t="s">
        <v>146</v>
      </c>
      <c r="B7" s="11">
        <v>19</v>
      </c>
      <c r="C7" s="39">
        <v>5521413</v>
      </c>
      <c r="D7" s="39">
        <v>406219.34</v>
      </c>
      <c r="E7" s="42">
        <v>18819091</v>
      </c>
      <c r="F7" s="39">
        <v>1159128.22</v>
      </c>
      <c r="G7" s="42">
        <v>161093858</v>
      </c>
      <c r="H7" s="42">
        <v>10860275.73</v>
      </c>
      <c r="I7" s="42">
        <v>137719004</v>
      </c>
      <c r="J7" s="39">
        <v>9170370.4100000001</v>
      </c>
      <c r="K7" s="39">
        <v>9936612</v>
      </c>
      <c r="L7" s="39">
        <v>651294.77</v>
      </c>
      <c r="M7" s="39">
        <v>5037643</v>
      </c>
      <c r="N7" s="39">
        <v>307998.01</v>
      </c>
      <c r="O7" s="42">
        <v>338127621</v>
      </c>
      <c r="P7" s="42">
        <v>22555286.48</v>
      </c>
      <c r="Q7" s="39">
        <v>4397035</v>
      </c>
      <c r="R7" s="39">
        <v>300027.62</v>
      </c>
    </row>
    <row r="8" spans="1:18" s="4" customFormat="1" ht="14.25" customHeight="1" x14ac:dyDescent="0.2">
      <c r="A8" s="366" t="s">
        <v>534</v>
      </c>
      <c r="B8" s="366"/>
      <c r="C8" s="366"/>
      <c r="D8" s="366"/>
      <c r="E8" s="366"/>
      <c r="F8" s="366"/>
      <c r="G8" s="366"/>
      <c r="H8" s="366"/>
      <c r="I8" s="366"/>
      <c r="J8" s="366"/>
      <c r="K8" s="366"/>
      <c r="L8" s="366"/>
      <c r="M8" s="366"/>
      <c r="N8" s="366"/>
      <c r="O8" s="366"/>
      <c r="P8" s="366"/>
      <c r="Q8" s="366"/>
      <c r="R8" s="366"/>
    </row>
    <row r="9" spans="1:18" s="4" customFormat="1" ht="13.5" customHeight="1" x14ac:dyDescent="0.2">
      <c r="A9" s="366" t="s">
        <v>98</v>
      </c>
      <c r="B9" s="366"/>
      <c r="C9" s="366"/>
      <c r="D9" s="366"/>
      <c r="E9" s="366"/>
      <c r="F9" s="366"/>
      <c r="G9" s="366"/>
      <c r="H9" s="366"/>
      <c r="I9" s="366"/>
      <c r="J9" s="366"/>
      <c r="K9" s="366"/>
      <c r="L9" s="366"/>
      <c r="M9" s="366"/>
      <c r="N9" s="366"/>
      <c r="O9" s="366"/>
      <c r="P9" s="366"/>
      <c r="Q9" s="366"/>
      <c r="R9" s="366"/>
    </row>
    <row r="10" spans="1:18" s="4" customFormat="1" ht="13.5" customHeight="1" x14ac:dyDescent="0.2">
      <c r="A10" s="366" t="s">
        <v>419</v>
      </c>
      <c r="B10" s="366"/>
      <c r="C10" s="366"/>
      <c r="D10" s="366"/>
      <c r="E10" s="366"/>
      <c r="F10" s="366"/>
      <c r="G10" s="366"/>
      <c r="H10" s="366"/>
      <c r="I10" s="366"/>
      <c r="J10" s="366"/>
      <c r="K10" s="366"/>
      <c r="L10" s="366"/>
      <c r="M10" s="366"/>
      <c r="N10" s="366"/>
      <c r="O10" s="366"/>
      <c r="P10" s="366"/>
      <c r="Q10" s="366"/>
      <c r="R10" s="366"/>
    </row>
    <row r="11" spans="1:18" s="4" customFormat="1" ht="28.35" customHeight="1" x14ac:dyDescent="0.2"/>
  </sheetData>
  <mergeCells count="16">
    <mergeCell ref="A1:N1"/>
    <mergeCell ref="A2:A4"/>
    <mergeCell ref="B2:B4"/>
    <mergeCell ref="C2:D3"/>
    <mergeCell ref="E2:F3"/>
    <mergeCell ref="G2:J2"/>
    <mergeCell ref="K2:N2"/>
    <mergeCell ref="A8:R8"/>
    <mergeCell ref="A9:R9"/>
    <mergeCell ref="A10:R10"/>
    <mergeCell ref="O2:P3"/>
    <mergeCell ref="Q2:R3"/>
    <mergeCell ref="G3:H3"/>
    <mergeCell ref="I3:J3"/>
    <mergeCell ref="K3:L3"/>
    <mergeCell ref="M3:N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0"/>
  <sheetViews>
    <sheetView workbookViewId="0">
      <selection sqref="A1:M1"/>
    </sheetView>
  </sheetViews>
  <sheetFormatPr defaultRowHeight="12.75" x14ac:dyDescent="0.2"/>
  <cols>
    <col min="1" max="1" width="13.42578125" bestFit="1" customWidth="1"/>
    <col min="2" max="6" width="10.7109375" bestFit="1" customWidth="1"/>
    <col min="7" max="7" width="11.28515625" bestFit="1" customWidth="1"/>
    <col min="8" max="12" width="10.7109375" bestFit="1" customWidth="1"/>
    <col min="13" max="13" width="10.85546875" bestFit="1" customWidth="1"/>
    <col min="14" max="14" width="4.7109375" bestFit="1" customWidth="1"/>
  </cols>
  <sheetData>
    <row r="1" spans="1:13" ht="17.25" customHeight="1" x14ac:dyDescent="0.2">
      <c r="A1" s="443" t="s">
        <v>536</v>
      </c>
      <c r="B1" s="443"/>
      <c r="C1" s="443"/>
      <c r="D1" s="443"/>
      <c r="E1" s="443"/>
      <c r="F1" s="443"/>
      <c r="G1" s="443"/>
      <c r="H1" s="443"/>
      <c r="I1" s="443"/>
      <c r="J1" s="443"/>
      <c r="K1" s="443"/>
      <c r="L1" s="443"/>
      <c r="M1" s="443"/>
    </row>
    <row r="2" spans="1:13" s="4" customFormat="1" ht="17.25" customHeight="1" x14ac:dyDescent="0.2">
      <c r="A2" s="368" t="s">
        <v>523</v>
      </c>
      <c r="B2" s="388" t="s">
        <v>227</v>
      </c>
      <c r="C2" s="389"/>
      <c r="D2" s="389"/>
      <c r="E2" s="389"/>
      <c r="F2" s="389"/>
      <c r="G2" s="390"/>
      <c r="H2" s="388" t="s">
        <v>228</v>
      </c>
      <c r="I2" s="389"/>
      <c r="J2" s="389"/>
      <c r="K2" s="389"/>
      <c r="L2" s="389"/>
      <c r="M2" s="390"/>
    </row>
    <row r="3" spans="1:13" s="4" customFormat="1" ht="27" customHeight="1" x14ac:dyDescent="0.2">
      <c r="A3" s="436"/>
      <c r="B3" s="384" t="s">
        <v>537</v>
      </c>
      <c r="C3" s="385"/>
      <c r="D3" s="384" t="s">
        <v>538</v>
      </c>
      <c r="E3" s="385"/>
      <c r="F3" s="376" t="s">
        <v>140</v>
      </c>
      <c r="G3" s="441" t="s">
        <v>539</v>
      </c>
      <c r="H3" s="384" t="s">
        <v>537</v>
      </c>
      <c r="I3" s="385"/>
      <c r="J3" s="384" t="s">
        <v>538</v>
      </c>
      <c r="K3" s="385"/>
      <c r="L3" s="376" t="s">
        <v>140</v>
      </c>
      <c r="M3" s="441" t="s">
        <v>539</v>
      </c>
    </row>
    <row r="4" spans="1:13" s="4" customFormat="1" ht="27" customHeight="1" x14ac:dyDescent="0.2">
      <c r="A4" s="369"/>
      <c r="B4" s="17" t="s">
        <v>540</v>
      </c>
      <c r="C4" s="17" t="s">
        <v>541</v>
      </c>
      <c r="D4" s="17" t="s">
        <v>542</v>
      </c>
      <c r="E4" s="17" t="s">
        <v>543</v>
      </c>
      <c r="F4" s="378"/>
      <c r="G4" s="442"/>
      <c r="H4" s="17" t="s">
        <v>540</v>
      </c>
      <c r="I4" s="17" t="s">
        <v>541</v>
      </c>
      <c r="J4" s="17" t="s">
        <v>542</v>
      </c>
      <c r="K4" s="17" t="s">
        <v>543</v>
      </c>
      <c r="L4" s="378"/>
      <c r="M4" s="442"/>
    </row>
    <row r="5" spans="1:13" s="4" customFormat="1" ht="18" customHeight="1" x14ac:dyDescent="0.2">
      <c r="A5" s="3" t="s">
        <v>61</v>
      </c>
      <c r="B5" s="26">
        <v>0.98</v>
      </c>
      <c r="C5" s="26">
        <v>0.08</v>
      </c>
      <c r="D5" s="26">
        <v>8.67</v>
      </c>
      <c r="E5" s="26">
        <v>0.05</v>
      </c>
      <c r="F5" s="26">
        <v>9.7799999999999994</v>
      </c>
      <c r="G5" s="26">
        <v>19.43</v>
      </c>
      <c r="H5" s="39">
        <v>136640.06</v>
      </c>
      <c r="I5" s="26">
        <v>2754.22</v>
      </c>
      <c r="J5" s="26">
        <v>19252.849999999999</v>
      </c>
      <c r="K5" s="26">
        <v>2534.91</v>
      </c>
      <c r="L5" s="39">
        <v>161182.04</v>
      </c>
      <c r="M5" s="26">
        <v>1911.63</v>
      </c>
    </row>
    <row r="6" spans="1:13" s="4" customFormat="1" ht="18" customHeight="1" x14ac:dyDescent="0.2">
      <c r="A6" s="3" t="s">
        <v>62</v>
      </c>
      <c r="B6" s="26">
        <v>0.15</v>
      </c>
      <c r="C6" s="26">
        <v>0.02</v>
      </c>
      <c r="D6" s="26">
        <v>0</v>
      </c>
      <c r="E6" s="26">
        <v>0</v>
      </c>
      <c r="F6" s="26">
        <v>0.17</v>
      </c>
      <c r="G6" s="26">
        <v>19.54</v>
      </c>
      <c r="H6" s="26">
        <v>7864.19</v>
      </c>
      <c r="I6" s="26">
        <v>114.9</v>
      </c>
      <c r="J6" s="26">
        <v>1522.91</v>
      </c>
      <c r="K6" s="26">
        <v>93.85</v>
      </c>
      <c r="L6" s="26">
        <v>9595.85</v>
      </c>
      <c r="M6" s="26">
        <v>1936.43</v>
      </c>
    </row>
    <row r="7" spans="1:13" s="4" customFormat="1" ht="18" customHeight="1" x14ac:dyDescent="0.2">
      <c r="A7" s="3" t="s">
        <v>146</v>
      </c>
      <c r="B7" s="26">
        <v>0.15</v>
      </c>
      <c r="C7" s="26">
        <v>0.02</v>
      </c>
      <c r="D7" s="26">
        <v>0</v>
      </c>
      <c r="E7" s="26">
        <v>0</v>
      </c>
      <c r="F7" s="26">
        <v>0.17</v>
      </c>
      <c r="G7" s="26">
        <v>19.54</v>
      </c>
      <c r="H7" s="26">
        <v>7864.19</v>
      </c>
      <c r="I7" s="26">
        <v>114.9</v>
      </c>
      <c r="J7" s="26">
        <v>1522.91</v>
      </c>
      <c r="K7" s="26">
        <v>93.85</v>
      </c>
      <c r="L7" s="26">
        <v>9595.85</v>
      </c>
      <c r="M7" s="26">
        <v>1936.43</v>
      </c>
    </row>
    <row r="8" spans="1:13" s="4" customFormat="1" ht="14.25" customHeight="1" x14ac:dyDescent="0.2">
      <c r="A8" s="366" t="s">
        <v>98</v>
      </c>
      <c r="B8" s="366"/>
      <c r="C8" s="366"/>
      <c r="D8" s="366"/>
    </row>
    <row r="9" spans="1:13" s="4" customFormat="1" ht="12.75" customHeight="1" x14ac:dyDescent="0.2">
      <c r="A9" s="366" t="s">
        <v>226</v>
      </c>
      <c r="B9" s="366"/>
      <c r="C9" s="366"/>
      <c r="D9" s="366"/>
    </row>
    <row r="10" spans="1:13" s="4" customFormat="1" ht="26.1" customHeight="1" x14ac:dyDescent="0.2"/>
  </sheetData>
  <mergeCells count="14">
    <mergeCell ref="L3:L4"/>
    <mergeCell ref="M3:M4"/>
    <mergeCell ref="A8:D8"/>
    <mergeCell ref="A9:D9"/>
    <mergeCell ref="A1:M1"/>
    <mergeCell ref="A2:A4"/>
    <mergeCell ref="B2:G2"/>
    <mergeCell ref="H2:M2"/>
    <mergeCell ref="B3:C3"/>
    <mergeCell ref="D3:E3"/>
    <mergeCell ref="F3:F4"/>
    <mergeCell ref="G3:G4"/>
    <mergeCell ref="H3:I3"/>
    <mergeCell ref="J3:K3"/>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
  <sheetViews>
    <sheetView workbookViewId="0">
      <selection sqref="A1:K1"/>
    </sheetView>
  </sheetViews>
  <sheetFormatPr defaultRowHeight="12.75" x14ac:dyDescent="0.2"/>
  <cols>
    <col min="1" max="11" width="14.7109375" bestFit="1" customWidth="1"/>
    <col min="12" max="12" width="4.7109375" bestFit="1" customWidth="1"/>
  </cols>
  <sheetData>
    <row r="1" spans="1:11" ht="15" customHeight="1" x14ac:dyDescent="0.2">
      <c r="A1" s="398" t="s">
        <v>40</v>
      </c>
      <c r="B1" s="398"/>
      <c r="C1" s="398"/>
      <c r="D1" s="398"/>
      <c r="E1" s="398"/>
      <c r="F1" s="398"/>
      <c r="G1" s="398"/>
      <c r="H1" s="398"/>
      <c r="I1" s="398"/>
      <c r="J1" s="398"/>
      <c r="K1" s="398"/>
    </row>
    <row r="2" spans="1:11" s="4" customFormat="1" ht="12.75" customHeight="1" x14ac:dyDescent="0.2">
      <c r="A2" s="376" t="s">
        <v>220</v>
      </c>
      <c r="B2" s="388" t="s">
        <v>308</v>
      </c>
      <c r="C2" s="389"/>
      <c r="D2" s="389"/>
      <c r="E2" s="389"/>
      <c r="F2" s="390"/>
      <c r="G2" s="388" t="s">
        <v>544</v>
      </c>
      <c r="H2" s="389"/>
      <c r="I2" s="389"/>
      <c r="J2" s="389"/>
      <c r="K2" s="390"/>
    </row>
    <row r="3" spans="1:11" s="4" customFormat="1" ht="15" customHeight="1" x14ac:dyDescent="0.2">
      <c r="A3" s="378"/>
      <c r="B3" s="6" t="s">
        <v>545</v>
      </c>
      <c r="C3" s="6" t="s">
        <v>546</v>
      </c>
      <c r="D3" s="6" t="s">
        <v>89</v>
      </c>
      <c r="E3" s="6" t="s">
        <v>311</v>
      </c>
      <c r="F3" s="6" t="s">
        <v>305</v>
      </c>
      <c r="G3" s="6" t="s">
        <v>545</v>
      </c>
      <c r="H3" s="6" t="s">
        <v>546</v>
      </c>
      <c r="I3" s="6" t="s">
        <v>89</v>
      </c>
      <c r="J3" s="6" t="s">
        <v>311</v>
      </c>
      <c r="K3" s="6" t="s">
        <v>305</v>
      </c>
    </row>
    <row r="4" spans="1:11" s="4" customFormat="1" ht="18" customHeight="1" x14ac:dyDescent="0.2">
      <c r="A4" s="3" t="s">
        <v>61</v>
      </c>
      <c r="B4" s="70">
        <v>2</v>
      </c>
      <c r="C4" s="70">
        <v>0</v>
      </c>
      <c r="D4" s="70">
        <v>0</v>
      </c>
      <c r="E4" s="70">
        <v>0</v>
      </c>
      <c r="F4" s="70">
        <v>98</v>
      </c>
      <c r="G4" s="70">
        <v>0</v>
      </c>
      <c r="H4" s="70">
        <v>0</v>
      </c>
      <c r="I4" s="70">
        <v>0</v>
      </c>
      <c r="J4" s="70">
        <v>0</v>
      </c>
      <c r="K4" s="70">
        <v>100</v>
      </c>
    </row>
    <row r="5" spans="1:11" s="4" customFormat="1" ht="18" customHeight="1" x14ac:dyDescent="0.2">
      <c r="A5" s="3" t="s">
        <v>62</v>
      </c>
      <c r="B5" s="70">
        <v>16.260000000000002</v>
      </c>
      <c r="C5" s="70">
        <v>0</v>
      </c>
      <c r="D5" s="70">
        <v>0</v>
      </c>
      <c r="E5" s="70">
        <v>0</v>
      </c>
      <c r="F5" s="70">
        <v>83.74</v>
      </c>
      <c r="G5" s="70">
        <v>0</v>
      </c>
      <c r="H5" s="70">
        <v>0</v>
      </c>
      <c r="I5" s="70">
        <v>0</v>
      </c>
      <c r="J5" s="70">
        <v>0</v>
      </c>
      <c r="K5" s="70">
        <v>100</v>
      </c>
    </row>
    <row r="6" spans="1:11" s="4" customFormat="1" ht="18" customHeight="1" x14ac:dyDescent="0.2">
      <c r="A6" s="3" t="s">
        <v>146</v>
      </c>
      <c r="B6" s="70">
        <v>16.260000000000002</v>
      </c>
      <c r="C6" s="70">
        <v>0</v>
      </c>
      <c r="D6" s="70">
        <v>0</v>
      </c>
      <c r="E6" s="70">
        <v>0</v>
      </c>
      <c r="F6" s="70">
        <v>83.74</v>
      </c>
      <c r="G6" s="70">
        <v>0</v>
      </c>
      <c r="H6" s="70">
        <v>0</v>
      </c>
      <c r="I6" s="70">
        <v>0</v>
      </c>
      <c r="J6" s="70">
        <v>0</v>
      </c>
      <c r="K6" s="70">
        <v>100</v>
      </c>
    </row>
    <row r="7" spans="1:11" s="4" customFormat="1" ht="15" customHeight="1" x14ac:dyDescent="0.2">
      <c r="A7" s="366" t="s">
        <v>98</v>
      </c>
      <c r="B7" s="366"/>
      <c r="C7" s="366"/>
      <c r="D7" s="366"/>
      <c r="E7" s="366"/>
      <c r="F7" s="366"/>
      <c r="G7" s="366"/>
      <c r="H7" s="366"/>
      <c r="I7" s="366"/>
      <c r="J7" s="366"/>
      <c r="K7" s="366"/>
    </row>
    <row r="8" spans="1:11" s="4" customFormat="1" ht="13.5" customHeight="1" x14ac:dyDescent="0.2">
      <c r="A8" s="366" t="s">
        <v>362</v>
      </c>
      <c r="B8" s="366"/>
      <c r="C8" s="366"/>
      <c r="D8" s="366"/>
      <c r="E8" s="366"/>
      <c r="F8" s="366"/>
      <c r="G8" s="366"/>
      <c r="H8" s="366"/>
      <c r="I8" s="366"/>
      <c r="J8" s="366"/>
      <c r="K8" s="366"/>
    </row>
    <row r="9" spans="1:11" s="4" customFormat="1" ht="27.6" customHeight="1" x14ac:dyDescent="0.2"/>
  </sheetData>
  <mergeCells count="6">
    <mergeCell ref="A8:K8"/>
    <mergeCell ref="A1:K1"/>
    <mergeCell ref="A2:A3"/>
    <mergeCell ref="B2:F2"/>
    <mergeCell ref="G2:K2"/>
    <mergeCell ref="A7:K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
  <sheetViews>
    <sheetView workbookViewId="0">
      <selection sqref="A1:K1"/>
    </sheetView>
  </sheetViews>
  <sheetFormatPr defaultRowHeight="12.75" x14ac:dyDescent="0.2"/>
  <cols>
    <col min="1" max="11" width="14.7109375" bestFit="1" customWidth="1"/>
    <col min="12" max="12" width="5" bestFit="1" customWidth="1"/>
  </cols>
  <sheetData>
    <row r="1" spans="1:11" ht="18" customHeight="1" x14ac:dyDescent="0.2">
      <c r="A1" s="444" t="s">
        <v>41</v>
      </c>
      <c r="B1" s="444"/>
      <c r="C1" s="444"/>
      <c r="D1" s="444"/>
      <c r="E1" s="444"/>
      <c r="F1" s="444"/>
      <c r="G1" s="444"/>
      <c r="H1" s="444"/>
      <c r="I1" s="444"/>
      <c r="J1" s="444"/>
      <c r="K1" s="444"/>
    </row>
    <row r="2" spans="1:11" s="4" customFormat="1" ht="18" customHeight="1" x14ac:dyDescent="0.2">
      <c r="A2" s="376" t="s">
        <v>220</v>
      </c>
      <c r="B2" s="382" t="s">
        <v>308</v>
      </c>
      <c r="C2" s="408"/>
      <c r="D2" s="408"/>
      <c r="E2" s="408"/>
      <c r="F2" s="383"/>
      <c r="G2" s="382" t="s">
        <v>544</v>
      </c>
      <c r="H2" s="408"/>
      <c r="I2" s="408"/>
      <c r="J2" s="408"/>
      <c r="K2" s="383"/>
    </row>
    <row r="3" spans="1:11" s="4" customFormat="1" ht="15" customHeight="1" x14ac:dyDescent="0.2">
      <c r="A3" s="378"/>
      <c r="B3" s="25" t="s">
        <v>545</v>
      </c>
      <c r="C3" s="25" t="s">
        <v>310</v>
      </c>
      <c r="D3" s="25" t="s">
        <v>89</v>
      </c>
      <c r="E3" s="25" t="s">
        <v>311</v>
      </c>
      <c r="F3" s="25" t="s">
        <v>305</v>
      </c>
      <c r="G3" s="25" t="s">
        <v>545</v>
      </c>
      <c r="H3" s="25" t="s">
        <v>310</v>
      </c>
      <c r="I3" s="25" t="s">
        <v>89</v>
      </c>
      <c r="J3" s="25" t="s">
        <v>311</v>
      </c>
      <c r="K3" s="25" t="s">
        <v>305</v>
      </c>
    </row>
    <row r="4" spans="1:11" s="4" customFormat="1" ht="18" customHeight="1" x14ac:dyDescent="0.2">
      <c r="A4" s="3" t="s">
        <v>61</v>
      </c>
      <c r="B4" s="47">
        <v>37.840000000000003</v>
      </c>
      <c r="C4" s="47">
        <v>13.58</v>
      </c>
      <c r="D4" s="47">
        <v>0.42</v>
      </c>
      <c r="E4" s="47">
        <v>0</v>
      </c>
      <c r="F4" s="47">
        <v>48.16</v>
      </c>
      <c r="G4" s="47">
        <v>13.72</v>
      </c>
      <c r="H4" s="47">
        <v>29.83</v>
      </c>
      <c r="I4" s="47">
        <v>13.19</v>
      </c>
      <c r="J4" s="47">
        <v>0</v>
      </c>
      <c r="K4" s="47">
        <v>43.25</v>
      </c>
    </row>
    <row r="5" spans="1:11" s="4" customFormat="1" ht="18" customHeight="1" x14ac:dyDescent="0.2">
      <c r="A5" s="3" t="s">
        <v>62</v>
      </c>
      <c r="B5" s="47">
        <v>32.86</v>
      </c>
      <c r="C5" s="47">
        <v>19.28</v>
      </c>
      <c r="D5" s="47">
        <v>0.34</v>
      </c>
      <c r="E5" s="47">
        <v>0</v>
      </c>
      <c r="F5" s="47">
        <v>47.52</v>
      </c>
      <c r="G5" s="47">
        <v>13.53</v>
      </c>
      <c r="H5" s="47">
        <v>26.86</v>
      </c>
      <c r="I5" s="47">
        <v>12.8</v>
      </c>
      <c r="J5" s="47">
        <v>0</v>
      </c>
      <c r="K5" s="47">
        <v>46.81</v>
      </c>
    </row>
    <row r="6" spans="1:11" s="4" customFormat="1" ht="18" customHeight="1" x14ac:dyDescent="0.2">
      <c r="A6" s="3" t="s">
        <v>146</v>
      </c>
      <c r="B6" s="47">
        <v>32.86</v>
      </c>
      <c r="C6" s="47">
        <v>19.28</v>
      </c>
      <c r="D6" s="47">
        <v>0.34</v>
      </c>
      <c r="E6" s="47">
        <v>0</v>
      </c>
      <c r="F6" s="47">
        <v>47.52</v>
      </c>
      <c r="G6" s="47">
        <v>13.53</v>
      </c>
      <c r="H6" s="47">
        <v>26.86</v>
      </c>
      <c r="I6" s="47">
        <v>12.8</v>
      </c>
      <c r="J6" s="47">
        <v>0</v>
      </c>
      <c r="K6" s="47">
        <v>46.81</v>
      </c>
    </row>
    <row r="7" spans="1:11" s="4" customFormat="1" ht="14.25" customHeight="1" x14ac:dyDescent="0.2">
      <c r="A7" s="386" t="s">
        <v>98</v>
      </c>
      <c r="B7" s="386"/>
      <c r="C7" s="386"/>
      <c r="D7" s="386"/>
      <c r="E7" s="386"/>
      <c r="F7" s="386"/>
      <c r="G7" s="386"/>
      <c r="H7" s="386"/>
      <c r="I7" s="386"/>
      <c r="J7" s="386"/>
      <c r="K7" s="386"/>
    </row>
    <row r="8" spans="1:11" s="4" customFormat="1" ht="13.5" customHeight="1" x14ac:dyDescent="0.2">
      <c r="A8" s="386" t="s">
        <v>419</v>
      </c>
      <c r="B8" s="386"/>
      <c r="C8" s="386"/>
      <c r="D8" s="386"/>
      <c r="E8" s="386"/>
      <c r="F8" s="386"/>
      <c r="G8" s="386"/>
      <c r="H8" s="386"/>
      <c r="I8" s="386"/>
      <c r="J8" s="386"/>
      <c r="K8" s="386"/>
    </row>
    <row r="9" spans="1:11" s="4" customFormat="1" ht="26.85" customHeight="1" x14ac:dyDescent="0.2"/>
  </sheetData>
  <mergeCells count="6">
    <mergeCell ref="A8:K8"/>
    <mergeCell ref="A1:K1"/>
    <mergeCell ref="A2:A3"/>
    <mergeCell ref="B2:F2"/>
    <mergeCell ref="G2:K2"/>
    <mergeCell ref="A7:K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
  <sheetViews>
    <sheetView workbookViewId="0">
      <selection sqref="A1:H1"/>
    </sheetView>
  </sheetViews>
  <sheetFormatPr defaultRowHeight="12.75" x14ac:dyDescent="0.2"/>
  <cols>
    <col min="1" max="7" width="14.7109375" bestFit="1" customWidth="1"/>
    <col min="8" max="8" width="15" bestFit="1" customWidth="1"/>
    <col min="9" max="9" width="14.42578125" bestFit="1" customWidth="1"/>
    <col min="10" max="11" width="14.7109375" bestFit="1" customWidth="1"/>
    <col min="12" max="12" width="4.7109375" bestFit="1" customWidth="1"/>
  </cols>
  <sheetData>
    <row r="1" spans="1:11" ht="15" customHeight="1" x14ac:dyDescent="0.2">
      <c r="A1" s="398" t="s">
        <v>42</v>
      </c>
      <c r="B1" s="398"/>
      <c r="C1" s="398"/>
      <c r="D1" s="398"/>
      <c r="E1" s="398"/>
      <c r="F1" s="398"/>
      <c r="G1" s="398"/>
      <c r="H1" s="398"/>
    </row>
    <row r="2" spans="1:11" s="4" customFormat="1" ht="18" customHeight="1" x14ac:dyDescent="0.2">
      <c r="A2" s="427" t="s">
        <v>547</v>
      </c>
      <c r="B2" s="428"/>
      <c r="C2" s="428"/>
      <c r="D2" s="428"/>
      <c r="E2" s="428"/>
      <c r="F2" s="428"/>
      <c r="G2" s="428"/>
      <c r="H2" s="428"/>
      <c r="I2" s="428"/>
      <c r="J2" s="428"/>
      <c r="K2" s="429"/>
    </row>
    <row r="3" spans="1:11" s="4" customFormat="1" ht="27.75" customHeight="1" x14ac:dyDescent="0.2">
      <c r="A3" s="71" t="s">
        <v>220</v>
      </c>
      <c r="B3" s="9" t="s">
        <v>548</v>
      </c>
      <c r="C3" s="9" t="s">
        <v>549</v>
      </c>
      <c r="D3" s="9" t="s">
        <v>550</v>
      </c>
      <c r="E3" s="9" t="s">
        <v>551</v>
      </c>
      <c r="F3" s="9" t="s">
        <v>552</v>
      </c>
      <c r="G3" s="9" t="s">
        <v>553</v>
      </c>
      <c r="H3" s="9" t="s">
        <v>554</v>
      </c>
      <c r="I3" s="9" t="s">
        <v>555</v>
      </c>
      <c r="J3" s="9" t="s">
        <v>556</v>
      </c>
      <c r="K3" s="9" t="s">
        <v>557</v>
      </c>
    </row>
    <row r="4" spans="1:11" s="4" customFormat="1" ht="18" customHeight="1" x14ac:dyDescent="0.2">
      <c r="A4" s="3" t="s">
        <v>61</v>
      </c>
      <c r="B4" s="47">
        <v>41.32</v>
      </c>
      <c r="C4" s="47">
        <v>0</v>
      </c>
      <c r="D4" s="47">
        <v>58.68</v>
      </c>
      <c r="E4" s="47">
        <v>0</v>
      </c>
      <c r="F4" s="47">
        <v>0</v>
      </c>
      <c r="G4" s="47">
        <v>0</v>
      </c>
      <c r="H4" s="47">
        <v>0</v>
      </c>
      <c r="I4" s="47">
        <v>0</v>
      </c>
      <c r="J4" s="47">
        <v>0</v>
      </c>
      <c r="K4" s="47">
        <v>0</v>
      </c>
    </row>
    <row r="5" spans="1:11" s="4" customFormat="1" ht="18" customHeight="1" x14ac:dyDescent="0.2">
      <c r="A5" s="3" t="s">
        <v>62</v>
      </c>
      <c r="B5" s="47">
        <v>100</v>
      </c>
      <c r="C5" s="47">
        <v>0</v>
      </c>
      <c r="D5" s="47">
        <v>0</v>
      </c>
      <c r="E5" s="47">
        <v>0</v>
      </c>
      <c r="F5" s="47">
        <v>0</v>
      </c>
      <c r="G5" s="47">
        <v>0</v>
      </c>
      <c r="H5" s="47">
        <v>0</v>
      </c>
      <c r="I5" s="47">
        <v>0</v>
      </c>
      <c r="J5" s="47">
        <v>0</v>
      </c>
      <c r="K5" s="47">
        <v>0</v>
      </c>
    </row>
    <row r="6" spans="1:11" s="4" customFormat="1" ht="18" customHeight="1" x14ac:dyDescent="0.2">
      <c r="A6" s="3" t="s">
        <v>146</v>
      </c>
      <c r="B6" s="47">
        <v>100</v>
      </c>
      <c r="C6" s="47">
        <v>0</v>
      </c>
      <c r="D6" s="47">
        <v>0</v>
      </c>
      <c r="E6" s="47">
        <v>0</v>
      </c>
      <c r="F6" s="47">
        <v>0</v>
      </c>
      <c r="G6" s="47">
        <v>0</v>
      </c>
      <c r="H6" s="47">
        <v>0</v>
      </c>
      <c r="I6" s="47">
        <v>0</v>
      </c>
      <c r="J6" s="47">
        <v>0</v>
      </c>
      <c r="K6" s="47">
        <v>0</v>
      </c>
    </row>
    <row r="7" spans="1:11" s="4" customFormat="1" ht="14.25" customHeight="1" x14ac:dyDescent="0.2">
      <c r="A7" s="366" t="s">
        <v>98</v>
      </c>
      <c r="B7" s="366"/>
      <c r="C7" s="366"/>
      <c r="D7" s="366"/>
      <c r="E7" s="366"/>
      <c r="F7" s="366"/>
    </row>
    <row r="8" spans="1:11" s="4" customFormat="1" ht="13.5" customHeight="1" x14ac:dyDescent="0.2">
      <c r="A8" s="366" t="s">
        <v>362</v>
      </c>
      <c r="B8" s="366"/>
      <c r="C8" s="366"/>
      <c r="D8" s="366"/>
      <c r="E8" s="366"/>
      <c r="F8" s="366"/>
    </row>
    <row r="9" spans="1:11" s="4" customFormat="1" ht="27.6" customHeight="1" x14ac:dyDescent="0.2"/>
  </sheetData>
  <mergeCells count="4">
    <mergeCell ref="A1:H1"/>
    <mergeCell ref="A2:K2"/>
    <mergeCell ref="A7:F7"/>
    <mergeCell ref="A8:F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9"/>
  <sheetViews>
    <sheetView workbookViewId="0">
      <selection sqref="A1:K1"/>
    </sheetView>
  </sheetViews>
  <sheetFormatPr defaultRowHeight="12.75" x14ac:dyDescent="0.2"/>
  <cols>
    <col min="1" max="12" width="14.7109375" bestFit="1" customWidth="1"/>
    <col min="13" max="13" width="4.7109375" bestFit="1" customWidth="1"/>
  </cols>
  <sheetData>
    <row r="1" spans="1:12" ht="15" customHeight="1" x14ac:dyDescent="0.2">
      <c r="A1" s="398" t="s">
        <v>43</v>
      </c>
      <c r="B1" s="398"/>
      <c r="C1" s="398"/>
      <c r="D1" s="398"/>
      <c r="E1" s="398"/>
      <c r="F1" s="398"/>
      <c r="G1" s="398"/>
      <c r="H1" s="398"/>
      <c r="I1" s="398"/>
      <c r="J1" s="398"/>
      <c r="K1" s="398"/>
    </row>
    <row r="2" spans="1:12" s="4" customFormat="1" ht="18" customHeight="1" x14ac:dyDescent="0.2">
      <c r="A2" s="427" t="s">
        <v>547</v>
      </c>
      <c r="B2" s="428"/>
      <c r="C2" s="428"/>
      <c r="D2" s="428"/>
      <c r="E2" s="428"/>
      <c r="F2" s="428"/>
      <c r="G2" s="428"/>
      <c r="H2" s="428"/>
      <c r="I2" s="428"/>
      <c r="J2" s="428"/>
      <c r="K2" s="429"/>
    </row>
    <row r="3" spans="1:12" s="4" customFormat="1" ht="18.75" customHeight="1" x14ac:dyDescent="0.2">
      <c r="A3" s="6" t="s">
        <v>220</v>
      </c>
      <c r="B3" s="6" t="s">
        <v>558</v>
      </c>
      <c r="C3" s="6" t="s">
        <v>559</v>
      </c>
      <c r="D3" s="6" t="s">
        <v>560</v>
      </c>
      <c r="E3" s="6" t="s">
        <v>561</v>
      </c>
      <c r="F3" s="6" t="s">
        <v>562</v>
      </c>
      <c r="G3" s="6" t="s">
        <v>563</v>
      </c>
      <c r="H3" s="6" t="s">
        <v>564</v>
      </c>
      <c r="I3" s="6" t="s">
        <v>565</v>
      </c>
      <c r="J3" s="6" t="s">
        <v>566</v>
      </c>
      <c r="K3" s="6" t="s">
        <v>567</v>
      </c>
      <c r="L3" s="6" t="s">
        <v>568</v>
      </c>
    </row>
    <row r="4" spans="1:12" s="4" customFormat="1" ht="18" customHeight="1" x14ac:dyDescent="0.2">
      <c r="A4" s="3" t="s">
        <v>61</v>
      </c>
      <c r="B4" s="47">
        <v>26.234649335</v>
      </c>
      <c r="C4" s="47">
        <v>3.8559150000000001E-3</v>
      </c>
      <c r="D4" s="47">
        <v>73.758930496999994</v>
      </c>
      <c r="E4" s="47">
        <v>2.8288929999999999E-3</v>
      </c>
      <c r="F4" s="47">
        <v>9.9999999999999995E-7</v>
      </c>
      <c r="G4" s="47">
        <v>0</v>
      </c>
      <c r="H4" s="47">
        <v>8.4999999999999994E-8</v>
      </c>
      <c r="I4" s="47">
        <v>0</v>
      </c>
      <c r="J4" s="47">
        <v>0</v>
      </c>
      <c r="K4" s="47">
        <v>0</v>
      </c>
      <c r="L4" s="47">
        <v>4.01E-7</v>
      </c>
    </row>
    <row r="5" spans="1:12" s="4" customFormat="1" ht="18" customHeight="1" x14ac:dyDescent="0.2">
      <c r="A5" s="3" t="s">
        <v>62</v>
      </c>
      <c r="B5" s="47">
        <v>32.68824</v>
      </c>
      <c r="C5" s="47">
        <v>2.977E-3</v>
      </c>
      <c r="D5" s="47">
        <v>67.308783000000005</v>
      </c>
      <c r="E5" s="47">
        <v>0</v>
      </c>
      <c r="F5" s="47">
        <v>0</v>
      </c>
      <c r="G5" s="47">
        <v>0</v>
      </c>
      <c r="H5" s="47">
        <v>0</v>
      </c>
      <c r="I5" s="47">
        <v>0</v>
      </c>
      <c r="J5" s="47">
        <v>0</v>
      </c>
      <c r="K5" s="47">
        <v>0</v>
      </c>
      <c r="L5" s="47">
        <v>0</v>
      </c>
    </row>
    <row r="6" spans="1:12" s="4" customFormat="1" ht="18" customHeight="1" x14ac:dyDescent="0.2">
      <c r="A6" s="3" t="s">
        <v>146</v>
      </c>
      <c r="B6" s="47">
        <v>32.68824</v>
      </c>
      <c r="C6" s="47">
        <v>2.977E-3</v>
      </c>
      <c r="D6" s="47">
        <v>67.308783000000005</v>
      </c>
      <c r="E6" s="47">
        <v>0</v>
      </c>
      <c r="F6" s="47">
        <v>0</v>
      </c>
      <c r="G6" s="47">
        <v>0</v>
      </c>
      <c r="H6" s="47">
        <v>0</v>
      </c>
      <c r="I6" s="47">
        <v>0</v>
      </c>
      <c r="J6" s="47">
        <v>0</v>
      </c>
      <c r="K6" s="47">
        <v>0</v>
      </c>
      <c r="L6" s="47">
        <v>0</v>
      </c>
    </row>
    <row r="7" spans="1:12" s="4" customFormat="1" ht="14.25" customHeight="1" x14ac:dyDescent="0.2">
      <c r="A7" s="386" t="s">
        <v>98</v>
      </c>
      <c r="B7" s="386"/>
      <c r="C7" s="386"/>
      <c r="D7" s="386"/>
    </row>
    <row r="8" spans="1:12" s="4" customFormat="1" ht="13.5" customHeight="1" x14ac:dyDescent="0.2">
      <c r="A8" s="386" t="s">
        <v>419</v>
      </c>
      <c r="B8" s="386"/>
      <c r="C8" s="386"/>
      <c r="D8" s="386"/>
    </row>
    <row r="9" spans="1:12" s="4" customFormat="1" ht="28.35" customHeight="1" x14ac:dyDescent="0.2"/>
  </sheetData>
  <mergeCells count="4">
    <mergeCell ref="A1:K1"/>
    <mergeCell ref="A2:K2"/>
    <mergeCell ref="A7:D7"/>
    <mergeCell ref="A8:D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0"/>
  <sheetViews>
    <sheetView workbookViewId="0">
      <selection sqref="A1:L1"/>
    </sheetView>
  </sheetViews>
  <sheetFormatPr defaultRowHeight="12.75" x14ac:dyDescent="0.2"/>
  <cols>
    <col min="1" max="11" width="14.7109375" bestFit="1" customWidth="1"/>
    <col min="12" max="12" width="15" bestFit="1" customWidth="1"/>
    <col min="13" max="13" width="4.7109375" bestFit="1" customWidth="1"/>
  </cols>
  <sheetData>
    <row r="1" spans="1:12" ht="16.5" customHeight="1" x14ac:dyDescent="0.2">
      <c r="A1" s="398" t="s">
        <v>44</v>
      </c>
      <c r="B1" s="398"/>
      <c r="C1" s="398"/>
      <c r="D1" s="398"/>
      <c r="E1" s="398"/>
      <c r="F1" s="398"/>
      <c r="G1" s="398"/>
      <c r="H1" s="398"/>
      <c r="I1" s="398"/>
      <c r="J1" s="398"/>
      <c r="K1" s="398"/>
      <c r="L1" s="398"/>
    </row>
    <row r="2" spans="1:12" s="4" customFormat="1" ht="15" customHeight="1" x14ac:dyDescent="0.2">
      <c r="A2" s="376" t="s">
        <v>164</v>
      </c>
      <c r="B2" s="368" t="s">
        <v>255</v>
      </c>
      <c r="C2" s="445" t="s">
        <v>569</v>
      </c>
      <c r="D2" s="446"/>
      <c r="E2" s="388" t="s">
        <v>570</v>
      </c>
      <c r="F2" s="389"/>
      <c r="G2" s="389"/>
      <c r="H2" s="390"/>
      <c r="I2" s="445" t="s">
        <v>140</v>
      </c>
      <c r="J2" s="446"/>
      <c r="K2" s="449" t="s">
        <v>571</v>
      </c>
      <c r="L2" s="450"/>
    </row>
    <row r="3" spans="1:12" s="4" customFormat="1" ht="15" customHeight="1" x14ac:dyDescent="0.2">
      <c r="A3" s="377"/>
      <c r="B3" s="436"/>
      <c r="C3" s="447"/>
      <c r="D3" s="448"/>
      <c r="E3" s="388" t="s">
        <v>529</v>
      </c>
      <c r="F3" s="390"/>
      <c r="G3" s="388" t="s">
        <v>530</v>
      </c>
      <c r="H3" s="390"/>
      <c r="I3" s="447"/>
      <c r="J3" s="448"/>
      <c r="K3" s="451"/>
      <c r="L3" s="452"/>
    </row>
    <row r="4" spans="1:12" s="4" customFormat="1" ht="27" customHeight="1" x14ac:dyDescent="0.2">
      <c r="A4" s="378"/>
      <c r="B4" s="369"/>
      <c r="C4" s="25" t="s">
        <v>572</v>
      </c>
      <c r="D4" s="28" t="s">
        <v>258</v>
      </c>
      <c r="E4" s="25" t="s">
        <v>572</v>
      </c>
      <c r="F4" s="28" t="s">
        <v>258</v>
      </c>
      <c r="G4" s="25" t="s">
        <v>573</v>
      </c>
      <c r="H4" s="28" t="s">
        <v>258</v>
      </c>
      <c r="I4" s="25" t="s">
        <v>572</v>
      </c>
      <c r="J4" s="28" t="s">
        <v>258</v>
      </c>
      <c r="K4" s="25" t="s">
        <v>573</v>
      </c>
      <c r="L4" s="72" t="s">
        <v>574</v>
      </c>
    </row>
    <row r="5" spans="1:12" s="4" customFormat="1" ht="18" customHeight="1" x14ac:dyDescent="0.2">
      <c r="A5" s="3" t="s">
        <v>61</v>
      </c>
      <c r="B5" s="11">
        <v>243</v>
      </c>
      <c r="C5" s="42">
        <v>456884165</v>
      </c>
      <c r="D5" s="39">
        <v>3206488.5554999998</v>
      </c>
      <c r="E5" s="42">
        <v>241869262</v>
      </c>
      <c r="F5" s="39">
        <v>1719119.8917</v>
      </c>
      <c r="G5" s="42">
        <v>353698730</v>
      </c>
      <c r="H5" s="39">
        <v>2426665.9497000002</v>
      </c>
      <c r="I5" s="69">
        <v>1052452157</v>
      </c>
      <c r="J5" s="39">
        <v>7352274.3969000001</v>
      </c>
      <c r="K5" s="39">
        <v>712162</v>
      </c>
      <c r="L5" s="26">
        <v>4929.4030998600001</v>
      </c>
    </row>
    <row r="6" spans="1:12" s="4" customFormat="1" ht="18" customHeight="1" x14ac:dyDescent="0.2">
      <c r="A6" s="3" t="s">
        <v>62</v>
      </c>
      <c r="B6" s="11">
        <v>18</v>
      </c>
      <c r="C6" s="42">
        <v>28454552</v>
      </c>
      <c r="D6" s="39">
        <v>198227.2494</v>
      </c>
      <c r="E6" s="42">
        <v>27648067</v>
      </c>
      <c r="F6" s="39">
        <v>196542.5117</v>
      </c>
      <c r="G6" s="42">
        <v>27200048</v>
      </c>
      <c r="H6" s="39">
        <v>185922.52420000001</v>
      </c>
      <c r="I6" s="42">
        <v>83302667</v>
      </c>
      <c r="J6" s="39">
        <v>580692.28529999999</v>
      </c>
      <c r="K6" s="39">
        <v>1277029</v>
      </c>
      <c r="L6" s="26">
        <v>8920.27</v>
      </c>
    </row>
    <row r="7" spans="1:12" s="4" customFormat="1" ht="18" customHeight="1" x14ac:dyDescent="0.2">
      <c r="A7" s="3" t="s">
        <v>146</v>
      </c>
      <c r="B7" s="11">
        <v>18</v>
      </c>
      <c r="C7" s="42">
        <v>28454552</v>
      </c>
      <c r="D7" s="39">
        <v>198227.2494</v>
      </c>
      <c r="E7" s="42">
        <v>27648067</v>
      </c>
      <c r="F7" s="39">
        <v>196542.5117</v>
      </c>
      <c r="G7" s="42">
        <v>27200048</v>
      </c>
      <c r="H7" s="39">
        <v>185922.52420000001</v>
      </c>
      <c r="I7" s="42">
        <v>83302667</v>
      </c>
      <c r="J7" s="39">
        <v>580692.28529999999</v>
      </c>
      <c r="K7" s="39">
        <v>1277029</v>
      </c>
      <c r="L7" s="26">
        <v>8920.27</v>
      </c>
    </row>
    <row r="8" spans="1:12" s="4" customFormat="1" ht="15" customHeight="1" x14ac:dyDescent="0.2">
      <c r="A8" s="366" t="s">
        <v>98</v>
      </c>
      <c r="B8" s="366"/>
      <c r="C8" s="366"/>
      <c r="D8" s="366"/>
      <c r="E8" s="366"/>
      <c r="F8" s="366"/>
      <c r="G8" s="366"/>
      <c r="H8" s="366"/>
      <c r="I8" s="366"/>
      <c r="J8" s="366"/>
      <c r="K8" s="366"/>
      <c r="L8" s="366"/>
    </row>
    <row r="9" spans="1:12" s="4" customFormat="1" ht="13.5" customHeight="1" x14ac:dyDescent="0.2">
      <c r="A9" s="366" t="s">
        <v>575</v>
      </c>
      <c r="B9" s="366"/>
      <c r="C9" s="366"/>
      <c r="D9" s="366"/>
      <c r="E9" s="366"/>
      <c r="F9" s="366"/>
      <c r="G9" s="366"/>
      <c r="H9" s="366"/>
      <c r="I9" s="366"/>
      <c r="J9" s="366"/>
      <c r="K9" s="366"/>
      <c r="L9" s="366"/>
    </row>
    <row r="10" spans="1:12" s="4" customFormat="1" ht="26.85" customHeight="1" x14ac:dyDescent="0.2"/>
  </sheetData>
  <mergeCells count="11">
    <mergeCell ref="A8:L8"/>
    <mergeCell ref="A9:L9"/>
    <mergeCell ref="A1:L1"/>
    <mergeCell ref="A2:A4"/>
    <mergeCell ref="B2:B4"/>
    <mergeCell ref="C2:D3"/>
    <mergeCell ref="E2:H2"/>
    <mergeCell ref="I2:J3"/>
    <mergeCell ref="K2:L3"/>
    <mergeCell ref="E3:F3"/>
    <mergeCell ref="G3:H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1"/>
  <sheetViews>
    <sheetView workbookViewId="0">
      <selection sqref="A1:L1"/>
    </sheetView>
  </sheetViews>
  <sheetFormatPr defaultRowHeight="12.75" x14ac:dyDescent="0.2"/>
  <cols>
    <col min="1" max="1" width="9.42578125" bestFit="1" customWidth="1"/>
    <col min="2" max="2" width="7.7109375" bestFit="1" customWidth="1"/>
    <col min="3" max="8" width="12.140625" bestFit="1" customWidth="1"/>
    <col min="9" max="9" width="14.42578125" customWidth="1"/>
    <col min="10" max="11" width="12.140625" bestFit="1" customWidth="1"/>
    <col min="12" max="12" width="10.7109375" bestFit="1" customWidth="1"/>
    <col min="13" max="13" width="6" bestFit="1" customWidth="1"/>
  </cols>
  <sheetData>
    <row r="1" spans="1:12" ht="15.75" customHeight="1" x14ac:dyDescent="0.2">
      <c r="A1" s="398" t="s">
        <v>45</v>
      </c>
      <c r="B1" s="398"/>
      <c r="C1" s="398"/>
      <c r="D1" s="398"/>
      <c r="E1" s="398"/>
      <c r="F1" s="398"/>
      <c r="G1" s="398"/>
      <c r="H1" s="398"/>
      <c r="I1" s="398"/>
      <c r="J1" s="398"/>
      <c r="K1" s="398"/>
      <c r="L1" s="398"/>
    </row>
    <row r="2" spans="1:12" s="4" customFormat="1" ht="25.5" customHeight="1" x14ac:dyDescent="0.2">
      <c r="A2" s="416" t="s">
        <v>523</v>
      </c>
      <c r="B2" s="416" t="s">
        <v>576</v>
      </c>
      <c r="C2" s="399" t="s">
        <v>569</v>
      </c>
      <c r="D2" s="400"/>
      <c r="E2" s="399" t="s">
        <v>577</v>
      </c>
      <c r="F2" s="458"/>
      <c r="G2" s="458"/>
      <c r="H2" s="400"/>
      <c r="I2" s="399" t="s">
        <v>140</v>
      </c>
      <c r="J2" s="400"/>
      <c r="K2" s="459" t="s">
        <v>578</v>
      </c>
      <c r="L2" s="460"/>
    </row>
    <row r="3" spans="1:12" s="4" customFormat="1" ht="18" customHeight="1" x14ac:dyDescent="0.2">
      <c r="A3" s="457"/>
      <c r="B3" s="457"/>
      <c r="C3" s="453" t="s">
        <v>531</v>
      </c>
      <c r="D3" s="455" t="s">
        <v>532</v>
      </c>
      <c r="E3" s="399" t="s">
        <v>529</v>
      </c>
      <c r="F3" s="400"/>
      <c r="G3" s="399" t="s">
        <v>530</v>
      </c>
      <c r="H3" s="400"/>
      <c r="I3" s="416" t="s">
        <v>573</v>
      </c>
      <c r="J3" s="414" t="s">
        <v>258</v>
      </c>
      <c r="K3" s="453" t="s">
        <v>531</v>
      </c>
      <c r="L3" s="455" t="s">
        <v>579</v>
      </c>
    </row>
    <row r="4" spans="1:12" s="4" customFormat="1" ht="24" customHeight="1" x14ac:dyDescent="0.2">
      <c r="A4" s="417"/>
      <c r="B4" s="417"/>
      <c r="C4" s="454"/>
      <c r="D4" s="456"/>
      <c r="E4" s="73" t="s">
        <v>531</v>
      </c>
      <c r="F4" s="74" t="s">
        <v>532</v>
      </c>
      <c r="G4" s="73" t="s">
        <v>531</v>
      </c>
      <c r="H4" s="74" t="s">
        <v>532</v>
      </c>
      <c r="I4" s="417"/>
      <c r="J4" s="415"/>
      <c r="K4" s="454"/>
      <c r="L4" s="456"/>
    </row>
    <row r="5" spans="1:12" s="4" customFormat="1" ht="18" customHeight="1" x14ac:dyDescent="0.2">
      <c r="A5" s="3" t="s">
        <v>61</v>
      </c>
      <c r="B5" s="11">
        <v>243</v>
      </c>
      <c r="C5" s="42">
        <v>650024870</v>
      </c>
      <c r="D5" s="39">
        <v>4654927.074</v>
      </c>
      <c r="E5" s="42">
        <v>275919964</v>
      </c>
      <c r="F5" s="39">
        <v>1956019.6510000001</v>
      </c>
      <c r="G5" s="42">
        <v>272439387</v>
      </c>
      <c r="H5" s="39">
        <v>1907404.517</v>
      </c>
      <c r="I5" s="69">
        <v>1198384221</v>
      </c>
      <c r="J5" s="39">
        <v>8518351.2430000007</v>
      </c>
      <c r="K5" s="39">
        <v>4205566</v>
      </c>
      <c r="L5" s="26">
        <v>29351.446449999999</v>
      </c>
    </row>
    <row r="6" spans="1:12" s="4" customFormat="1" ht="18" customHeight="1" x14ac:dyDescent="0.2">
      <c r="A6" s="3" t="s">
        <v>62</v>
      </c>
      <c r="B6" s="11">
        <v>18</v>
      </c>
      <c r="C6" s="42">
        <v>50944880</v>
      </c>
      <c r="D6" s="39">
        <v>361284.89750000002</v>
      </c>
      <c r="E6" s="42">
        <v>25110750</v>
      </c>
      <c r="F6" s="39">
        <v>175702.55790000001</v>
      </c>
      <c r="G6" s="42">
        <v>25140409</v>
      </c>
      <c r="H6" s="39">
        <v>174367.6292</v>
      </c>
      <c r="I6" s="42">
        <v>101196039</v>
      </c>
      <c r="J6" s="39">
        <v>711355.08459999994</v>
      </c>
      <c r="K6" s="39">
        <v>5062681</v>
      </c>
      <c r="L6" s="26">
        <v>35527.743860000002</v>
      </c>
    </row>
    <row r="7" spans="1:12" s="4" customFormat="1" ht="18" customHeight="1" x14ac:dyDescent="0.2">
      <c r="A7" s="3" t="s">
        <v>146</v>
      </c>
      <c r="B7" s="11">
        <v>18</v>
      </c>
      <c r="C7" s="42">
        <v>50944880</v>
      </c>
      <c r="D7" s="39">
        <v>361284.89750000002</v>
      </c>
      <c r="E7" s="42">
        <v>25110750</v>
      </c>
      <c r="F7" s="39">
        <v>175702.55790000001</v>
      </c>
      <c r="G7" s="42">
        <v>25140409</v>
      </c>
      <c r="H7" s="39">
        <v>174367.6292</v>
      </c>
      <c r="I7" s="42">
        <v>101196039</v>
      </c>
      <c r="J7" s="39">
        <v>711355.08459999994</v>
      </c>
      <c r="K7" s="39">
        <v>5062681</v>
      </c>
      <c r="L7" s="26">
        <v>35527.743860000002</v>
      </c>
    </row>
    <row r="8" spans="1:12" s="4" customFormat="1" ht="15" customHeight="1" x14ac:dyDescent="0.2">
      <c r="A8" s="386" t="s">
        <v>580</v>
      </c>
      <c r="B8" s="386"/>
      <c r="C8" s="386"/>
      <c r="D8" s="386"/>
      <c r="E8" s="386"/>
      <c r="F8" s="386"/>
      <c r="G8" s="386"/>
      <c r="H8" s="386"/>
      <c r="I8" s="386"/>
      <c r="J8" s="386"/>
      <c r="K8" s="386"/>
      <c r="L8" s="386"/>
    </row>
    <row r="9" spans="1:12" s="4" customFormat="1" ht="13.5" customHeight="1" x14ac:dyDescent="0.2">
      <c r="A9" s="386" t="s">
        <v>98</v>
      </c>
      <c r="B9" s="386"/>
      <c r="C9" s="386"/>
      <c r="D9" s="386"/>
      <c r="E9" s="386"/>
      <c r="F9" s="386"/>
      <c r="G9" s="386"/>
      <c r="H9" s="386"/>
      <c r="I9" s="386"/>
      <c r="J9" s="386"/>
      <c r="K9" s="386"/>
      <c r="L9" s="386"/>
    </row>
    <row r="10" spans="1:12" s="4" customFormat="1" ht="13.5" customHeight="1" x14ac:dyDescent="0.2">
      <c r="A10" s="386" t="s">
        <v>419</v>
      </c>
      <c r="B10" s="386"/>
      <c r="C10" s="386"/>
      <c r="D10" s="386"/>
      <c r="E10" s="386"/>
      <c r="F10" s="386"/>
      <c r="G10" s="386"/>
      <c r="H10" s="386"/>
      <c r="I10" s="386"/>
      <c r="J10" s="386"/>
      <c r="K10" s="386"/>
      <c r="L10" s="386"/>
    </row>
    <row r="11" spans="1:12" s="4" customFormat="1" ht="28.35" customHeight="1" x14ac:dyDescent="0.2"/>
  </sheetData>
  <mergeCells count="18">
    <mergeCell ref="A1:L1"/>
    <mergeCell ref="A2:A4"/>
    <mergeCell ref="B2:B4"/>
    <mergeCell ref="C2:D2"/>
    <mergeCell ref="E2:H2"/>
    <mergeCell ref="I2:J2"/>
    <mergeCell ref="K2:L2"/>
    <mergeCell ref="C3:C4"/>
    <mergeCell ref="D3:D4"/>
    <mergeCell ref="E3:F3"/>
    <mergeCell ref="A9:L9"/>
    <mergeCell ref="A10:L10"/>
    <mergeCell ref="G3:H3"/>
    <mergeCell ref="I3:I4"/>
    <mergeCell ref="J3:J4"/>
    <mergeCell ref="K3:K4"/>
    <mergeCell ref="L3:L4"/>
    <mergeCell ref="A8:L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0"/>
  <sheetViews>
    <sheetView workbookViewId="0">
      <selection sqref="A1:L1"/>
    </sheetView>
  </sheetViews>
  <sheetFormatPr defaultRowHeight="12.75" x14ac:dyDescent="0.2"/>
  <cols>
    <col min="1" max="1" width="9.42578125" bestFit="1" customWidth="1"/>
    <col min="2" max="2" width="7.7109375" bestFit="1" customWidth="1"/>
    <col min="3" max="9" width="12.140625" bestFit="1" customWidth="1"/>
    <col min="10" max="10" width="10" bestFit="1" customWidth="1"/>
    <col min="11" max="11" width="14.140625" bestFit="1" customWidth="1"/>
    <col min="12" max="12" width="9.140625" bestFit="1" customWidth="1"/>
    <col min="13" max="13" width="7.5703125" bestFit="1" customWidth="1"/>
  </cols>
  <sheetData>
    <row r="1" spans="1:12" ht="15.75" customHeight="1" x14ac:dyDescent="0.2">
      <c r="A1" s="398" t="s">
        <v>46</v>
      </c>
      <c r="B1" s="398"/>
      <c r="C1" s="398"/>
      <c r="D1" s="398"/>
      <c r="E1" s="398"/>
      <c r="F1" s="398"/>
      <c r="G1" s="398"/>
      <c r="H1" s="398"/>
      <c r="I1" s="398"/>
      <c r="J1" s="398"/>
      <c r="K1" s="398"/>
      <c r="L1" s="398"/>
    </row>
    <row r="2" spans="1:12" s="4" customFormat="1" ht="24" customHeight="1" x14ac:dyDescent="0.2">
      <c r="A2" s="416" t="s">
        <v>523</v>
      </c>
      <c r="B2" s="416" t="s">
        <v>576</v>
      </c>
      <c r="C2" s="399" t="s">
        <v>569</v>
      </c>
      <c r="D2" s="400"/>
      <c r="E2" s="462" t="s">
        <v>577</v>
      </c>
      <c r="F2" s="462"/>
      <c r="G2" s="462"/>
      <c r="H2" s="462"/>
      <c r="I2" s="399" t="s">
        <v>140</v>
      </c>
      <c r="J2" s="400"/>
      <c r="K2" s="463" t="s">
        <v>578</v>
      </c>
      <c r="L2" s="464"/>
    </row>
    <row r="3" spans="1:12" s="4" customFormat="1" ht="18" customHeight="1" x14ac:dyDescent="0.2">
      <c r="A3" s="457"/>
      <c r="B3" s="457"/>
      <c r="C3" s="453" t="s">
        <v>531</v>
      </c>
      <c r="D3" s="455" t="s">
        <v>532</v>
      </c>
      <c r="E3" s="399" t="s">
        <v>529</v>
      </c>
      <c r="F3" s="400"/>
      <c r="G3" s="399" t="s">
        <v>530</v>
      </c>
      <c r="H3" s="400"/>
      <c r="I3" s="416" t="s">
        <v>573</v>
      </c>
      <c r="J3" s="461" t="s">
        <v>258</v>
      </c>
      <c r="K3" s="453" t="s">
        <v>531</v>
      </c>
      <c r="L3" s="455" t="s">
        <v>579</v>
      </c>
    </row>
    <row r="4" spans="1:12" s="4" customFormat="1" ht="24" customHeight="1" x14ac:dyDescent="0.2">
      <c r="A4" s="417"/>
      <c r="B4" s="417"/>
      <c r="C4" s="454"/>
      <c r="D4" s="456"/>
      <c r="E4" s="73" t="s">
        <v>531</v>
      </c>
      <c r="F4" s="74" t="s">
        <v>532</v>
      </c>
      <c r="G4" s="73" t="s">
        <v>531</v>
      </c>
      <c r="H4" s="74" t="s">
        <v>532</v>
      </c>
      <c r="I4" s="417"/>
      <c r="J4" s="461"/>
      <c r="K4" s="454"/>
      <c r="L4" s="456"/>
    </row>
    <row r="5" spans="1:12" s="4" customFormat="1" ht="18" customHeight="1" x14ac:dyDescent="0.2">
      <c r="A5" s="3" t="s">
        <v>61</v>
      </c>
      <c r="B5" s="11">
        <v>243</v>
      </c>
      <c r="C5" s="39">
        <v>5499701</v>
      </c>
      <c r="D5" s="26">
        <v>38194.639670046003</v>
      </c>
      <c r="E5" s="39">
        <v>574634</v>
      </c>
      <c r="F5" s="26">
        <v>4082.9040757500002</v>
      </c>
      <c r="G5" s="39">
        <v>697331</v>
      </c>
      <c r="H5" s="26">
        <v>4960.9746944999997</v>
      </c>
      <c r="I5" s="39">
        <v>6771666</v>
      </c>
      <c r="J5" s="26">
        <v>47238.518439995998</v>
      </c>
      <c r="K5" s="26">
        <v>18715</v>
      </c>
      <c r="L5" s="26">
        <v>130.1528615</v>
      </c>
    </row>
    <row r="6" spans="1:12" s="4" customFormat="1" ht="18" customHeight="1" x14ac:dyDescent="0.2">
      <c r="A6" s="3" t="s">
        <v>62</v>
      </c>
      <c r="B6" s="11">
        <v>18</v>
      </c>
      <c r="C6" s="39">
        <v>243494</v>
      </c>
      <c r="D6" s="26">
        <v>1704.5448562500001</v>
      </c>
      <c r="E6" s="26">
        <v>62239</v>
      </c>
      <c r="F6" s="26">
        <v>444.06508600000001</v>
      </c>
      <c r="G6" s="26">
        <v>90537</v>
      </c>
      <c r="H6" s="26">
        <v>631.72793875000002</v>
      </c>
      <c r="I6" s="39">
        <v>396270</v>
      </c>
      <c r="J6" s="26">
        <v>2780.3378809999999</v>
      </c>
      <c r="K6" s="26">
        <v>19412</v>
      </c>
      <c r="L6" s="26">
        <v>141.17953750000001</v>
      </c>
    </row>
    <row r="7" spans="1:12" s="4" customFormat="1" ht="18" customHeight="1" x14ac:dyDescent="0.2">
      <c r="A7" s="3" t="s">
        <v>146</v>
      </c>
      <c r="B7" s="11">
        <v>18</v>
      </c>
      <c r="C7" s="39">
        <v>243494</v>
      </c>
      <c r="D7" s="26">
        <v>1704.5448562500001</v>
      </c>
      <c r="E7" s="26">
        <v>62239</v>
      </c>
      <c r="F7" s="26">
        <v>444.06508600000001</v>
      </c>
      <c r="G7" s="26">
        <v>90537</v>
      </c>
      <c r="H7" s="26">
        <v>631.72793875000002</v>
      </c>
      <c r="I7" s="39">
        <v>396270</v>
      </c>
      <c r="J7" s="26">
        <v>2780.3378809999999</v>
      </c>
      <c r="K7" s="26">
        <v>19412</v>
      </c>
      <c r="L7" s="26">
        <v>141.17953750000001</v>
      </c>
    </row>
    <row r="8" spans="1:12" s="4" customFormat="1" ht="14.25" customHeight="1" x14ac:dyDescent="0.2">
      <c r="A8" s="386" t="s">
        <v>98</v>
      </c>
      <c r="B8" s="386"/>
      <c r="C8" s="386"/>
      <c r="D8" s="386"/>
      <c r="E8" s="386"/>
      <c r="F8" s="386"/>
      <c r="G8" s="386"/>
      <c r="H8" s="386"/>
      <c r="I8" s="386"/>
      <c r="J8" s="386"/>
    </row>
    <row r="9" spans="1:12" s="4" customFormat="1" ht="13.5" customHeight="1" x14ac:dyDescent="0.2">
      <c r="A9" s="386" t="s">
        <v>280</v>
      </c>
      <c r="B9" s="386"/>
      <c r="C9" s="386"/>
      <c r="D9" s="386"/>
      <c r="E9" s="386"/>
      <c r="F9" s="386"/>
      <c r="G9" s="386"/>
      <c r="H9" s="386"/>
      <c r="I9" s="386"/>
      <c r="J9" s="386"/>
    </row>
    <row r="10" spans="1:12" s="4" customFormat="1" ht="27.6" customHeight="1" x14ac:dyDescent="0.2"/>
  </sheetData>
  <mergeCells count="17">
    <mergeCell ref="L3:L4"/>
    <mergeCell ref="A8:J8"/>
    <mergeCell ref="A1:L1"/>
    <mergeCell ref="A2:A4"/>
    <mergeCell ref="B2:B4"/>
    <mergeCell ref="C2:D2"/>
    <mergeCell ref="E2:H2"/>
    <mergeCell ref="I2:J2"/>
    <mergeCell ref="K2:L2"/>
    <mergeCell ref="C3:C4"/>
    <mergeCell ref="D3:D4"/>
    <mergeCell ref="E3:F3"/>
    <mergeCell ref="A9:J9"/>
    <mergeCell ref="G3:H3"/>
    <mergeCell ref="I3:I4"/>
    <mergeCell ref="J3:J4"/>
    <mergeCell ref="K3:K4"/>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0"/>
  <sheetViews>
    <sheetView workbookViewId="0">
      <selection sqref="A1:O1"/>
    </sheetView>
  </sheetViews>
  <sheetFormatPr defaultRowHeight="12.75" x14ac:dyDescent="0.2"/>
  <cols>
    <col min="1" max="1" width="13.5703125" bestFit="1" customWidth="1"/>
    <col min="2" max="5" width="12.140625" bestFit="1" customWidth="1"/>
    <col min="6" max="6" width="9.28515625" bestFit="1" customWidth="1"/>
    <col min="7" max="10" width="12.140625" bestFit="1" customWidth="1"/>
    <col min="11" max="11" width="14.7109375" bestFit="1" customWidth="1"/>
    <col min="12" max="15" width="12.140625" bestFit="1" customWidth="1"/>
    <col min="16" max="16" width="9.28515625" bestFit="1" customWidth="1"/>
    <col min="17" max="17" width="4.7109375" bestFit="1" customWidth="1"/>
  </cols>
  <sheetData>
    <row r="1" spans="1:16" ht="15.75" customHeight="1" x14ac:dyDescent="0.2">
      <c r="A1" s="443" t="s">
        <v>581</v>
      </c>
      <c r="B1" s="443"/>
      <c r="C1" s="443"/>
      <c r="D1" s="443"/>
      <c r="E1" s="443"/>
      <c r="F1" s="443"/>
      <c r="G1" s="443"/>
      <c r="H1" s="443"/>
      <c r="I1" s="443"/>
      <c r="J1" s="443"/>
      <c r="K1" s="443"/>
      <c r="L1" s="443"/>
      <c r="M1" s="443"/>
      <c r="N1" s="443"/>
      <c r="O1" s="443"/>
    </row>
    <row r="2" spans="1:16" s="4" customFormat="1" ht="18" customHeight="1" x14ac:dyDescent="0.2">
      <c r="A2" s="368" t="s">
        <v>523</v>
      </c>
      <c r="B2" s="388" t="s">
        <v>227</v>
      </c>
      <c r="C2" s="389"/>
      <c r="D2" s="389"/>
      <c r="E2" s="390"/>
      <c r="F2" s="376" t="s">
        <v>140</v>
      </c>
      <c r="G2" s="388" t="s">
        <v>228</v>
      </c>
      <c r="H2" s="389"/>
      <c r="I2" s="389"/>
      <c r="J2" s="390"/>
      <c r="K2" s="368" t="s">
        <v>140</v>
      </c>
      <c r="L2" s="388" t="s">
        <v>229</v>
      </c>
      <c r="M2" s="389"/>
      <c r="N2" s="389"/>
      <c r="O2" s="390"/>
      <c r="P2" s="376" t="s">
        <v>140</v>
      </c>
    </row>
    <row r="3" spans="1:16" s="4" customFormat="1" ht="27" customHeight="1" x14ac:dyDescent="0.2">
      <c r="A3" s="436"/>
      <c r="B3" s="384" t="s">
        <v>582</v>
      </c>
      <c r="C3" s="385"/>
      <c r="D3" s="388" t="s">
        <v>577</v>
      </c>
      <c r="E3" s="390"/>
      <c r="F3" s="377"/>
      <c r="G3" s="384" t="s">
        <v>582</v>
      </c>
      <c r="H3" s="385"/>
      <c r="I3" s="388" t="s">
        <v>577</v>
      </c>
      <c r="J3" s="390"/>
      <c r="K3" s="436"/>
      <c r="L3" s="384" t="s">
        <v>582</v>
      </c>
      <c r="M3" s="385"/>
      <c r="N3" s="388" t="s">
        <v>577</v>
      </c>
      <c r="O3" s="390"/>
      <c r="P3" s="377"/>
    </row>
    <row r="4" spans="1:16" s="4" customFormat="1" ht="27" customHeight="1" x14ac:dyDescent="0.2">
      <c r="A4" s="369"/>
      <c r="B4" s="17" t="s">
        <v>540</v>
      </c>
      <c r="C4" s="17" t="s">
        <v>541</v>
      </c>
      <c r="D4" s="17" t="s">
        <v>542</v>
      </c>
      <c r="E4" s="17" t="s">
        <v>543</v>
      </c>
      <c r="F4" s="378"/>
      <c r="G4" s="17" t="s">
        <v>540</v>
      </c>
      <c r="H4" s="17" t="s">
        <v>541</v>
      </c>
      <c r="I4" s="17" t="s">
        <v>542</v>
      </c>
      <c r="J4" s="17" t="s">
        <v>543</v>
      </c>
      <c r="K4" s="369"/>
      <c r="L4" s="17" t="s">
        <v>540</v>
      </c>
      <c r="M4" s="17" t="s">
        <v>541</v>
      </c>
      <c r="N4" s="17" t="s">
        <v>542</v>
      </c>
      <c r="O4" s="17" t="s">
        <v>543</v>
      </c>
      <c r="P4" s="378"/>
    </row>
    <row r="5" spans="1:16" s="4" customFormat="1" ht="18" customHeight="1" x14ac:dyDescent="0.2">
      <c r="A5" s="3" t="s">
        <v>61</v>
      </c>
      <c r="B5" s="75">
        <v>5970.05</v>
      </c>
      <c r="C5" s="75">
        <v>191.46</v>
      </c>
      <c r="D5" s="75">
        <v>3565.27</v>
      </c>
      <c r="E5" s="75">
        <v>154.97</v>
      </c>
      <c r="F5" s="26">
        <v>9881.75</v>
      </c>
      <c r="G5" s="75">
        <v>8260.4640170000002</v>
      </c>
      <c r="H5" s="75">
        <v>292.40324870000001</v>
      </c>
      <c r="I5" s="75">
        <v>1286.897823</v>
      </c>
      <c r="J5" s="75">
        <v>643.41508050000004</v>
      </c>
      <c r="K5" s="26">
        <v>10483.18017</v>
      </c>
      <c r="L5" s="75">
        <v>125.37568575</v>
      </c>
      <c r="M5" s="75">
        <v>6.8401983</v>
      </c>
      <c r="N5" s="75">
        <v>0.55596900000000005</v>
      </c>
      <c r="O5" s="75">
        <v>0.68199743999999995</v>
      </c>
      <c r="P5" s="26">
        <v>133.45385049000001</v>
      </c>
    </row>
    <row r="6" spans="1:16" s="4" customFormat="1" ht="18" customHeight="1" x14ac:dyDescent="0.2">
      <c r="A6" s="3" t="s">
        <v>62</v>
      </c>
      <c r="B6" s="75">
        <v>363.16</v>
      </c>
      <c r="C6" s="75">
        <v>6.08</v>
      </c>
      <c r="D6" s="75">
        <v>403.39</v>
      </c>
      <c r="E6" s="75">
        <v>6.8</v>
      </c>
      <c r="F6" s="26">
        <v>779.43</v>
      </c>
      <c r="G6" s="75">
        <v>512.9014707</v>
      </c>
      <c r="H6" s="75">
        <v>6.4320210099999997</v>
      </c>
      <c r="I6" s="75">
        <v>102.97738630000001</v>
      </c>
      <c r="J6" s="75">
        <v>25.654562559999999</v>
      </c>
      <c r="K6" s="26">
        <v>647.9654405</v>
      </c>
      <c r="L6" s="75">
        <v>14.89</v>
      </c>
      <c r="M6" s="75">
        <v>0.22280343999999999</v>
      </c>
      <c r="N6" s="75">
        <v>1.5167750000000001E-2</v>
      </c>
      <c r="O6" s="75">
        <v>1.0548999999999999E-3</v>
      </c>
      <c r="P6" s="26">
        <v>15.12902609</v>
      </c>
    </row>
    <row r="7" spans="1:16" s="4" customFormat="1" ht="18" customHeight="1" x14ac:dyDescent="0.2">
      <c r="A7" s="3" t="s">
        <v>146</v>
      </c>
      <c r="B7" s="75">
        <v>363.16</v>
      </c>
      <c r="C7" s="75">
        <v>6.08</v>
      </c>
      <c r="D7" s="75">
        <v>403.39</v>
      </c>
      <c r="E7" s="75">
        <v>6.8</v>
      </c>
      <c r="F7" s="26">
        <v>779.43</v>
      </c>
      <c r="G7" s="75">
        <v>512.9014707</v>
      </c>
      <c r="H7" s="75">
        <v>6.4320210099999997</v>
      </c>
      <c r="I7" s="75">
        <v>102.97738630000001</v>
      </c>
      <c r="J7" s="75">
        <v>25.654562559999999</v>
      </c>
      <c r="K7" s="26">
        <v>647.9654405</v>
      </c>
      <c r="L7" s="75">
        <v>14.89</v>
      </c>
      <c r="M7" s="75">
        <v>0.22280343999999999</v>
      </c>
      <c r="N7" s="75">
        <v>1.5167750000000001E-2</v>
      </c>
      <c r="O7" s="75">
        <v>1.0548999999999999E-3</v>
      </c>
      <c r="P7" s="26">
        <v>15.12902609</v>
      </c>
    </row>
    <row r="8" spans="1:16" s="4" customFormat="1" ht="15" customHeight="1" x14ac:dyDescent="0.2">
      <c r="A8" s="386" t="s">
        <v>98</v>
      </c>
      <c r="B8" s="386"/>
      <c r="C8" s="386"/>
      <c r="D8" s="386"/>
      <c r="E8" s="386"/>
      <c r="F8" s="386"/>
      <c r="G8" s="386"/>
      <c r="H8" s="386"/>
      <c r="I8" s="386"/>
      <c r="J8" s="386"/>
      <c r="K8" s="386"/>
      <c r="L8" s="386"/>
      <c r="M8" s="386"/>
      <c r="N8" s="386"/>
      <c r="O8" s="386"/>
    </row>
    <row r="9" spans="1:16" s="4" customFormat="1" ht="13.5" customHeight="1" x14ac:dyDescent="0.2">
      <c r="A9" s="386" t="s">
        <v>219</v>
      </c>
      <c r="B9" s="386"/>
      <c r="C9" s="386"/>
      <c r="D9" s="386"/>
      <c r="E9" s="386"/>
      <c r="F9" s="386"/>
      <c r="G9" s="386"/>
      <c r="H9" s="386"/>
      <c r="I9" s="386"/>
      <c r="J9" s="386"/>
      <c r="K9" s="386"/>
      <c r="L9" s="386"/>
      <c r="M9" s="386"/>
      <c r="N9" s="386"/>
      <c r="O9" s="386"/>
    </row>
    <row r="10" spans="1:16" s="4" customFormat="1" ht="27.6" customHeight="1" x14ac:dyDescent="0.2"/>
  </sheetData>
  <mergeCells count="16">
    <mergeCell ref="A1:O1"/>
    <mergeCell ref="A2:A4"/>
    <mergeCell ref="B2:E2"/>
    <mergeCell ref="F2:F4"/>
    <mergeCell ref="G2:J2"/>
    <mergeCell ref="K2:K4"/>
    <mergeCell ref="L2:O2"/>
    <mergeCell ref="A8:O8"/>
    <mergeCell ref="A9:O9"/>
    <mergeCell ref="P2:P4"/>
    <mergeCell ref="B3:C3"/>
    <mergeCell ref="D3:E3"/>
    <mergeCell ref="G3:H3"/>
    <mergeCell ref="I3:J3"/>
    <mergeCell ref="L3:M3"/>
    <mergeCell ref="N3:O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
  <sheetViews>
    <sheetView workbookViewId="0">
      <selection sqref="A1:I1"/>
    </sheetView>
  </sheetViews>
  <sheetFormatPr defaultRowHeight="12.75" x14ac:dyDescent="0.2"/>
  <cols>
    <col min="1" max="15" width="12.140625" bestFit="1" customWidth="1"/>
    <col min="16" max="16" width="4.7109375" bestFit="1" customWidth="1"/>
  </cols>
  <sheetData>
    <row r="1" spans="1:15" ht="15" customHeight="1" x14ac:dyDescent="0.2">
      <c r="A1" s="398" t="s">
        <v>48</v>
      </c>
      <c r="B1" s="398"/>
      <c r="C1" s="398"/>
      <c r="D1" s="398"/>
      <c r="E1" s="398"/>
      <c r="F1" s="398"/>
      <c r="G1" s="398"/>
      <c r="H1" s="398"/>
      <c r="I1" s="398"/>
    </row>
    <row r="2" spans="1:15" s="4" customFormat="1" ht="18" customHeight="1" x14ac:dyDescent="0.2">
      <c r="A2" s="376" t="s">
        <v>220</v>
      </c>
      <c r="B2" s="465" t="s">
        <v>258</v>
      </c>
      <c r="C2" s="466"/>
      <c r="D2" s="466"/>
      <c r="E2" s="466"/>
      <c r="F2" s="466"/>
      <c r="G2" s="466"/>
      <c r="H2" s="467"/>
      <c r="I2" s="382" t="s">
        <v>583</v>
      </c>
      <c r="J2" s="408"/>
      <c r="K2" s="408"/>
      <c r="L2" s="408"/>
      <c r="M2" s="408"/>
      <c r="N2" s="408"/>
      <c r="O2" s="383"/>
    </row>
    <row r="3" spans="1:15" s="4" customFormat="1" ht="18" customHeight="1" x14ac:dyDescent="0.2">
      <c r="A3" s="378"/>
      <c r="B3" s="25" t="s">
        <v>584</v>
      </c>
      <c r="C3" s="25" t="s">
        <v>585</v>
      </c>
      <c r="D3" s="25" t="s">
        <v>586</v>
      </c>
      <c r="E3" s="25" t="s">
        <v>587</v>
      </c>
      <c r="F3" s="25" t="s">
        <v>588</v>
      </c>
      <c r="G3" s="25" t="s">
        <v>589</v>
      </c>
      <c r="H3" s="25" t="s">
        <v>590</v>
      </c>
      <c r="I3" s="25" t="s">
        <v>584</v>
      </c>
      <c r="J3" s="25" t="s">
        <v>585</v>
      </c>
      <c r="K3" s="25" t="s">
        <v>586</v>
      </c>
      <c r="L3" s="25" t="s">
        <v>587</v>
      </c>
      <c r="M3" s="25" t="s">
        <v>588</v>
      </c>
      <c r="N3" s="25" t="s">
        <v>589</v>
      </c>
      <c r="O3" s="25" t="s">
        <v>590</v>
      </c>
    </row>
    <row r="4" spans="1:15" s="4" customFormat="1" ht="18" customHeight="1" x14ac:dyDescent="0.2">
      <c r="A4" s="3" t="s">
        <v>591</v>
      </c>
      <c r="B4" s="39">
        <v>7336635.8687610002</v>
      </c>
      <c r="C4" s="26">
        <v>5354.2229065000001</v>
      </c>
      <c r="D4" s="26">
        <v>4940.5533779999996</v>
      </c>
      <c r="E4" s="26">
        <v>1322.2592179999999</v>
      </c>
      <c r="F4" s="26">
        <v>2712.996169771</v>
      </c>
      <c r="G4" s="26">
        <v>1275.3716501609999</v>
      </c>
      <c r="H4" s="26">
        <v>33.114100000000001</v>
      </c>
      <c r="I4" s="39">
        <v>709594</v>
      </c>
      <c r="J4" s="26">
        <v>873</v>
      </c>
      <c r="K4" s="26">
        <v>1332</v>
      </c>
      <c r="L4" s="26">
        <v>354</v>
      </c>
      <c r="M4" s="11">
        <v>0</v>
      </c>
      <c r="N4" s="11">
        <v>9</v>
      </c>
      <c r="O4" s="11">
        <v>0</v>
      </c>
    </row>
    <row r="5" spans="1:15" s="4" customFormat="1" ht="18" customHeight="1" x14ac:dyDescent="0.2">
      <c r="A5" s="3" t="s">
        <v>62</v>
      </c>
      <c r="B5" s="39">
        <v>580467.68183200003</v>
      </c>
      <c r="C5" s="26">
        <v>46.114838749999997</v>
      </c>
      <c r="D5" s="26">
        <v>138.95065124999999</v>
      </c>
      <c r="E5" s="26">
        <v>39.54</v>
      </c>
      <c r="F5" s="26">
        <v>0</v>
      </c>
      <c r="G5" s="26">
        <v>0</v>
      </c>
      <c r="H5" s="26">
        <v>0</v>
      </c>
      <c r="I5" s="39">
        <v>1275372</v>
      </c>
      <c r="J5" s="26">
        <v>308</v>
      </c>
      <c r="K5" s="26">
        <v>946</v>
      </c>
      <c r="L5" s="26">
        <v>403</v>
      </c>
      <c r="M5" s="11">
        <v>0</v>
      </c>
      <c r="N5" s="11">
        <v>0</v>
      </c>
      <c r="O5" s="11">
        <v>0</v>
      </c>
    </row>
    <row r="6" spans="1:15" s="4" customFormat="1" ht="18" customHeight="1" x14ac:dyDescent="0.2">
      <c r="A6" s="3" t="s">
        <v>146</v>
      </c>
      <c r="B6" s="39">
        <v>580467.68183200003</v>
      </c>
      <c r="C6" s="26">
        <v>46.114838749999997</v>
      </c>
      <c r="D6" s="26">
        <v>138.95065124999999</v>
      </c>
      <c r="E6" s="26">
        <v>39.54</v>
      </c>
      <c r="F6" s="26">
        <v>0</v>
      </c>
      <c r="G6" s="26">
        <v>0</v>
      </c>
      <c r="H6" s="26">
        <v>0</v>
      </c>
      <c r="I6" s="39">
        <v>1275372</v>
      </c>
      <c r="J6" s="26">
        <v>308</v>
      </c>
      <c r="K6" s="26">
        <v>946</v>
      </c>
      <c r="L6" s="26">
        <v>403</v>
      </c>
      <c r="M6" s="11">
        <v>0</v>
      </c>
      <c r="N6" s="11">
        <v>0</v>
      </c>
      <c r="O6" s="11">
        <v>0</v>
      </c>
    </row>
    <row r="7" spans="1:15" s="4" customFormat="1" ht="14.25" customHeight="1" x14ac:dyDescent="0.2">
      <c r="A7" s="386" t="s">
        <v>592</v>
      </c>
      <c r="B7" s="386"/>
      <c r="C7" s="386"/>
      <c r="D7" s="386"/>
      <c r="E7" s="386"/>
      <c r="F7" s="386"/>
      <c r="G7" s="386"/>
      <c r="H7" s="386"/>
      <c r="I7" s="386"/>
    </row>
    <row r="8" spans="1:15" s="4" customFormat="1" ht="13.5" customHeight="1" x14ac:dyDescent="0.2">
      <c r="A8" s="386" t="s">
        <v>593</v>
      </c>
      <c r="B8" s="386"/>
      <c r="C8" s="386"/>
      <c r="D8" s="386"/>
      <c r="E8" s="386"/>
      <c r="F8" s="386"/>
      <c r="G8" s="386"/>
      <c r="H8" s="386"/>
      <c r="I8" s="386"/>
    </row>
    <row r="9" spans="1:15" s="4" customFormat="1" ht="13.5" customHeight="1" x14ac:dyDescent="0.2">
      <c r="A9" s="386" t="s">
        <v>594</v>
      </c>
      <c r="B9" s="386"/>
      <c r="C9" s="386"/>
      <c r="D9" s="386"/>
      <c r="E9" s="386"/>
      <c r="F9" s="386"/>
      <c r="G9" s="386"/>
      <c r="H9" s="386"/>
      <c r="I9" s="386"/>
    </row>
    <row r="10" spans="1:15" s="4" customFormat="1" ht="13.5" customHeight="1" x14ac:dyDescent="0.2">
      <c r="A10" s="386" t="s">
        <v>98</v>
      </c>
      <c r="B10" s="386"/>
      <c r="C10" s="386"/>
      <c r="D10" s="386"/>
      <c r="E10" s="386"/>
      <c r="F10" s="386"/>
      <c r="G10" s="386"/>
      <c r="H10" s="386"/>
      <c r="I10" s="386"/>
    </row>
    <row r="11" spans="1:15" s="4" customFormat="1" ht="13.5" customHeight="1" x14ac:dyDescent="0.2">
      <c r="A11" s="386" t="s">
        <v>575</v>
      </c>
      <c r="B11" s="386"/>
      <c r="C11" s="386"/>
      <c r="D11" s="386"/>
      <c r="E11" s="386"/>
      <c r="F11" s="386"/>
      <c r="G11" s="386"/>
      <c r="H11" s="386"/>
      <c r="I11" s="386"/>
    </row>
    <row r="12" spans="1:15" s="4" customFormat="1" ht="28.35" customHeight="1" x14ac:dyDescent="0.2"/>
  </sheetData>
  <mergeCells count="9">
    <mergeCell ref="A9:I9"/>
    <mergeCell ref="A10:I10"/>
    <mergeCell ref="A11:I11"/>
    <mergeCell ref="A1:I1"/>
    <mergeCell ref="A2:A3"/>
    <mergeCell ref="B2:H2"/>
    <mergeCell ref="I2:O2"/>
    <mergeCell ref="A7:I7"/>
    <mergeCell ref="A8:I8"/>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1"/>
  <sheetViews>
    <sheetView workbookViewId="0">
      <selection sqref="A1:G1"/>
    </sheetView>
  </sheetViews>
  <sheetFormatPr defaultRowHeight="12.75" x14ac:dyDescent="0.2"/>
  <cols>
    <col min="1" max="15" width="14.7109375" bestFit="1" customWidth="1"/>
    <col min="16" max="16" width="4.7109375" bestFit="1" customWidth="1"/>
  </cols>
  <sheetData>
    <row r="1" spans="1:15" ht="18.75" customHeight="1" x14ac:dyDescent="0.2">
      <c r="A1" s="398" t="s">
        <v>49</v>
      </c>
      <c r="B1" s="398"/>
      <c r="C1" s="398"/>
      <c r="D1" s="398"/>
      <c r="E1" s="398"/>
      <c r="F1" s="398"/>
      <c r="G1" s="398"/>
    </row>
    <row r="2" spans="1:15" s="4" customFormat="1" ht="18" customHeight="1" x14ac:dyDescent="0.2">
      <c r="A2" s="376" t="s">
        <v>220</v>
      </c>
      <c r="B2" s="465" t="s">
        <v>595</v>
      </c>
      <c r="C2" s="466"/>
      <c r="D2" s="466"/>
      <c r="E2" s="466"/>
      <c r="F2" s="466"/>
      <c r="G2" s="466"/>
      <c r="H2" s="467"/>
      <c r="I2" s="382" t="s">
        <v>596</v>
      </c>
      <c r="J2" s="408"/>
      <c r="K2" s="408"/>
      <c r="L2" s="408"/>
      <c r="M2" s="408"/>
      <c r="N2" s="408"/>
      <c r="O2" s="383"/>
    </row>
    <row r="3" spans="1:15" s="4" customFormat="1" ht="18" customHeight="1" x14ac:dyDescent="0.2">
      <c r="A3" s="378"/>
      <c r="B3" s="25" t="s">
        <v>584</v>
      </c>
      <c r="C3" s="25" t="s">
        <v>585</v>
      </c>
      <c r="D3" s="25" t="s">
        <v>586</v>
      </c>
      <c r="E3" s="25" t="s">
        <v>587</v>
      </c>
      <c r="F3" s="25" t="s">
        <v>588</v>
      </c>
      <c r="G3" s="25" t="s">
        <v>589</v>
      </c>
      <c r="H3" s="25" t="s">
        <v>590</v>
      </c>
      <c r="I3" s="25" t="s">
        <v>584</v>
      </c>
      <c r="J3" s="25" t="s">
        <v>585</v>
      </c>
      <c r="K3" s="25" t="s">
        <v>586</v>
      </c>
      <c r="L3" s="25" t="s">
        <v>587</v>
      </c>
      <c r="M3" s="25" t="s">
        <v>588</v>
      </c>
      <c r="N3" s="25" t="s">
        <v>589</v>
      </c>
      <c r="O3" s="25" t="s">
        <v>590</v>
      </c>
    </row>
    <row r="4" spans="1:15" s="4" customFormat="1" ht="18" customHeight="1" x14ac:dyDescent="0.2">
      <c r="A4" s="3" t="s">
        <v>597</v>
      </c>
      <c r="B4" s="39">
        <v>7978933.7980000004</v>
      </c>
      <c r="C4" s="39">
        <v>176061.2689</v>
      </c>
      <c r="D4" s="39">
        <v>226751.72229999999</v>
      </c>
      <c r="E4" s="26">
        <v>59106.090649999998</v>
      </c>
      <c r="F4" s="26">
        <v>42661.716330000003</v>
      </c>
      <c r="G4" s="26">
        <v>33643.821510000002</v>
      </c>
      <c r="H4" s="26">
        <v>1192.8246280000001</v>
      </c>
      <c r="I4" s="39">
        <v>4059718</v>
      </c>
      <c r="J4" s="26">
        <v>50501</v>
      </c>
      <c r="K4" s="26">
        <v>37698</v>
      </c>
      <c r="L4" s="26">
        <v>21801</v>
      </c>
      <c r="M4" s="11">
        <v>33796</v>
      </c>
      <c r="N4" s="11">
        <v>1978</v>
      </c>
      <c r="O4" s="11">
        <v>74</v>
      </c>
    </row>
    <row r="5" spans="1:15" s="4" customFormat="1" ht="18" customHeight="1" x14ac:dyDescent="0.2">
      <c r="A5" s="3" t="s">
        <v>170</v>
      </c>
      <c r="B5" s="39">
        <v>673980.51930000004</v>
      </c>
      <c r="C5" s="26">
        <v>10092.26059</v>
      </c>
      <c r="D5" s="26">
        <v>21981.229739999999</v>
      </c>
      <c r="E5" s="26">
        <v>3519.8797589999999</v>
      </c>
      <c r="F5" s="26">
        <v>897.44538039999998</v>
      </c>
      <c r="G5" s="26">
        <v>872.66994839999995</v>
      </c>
      <c r="H5" s="26">
        <v>11.079928539999999</v>
      </c>
      <c r="I5" s="39">
        <v>4911962</v>
      </c>
      <c r="J5" s="26">
        <v>49395</v>
      </c>
      <c r="K5" s="26">
        <v>32413</v>
      </c>
      <c r="L5" s="26">
        <v>23666</v>
      </c>
      <c r="M5" s="11">
        <v>42550</v>
      </c>
      <c r="N5" s="11">
        <v>2631</v>
      </c>
      <c r="O5" s="11">
        <v>64</v>
      </c>
    </row>
    <row r="6" spans="1:15" s="4" customFormat="1" ht="18" customHeight="1" x14ac:dyDescent="0.2">
      <c r="A6" s="3" t="s">
        <v>146</v>
      </c>
      <c r="B6" s="39">
        <v>673980.51930000004</v>
      </c>
      <c r="C6" s="26">
        <v>10092.26059</v>
      </c>
      <c r="D6" s="26">
        <v>21981.229739999999</v>
      </c>
      <c r="E6" s="26">
        <v>3519.8797589999999</v>
      </c>
      <c r="F6" s="26">
        <v>897.44538039999998</v>
      </c>
      <c r="G6" s="26">
        <v>872.66994839999995</v>
      </c>
      <c r="H6" s="26">
        <v>11.079928539999999</v>
      </c>
      <c r="I6" s="39">
        <v>4911962</v>
      </c>
      <c r="J6" s="26">
        <v>49395</v>
      </c>
      <c r="K6" s="26">
        <v>32413</v>
      </c>
      <c r="L6" s="26">
        <v>23666</v>
      </c>
      <c r="M6" s="11">
        <v>42550</v>
      </c>
      <c r="N6" s="11">
        <v>2631</v>
      </c>
      <c r="O6" s="11">
        <v>64</v>
      </c>
    </row>
    <row r="7" spans="1:15" s="4" customFormat="1" ht="14.25" customHeight="1" x14ac:dyDescent="0.2">
      <c r="A7" s="366" t="s">
        <v>598</v>
      </c>
      <c r="B7" s="366"/>
      <c r="C7" s="366"/>
      <c r="D7" s="366"/>
      <c r="E7" s="366"/>
      <c r="F7" s="366"/>
      <c r="G7" s="366"/>
      <c r="H7" s="366"/>
      <c r="I7" s="366"/>
    </row>
    <row r="8" spans="1:15" s="4" customFormat="1" ht="13.5" customHeight="1" x14ac:dyDescent="0.2">
      <c r="A8" s="366" t="s">
        <v>599</v>
      </c>
      <c r="B8" s="366"/>
      <c r="C8" s="366"/>
      <c r="D8" s="366"/>
      <c r="E8" s="366"/>
      <c r="F8" s="366"/>
      <c r="G8" s="366"/>
      <c r="H8" s="366"/>
      <c r="I8" s="366"/>
    </row>
    <row r="9" spans="1:15" s="4" customFormat="1" ht="13.5" customHeight="1" x14ac:dyDescent="0.2">
      <c r="A9" s="366" t="s">
        <v>98</v>
      </c>
      <c r="B9" s="366"/>
      <c r="C9" s="366"/>
      <c r="D9" s="366"/>
      <c r="E9" s="366"/>
      <c r="F9" s="366"/>
      <c r="G9" s="366"/>
      <c r="H9" s="366"/>
      <c r="I9" s="366"/>
    </row>
    <row r="10" spans="1:15" s="4" customFormat="1" ht="13.5" customHeight="1" x14ac:dyDescent="0.2">
      <c r="A10" s="366" t="s">
        <v>419</v>
      </c>
      <c r="B10" s="366"/>
      <c r="C10" s="366"/>
      <c r="D10" s="366"/>
      <c r="E10" s="366"/>
      <c r="F10" s="366"/>
      <c r="G10" s="366"/>
      <c r="H10" s="366"/>
      <c r="I10" s="366"/>
    </row>
    <row r="11" spans="1:15" s="4" customFormat="1" ht="24.6" customHeight="1" x14ac:dyDescent="0.2"/>
  </sheetData>
  <mergeCells count="8">
    <mergeCell ref="A9:I9"/>
    <mergeCell ref="A10:I10"/>
    <mergeCell ref="A1:G1"/>
    <mergeCell ref="A2:A3"/>
    <mergeCell ref="B2:H2"/>
    <mergeCell ref="I2:O2"/>
    <mergeCell ref="A7:I7"/>
    <mergeCell ref="A8:I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1"/>
  <sheetViews>
    <sheetView workbookViewId="0">
      <selection sqref="A1:G1"/>
    </sheetView>
  </sheetViews>
  <sheetFormatPr defaultRowHeight="12.75" x14ac:dyDescent="0.2"/>
  <cols>
    <col min="1" max="9" width="14.7109375" bestFit="1" customWidth="1"/>
    <col min="10" max="10" width="5" bestFit="1" customWidth="1"/>
  </cols>
  <sheetData>
    <row r="1" spans="1:9" ht="18.75" customHeight="1" x14ac:dyDescent="0.2">
      <c r="A1" s="398" t="s">
        <v>600</v>
      </c>
      <c r="B1" s="398"/>
      <c r="C1" s="398"/>
      <c r="D1" s="398"/>
      <c r="E1" s="398"/>
      <c r="F1" s="398"/>
      <c r="G1" s="398"/>
    </row>
    <row r="2" spans="1:9" s="4" customFormat="1" ht="27" customHeight="1" x14ac:dyDescent="0.2">
      <c r="A2" s="376" t="s">
        <v>220</v>
      </c>
      <c r="B2" s="465" t="s">
        <v>258</v>
      </c>
      <c r="C2" s="466"/>
      <c r="D2" s="466"/>
      <c r="E2" s="467"/>
      <c r="F2" s="468" t="s">
        <v>601</v>
      </c>
      <c r="G2" s="469"/>
      <c r="H2" s="469"/>
      <c r="I2" s="470"/>
    </row>
    <row r="3" spans="1:9" s="4" customFormat="1" ht="18" customHeight="1" x14ac:dyDescent="0.2">
      <c r="A3" s="378"/>
      <c r="B3" s="25" t="s">
        <v>584</v>
      </c>
      <c r="C3" s="25" t="s">
        <v>585</v>
      </c>
      <c r="D3" s="25" t="s">
        <v>586</v>
      </c>
      <c r="E3" s="25" t="s">
        <v>587</v>
      </c>
      <c r="F3" s="25" t="s">
        <v>584</v>
      </c>
      <c r="G3" s="25" t="s">
        <v>585</v>
      </c>
      <c r="H3" s="25" t="s">
        <v>586</v>
      </c>
      <c r="I3" s="25" t="s">
        <v>587</v>
      </c>
    </row>
    <row r="4" spans="1:9" s="4" customFormat="1" ht="18" customHeight="1" x14ac:dyDescent="0.2">
      <c r="A4" s="3" t="s">
        <v>61</v>
      </c>
      <c r="B4" s="26">
        <v>45388.394359999998</v>
      </c>
      <c r="C4" s="26">
        <v>682.56191230000002</v>
      </c>
      <c r="D4" s="26">
        <v>1144.123063</v>
      </c>
      <c r="E4" s="26">
        <v>21.812767000000001</v>
      </c>
      <c r="F4" s="26">
        <v>18649</v>
      </c>
      <c r="G4" s="26">
        <v>53</v>
      </c>
      <c r="H4" s="26">
        <v>7</v>
      </c>
      <c r="I4" s="26">
        <v>6</v>
      </c>
    </row>
    <row r="5" spans="1:9" s="4" customFormat="1" ht="18" customHeight="1" x14ac:dyDescent="0.2">
      <c r="A5" s="3" t="s">
        <v>62</v>
      </c>
      <c r="B5" s="26">
        <v>2659.6614300000001</v>
      </c>
      <c r="C5" s="26">
        <v>60.362018249999998</v>
      </c>
      <c r="D5" s="26">
        <v>59.801301250000002</v>
      </c>
      <c r="E5" s="26">
        <v>0.51313149999999996</v>
      </c>
      <c r="F5" s="26">
        <v>16184</v>
      </c>
      <c r="G5" s="26">
        <v>1593</v>
      </c>
      <c r="H5" s="26">
        <v>1629</v>
      </c>
      <c r="I5" s="26">
        <v>6</v>
      </c>
    </row>
    <row r="6" spans="1:9" s="4" customFormat="1" ht="18" customHeight="1" x14ac:dyDescent="0.2">
      <c r="A6" s="3" t="s">
        <v>146</v>
      </c>
      <c r="B6" s="26">
        <v>2659.6614300000001</v>
      </c>
      <c r="C6" s="26">
        <v>60.362018249999998</v>
      </c>
      <c r="D6" s="26">
        <v>59.801301250000002</v>
      </c>
      <c r="E6" s="26">
        <v>0.51313149999999996</v>
      </c>
      <c r="F6" s="26">
        <v>16184</v>
      </c>
      <c r="G6" s="26">
        <v>1593</v>
      </c>
      <c r="H6" s="26">
        <v>1629</v>
      </c>
      <c r="I6" s="26">
        <v>6</v>
      </c>
    </row>
    <row r="7" spans="1:9" s="4" customFormat="1" ht="14.25" customHeight="1" x14ac:dyDescent="0.2">
      <c r="A7" s="366" t="s">
        <v>602</v>
      </c>
      <c r="B7" s="366"/>
      <c r="C7" s="366"/>
      <c r="D7" s="366"/>
      <c r="E7" s="366"/>
      <c r="F7" s="366"/>
      <c r="G7" s="366"/>
      <c r="H7" s="366"/>
      <c r="I7" s="366"/>
    </row>
    <row r="8" spans="1:9" s="4" customFormat="1" ht="13.5" customHeight="1" x14ac:dyDescent="0.2">
      <c r="A8" s="366" t="s">
        <v>603</v>
      </c>
      <c r="B8" s="366"/>
      <c r="C8" s="366"/>
      <c r="D8" s="366"/>
      <c r="E8" s="366"/>
      <c r="F8" s="366"/>
      <c r="G8" s="366"/>
      <c r="H8" s="366"/>
      <c r="I8" s="366"/>
    </row>
    <row r="9" spans="1:9" s="4" customFormat="1" ht="13.5" customHeight="1" x14ac:dyDescent="0.2">
      <c r="A9" s="366" t="s">
        <v>98</v>
      </c>
      <c r="B9" s="366"/>
      <c r="C9" s="366"/>
      <c r="D9" s="366"/>
      <c r="E9" s="366"/>
      <c r="F9" s="366"/>
      <c r="G9" s="366"/>
      <c r="H9" s="366"/>
      <c r="I9" s="366"/>
    </row>
    <row r="10" spans="1:9" s="4" customFormat="1" ht="13.5" customHeight="1" x14ac:dyDescent="0.2">
      <c r="A10" s="366" t="s">
        <v>280</v>
      </c>
      <c r="B10" s="366"/>
      <c r="C10" s="366"/>
      <c r="D10" s="366"/>
      <c r="E10" s="366"/>
      <c r="F10" s="366"/>
      <c r="G10" s="366"/>
      <c r="H10" s="366"/>
      <c r="I10" s="366"/>
    </row>
    <row r="11" spans="1:9" s="4" customFormat="1" ht="24.6" customHeight="1" x14ac:dyDescent="0.2"/>
  </sheetData>
  <mergeCells count="8">
    <mergeCell ref="A9:I9"/>
    <mergeCell ref="A10:I10"/>
    <mergeCell ref="A1:G1"/>
    <mergeCell ref="A2:A3"/>
    <mergeCell ref="B2:E2"/>
    <mergeCell ref="F2:I2"/>
    <mergeCell ref="A7:I7"/>
    <mergeCell ref="A8:I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workbookViewId="0">
      <selection sqref="A1:J1"/>
    </sheetView>
  </sheetViews>
  <sheetFormatPr defaultRowHeight="12.75" x14ac:dyDescent="0.2"/>
  <cols>
    <col min="1" max="9" width="12.140625" bestFit="1" customWidth="1"/>
    <col min="10" max="10" width="22.42578125" bestFit="1" customWidth="1"/>
    <col min="11" max="11" width="4.7109375" bestFit="1" customWidth="1"/>
  </cols>
  <sheetData>
    <row r="1" spans="1:10" ht="13.5" customHeight="1" x14ac:dyDescent="0.2">
      <c r="A1" s="443" t="s">
        <v>604</v>
      </c>
      <c r="B1" s="443"/>
      <c r="C1" s="443"/>
      <c r="D1" s="443"/>
      <c r="E1" s="443"/>
      <c r="F1" s="443"/>
      <c r="G1" s="443"/>
      <c r="H1" s="443"/>
      <c r="I1" s="443"/>
      <c r="J1" s="443"/>
    </row>
    <row r="2" spans="1:10" s="4" customFormat="1" ht="19.5" customHeight="1" x14ac:dyDescent="0.2">
      <c r="A2" s="376" t="s">
        <v>220</v>
      </c>
      <c r="B2" s="382" t="s">
        <v>569</v>
      </c>
      <c r="C2" s="408"/>
      <c r="D2" s="408"/>
      <c r="E2" s="383"/>
      <c r="F2" s="382" t="s">
        <v>577</v>
      </c>
      <c r="G2" s="408"/>
      <c r="H2" s="408"/>
      <c r="I2" s="383"/>
    </row>
    <row r="3" spans="1:10" s="4" customFormat="1" ht="15" customHeight="1" x14ac:dyDescent="0.2">
      <c r="A3" s="378"/>
      <c r="B3" s="25" t="s">
        <v>605</v>
      </c>
      <c r="C3" s="25" t="s">
        <v>606</v>
      </c>
      <c r="D3" s="25" t="s">
        <v>607</v>
      </c>
      <c r="E3" s="25" t="s">
        <v>608</v>
      </c>
      <c r="F3" s="25" t="s">
        <v>605</v>
      </c>
      <c r="G3" s="25" t="s">
        <v>606</v>
      </c>
      <c r="H3" s="25" t="s">
        <v>607</v>
      </c>
      <c r="I3" s="25" t="s">
        <v>608</v>
      </c>
    </row>
    <row r="4" spans="1:10" s="4" customFormat="1" ht="17.25" customHeight="1" x14ac:dyDescent="0.2">
      <c r="A4" s="3" t="s">
        <v>61</v>
      </c>
      <c r="B4" s="39">
        <v>2821842.199</v>
      </c>
      <c r="C4" s="39">
        <v>328321.59350000002</v>
      </c>
      <c r="D4" s="26">
        <v>9826.4511000000002</v>
      </c>
      <c r="E4" s="26">
        <v>1918.3598999999999</v>
      </c>
      <c r="F4" s="39">
        <v>3701091.8676</v>
      </c>
      <c r="G4" s="39">
        <v>315307.1482</v>
      </c>
      <c r="H4" s="26">
        <v>1160.0513000000001</v>
      </c>
      <c r="I4" s="26">
        <v>127.16419999999999</v>
      </c>
    </row>
    <row r="5" spans="1:10" s="4" customFormat="1" ht="17.25" customHeight="1" x14ac:dyDescent="0.2">
      <c r="A5" s="3" t="s">
        <v>62</v>
      </c>
      <c r="B5" s="39">
        <v>169144.1545</v>
      </c>
      <c r="C5" s="26">
        <v>24434.4012</v>
      </c>
      <c r="D5" s="26">
        <v>317.72539999999998</v>
      </c>
      <c r="E5" s="26">
        <v>10.6563</v>
      </c>
      <c r="F5" s="39">
        <v>327257.38189999998</v>
      </c>
      <c r="G5" s="26">
        <v>27355.288199999999</v>
      </c>
      <c r="H5" s="26">
        <v>3.9958999999999998</v>
      </c>
      <c r="I5" s="26">
        <v>0</v>
      </c>
    </row>
    <row r="6" spans="1:10" s="4" customFormat="1" ht="17.25" customHeight="1" x14ac:dyDescent="0.2">
      <c r="A6" s="3" t="s">
        <v>146</v>
      </c>
      <c r="B6" s="39">
        <v>169144.1545</v>
      </c>
      <c r="C6" s="26">
        <v>24434.4012</v>
      </c>
      <c r="D6" s="26">
        <v>317.72539999999998</v>
      </c>
      <c r="E6" s="26">
        <v>10.6563</v>
      </c>
      <c r="F6" s="39">
        <v>327257.38189999998</v>
      </c>
      <c r="G6" s="26">
        <v>27355.288199999999</v>
      </c>
      <c r="H6" s="26">
        <v>3.9958999999999998</v>
      </c>
      <c r="I6" s="26">
        <v>0</v>
      </c>
    </row>
    <row r="7" spans="1:10" s="4" customFormat="1" ht="15" customHeight="1" x14ac:dyDescent="0.2">
      <c r="A7" s="386" t="s">
        <v>98</v>
      </c>
      <c r="B7" s="386"/>
      <c r="C7" s="386"/>
      <c r="D7" s="386"/>
      <c r="E7" s="386"/>
      <c r="F7" s="386"/>
      <c r="G7" s="386"/>
      <c r="H7" s="386"/>
      <c r="I7" s="386"/>
    </row>
    <row r="8" spans="1:10" s="4" customFormat="1" ht="13.5" customHeight="1" x14ac:dyDescent="0.2">
      <c r="A8" s="386" t="s">
        <v>575</v>
      </c>
      <c r="B8" s="386"/>
      <c r="C8" s="386"/>
      <c r="D8" s="386"/>
      <c r="E8" s="386"/>
      <c r="F8" s="386"/>
      <c r="G8" s="386"/>
      <c r="H8" s="386"/>
      <c r="I8" s="386"/>
    </row>
    <row r="9" spans="1:10" s="4" customFormat="1" ht="28.35" customHeight="1" x14ac:dyDescent="0.2"/>
  </sheetData>
  <mergeCells count="6">
    <mergeCell ref="A8:I8"/>
    <mergeCell ref="A1:J1"/>
    <mergeCell ref="A2:A3"/>
    <mergeCell ref="B2:E2"/>
    <mergeCell ref="F2:I2"/>
    <mergeCell ref="A7:I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
  <sheetViews>
    <sheetView workbookViewId="0">
      <selection sqref="A1:I1"/>
    </sheetView>
  </sheetViews>
  <sheetFormatPr defaultRowHeight="12.75" x14ac:dyDescent="0.2"/>
  <cols>
    <col min="1" max="8" width="12.140625" bestFit="1" customWidth="1"/>
    <col min="9" max="9" width="12.42578125" bestFit="1" customWidth="1"/>
    <col min="10" max="10" width="4.7109375" bestFit="1" customWidth="1"/>
  </cols>
  <sheetData>
    <row r="1" spans="1:9" ht="17.25" customHeight="1" x14ac:dyDescent="0.2">
      <c r="A1" s="413" t="s">
        <v>609</v>
      </c>
      <c r="B1" s="413"/>
      <c r="C1" s="413"/>
      <c r="D1" s="413"/>
      <c r="E1" s="413"/>
      <c r="F1" s="413"/>
      <c r="G1" s="413"/>
      <c r="H1" s="413"/>
      <c r="I1" s="413"/>
    </row>
    <row r="2" spans="1:9" s="4" customFormat="1" ht="18" customHeight="1" x14ac:dyDescent="0.2">
      <c r="A2" s="404" t="s">
        <v>220</v>
      </c>
      <c r="B2" s="382" t="s">
        <v>610</v>
      </c>
      <c r="C2" s="408"/>
      <c r="D2" s="408"/>
      <c r="E2" s="383"/>
      <c r="F2" s="382" t="s">
        <v>577</v>
      </c>
      <c r="G2" s="408"/>
      <c r="H2" s="408"/>
      <c r="I2" s="383"/>
    </row>
    <row r="3" spans="1:9" s="4" customFormat="1" ht="18" customHeight="1" x14ac:dyDescent="0.2">
      <c r="A3" s="405"/>
      <c r="B3" s="25" t="s">
        <v>605</v>
      </c>
      <c r="C3" s="25" t="s">
        <v>611</v>
      </c>
      <c r="D3" s="25" t="s">
        <v>607</v>
      </c>
      <c r="E3" s="25" t="s">
        <v>608</v>
      </c>
      <c r="F3" s="25" t="s">
        <v>605</v>
      </c>
      <c r="G3" s="25" t="s">
        <v>606</v>
      </c>
      <c r="H3" s="25" t="s">
        <v>607</v>
      </c>
      <c r="I3" s="25" t="s">
        <v>608</v>
      </c>
    </row>
    <row r="4" spans="1:9" s="4" customFormat="1" ht="18" customHeight="1" x14ac:dyDescent="0.2">
      <c r="A4" s="3" t="s">
        <v>61</v>
      </c>
      <c r="B4" s="39">
        <v>3719229.9870000002</v>
      </c>
      <c r="C4" s="39">
        <v>828483.42599999998</v>
      </c>
      <c r="D4" s="26">
        <v>70716.607310000007</v>
      </c>
      <c r="E4" s="26">
        <v>36497.05371</v>
      </c>
      <c r="F4" s="39">
        <v>2646030.736</v>
      </c>
      <c r="G4" s="39">
        <v>578570.96849999996</v>
      </c>
      <c r="H4" s="39">
        <v>242227.87289999999</v>
      </c>
      <c r="I4" s="39">
        <v>396594.59090000001</v>
      </c>
    </row>
    <row r="5" spans="1:9" s="4" customFormat="1" ht="18" customHeight="1" x14ac:dyDescent="0.2">
      <c r="A5" s="3" t="s">
        <v>62</v>
      </c>
      <c r="B5" s="39">
        <v>277112.51935000002</v>
      </c>
      <c r="C5" s="26">
        <v>74400.988528000002</v>
      </c>
      <c r="D5" s="26">
        <v>6549.2537249999996</v>
      </c>
      <c r="E5" s="26">
        <v>3222.1359050000001</v>
      </c>
      <c r="F5" s="39">
        <v>189409.033318</v>
      </c>
      <c r="G5" s="26">
        <v>47929.713660000001</v>
      </c>
      <c r="H5" s="26">
        <v>42277.962519000001</v>
      </c>
      <c r="I5" s="26">
        <v>70453.477618000004</v>
      </c>
    </row>
    <row r="6" spans="1:9" s="4" customFormat="1" ht="18" customHeight="1" x14ac:dyDescent="0.2">
      <c r="A6" s="3" t="s">
        <v>146</v>
      </c>
      <c r="B6" s="39">
        <v>277112.51935000002</v>
      </c>
      <c r="C6" s="26">
        <v>74400.988528000002</v>
      </c>
      <c r="D6" s="26">
        <v>6549.2537249999996</v>
      </c>
      <c r="E6" s="26">
        <v>3222.1359050000001</v>
      </c>
      <c r="F6" s="39">
        <v>189409.033318</v>
      </c>
      <c r="G6" s="26">
        <v>47929.713660000001</v>
      </c>
      <c r="H6" s="26">
        <v>42277.962519000001</v>
      </c>
      <c r="I6" s="26">
        <v>70453.477618000004</v>
      </c>
    </row>
    <row r="7" spans="1:9" s="4" customFormat="1" ht="15" customHeight="1" x14ac:dyDescent="0.2">
      <c r="A7" s="366" t="s">
        <v>98</v>
      </c>
      <c r="B7" s="366"/>
      <c r="C7" s="366"/>
      <c r="D7" s="366"/>
      <c r="E7" s="366"/>
      <c r="F7" s="366"/>
      <c r="G7" s="366"/>
      <c r="H7" s="366"/>
      <c r="I7" s="366"/>
    </row>
    <row r="8" spans="1:9" s="4" customFormat="1" ht="13.5" customHeight="1" x14ac:dyDescent="0.2">
      <c r="A8" s="366" t="s">
        <v>419</v>
      </c>
      <c r="B8" s="366"/>
      <c r="C8" s="366"/>
      <c r="D8" s="366"/>
      <c r="E8" s="366"/>
      <c r="F8" s="366"/>
      <c r="G8" s="366"/>
      <c r="H8" s="366"/>
      <c r="I8" s="366"/>
    </row>
    <row r="9" spans="1:9" s="4" customFormat="1" ht="26.1" customHeight="1" x14ac:dyDescent="0.2"/>
  </sheetData>
  <mergeCells count="6">
    <mergeCell ref="A8:I8"/>
    <mergeCell ref="A1:I1"/>
    <mergeCell ref="A2:A3"/>
    <mergeCell ref="B2:E2"/>
    <mergeCell ref="F2:I2"/>
    <mergeCell ref="A7:I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
  <sheetViews>
    <sheetView workbookViewId="0">
      <selection sqref="A1:I1"/>
    </sheetView>
  </sheetViews>
  <sheetFormatPr defaultRowHeight="12.75" x14ac:dyDescent="0.2"/>
  <cols>
    <col min="1" max="9" width="12.140625" bestFit="1" customWidth="1"/>
    <col min="10" max="10" width="4.7109375" bestFit="1" customWidth="1"/>
  </cols>
  <sheetData>
    <row r="1" spans="1:9" ht="15.75" customHeight="1" x14ac:dyDescent="0.2">
      <c r="A1" s="413" t="s">
        <v>612</v>
      </c>
      <c r="B1" s="413"/>
      <c r="C1" s="413"/>
      <c r="D1" s="413"/>
      <c r="E1" s="413"/>
      <c r="F1" s="413"/>
      <c r="G1" s="413"/>
      <c r="H1" s="413"/>
      <c r="I1" s="413"/>
    </row>
    <row r="2" spans="1:9" s="4" customFormat="1" ht="18" customHeight="1" x14ac:dyDescent="0.2">
      <c r="A2" s="404" t="s">
        <v>220</v>
      </c>
      <c r="B2" s="382" t="s">
        <v>610</v>
      </c>
      <c r="C2" s="408"/>
      <c r="D2" s="408"/>
      <c r="E2" s="383"/>
      <c r="F2" s="382" t="s">
        <v>577</v>
      </c>
      <c r="G2" s="408"/>
      <c r="H2" s="408"/>
      <c r="I2" s="383"/>
    </row>
    <row r="3" spans="1:9" s="4" customFormat="1" ht="18" customHeight="1" x14ac:dyDescent="0.2">
      <c r="A3" s="405"/>
      <c r="B3" s="25" t="s">
        <v>605</v>
      </c>
      <c r="C3" s="25" t="s">
        <v>611</v>
      </c>
      <c r="D3" s="25" t="s">
        <v>607</v>
      </c>
      <c r="E3" s="25" t="s">
        <v>608</v>
      </c>
      <c r="F3" s="25" t="s">
        <v>605</v>
      </c>
      <c r="G3" s="25" t="s">
        <v>606</v>
      </c>
      <c r="H3" s="25" t="s">
        <v>607</v>
      </c>
      <c r="I3" s="25" t="s">
        <v>608</v>
      </c>
    </row>
    <row r="4" spans="1:9" s="4" customFormat="1" ht="17.25" customHeight="1" x14ac:dyDescent="0.2">
      <c r="A4" s="3" t="s">
        <v>61</v>
      </c>
      <c r="B4" s="26">
        <v>33138.896777745998</v>
      </c>
      <c r="C4" s="26">
        <v>4977.6412007500003</v>
      </c>
      <c r="D4" s="26">
        <v>55.156286999999999</v>
      </c>
      <c r="E4" s="26">
        <v>22.945404499999999</v>
      </c>
      <c r="F4" s="26">
        <v>5702.8547054999999</v>
      </c>
      <c r="G4" s="26">
        <v>3164.63356475</v>
      </c>
      <c r="H4" s="26">
        <v>176.3905</v>
      </c>
      <c r="I4" s="26">
        <v>0</v>
      </c>
    </row>
    <row r="5" spans="1:9" s="4" customFormat="1" ht="17.25" customHeight="1" x14ac:dyDescent="0.2">
      <c r="A5" s="3" t="s">
        <v>62</v>
      </c>
      <c r="B5" s="26">
        <v>1612.0490542499999</v>
      </c>
      <c r="C5" s="26">
        <v>92.481731999999994</v>
      </c>
      <c r="D5" s="26">
        <v>1.4069999999999999E-2</v>
      </c>
      <c r="E5" s="26">
        <v>0</v>
      </c>
      <c r="F5" s="26">
        <v>1048.27211225</v>
      </c>
      <c r="G5" s="26">
        <v>27.520912500000001</v>
      </c>
      <c r="H5" s="26">
        <v>0</v>
      </c>
      <c r="I5" s="26">
        <v>0</v>
      </c>
    </row>
    <row r="6" spans="1:9" s="4" customFormat="1" ht="17.25" customHeight="1" x14ac:dyDescent="0.2">
      <c r="A6" s="3" t="s">
        <v>146</v>
      </c>
      <c r="B6" s="26">
        <v>1612.0490542499999</v>
      </c>
      <c r="C6" s="26">
        <v>92.481731999999994</v>
      </c>
      <c r="D6" s="26">
        <v>1.4069999999999999E-2</v>
      </c>
      <c r="E6" s="26">
        <v>0</v>
      </c>
      <c r="F6" s="26">
        <v>1048.27211225</v>
      </c>
      <c r="G6" s="26">
        <v>27.520912500000001</v>
      </c>
      <c r="H6" s="26">
        <v>0</v>
      </c>
      <c r="I6" s="26">
        <v>0</v>
      </c>
    </row>
    <row r="7" spans="1:9" s="4" customFormat="1" ht="15" customHeight="1" x14ac:dyDescent="0.2">
      <c r="A7" s="386" t="s">
        <v>98</v>
      </c>
      <c r="B7" s="386"/>
      <c r="C7" s="386"/>
      <c r="D7" s="386"/>
      <c r="E7" s="386"/>
      <c r="F7" s="386"/>
      <c r="G7" s="386"/>
      <c r="H7" s="386"/>
      <c r="I7" s="386"/>
    </row>
    <row r="8" spans="1:9" s="4" customFormat="1" ht="13.5" customHeight="1" x14ac:dyDescent="0.2">
      <c r="A8" s="386" t="s">
        <v>280</v>
      </c>
      <c r="B8" s="386"/>
      <c r="C8" s="386"/>
      <c r="D8" s="386"/>
      <c r="E8" s="386"/>
      <c r="F8" s="386"/>
      <c r="G8" s="386"/>
      <c r="H8" s="386"/>
      <c r="I8" s="386"/>
    </row>
    <row r="9" spans="1:9" s="4" customFormat="1" ht="27.6" customHeight="1" x14ac:dyDescent="0.2"/>
  </sheetData>
  <mergeCells count="6">
    <mergeCell ref="A8:I8"/>
    <mergeCell ref="A1:I1"/>
    <mergeCell ref="A2:A3"/>
    <mergeCell ref="B2:E2"/>
    <mergeCell ref="F2:I2"/>
    <mergeCell ref="A7:I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workbookViewId="0">
      <selection sqref="A1:M1"/>
    </sheetView>
  </sheetViews>
  <sheetFormatPr defaultRowHeight="12.75" x14ac:dyDescent="0.2"/>
  <cols>
    <col min="1" max="1" width="12.140625" bestFit="1" customWidth="1"/>
    <col min="2" max="2" width="8.28515625" bestFit="1" customWidth="1"/>
    <col min="3" max="3" width="10.140625" bestFit="1" customWidth="1"/>
    <col min="4" max="4" width="13" bestFit="1" customWidth="1"/>
    <col min="5" max="5" width="10.140625" bestFit="1" customWidth="1"/>
    <col min="6" max="6" width="12.7109375" bestFit="1" customWidth="1"/>
    <col min="7" max="7" width="11.42578125" bestFit="1" customWidth="1"/>
    <col min="8" max="8" width="12.7109375" bestFit="1" customWidth="1"/>
    <col min="9" max="9" width="8.28515625" bestFit="1" customWidth="1"/>
    <col min="10" max="10" width="14.140625" bestFit="1" customWidth="1"/>
    <col min="11" max="14" width="12.140625" bestFit="1" customWidth="1"/>
    <col min="15" max="15" width="4.7109375" bestFit="1" customWidth="1"/>
  </cols>
  <sheetData>
    <row r="1" spans="1:14" ht="15.75" customHeight="1" x14ac:dyDescent="0.2">
      <c r="A1" s="364" t="s">
        <v>54</v>
      </c>
      <c r="B1" s="364"/>
      <c r="C1" s="364"/>
      <c r="D1" s="364"/>
      <c r="E1" s="364"/>
      <c r="F1" s="364"/>
      <c r="G1" s="364"/>
      <c r="H1" s="364"/>
      <c r="I1" s="364"/>
      <c r="J1" s="364"/>
      <c r="K1" s="364"/>
      <c r="L1" s="364"/>
      <c r="M1" s="364"/>
    </row>
    <row r="2" spans="1:14" s="4" customFormat="1" ht="19.5" customHeight="1" x14ac:dyDescent="0.2">
      <c r="A2" s="368" t="s">
        <v>164</v>
      </c>
      <c r="B2" s="368" t="s">
        <v>255</v>
      </c>
      <c r="C2" s="388" t="s">
        <v>227</v>
      </c>
      <c r="D2" s="389"/>
      <c r="E2" s="389"/>
      <c r="F2" s="390"/>
      <c r="G2" s="388" t="s">
        <v>228</v>
      </c>
      <c r="H2" s="389"/>
      <c r="I2" s="389"/>
      <c r="J2" s="390"/>
      <c r="K2" s="388" t="s">
        <v>229</v>
      </c>
      <c r="L2" s="389"/>
      <c r="M2" s="389"/>
      <c r="N2" s="390"/>
    </row>
    <row r="3" spans="1:14" s="4" customFormat="1" ht="36" customHeight="1" x14ac:dyDescent="0.2">
      <c r="A3" s="436"/>
      <c r="B3" s="436"/>
      <c r="C3" s="388" t="s">
        <v>613</v>
      </c>
      <c r="D3" s="390"/>
      <c r="E3" s="384" t="s">
        <v>614</v>
      </c>
      <c r="F3" s="385"/>
      <c r="G3" s="388" t="s">
        <v>613</v>
      </c>
      <c r="H3" s="390"/>
      <c r="I3" s="384" t="s">
        <v>614</v>
      </c>
      <c r="J3" s="385"/>
      <c r="K3" s="388" t="s">
        <v>615</v>
      </c>
      <c r="L3" s="390"/>
      <c r="M3" s="388" t="s">
        <v>616</v>
      </c>
      <c r="N3" s="390"/>
    </row>
    <row r="4" spans="1:14" s="4" customFormat="1" ht="39" customHeight="1" x14ac:dyDescent="0.2">
      <c r="A4" s="369"/>
      <c r="B4" s="369"/>
      <c r="C4" s="9" t="s">
        <v>572</v>
      </c>
      <c r="D4" s="16" t="s">
        <v>617</v>
      </c>
      <c r="E4" s="9" t="s">
        <v>572</v>
      </c>
      <c r="F4" s="16" t="s">
        <v>617</v>
      </c>
      <c r="G4" s="17" t="s">
        <v>531</v>
      </c>
      <c r="H4" s="16" t="s">
        <v>617</v>
      </c>
      <c r="I4" s="17" t="s">
        <v>531</v>
      </c>
      <c r="J4" s="16" t="s">
        <v>574</v>
      </c>
      <c r="K4" s="9" t="s">
        <v>573</v>
      </c>
      <c r="L4" s="16" t="s">
        <v>617</v>
      </c>
      <c r="M4" s="9" t="s">
        <v>572</v>
      </c>
      <c r="N4" s="16" t="s">
        <v>574</v>
      </c>
    </row>
    <row r="5" spans="1:14" s="4" customFormat="1" ht="27" customHeight="1" x14ac:dyDescent="0.2">
      <c r="A5" s="3" t="s">
        <v>61</v>
      </c>
      <c r="B5" s="32">
        <v>243</v>
      </c>
      <c r="C5" s="39">
        <v>5901468</v>
      </c>
      <c r="D5" s="39">
        <v>111222.2865</v>
      </c>
      <c r="E5" s="26">
        <v>60205</v>
      </c>
      <c r="F5" s="26">
        <v>1214.22427672</v>
      </c>
      <c r="G5" s="42">
        <v>12764150</v>
      </c>
      <c r="H5" s="39">
        <v>245407.1838</v>
      </c>
      <c r="I5" s="39">
        <v>103589</v>
      </c>
      <c r="J5" s="26">
        <v>2054.4424410000001</v>
      </c>
      <c r="K5" s="26">
        <v>0</v>
      </c>
      <c r="L5" s="26">
        <v>0</v>
      </c>
      <c r="M5" s="26">
        <v>0</v>
      </c>
      <c r="N5" s="26">
        <v>0</v>
      </c>
    </row>
    <row r="6" spans="1:14" s="4" customFormat="1" ht="27" customHeight="1" x14ac:dyDescent="0.2">
      <c r="A6" s="3" t="s">
        <v>62</v>
      </c>
      <c r="B6" s="32">
        <v>18</v>
      </c>
      <c r="C6" s="39">
        <v>246140</v>
      </c>
      <c r="D6" s="26">
        <v>4738.1117999999997</v>
      </c>
      <c r="E6" s="26">
        <v>66107</v>
      </c>
      <c r="F6" s="26">
        <v>1319.5983174600001</v>
      </c>
      <c r="G6" s="39">
        <v>1232112</v>
      </c>
      <c r="H6" s="26">
        <v>24097.958119999999</v>
      </c>
      <c r="I6" s="39">
        <v>122799</v>
      </c>
      <c r="J6" s="26">
        <v>2431.9299999999998</v>
      </c>
      <c r="K6" s="26">
        <v>0</v>
      </c>
      <c r="L6" s="26">
        <v>0</v>
      </c>
      <c r="M6" s="26">
        <v>0</v>
      </c>
      <c r="N6" s="26">
        <v>0</v>
      </c>
    </row>
    <row r="7" spans="1:14" s="4" customFormat="1" ht="27" customHeight="1" x14ac:dyDescent="0.2">
      <c r="A7" s="3" t="s">
        <v>146</v>
      </c>
      <c r="B7" s="32">
        <v>18</v>
      </c>
      <c r="C7" s="39">
        <v>246140</v>
      </c>
      <c r="D7" s="26">
        <v>4738.1117999999997</v>
      </c>
      <c r="E7" s="26">
        <v>66107</v>
      </c>
      <c r="F7" s="26">
        <v>1319.5983174600001</v>
      </c>
      <c r="G7" s="39">
        <v>1232112</v>
      </c>
      <c r="H7" s="26">
        <v>24097.958119999999</v>
      </c>
      <c r="I7" s="39">
        <v>122799</v>
      </c>
      <c r="J7" s="26">
        <v>2431.9299999999998</v>
      </c>
      <c r="K7" s="26">
        <v>0</v>
      </c>
      <c r="L7" s="26">
        <v>0</v>
      </c>
      <c r="M7" s="26">
        <v>0</v>
      </c>
      <c r="N7" s="26">
        <v>0</v>
      </c>
    </row>
    <row r="8" spans="1:14" s="4" customFormat="1" ht="19.5" customHeight="1" x14ac:dyDescent="0.2">
      <c r="A8" s="386" t="s">
        <v>98</v>
      </c>
      <c r="B8" s="386"/>
      <c r="C8" s="386"/>
      <c r="D8" s="386"/>
      <c r="E8" s="386"/>
      <c r="F8" s="386"/>
      <c r="G8" s="386"/>
      <c r="H8" s="386"/>
      <c r="I8" s="386"/>
      <c r="J8" s="386"/>
      <c r="K8" s="386"/>
      <c r="L8" s="386"/>
      <c r="M8" s="386"/>
      <c r="N8" s="386"/>
    </row>
    <row r="9" spans="1:14" s="4" customFormat="1" ht="18" customHeight="1" x14ac:dyDescent="0.2">
      <c r="A9" s="386" t="s">
        <v>618</v>
      </c>
      <c r="B9" s="386"/>
      <c r="C9" s="386"/>
      <c r="D9" s="386"/>
      <c r="E9" s="386"/>
      <c r="F9" s="386"/>
      <c r="G9" s="386"/>
      <c r="H9" s="386"/>
      <c r="I9" s="386"/>
      <c r="J9" s="386"/>
      <c r="K9" s="386"/>
      <c r="L9" s="386"/>
      <c r="M9" s="386"/>
      <c r="N9" s="386"/>
    </row>
    <row r="10" spans="1:14" s="4" customFormat="1" ht="27.6" customHeight="1" x14ac:dyDescent="0.2"/>
  </sheetData>
  <mergeCells count="14">
    <mergeCell ref="K3:L3"/>
    <mergeCell ref="M3:N3"/>
    <mergeCell ref="A8:N8"/>
    <mergeCell ref="A9:N9"/>
    <mergeCell ref="A1:M1"/>
    <mergeCell ref="A2:A4"/>
    <mergeCell ref="B2:B4"/>
    <mergeCell ref="C2:F2"/>
    <mergeCell ref="G2:J2"/>
    <mergeCell ref="K2:N2"/>
    <mergeCell ref="C3:D3"/>
    <mergeCell ref="E3:F3"/>
    <mergeCell ref="G3:H3"/>
    <mergeCell ref="I3:J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H9"/>
  <sheetViews>
    <sheetView workbookViewId="0">
      <selection sqref="A1:H1"/>
    </sheetView>
  </sheetViews>
  <sheetFormatPr defaultRowHeight="12.75" x14ac:dyDescent="0.2"/>
  <cols>
    <col min="1" max="1" width="14.7109375" bestFit="1" customWidth="1"/>
    <col min="2" max="2" width="16.5703125" bestFit="1" customWidth="1"/>
    <col min="3" max="6" width="12.140625" bestFit="1" customWidth="1"/>
    <col min="7" max="7" width="8" bestFit="1" customWidth="1"/>
    <col min="8" max="8" width="22.140625" bestFit="1" customWidth="1"/>
    <col min="9" max="9" width="4.7109375" bestFit="1" customWidth="1"/>
  </cols>
  <sheetData>
    <row r="1" spans="1:8" ht="15" customHeight="1" x14ac:dyDescent="0.2">
      <c r="A1" s="443" t="s">
        <v>619</v>
      </c>
      <c r="B1" s="443"/>
      <c r="C1" s="443"/>
      <c r="D1" s="443"/>
      <c r="E1" s="443"/>
      <c r="F1" s="443"/>
      <c r="G1" s="443"/>
      <c r="H1" s="443"/>
    </row>
    <row r="2" spans="1:8" s="4" customFormat="1" ht="18" customHeight="1" x14ac:dyDescent="0.2">
      <c r="A2" s="376" t="s">
        <v>164</v>
      </c>
      <c r="B2" s="388" t="s">
        <v>227</v>
      </c>
      <c r="C2" s="390"/>
      <c r="D2" s="388" t="s">
        <v>228</v>
      </c>
      <c r="E2" s="390"/>
      <c r="F2" s="388" t="s">
        <v>229</v>
      </c>
      <c r="G2" s="390"/>
    </row>
    <row r="3" spans="1:8" s="4" customFormat="1" ht="37.5" customHeight="1" x14ac:dyDescent="0.2">
      <c r="A3" s="378"/>
      <c r="B3" s="17" t="s">
        <v>540</v>
      </c>
      <c r="C3" s="9" t="s">
        <v>620</v>
      </c>
      <c r="D3" s="17" t="s">
        <v>540</v>
      </c>
      <c r="E3" s="9" t="s">
        <v>620</v>
      </c>
      <c r="F3" s="9" t="s">
        <v>621</v>
      </c>
      <c r="G3" s="9" t="s">
        <v>620</v>
      </c>
    </row>
    <row r="4" spans="1:8" s="4" customFormat="1" ht="18" customHeight="1" x14ac:dyDescent="0.2">
      <c r="A4" s="3" t="s">
        <v>61</v>
      </c>
      <c r="B4" s="75">
        <v>308.58897999999999</v>
      </c>
      <c r="C4" s="75">
        <v>13.792949</v>
      </c>
      <c r="D4" s="75">
        <v>634.57266440000001</v>
      </c>
      <c r="E4" s="75">
        <v>13.22739331</v>
      </c>
      <c r="F4" s="76">
        <v>5.04E-2</v>
      </c>
      <c r="G4" s="76">
        <v>0</v>
      </c>
    </row>
    <row r="5" spans="1:8" s="4" customFormat="1" ht="18" customHeight="1" x14ac:dyDescent="0.2">
      <c r="A5" s="3" t="s">
        <v>62</v>
      </c>
      <c r="B5" s="75">
        <v>58.395730999999998</v>
      </c>
      <c r="C5" s="75">
        <v>0.94437899999999997</v>
      </c>
      <c r="D5" s="75">
        <v>63.695625499999998</v>
      </c>
      <c r="E5" s="75">
        <v>1.6079706</v>
      </c>
      <c r="F5" s="76">
        <v>0</v>
      </c>
      <c r="G5" s="76">
        <v>0</v>
      </c>
    </row>
    <row r="6" spans="1:8" s="4" customFormat="1" ht="18" customHeight="1" x14ac:dyDescent="0.2">
      <c r="A6" s="3" t="s">
        <v>146</v>
      </c>
      <c r="B6" s="75">
        <v>58.395730999999998</v>
      </c>
      <c r="C6" s="75">
        <v>0.94437899999999997</v>
      </c>
      <c r="D6" s="75">
        <v>63.695625499999998</v>
      </c>
      <c r="E6" s="75">
        <v>1.6079706</v>
      </c>
      <c r="F6" s="76">
        <v>0</v>
      </c>
      <c r="G6" s="76">
        <v>0</v>
      </c>
    </row>
    <row r="7" spans="1:8" s="4" customFormat="1" ht="19.5" customHeight="1" x14ac:dyDescent="0.2">
      <c r="A7" s="366" t="s">
        <v>98</v>
      </c>
      <c r="B7" s="366"/>
      <c r="C7" s="366"/>
      <c r="D7" s="366"/>
      <c r="E7" s="366"/>
      <c r="F7" s="366"/>
      <c r="G7" s="366"/>
    </row>
    <row r="8" spans="1:8" s="4" customFormat="1" ht="18" customHeight="1" x14ac:dyDescent="0.2">
      <c r="A8" s="366" t="s">
        <v>622</v>
      </c>
      <c r="B8" s="366"/>
      <c r="C8" s="366"/>
      <c r="D8" s="366"/>
      <c r="E8" s="366"/>
      <c r="F8" s="366"/>
      <c r="G8" s="366"/>
    </row>
    <row r="9" spans="1:8" s="4" customFormat="1" ht="28.35" customHeight="1" x14ac:dyDescent="0.2"/>
  </sheetData>
  <mergeCells count="7">
    <mergeCell ref="A8:G8"/>
    <mergeCell ref="A1:H1"/>
    <mergeCell ref="A2:A3"/>
    <mergeCell ref="B2:C2"/>
    <mergeCell ref="D2:E2"/>
    <mergeCell ref="F2:G2"/>
    <mergeCell ref="A7:G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F8"/>
  <sheetViews>
    <sheetView tabSelected="1" workbookViewId="0">
      <selection activeCell="G14" sqref="G14"/>
    </sheetView>
  </sheetViews>
  <sheetFormatPr defaultRowHeight="12.75" x14ac:dyDescent="0.2"/>
  <cols>
    <col min="1" max="6" width="12.140625" bestFit="1" customWidth="1"/>
    <col min="7" max="7" width="4.85546875" bestFit="1" customWidth="1"/>
  </cols>
  <sheetData>
    <row r="1" spans="1:6" ht="15" customHeight="1" x14ac:dyDescent="0.2">
      <c r="A1" s="398" t="s">
        <v>56</v>
      </c>
      <c r="B1" s="398"/>
      <c r="C1" s="398"/>
      <c r="D1" s="398"/>
    </row>
    <row r="2" spans="1:6" s="4" customFormat="1" ht="51" customHeight="1" x14ac:dyDescent="0.2">
      <c r="A2" s="9" t="s">
        <v>220</v>
      </c>
      <c r="B2" s="10" t="s">
        <v>623</v>
      </c>
      <c r="C2" s="10" t="s">
        <v>624</v>
      </c>
      <c r="D2" s="10" t="s">
        <v>625</v>
      </c>
      <c r="E2" s="9" t="s">
        <v>626</v>
      </c>
      <c r="F2" s="9" t="s">
        <v>627</v>
      </c>
    </row>
    <row r="3" spans="1:6" s="4" customFormat="1" ht="18" customHeight="1" x14ac:dyDescent="0.25">
      <c r="A3" s="360" t="s">
        <v>61</v>
      </c>
      <c r="B3" s="361">
        <v>1640809.7200000002</v>
      </c>
      <c r="C3" s="361">
        <v>1679740.8399999999</v>
      </c>
      <c r="D3" s="362">
        <v>-38931.119999999988</v>
      </c>
      <c r="E3" s="363">
        <v>-5498.7400000000007</v>
      </c>
      <c r="F3" s="361">
        <v>248154.18</v>
      </c>
    </row>
    <row r="4" spans="1:6" s="4" customFormat="1" ht="18" customHeight="1" x14ac:dyDescent="0.2">
      <c r="A4" s="3" t="s">
        <v>62</v>
      </c>
      <c r="B4" s="39">
        <v>135799.91</v>
      </c>
      <c r="C4" s="39">
        <v>119072.05</v>
      </c>
      <c r="D4" s="26">
        <v>16727.86</v>
      </c>
      <c r="E4" s="32">
        <v>2406.9</v>
      </c>
      <c r="F4" s="32">
        <v>250561.08</v>
      </c>
    </row>
    <row r="5" spans="1:6" s="4" customFormat="1" ht="18" customHeight="1" x14ac:dyDescent="0.2">
      <c r="A5" s="3" t="s">
        <v>146</v>
      </c>
      <c r="B5" s="39">
        <v>135799.91</v>
      </c>
      <c r="C5" s="39">
        <v>119072.05</v>
      </c>
      <c r="D5" s="26">
        <v>16727.86</v>
      </c>
      <c r="E5" s="32">
        <v>2406.9</v>
      </c>
      <c r="F5" s="32">
        <v>250561.08</v>
      </c>
    </row>
    <row r="6" spans="1:6" s="4" customFormat="1" ht="18.75" customHeight="1" x14ac:dyDescent="0.2">
      <c r="A6" s="386" t="s">
        <v>98</v>
      </c>
      <c r="B6" s="386"/>
      <c r="C6" s="386"/>
      <c r="D6" s="386"/>
      <c r="E6" s="386"/>
      <c r="F6" s="386"/>
    </row>
    <row r="7" spans="1:6" s="4" customFormat="1" ht="18" customHeight="1" x14ac:dyDescent="0.2">
      <c r="A7" s="386" t="s">
        <v>628</v>
      </c>
      <c r="B7" s="386"/>
      <c r="C7" s="386"/>
      <c r="D7" s="386"/>
      <c r="E7" s="386"/>
      <c r="F7" s="386"/>
    </row>
    <row r="8" spans="1:6" s="4" customFormat="1" ht="28.35" customHeight="1" x14ac:dyDescent="0.2"/>
  </sheetData>
  <mergeCells count="3">
    <mergeCell ref="A1:D1"/>
    <mergeCell ref="A6:F6"/>
    <mergeCell ref="A7:F7"/>
  </mergeCells>
  <pageMargins left="0.78431372549019618" right="0.78431372549019618" top="0.98039215686274517" bottom="0.98039215686274517" header="0.50980392156862753" footer="0.50980392156862753"/>
  <pageSetup paperSize="9" orientation="portrait" useFirstPageNumber="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G9"/>
  <sheetViews>
    <sheetView workbookViewId="0">
      <selection sqref="A1:G1"/>
    </sheetView>
  </sheetViews>
  <sheetFormatPr defaultRowHeight="12.75" x14ac:dyDescent="0.2"/>
  <cols>
    <col min="1" max="1" width="14.85546875" bestFit="1" customWidth="1"/>
    <col min="2" max="5" width="14.7109375" bestFit="1" customWidth="1"/>
    <col min="6" max="6" width="16.42578125" bestFit="1" customWidth="1"/>
    <col min="7" max="7" width="46.140625" bestFit="1" customWidth="1"/>
    <col min="8" max="8" width="4.7109375" bestFit="1" customWidth="1"/>
  </cols>
  <sheetData>
    <row r="1" spans="1:7" ht="15" customHeight="1" x14ac:dyDescent="0.2">
      <c r="A1" s="443" t="s">
        <v>629</v>
      </c>
      <c r="B1" s="443"/>
      <c r="C1" s="443"/>
      <c r="D1" s="443"/>
      <c r="E1" s="443"/>
      <c r="F1" s="443"/>
      <c r="G1" s="443"/>
    </row>
    <row r="2" spans="1:7" s="4" customFormat="1" ht="125.25" customHeight="1" x14ac:dyDescent="0.2">
      <c r="A2" s="6" t="s">
        <v>164</v>
      </c>
      <c r="B2" s="9" t="s">
        <v>630</v>
      </c>
      <c r="C2" s="9" t="s">
        <v>631</v>
      </c>
      <c r="D2" s="9" t="s">
        <v>632</v>
      </c>
      <c r="E2" s="9" t="s">
        <v>633</v>
      </c>
      <c r="F2" s="9" t="s">
        <v>634</v>
      </c>
    </row>
    <row r="3" spans="1:7" s="4" customFormat="1" ht="18" customHeight="1" x14ac:dyDescent="0.2">
      <c r="A3" s="3" t="s">
        <v>61</v>
      </c>
      <c r="B3" s="26">
        <v>78110</v>
      </c>
      <c r="C3" s="26">
        <v>77287</v>
      </c>
      <c r="D3" s="39">
        <v>3342680</v>
      </c>
      <c r="E3" s="47">
        <v>2.2999999999999998</v>
      </c>
      <c r="F3" s="47">
        <v>2.2999999999999998</v>
      </c>
    </row>
    <row r="4" spans="1:7" s="4" customFormat="1" ht="18" customHeight="1" x14ac:dyDescent="0.2">
      <c r="A4" s="3" t="s">
        <v>62</v>
      </c>
      <c r="B4" s="26">
        <v>81220</v>
      </c>
      <c r="C4" s="26">
        <v>80362</v>
      </c>
      <c r="D4" s="39">
        <v>3355045</v>
      </c>
      <c r="E4" s="47">
        <v>2.4</v>
      </c>
      <c r="F4" s="47">
        <v>2.4</v>
      </c>
    </row>
    <row r="5" spans="1:7" s="4" customFormat="1" ht="18" customHeight="1" x14ac:dyDescent="0.2">
      <c r="A5" s="3" t="s">
        <v>146</v>
      </c>
      <c r="B5" s="26">
        <v>81220</v>
      </c>
      <c r="C5" s="26">
        <v>80362</v>
      </c>
      <c r="D5" s="39">
        <v>3355045</v>
      </c>
      <c r="E5" s="47">
        <v>2.4</v>
      </c>
      <c r="F5" s="47">
        <v>2.4</v>
      </c>
    </row>
    <row r="6" spans="1:7" s="4" customFormat="1" ht="45.75" customHeight="1" x14ac:dyDescent="0.2">
      <c r="A6" s="387" t="s">
        <v>635</v>
      </c>
      <c r="B6" s="387"/>
      <c r="C6" s="387"/>
      <c r="D6" s="387"/>
      <c r="E6" s="387"/>
      <c r="F6" s="387"/>
    </row>
    <row r="7" spans="1:7" s="4" customFormat="1" ht="13.5" customHeight="1" x14ac:dyDescent="0.2">
      <c r="A7" s="386" t="s">
        <v>98</v>
      </c>
      <c r="B7" s="386"/>
      <c r="C7" s="386"/>
      <c r="D7" s="386"/>
      <c r="E7" s="386"/>
      <c r="F7" s="386"/>
    </row>
    <row r="8" spans="1:7" s="4" customFormat="1" ht="13.5" customHeight="1" x14ac:dyDescent="0.2">
      <c r="A8" s="386" t="s">
        <v>123</v>
      </c>
      <c r="B8" s="386"/>
      <c r="C8" s="386"/>
      <c r="D8" s="386"/>
      <c r="E8" s="386"/>
      <c r="F8" s="386"/>
    </row>
    <row r="9" spans="1:7" s="4" customFormat="1" ht="28.35" customHeight="1" x14ac:dyDescent="0.2"/>
  </sheetData>
  <mergeCells count="4">
    <mergeCell ref="A1:G1"/>
    <mergeCell ref="A6:F6"/>
    <mergeCell ref="A7:F7"/>
    <mergeCell ref="A8:F8"/>
  </mergeCells>
  <pageMargins left="0.78431372549019618" right="0.78431372549019618" top="0.98039215686274517" bottom="0.98039215686274517" header="0.50980392156862753" footer="0.50980392156862753"/>
  <pageSetup paperSize="9" orientation="landscape" useFirstPageNumber="1"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1"/>
  <sheetViews>
    <sheetView workbookViewId="0">
      <selection sqref="A1:Z1"/>
    </sheetView>
  </sheetViews>
  <sheetFormatPr defaultRowHeight="12.75" x14ac:dyDescent="0.2"/>
  <cols>
    <col min="1" max="1" width="11.7109375" bestFit="1" customWidth="1"/>
    <col min="2" max="2" width="7" bestFit="1" customWidth="1"/>
    <col min="3" max="3" width="9.7109375" bestFit="1" customWidth="1"/>
    <col min="4" max="4" width="7" bestFit="1" customWidth="1"/>
    <col min="5" max="5" width="10" bestFit="1" customWidth="1"/>
    <col min="6" max="6" width="7" bestFit="1" customWidth="1"/>
    <col min="7" max="7" width="10.5703125" bestFit="1" customWidth="1"/>
    <col min="8" max="8" width="6.5703125" bestFit="1" customWidth="1"/>
    <col min="9" max="9" width="10" bestFit="1" customWidth="1"/>
    <col min="10" max="10" width="7.42578125" bestFit="1" customWidth="1"/>
    <col min="11" max="11" width="9.7109375" bestFit="1" customWidth="1"/>
    <col min="12" max="12" width="6.85546875" bestFit="1" customWidth="1"/>
    <col min="13" max="13" width="9.5703125" bestFit="1" customWidth="1"/>
    <col min="14" max="14" width="6.85546875" bestFit="1" customWidth="1"/>
    <col min="15" max="15" width="12.42578125" bestFit="1" customWidth="1"/>
    <col min="16" max="16" width="7" bestFit="1" customWidth="1"/>
    <col min="17" max="17" width="10.7109375" bestFit="1" customWidth="1"/>
    <col min="18" max="18" width="6.7109375" bestFit="1" customWidth="1"/>
    <col min="19" max="19" width="10.140625" bestFit="1" customWidth="1"/>
    <col min="20" max="20" width="6.5703125" bestFit="1" customWidth="1"/>
    <col min="21" max="21" width="12.42578125" bestFit="1" customWidth="1"/>
    <col min="22" max="22" width="6.5703125" bestFit="1" customWidth="1"/>
    <col min="23" max="23" width="10.28515625" bestFit="1" customWidth="1"/>
    <col min="24" max="24" width="6.7109375" bestFit="1" customWidth="1"/>
    <col min="25" max="25" width="10.140625" bestFit="1" customWidth="1"/>
    <col min="26" max="26" width="6.5703125" bestFit="1" customWidth="1"/>
    <col min="27" max="27" width="10.85546875" bestFit="1" customWidth="1"/>
    <col min="28" max="28" width="6.7109375" bestFit="1" customWidth="1"/>
    <col min="29" max="29" width="12.85546875" bestFit="1" customWidth="1"/>
    <col min="30" max="30" width="4.7109375" bestFit="1" customWidth="1"/>
  </cols>
  <sheetData>
    <row r="1" spans="1:29" ht="15" customHeight="1" x14ac:dyDescent="0.2">
      <c r="A1" s="398" t="s">
        <v>58</v>
      </c>
      <c r="B1" s="398"/>
      <c r="C1" s="398"/>
      <c r="D1" s="398"/>
      <c r="E1" s="398"/>
      <c r="F1" s="398"/>
      <c r="G1" s="398"/>
      <c r="H1" s="398"/>
      <c r="I1" s="398"/>
      <c r="J1" s="398"/>
      <c r="K1" s="398"/>
      <c r="L1" s="398"/>
      <c r="M1" s="398"/>
      <c r="N1" s="398"/>
      <c r="O1" s="398"/>
      <c r="P1" s="398"/>
      <c r="Q1" s="398"/>
      <c r="R1" s="398"/>
      <c r="S1" s="398"/>
      <c r="T1" s="398"/>
      <c r="U1" s="398"/>
      <c r="V1" s="398"/>
      <c r="W1" s="398"/>
      <c r="X1" s="398"/>
      <c r="Y1" s="398"/>
      <c r="Z1" s="398"/>
    </row>
    <row r="2" spans="1:29" s="4" customFormat="1" ht="51" customHeight="1" x14ac:dyDescent="0.2">
      <c r="A2" s="368" t="s">
        <v>636</v>
      </c>
      <c r="B2" s="388" t="s">
        <v>637</v>
      </c>
      <c r="C2" s="390"/>
      <c r="D2" s="384" t="s">
        <v>638</v>
      </c>
      <c r="E2" s="385"/>
      <c r="F2" s="384" t="s">
        <v>639</v>
      </c>
      <c r="G2" s="385"/>
      <c r="H2" s="384" t="s">
        <v>640</v>
      </c>
      <c r="I2" s="385"/>
      <c r="J2" s="388" t="s">
        <v>641</v>
      </c>
      <c r="K2" s="390"/>
      <c r="L2" s="388" t="s">
        <v>642</v>
      </c>
      <c r="M2" s="390"/>
      <c r="N2" s="384" t="s">
        <v>643</v>
      </c>
      <c r="O2" s="385"/>
      <c r="P2" s="388" t="s">
        <v>644</v>
      </c>
      <c r="Q2" s="390"/>
      <c r="R2" s="388" t="s">
        <v>311</v>
      </c>
      <c r="S2" s="390"/>
      <c r="T2" s="384" t="s">
        <v>645</v>
      </c>
      <c r="U2" s="385"/>
      <c r="V2" s="384" t="s">
        <v>646</v>
      </c>
      <c r="W2" s="385"/>
      <c r="X2" s="384" t="s">
        <v>647</v>
      </c>
      <c r="Y2" s="385"/>
      <c r="Z2" s="388" t="s">
        <v>305</v>
      </c>
      <c r="AA2" s="390"/>
      <c r="AB2" s="388" t="s">
        <v>140</v>
      </c>
      <c r="AC2" s="390"/>
    </row>
    <row r="3" spans="1:29" s="4" customFormat="1" ht="51.75" customHeight="1" x14ac:dyDescent="0.2">
      <c r="A3" s="369"/>
      <c r="B3" s="9" t="s">
        <v>648</v>
      </c>
      <c r="C3" s="10" t="s">
        <v>145</v>
      </c>
      <c r="D3" s="9" t="s">
        <v>648</v>
      </c>
      <c r="E3" s="10" t="s">
        <v>171</v>
      </c>
      <c r="F3" s="9" t="s">
        <v>648</v>
      </c>
      <c r="G3" s="10" t="s">
        <v>171</v>
      </c>
      <c r="H3" s="9" t="s">
        <v>648</v>
      </c>
      <c r="I3" s="10" t="s">
        <v>171</v>
      </c>
      <c r="J3" s="9" t="s">
        <v>648</v>
      </c>
      <c r="K3" s="10" t="s">
        <v>171</v>
      </c>
      <c r="L3" s="9" t="s">
        <v>648</v>
      </c>
      <c r="M3" s="10" t="s">
        <v>171</v>
      </c>
      <c r="N3" s="9" t="s">
        <v>648</v>
      </c>
      <c r="O3" s="10" t="s">
        <v>171</v>
      </c>
      <c r="P3" s="9" t="s">
        <v>648</v>
      </c>
      <c r="Q3" s="10" t="s">
        <v>171</v>
      </c>
      <c r="R3" s="9" t="s">
        <v>648</v>
      </c>
      <c r="S3" s="10" t="s">
        <v>171</v>
      </c>
      <c r="T3" s="9" t="s">
        <v>648</v>
      </c>
      <c r="U3" s="10" t="s">
        <v>171</v>
      </c>
      <c r="V3" s="9" t="s">
        <v>648</v>
      </c>
      <c r="W3" s="10" t="s">
        <v>171</v>
      </c>
      <c r="X3" s="9" t="s">
        <v>648</v>
      </c>
      <c r="Y3" s="10" t="s">
        <v>171</v>
      </c>
      <c r="Z3" s="9" t="s">
        <v>648</v>
      </c>
      <c r="AA3" s="10" t="s">
        <v>171</v>
      </c>
      <c r="AB3" s="9" t="s">
        <v>648</v>
      </c>
      <c r="AC3" s="10" t="s">
        <v>171</v>
      </c>
    </row>
    <row r="4" spans="1:29" s="4" customFormat="1" ht="18" customHeight="1" x14ac:dyDescent="0.2">
      <c r="A4" s="3" t="s">
        <v>61</v>
      </c>
      <c r="B4" s="26">
        <v>9556</v>
      </c>
      <c r="C4" s="39">
        <v>3342680.32</v>
      </c>
      <c r="D4" s="11">
        <v>64</v>
      </c>
      <c r="E4" s="39">
        <v>354339.64</v>
      </c>
      <c r="F4" s="26">
        <v>1867</v>
      </c>
      <c r="G4" s="39">
        <v>802859.99</v>
      </c>
      <c r="H4" s="26">
        <v>201</v>
      </c>
      <c r="I4" s="26">
        <v>37261.17</v>
      </c>
      <c r="J4" s="26">
        <v>24</v>
      </c>
      <c r="K4" s="26">
        <v>1948.99</v>
      </c>
      <c r="L4" s="26">
        <v>547</v>
      </c>
      <c r="M4" s="26">
        <v>3485.82</v>
      </c>
      <c r="N4" s="26">
        <v>1755</v>
      </c>
      <c r="O4" s="39">
        <v>2278220.41</v>
      </c>
      <c r="P4" s="26">
        <v>499</v>
      </c>
      <c r="Q4" s="39">
        <v>104563.22</v>
      </c>
      <c r="R4" s="26">
        <v>117</v>
      </c>
      <c r="S4" s="39">
        <v>320444.7</v>
      </c>
      <c r="T4" s="11">
        <v>781</v>
      </c>
      <c r="U4" s="39">
        <v>1732888.97</v>
      </c>
      <c r="V4" s="11">
        <v>120</v>
      </c>
      <c r="W4" s="39">
        <v>422316.79</v>
      </c>
      <c r="X4" s="11">
        <v>25</v>
      </c>
      <c r="Y4" s="26">
        <v>60865.9</v>
      </c>
      <c r="Z4" s="26">
        <v>19018</v>
      </c>
      <c r="AA4" s="39">
        <v>791087.54</v>
      </c>
      <c r="AB4" s="26">
        <v>34574</v>
      </c>
      <c r="AC4" s="42">
        <v>10252963.460000001</v>
      </c>
    </row>
    <row r="5" spans="1:29" s="4" customFormat="1" ht="18" customHeight="1" x14ac:dyDescent="0.2">
      <c r="A5" s="3" t="s">
        <v>62</v>
      </c>
      <c r="B5" s="26">
        <v>9518</v>
      </c>
      <c r="C5" s="39">
        <v>3355044.84</v>
      </c>
      <c r="D5" s="11">
        <v>64</v>
      </c>
      <c r="E5" s="39">
        <v>354291.66</v>
      </c>
      <c r="F5" s="26">
        <v>1895</v>
      </c>
      <c r="G5" s="39">
        <v>813049.09</v>
      </c>
      <c r="H5" s="26">
        <v>201</v>
      </c>
      <c r="I5" s="26">
        <v>37267.919999999998</v>
      </c>
      <c r="J5" s="26">
        <v>24</v>
      </c>
      <c r="K5" s="26">
        <v>1967.08</v>
      </c>
      <c r="L5" s="26">
        <v>554</v>
      </c>
      <c r="M5" s="26">
        <v>3477.48</v>
      </c>
      <c r="N5" s="26">
        <v>1739</v>
      </c>
      <c r="O5" s="39">
        <v>2323169.13</v>
      </c>
      <c r="P5" s="26">
        <v>499</v>
      </c>
      <c r="Q5" s="39">
        <v>102763.88</v>
      </c>
      <c r="R5" s="26">
        <v>117</v>
      </c>
      <c r="S5" s="39">
        <v>329869.38</v>
      </c>
      <c r="T5" s="11">
        <v>783</v>
      </c>
      <c r="U5" s="39">
        <v>1738754.53</v>
      </c>
      <c r="V5" s="11">
        <v>126</v>
      </c>
      <c r="W5" s="39">
        <v>427419.72</v>
      </c>
      <c r="X5" s="11">
        <v>25</v>
      </c>
      <c r="Y5" s="26">
        <v>61094.239999999998</v>
      </c>
      <c r="Z5" s="26">
        <v>19296</v>
      </c>
      <c r="AA5" s="39">
        <v>795703.08</v>
      </c>
      <c r="AB5" s="26">
        <v>34841</v>
      </c>
      <c r="AC5" s="42">
        <v>10343872.029999999</v>
      </c>
    </row>
    <row r="6" spans="1:29" s="4" customFormat="1" ht="18" customHeight="1" x14ac:dyDescent="0.2">
      <c r="A6" s="3" t="s">
        <v>146</v>
      </c>
      <c r="B6" s="26">
        <v>9518</v>
      </c>
      <c r="C6" s="39">
        <v>3355044.84</v>
      </c>
      <c r="D6" s="11">
        <v>64</v>
      </c>
      <c r="E6" s="39">
        <v>354291.66</v>
      </c>
      <c r="F6" s="26">
        <v>1895</v>
      </c>
      <c r="G6" s="39">
        <v>813049.09</v>
      </c>
      <c r="H6" s="26">
        <v>201</v>
      </c>
      <c r="I6" s="26">
        <v>37267.919999999998</v>
      </c>
      <c r="J6" s="26">
        <v>24</v>
      </c>
      <c r="K6" s="26">
        <v>1967.08</v>
      </c>
      <c r="L6" s="26">
        <v>554</v>
      </c>
      <c r="M6" s="26">
        <v>3477.48</v>
      </c>
      <c r="N6" s="26">
        <v>1739</v>
      </c>
      <c r="O6" s="39">
        <v>2323169.13</v>
      </c>
      <c r="P6" s="26">
        <v>499</v>
      </c>
      <c r="Q6" s="39">
        <v>102763.88</v>
      </c>
      <c r="R6" s="26">
        <v>117</v>
      </c>
      <c r="S6" s="39">
        <v>329869.38</v>
      </c>
      <c r="T6" s="11">
        <v>783</v>
      </c>
      <c r="U6" s="39">
        <v>1738754.53</v>
      </c>
      <c r="V6" s="11">
        <v>126</v>
      </c>
      <c r="W6" s="39">
        <v>427419.72</v>
      </c>
      <c r="X6" s="11">
        <v>25</v>
      </c>
      <c r="Y6" s="26">
        <v>61094.239999999998</v>
      </c>
      <c r="Z6" s="26">
        <v>19296</v>
      </c>
      <c r="AA6" s="39">
        <v>795703.08</v>
      </c>
      <c r="AB6" s="26">
        <v>34841</v>
      </c>
      <c r="AC6" s="42">
        <v>10343872.029999999</v>
      </c>
    </row>
    <row r="7" spans="1:29" s="4" customFormat="1" ht="14.25" customHeight="1" x14ac:dyDescent="0.2">
      <c r="A7" s="386" t="s">
        <v>649</v>
      </c>
      <c r="B7" s="386"/>
      <c r="C7" s="386"/>
      <c r="D7" s="386"/>
      <c r="E7" s="386"/>
      <c r="F7" s="386"/>
      <c r="G7" s="386"/>
      <c r="H7" s="386"/>
      <c r="I7" s="386"/>
      <c r="J7" s="386"/>
      <c r="K7" s="386"/>
      <c r="L7" s="386"/>
      <c r="M7" s="386"/>
      <c r="N7" s="386"/>
      <c r="O7" s="386"/>
      <c r="P7" s="386"/>
      <c r="Q7" s="386"/>
      <c r="R7" s="386"/>
      <c r="S7" s="386"/>
      <c r="T7" s="386"/>
      <c r="U7" s="386"/>
      <c r="V7" s="386"/>
      <c r="W7" s="386"/>
      <c r="X7" s="386"/>
      <c r="Y7" s="386"/>
      <c r="Z7" s="386"/>
    </row>
    <row r="8" spans="1:29" s="4" customFormat="1" ht="13.5" customHeight="1" x14ac:dyDescent="0.2">
      <c r="A8" s="386" t="s">
        <v>650</v>
      </c>
      <c r="B8" s="386"/>
      <c r="C8" s="386"/>
      <c r="D8" s="386"/>
      <c r="E8" s="386"/>
      <c r="F8" s="386"/>
      <c r="G8" s="386"/>
      <c r="H8" s="386"/>
      <c r="I8" s="386"/>
      <c r="J8" s="386"/>
      <c r="K8" s="386"/>
      <c r="L8" s="386"/>
      <c r="M8" s="386"/>
      <c r="N8" s="386"/>
      <c r="O8" s="386"/>
      <c r="P8" s="386"/>
      <c r="Q8" s="386"/>
      <c r="R8" s="386"/>
      <c r="S8" s="386"/>
      <c r="T8" s="386"/>
      <c r="U8" s="386"/>
      <c r="V8" s="386"/>
      <c r="W8" s="386"/>
      <c r="X8" s="386"/>
      <c r="Y8" s="386"/>
      <c r="Z8" s="386"/>
    </row>
    <row r="9" spans="1:29" s="4" customFormat="1" ht="13.5" customHeight="1" x14ac:dyDescent="0.2">
      <c r="A9" s="386" t="s">
        <v>98</v>
      </c>
      <c r="B9" s="386"/>
      <c r="C9" s="386"/>
      <c r="D9" s="386"/>
      <c r="E9" s="386"/>
      <c r="F9" s="386"/>
      <c r="G9" s="386"/>
      <c r="H9" s="386"/>
      <c r="I9" s="386"/>
      <c r="J9" s="386"/>
      <c r="K9" s="386"/>
      <c r="L9" s="386"/>
      <c r="M9" s="386"/>
      <c r="N9" s="386"/>
      <c r="O9" s="386"/>
      <c r="P9" s="386"/>
      <c r="Q9" s="386"/>
      <c r="R9" s="386"/>
      <c r="S9" s="386"/>
      <c r="T9" s="386"/>
      <c r="U9" s="386"/>
      <c r="V9" s="386"/>
      <c r="W9" s="386"/>
      <c r="X9" s="386"/>
      <c r="Y9" s="386"/>
      <c r="Z9" s="386"/>
    </row>
    <row r="10" spans="1:29" s="4" customFormat="1" ht="13.5" customHeight="1" x14ac:dyDescent="0.2">
      <c r="A10" s="386" t="s">
        <v>651</v>
      </c>
      <c r="B10" s="386"/>
      <c r="C10" s="386"/>
      <c r="D10" s="386"/>
      <c r="E10" s="386"/>
      <c r="F10" s="386"/>
      <c r="G10" s="386"/>
      <c r="H10" s="386"/>
      <c r="I10" s="386"/>
      <c r="J10" s="386"/>
      <c r="K10" s="386"/>
      <c r="L10" s="386"/>
      <c r="M10" s="386"/>
      <c r="N10" s="386"/>
      <c r="O10" s="386"/>
      <c r="P10" s="386"/>
      <c r="Q10" s="386"/>
      <c r="R10" s="386"/>
      <c r="S10" s="386"/>
      <c r="T10" s="386"/>
      <c r="U10" s="386"/>
      <c r="V10" s="386"/>
      <c r="W10" s="386"/>
      <c r="X10" s="386"/>
      <c r="Y10" s="386"/>
      <c r="Z10" s="386"/>
    </row>
    <row r="11" spans="1:29" s="4" customFormat="1" ht="28.35" customHeight="1" x14ac:dyDescent="0.2"/>
  </sheetData>
  <mergeCells count="20">
    <mergeCell ref="AB2:AC2"/>
    <mergeCell ref="A1:Z1"/>
    <mergeCell ref="A2:A3"/>
    <mergeCell ref="B2:C2"/>
    <mergeCell ref="D2:E2"/>
    <mergeCell ref="F2:G2"/>
    <mergeCell ref="H2:I2"/>
    <mergeCell ref="J2:K2"/>
    <mergeCell ref="L2:M2"/>
    <mergeCell ref="N2:O2"/>
    <mergeCell ref="P2:Q2"/>
    <mergeCell ref="A7:Z7"/>
    <mergeCell ref="A8:Z8"/>
    <mergeCell ref="A9:Z9"/>
    <mergeCell ref="A10:Z10"/>
    <mergeCell ref="R2:S2"/>
    <mergeCell ref="T2:U2"/>
    <mergeCell ref="V2:W2"/>
    <mergeCell ref="X2:Y2"/>
    <mergeCell ref="Z2:AA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K9"/>
  <sheetViews>
    <sheetView workbookViewId="0">
      <selection sqref="A1:E1"/>
    </sheetView>
  </sheetViews>
  <sheetFormatPr defaultRowHeight="12.75" x14ac:dyDescent="0.2"/>
  <cols>
    <col min="1" max="11" width="14.7109375" bestFit="1" customWidth="1"/>
    <col min="12" max="12" width="4.7109375" bestFit="1" customWidth="1"/>
  </cols>
  <sheetData>
    <row r="1" spans="1:11" ht="13.5" customHeight="1" x14ac:dyDescent="0.2">
      <c r="A1" s="471" t="s">
        <v>652</v>
      </c>
      <c r="B1" s="471"/>
      <c r="C1" s="471"/>
      <c r="D1" s="471"/>
      <c r="E1" s="471"/>
    </row>
    <row r="2" spans="1:11" s="4" customFormat="1" ht="16.5" customHeight="1" x14ac:dyDescent="0.2">
      <c r="A2" s="376" t="s">
        <v>137</v>
      </c>
      <c r="B2" s="370" t="s">
        <v>653</v>
      </c>
      <c r="C2" s="421"/>
      <c r="D2" s="371"/>
      <c r="E2" s="388" t="s">
        <v>654</v>
      </c>
      <c r="F2" s="389"/>
      <c r="G2" s="390"/>
      <c r="H2" s="370" t="s">
        <v>655</v>
      </c>
      <c r="I2" s="421"/>
      <c r="J2" s="371"/>
      <c r="K2" s="441" t="s">
        <v>656</v>
      </c>
    </row>
    <row r="3" spans="1:11" s="4" customFormat="1" ht="27.75" customHeight="1" x14ac:dyDescent="0.2">
      <c r="A3" s="378"/>
      <c r="B3" s="9" t="s">
        <v>657</v>
      </c>
      <c r="C3" s="9" t="s">
        <v>658</v>
      </c>
      <c r="D3" s="9" t="s">
        <v>140</v>
      </c>
      <c r="E3" s="9" t="s">
        <v>657</v>
      </c>
      <c r="F3" s="9" t="s">
        <v>658</v>
      </c>
      <c r="G3" s="9" t="s">
        <v>140</v>
      </c>
      <c r="H3" s="9" t="s">
        <v>657</v>
      </c>
      <c r="I3" s="9" t="s">
        <v>658</v>
      </c>
      <c r="J3" s="9" t="s">
        <v>140</v>
      </c>
      <c r="K3" s="442"/>
    </row>
    <row r="4" spans="1:11" s="4" customFormat="1" ht="18" customHeight="1" x14ac:dyDescent="0.2">
      <c r="A4" s="3" t="s">
        <v>61</v>
      </c>
      <c r="B4" s="42">
        <v>19652988.73</v>
      </c>
      <c r="C4" s="39">
        <v>4741373.7489999998</v>
      </c>
      <c r="D4" s="42">
        <v>24394362.48</v>
      </c>
      <c r="E4" s="42">
        <v>19591483.43</v>
      </c>
      <c r="F4" s="39">
        <v>4693177.6440000003</v>
      </c>
      <c r="G4" s="42">
        <v>24284661.079999998</v>
      </c>
      <c r="H4" s="26">
        <v>61505.297250000003</v>
      </c>
      <c r="I4" s="26">
        <v>48196.106100999998</v>
      </c>
      <c r="J4" s="39">
        <v>109701.40330000001</v>
      </c>
      <c r="K4" s="39">
        <v>2379662.9470000002</v>
      </c>
    </row>
    <row r="5" spans="1:11" s="4" customFormat="1" ht="18" customHeight="1" x14ac:dyDescent="0.2">
      <c r="A5" s="3" t="s">
        <v>62</v>
      </c>
      <c r="B5" s="39">
        <v>1507089.1029999999</v>
      </c>
      <c r="C5" s="39">
        <v>366427.03649999999</v>
      </c>
      <c r="D5" s="39">
        <v>1873516.14</v>
      </c>
      <c r="E5" s="39">
        <v>1441199.095</v>
      </c>
      <c r="F5" s="39">
        <v>331857.31390000001</v>
      </c>
      <c r="G5" s="39">
        <v>1773056.409</v>
      </c>
      <c r="H5" s="26">
        <v>65890.008329999997</v>
      </c>
      <c r="I5" s="26">
        <v>34569.722600000001</v>
      </c>
      <c r="J5" s="39">
        <v>100459.7309</v>
      </c>
      <c r="K5" s="39">
        <v>2478756.9330000002</v>
      </c>
    </row>
    <row r="6" spans="1:11" s="4" customFormat="1" ht="18" customHeight="1" x14ac:dyDescent="0.2">
      <c r="A6" s="3" t="s">
        <v>146</v>
      </c>
      <c r="B6" s="39">
        <v>1507089.1029999999</v>
      </c>
      <c r="C6" s="39">
        <v>366427.03649999999</v>
      </c>
      <c r="D6" s="39">
        <v>1873516.14</v>
      </c>
      <c r="E6" s="39">
        <v>1441199.095</v>
      </c>
      <c r="F6" s="39">
        <v>331857.31390000001</v>
      </c>
      <c r="G6" s="39">
        <v>1773056.409</v>
      </c>
      <c r="H6" s="26">
        <v>65890.008329999997</v>
      </c>
      <c r="I6" s="26">
        <v>34569.722600000001</v>
      </c>
      <c r="J6" s="39">
        <v>100459.7309</v>
      </c>
      <c r="K6" s="39">
        <v>2478756.9330000002</v>
      </c>
    </row>
    <row r="7" spans="1:11" s="4" customFormat="1" ht="18.75" customHeight="1" x14ac:dyDescent="0.2">
      <c r="A7" s="366" t="s">
        <v>98</v>
      </c>
      <c r="B7" s="366"/>
      <c r="C7" s="366"/>
      <c r="D7" s="366"/>
      <c r="E7" s="366"/>
    </row>
    <row r="8" spans="1:11" s="4" customFormat="1" ht="18" customHeight="1" x14ac:dyDescent="0.2">
      <c r="A8" s="366" t="s">
        <v>123</v>
      </c>
      <c r="B8" s="366"/>
      <c r="C8" s="366"/>
      <c r="D8" s="366"/>
      <c r="E8" s="366"/>
    </row>
    <row r="9" spans="1:11" s="4" customFormat="1" ht="28.35" customHeight="1" x14ac:dyDescent="0.2"/>
  </sheetData>
  <mergeCells count="8">
    <mergeCell ref="H2:J2"/>
    <mergeCell ref="K2:K3"/>
    <mergeCell ref="A7:E7"/>
    <mergeCell ref="A8:E8"/>
    <mergeCell ref="A1:E1"/>
    <mergeCell ref="A2:A3"/>
    <mergeCell ref="B2:D2"/>
    <mergeCell ref="E2:G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92"/>
  <sheetViews>
    <sheetView workbookViewId="0">
      <selection sqref="A1:E1"/>
    </sheetView>
  </sheetViews>
  <sheetFormatPr defaultColWidth="6.42578125" defaultRowHeight="15" x14ac:dyDescent="0.2"/>
  <cols>
    <col min="1" max="1" width="7.140625" style="141" customWidth="1"/>
    <col min="2" max="2" width="44.28515625" style="141" bestFit="1" customWidth="1"/>
    <col min="3" max="3" width="9.85546875" style="141" bestFit="1" customWidth="1"/>
    <col min="4" max="4" width="15" style="141" customWidth="1"/>
    <col min="5" max="5" width="18.140625" style="141" bestFit="1" customWidth="1"/>
    <col min="6" max="6" width="17.5703125" style="141" customWidth="1"/>
    <col min="7" max="7" width="18.42578125" style="139" customWidth="1"/>
    <col min="8" max="8" width="16.140625" style="139" bestFit="1" customWidth="1"/>
    <col min="9" max="9" width="16.5703125" style="139" bestFit="1" customWidth="1"/>
    <col min="10" max="10" width="6.42578125" style="139" customWidth="1"/>
    <col min="11" max="256" width="6.42578125" style="141"/>
    <col min="257" max="257" width="7.140625" style="141" customWidth="1"/>
    <col min="258" max="258" width="44.28515625" style="141" bestFit="1" customWidth="1"/>
    <col min="259" max="259" width="9.85546875" style="141" bestFit="1" customWidth="1"/>
    <col min="260" max="260" width="15" style="141" customWidth="1"/>
    <col min="261" max="261" width="18.140625" style="141" bestFit="1" customWidth="1"/>
    <col min="262" max="262" width="17.5703125" style="141" customWidth="1"/>
    <col min="263" max="263" width="18.42578125" style="141" customWidth="1"/>
    <col min="264" max="264" width="16.140625" style="141" bestFit="1" customWidth="1"/>
    <col min="265" max="265" width="16.5703125" style="141" bestFit="1" customWidth="1"/>
    <col min="266" max="266" width="6.42578125" style="141" customWidth="1"/>
    <col min="267" max="512" width="6.42578125" style="141"/>
    <col min="513" max="513" width="7.140625" style="141" customWidth="1"/>
    <col min="514" max="514" width="44.28515625" style="141" bestFit="1" customWidth="1"/>
    <col min="515" max="515" width="9.85546875" style="141" bestFit="1" customWidth="1"/>
    <col min="516" max="516" width="15" style="141" customWidth="1"/>
    <col min="517" max="517" width="18.140625" style="141" bestFit="1" customWidth="1"/>
    <col min="518" max="518" width="17.5703125" style="141" customWidth="1"/>
    <col min="519" max="519" width="18.42578125" style="141" customWidth="1"/>
    <col min="520" max="520" width="16.140625" style="141" bestFit="1" customWidth="1"/>
    <col min="521" max="521" width="16.5703125" style="141" bestFit="1" customWidth="1"/>
    <col min="522" max="522" width="6.42578125" style="141" customWidth="1"/>
    <col min="523" max="768" width="6.42578125" style="141"/>
    <col min="769" max="769" width="7.140625" style="141" customWidth="1"/>
    <col min="770" max="770" width="44.28515625" style="141" bestFit="1" customWidth="1"/>
    <col min="771" max="771" width="9.85546875" style="141" bestFit="1" customWidth="1"/>
    <col min="772" max="772" width="15" style="141" customWidth="1"/>
    <col min="773" max="773" width="18.140625" style="141" bestFit="1" customWidth="1"/>
    <col min="774" max="774" width="17.5703125" style="141" customWidth="1"/>
    <col min="775" max="775" width="18.42578125" style="141" customWidth="1"/>
    <col min="776" max="776" width="16.140625" style="141" bestFit="1" customWidth="1"/>
    <col min="777" max="777" width="16.5703125" style="141" bestFit="1" customWidth="1"/>
    <col min="778" max="778" width="6.42578125" style="141" customWidth="1"/>
    <col min="779" max="1024" width="6.42578125" style="141"/>
    <col min="1025" max="1025" width="7.140625" style="141" customWidth="1"/>
    <col min="1026" max="1026" width="44.28515625" style="141" bestFit="1" customWidth="1"/>
    <col min="1027" max="1027" width="9.85546875" style="141" bestFit="1" customWidth="1"/>
    <col min="1028" max="1028" width="15" style="141" customWidth="1"/>
    <col min="1029" max="1029" width="18.140625" style="141" bestFit="1" customWidth="1"/>
    <col min="1030" max="1030" width="17.5703125" style="141" customWidth="1"/>
    <col min="1031" max="1031" width="18.42578125" style="141" customWidth="1"/>
    <col min="1032" max="1032" width="16.140625" style="141" bestFit="1" customWidth="1"/>
    <col min="1033" max="1033" width="16.5703125" style="141" bestFit="1" customWidth="1"/>
    <col min="1034" max="1034" width="6.42578125" style="141" customWidth="1"/>
    <col min="1035" max="1280" width="6.42578125" style="141"/>
    <col min="1281" max="1281" width="7.140625" style="141" customWidth="1"/>
    <col min="1282" max="1282" width="44.28515625" style="141" bestFit="1" customWidth="1"/>
    <col min="1283" max="1283" width="9.85546875" style="141" bestFit="1" customWidth="1"/>
    <col min="1284" max="1284" width="15" style="141" customWidth="1"/>
    <col min="1285" max="1285" width="18.140625" style="141" bestFit="1" customWidth="1"/>
    <col min="1286" max="1286" width="17.5703125" style="141" customWidth="1"/>
    <col min="1287" max="1287" width="18.42578125" style="141" customWidth="1"/>
    <col min="1288" max="1288" width="16.140625" style="141" bestFit="1" customWidth="1"/>
    <col min="1289" max="1289" width="16.5703125" style="141" bestFit="1" customWidth="1"/>
    <col min="1290" max="1290" width="6.42578125" style="141" customWidth="1"/>
    <col min="1291" max="1536" width="6.42578125" style="141"/>
    <col min="1537" max="1537" width="7.140625" style="141" customWidth="1"/>
    <col min="1538" max="1538" width="44.28515625" style="141" bestFit="1" customWidth="1"/>
    <col min="1539" max="1539" width="9.85546875" style="141" bestFit="1" customWidth="1"/>
    <col min="1540" max="1540" width="15" style="141" customWidth="1"/>
    <col min="1541" max="1541" width="18.140625" style="141" bestFit="1" customWidth="1"/>
    <col min="1542" max="1542" width="17.5703125" style="141" customWidth="1"/>
    <col min="1543" max="1543" width="18.42578125" style="141" customWidth="1"/>
    <col min="1544" max="1544" width="16.140625" style="141" bestFit="1" customWidth="1"/>
    <col min="1545" max="1545" width="16.5703125" style="141" bestFit="1" customWidth="1"/>
    <col min="1546" max="1546" width="6.42578125" style="141" customWidth="1"/>
    <col min="1547" max="1792" width="6.42578125" style="141"/>
    <col min="1793" max="1793" width="7.140625" style="141" customWidth="1"/>
    <col min="1794" max="1794" width="44.28515625" style="141" bestFit="1" customWidth="1"/>
    <col min="1795" max="1795" width="9.85546875" style="141" bestFit="1" customWidth="1"/>
    <col min="1796" max="1796" width="15" style="141" customWidth="1"/>
    <col min="1797" max="1797" width="18.140625" style="141" bestFit="1" customWidth="1"/>
    <col min="1798" max="1798" width="17.5703125" style="141" customWidth="1"/>
    <col min="1799" max="1799" width="18.42578125" style="141" customWidth="1"/>
    <col min="1800" max="1800" width="16.140625" style="141" bestFit="1" customWidth="1"/>
    <col min="1801" max="1801" width="16.5703125" style="141" bestFit="1" customWidth="1"/>
    <col min="1802" max="1802" width="6.42578125" style="141" customWidth="1"/>
    <col min="1803" max="2048" width="6.42578125" style="141"/>
    <col min="2049" max="2049" width="7.140625" style="141" customWidth="1"/>
    <col min="2050" max="2050" width="44.28515625" style="141" bestFit="1" customWidth="1"/>
    <col min="2051" max="2051" width="9.85546875" style="141" bestFit="1" customWidth="1"/>
    <col min="2052" max="2052" width="15" style="141" customWidth="1"/>
    <col min="2053" max="2053" width="18.140625" style="141" bestFit="1" customWidth="1"/>
    <col min="2054" max="2054" width="17.5703125" style="141" customWidth="1"/>
    <col min="2055" max="2055" width="18.42578125" style="141" customWidth="1"/>
    <col min="2056" max="2056" width="16.140625" style="141" bestFit="1" customWidth="1"/>
    <col min="2057" max="2057" width="16.5703125" style="141" bestFit="1" customWidth="1"/>
    <col min="2058" max="2058" width="6.42578125" style="141" customWidth="1"/>
    <col min="2059" max="2304" width="6.42578125" style="141"/>
    <col min="2305" max="2305" width="7.140625" style="141" customWidth="1"/>
    <col min="2306" max="2306" width="44.28515625" style="141" bestFit="1" customWidth="1"/>
    <col min="2307" max="2307" width="9.85546875" style="141" bestFit="1" customWidth="1"/>
    <col min="2308" max="2308" width="15" style="141" customWidth="1"/>
    <col min="2309" max="2309" width="18.140625" style="141" bestFit="1" customWidth="1"/>
    <col min="2310" max="2310" width="17.5703125" style="141" customWidth="1"/>
    <col min="2311" max="2311" width="18.42578125" style="141" customWidth="1"/>
    <col min="2312" max="2312" width="16.140625" style="141" bestFit="1" customWidth="1"/>
    <col min="2313" max="2313" width="16.5703125" style="141" bestFit="1" customWidth="1"/>
    <col min="2314" max="2314" width="6.42578125" style="141" customWidth="1"/>
    <col min="2315" max="2560" width="6.42578125" style="141"/>
    <col min="2561" max="2561" width="7.140625" style="141" customWidth="1"/>
    <col min="2562" max="2562" width="44.28515625" style="141" bestFit="1" customWidth="1"/>
    <col min="2563" max="2563" width="9.85546875" style="141" bestFit="1" customWidth="1"/>
    <col min="2564" max="2564" width="15" style="141" customWidth="1"/>
    <col min="2565" max="2565" width="18.140625" style="141" bestFit="1" customWidth="1"/>
    <col min="2566" max="2566" width="17.5703125" style="141" customWidth="1"/>
    <col min="2567" max="2567" width="18.42578125" style="141" customWidth="1"/>
    <col min="2568" max="2568" width="16.140625" style="141" bestFit="1" customWidth="1"/>
    <col min="2569" max="2569" width="16.5703125" style="141" bestFit="1" customWidth="1"/>
    <col min="2570" max="2570" width="6.42578125" style="141" customWidth="1"/>
    <col min="2571" max="2816" width="6.42578125" style="141"/>
    <col min="2817" max="2817" width="7.140625" style="141" customWidth="1"/>
    <col min="2818" max="2818" width="44.28515625" style="141" bestFit="1" customWidth="1"/>
    <col min="2819" max="2819" width="9.85546875" style="141" bestFit="1" customWidth="1"/>
    <col min="2820" max="2820" width="15" style="141" customWidth="1"/>
    <col min="2821" max="2821" width="18.140625" style="141" bestFit="1" customWidth="1"/>
    <col min="2822" max="2822" width="17.5703125" style="141" customWidth="1"/>
    <col min="2823" max="2823" width="18.42578125" style="141" customWidth="1"/>
    <col min="2824" max="2824" width="16.140625" style="141" bestFit="1" customWidth="1"/>
    <col min="2825" max="2825" width="16.5703125" style="141" bestFit="1" customWidth="1"/>
    <col min="2826" max="2826" width="6.42578125" style="141" customWidth="1"/>
    <col min="2827" max="3072" width="6.42578125" style="141"/>
    <col min="3073" max="3073" width="7.140625" style="141" customWidth="1"/>
    <col min="3074" max="3074" width="44.28515625" style="141" bestFit="1" customWidth="1"/>
    <col min="3075" max="3075" width="9.85546875" style="141" bestFit="1" customWidth="1"/>
    <col min="3076" max="3076" width="15" style="141" customWidth="1"/>
    <col min="3077" max="3077" width="18.140625" style="141" bestFit="1" customWidth="1"/>
    <col min="3078" max="3078" width="17.5703125" style="141" customWidth="1"/>
    <col min="3079" max="3079" width="18.42578125" style="141" customWidth="1"/>
    <col min="3080" max="3080" width="16.140625" style="141" bestFit="1" customWidth="1"/>
    <col min="3081" max="3081" width="16.5703125" style="141" bestFit="1" customWidth="1"/>
    <col min="3082" max="3082" width="6.42578125" style="141" customWidth="1"/>
    <col min="3083" max="3328" width="6.42578125" style="141"/>
    <col min="3329" max="3329" width="7.140625" style="141" customWidth="1"/>
    <col min="3330" max="3330" width="44.28515625" style="141" bestFit="1" customWidth="1"/>
    <col min="3331" max="3331" width="9.85546875" style="141" bestFit="1" customWidth="1"/>
    <col min="3332" max="3332" width="15" style="141" customWidth="1"/>
    <col min="3333" max="3333" width="18.140625" style="141" bestFit="1" customWidth="1"/>
    <col min="3334" max="3334" width="17.5703125" style="141" customWidth="1"/>
    <col min="3335" max="3335" width="18.42578125" style="141" customWidth="1"/>
    <col min="3336" max="3336" width="16.140625" style="141" bestFit="1" customWidth="1"/>
    <col min="3337" max="3337" width="16.5703125" style="141" bestFit="1" customWidth="1"/>
    <col min="3338" max="3338" width="6.42578125" style="141" customWidth="1"/>
    <col min="3339" max="3584" width="6.42578125" style="141"/>
    <col min="3585" max="3585" width="7.140625" style="141" customWidth="1"/>
    <col min="3586" max="3586" width="44.28515625" style="141" bestFit="1" customWidth="1"/>
    <col min="3587" max="3587" width="9.85546875" style="141" bestFit="1" customWidth="1"/>
    <col min="3588" max="3588" width="15" style="141" customWidth="1"/>
    <col min="3589" max="3589" width="18.140625" style="141" bestFit="1" customWidth="1"/>
    <col min="3590" max="3590" width="17.5703125" style="141" customWidth="1"/>
    <col min="3591" max="3591" width="18.42578125" style="141" customWidth="1"/>
    <col min="3592" max="3592" width="16.140625" style="141" bestFit="1" customWidth="1"/>
    <col min="3593" max="3593" width="16.5703125" style="141" bestFit="1" customWidth="1"/>
    <col min="3594" max="3594" width="6.42578125" style="141" customWidth="1"/>
    <col min="3595" max="3840" width="6.42578125" style="141"/>
    <col min="3841" max="3841" width="7.140625" style="141" customWidth="1"/>
    <col min="3842" max="3842" width="44.28515625" style="141" bestFit="1" customWidth="1"/>
    <col min="3843" max="3843" width="9.85546875" style="141" bestFit="1" customWidth="1"/>
    <col min="3844" max="3844" width="15" style="141" customWidth="1"/>
    <col min="3845" max="3845" width="18.140625" style="141" bestFit="1" customWidth="1"/>
    <col min="3846" max="3846" width="17.5703125" style="141" customWidth="1"/>
    <col min="3847" max="3847" width="18.42578125" style="141" customWidth="1"/>
    <col min="3848" max="3848" width="16.140625" style="141" bestFit="1" customWidth="1"/>
    <col min="3849" max="3849" width="16.5703125" style="141" bestFit="1" customWidth="1"/>
    <col min="3850" max="3850" width="6.42578125" style="141" customWidth="1"/>
    <col min="3851" max="4096" width="6.42578125" style="141"/>
    <col min="4097" max="4097" width="7.140625" style="141" customWidth="1"/>
    <col min="4098" max="4098" width="44.28515625" style="141" bestFit="1" customWidth="1"/>
    <col min="4099" max="4099" width="9.85546875" style="141" bestFit="1" customWidth="1"/>
    <col min="4100" max="4100" width="15" style="141" customWidth="1"/>
    <col min="4101" max="4101" width="18.140625" style="141" bestFit="1" customWidth="1"/>
    <col min="4102" max="4102" width="17.5703125" style="141" customWidth="1"/>
    <col min="4103" max="4103" width="18.42578125" style="141" customWidth="1"/>
    <col min="4104" max="4104" width="16.140625" style="141" bestFit="1" customWidth="1"/>
    <col min="4105" max="4105" width="16.5703125" style="141" bestFit="1" customWidth="1"/>
    <col min="4106" max="4106" width="6.42578125" style="141" customWidth="1"/>
    <col min="4107" max="4352" width="6.42578125" style="141"/>
    <col min="4353" max="4353" width="7.140625" style="141" customWidth="1"/>
    <col min="4354" max="4354" width="44.28515625" style="141" bestFit="1" customWidth="1"/>
    <col min="4355" max="4355" width="9.85546875" style="141" bestFit="1" customWidth="1"/>
    <col min="4356" max="4356" width="15" style="141" customWidth="1"/>
    <col min="4357" max="4357" width="18.140625" style="141" bestFit="1" customWidth="1"/>
    <col min="4358" max="4358" width="17.5703125" style="141" customWidth="1"/>
    <col min="4359" max="4359" width="18.42578125" style="141" customWidth="1"/>
    <col min="4360" max="4360" width="16.140625" style="141" bestFit="1" customWidth="1"/>
    <col min="4361" max="4361" width="16.5703125" style="141" bestFit="1" customWidth="1"/>
    <col min="4362" max="4362" width="6.42578125" style="141" customWidth="1"/>
    <col min="4363" max="4608" width="6.42578125" style="141"/>
    <col min="4609" max="4609" width="7.140625" style="141" customWidth="1"/>
    <col min="4610" max="4610" width="44.28515625" style="141" bestFit="1" customWidth="1"/>
    <col min="4611" max="4611" width="9.85546875" style="141" bestFit="1" customWidth="1"/>
    <col min="4612" max="4612" width="15" style="141" customWidth="1"/>
    <col min="4613" max="4613" width="18.140625" style="141" bestFit="1" customWidth="1"/>
    <col min="4614" max="4614" width="17.5703125" style="141" customWidth="1"/>
    <col min="4615" max="4615" width="18.42578125" style="141" customWidth="1"/>
    <col min="4616" max="4616" width="16.140625" style="141" bestFit="1" customWidth="1"/>
    <col min="4617" max="4617" width="16.5703125" style="141" bestFit="1" customWidth="1"/>
    <col min="4618" max="4618" width="6.42578125" style="141" customWidth="1"/>
    <col min="4619" max="4864" width="6.42578125" style="141"/>
    <col min="4865" max="4865" width="7.140625" style="141" customWidth="1"/>
    <col min="4866" max="4866" width="44.28515625" style="141" bestFit="1" customWidth="1"/>
    <col min="4867" max="4867" width="9.85546875" style="141" bestFit="1" customWidth="1"/>
    <col min="4868" max="4868" width="15" style="141" customWidth="1"/>
    <col min="4869" max="4869" width="18.140625" style="141" bestFit="1" customWidth="1"/>
    <col min="4870" max="4870" width="17.5703125" style="141" customWidth="1"/>
    <col min="4871" max="4871" width="18.42578125" style="141" customWidth="1"/>
    <col min="4872" max="4872" width="16.140625" style="141" bestFit="1" customWidth="1"/>
    <col min="4873" max="4873" width="16.5703125" style="141" bestFit="1" customWidth="1"/>
    <col min="4874" max="4874" width="6.42578125" style="141" customWidth="1"/>
    <col min="4875" max="5120" width="6.42578125" style="141"/>
    <col min="5121" max="5121" width="7.140625" style="141" customWidth="1"/>
    <col min="5122" max="5122" width="44.28515625" style="141" bestFit="1" customWidth="1"/>
    <col min="5123" max="5123" width="9.85546875" style="141" bestFit="1" customWidth="1"/>
    <col min="5124" max="5124" width="15" style="141" customWidth="1"/>
    <col min="5125" max="5125" width="18.140625" style="141" bestFit="1" customWidth="1"/>
    <col min="5126" max="5126" width="17.5703125" style="141" customWidth="1"/>
    <col min="5127" max="5127" width="18.42578125" style="141" customWidth="1"/>
    <col min="5128" max="5128" width="16.140625" style="141" bestFit="1" customWidth="1"/>
    <col min="5129" max="5129" width="16.5703125" style="141" bestFit="1" customWidth="1"/>
    <col min="5130" max="5130" width="6.42578125" style="141" customWidth="1"/>
    <col min="5131" max="5376" width="6.42578125" style="141"/>
    <col min="5377" max="5377" width="7.140625" style="141" customWidth="1"/>
    <col min="5378" max="5378" width="44.28515625" style="141" bestFit="1" customWidth="1"/>
    <col min="5379" max="5379" width="9.85546875" style="141" bestFit="1" customWidth="1"/>
    <col min="5380" max="5380" width="15" style="141" customWidth="1"/>
    <col min="5381" max="5381" width="18.140625" style="141" bestFit="1" customWidth="1"/>
    <col min="5382" max="5382" width="17.5703125" style="141" customWidth="1"/>
    <col min="5383" max="5383" width="18.42578125" style="141" customWidth="1"/>
    <col min="5384" max="5384" width="16.140625" style="141" bestFit="1" customWidth="1"/>
    <col min="5385" max="5385" width="16.5703125" style="141" bestFit="1" customWidth="1"/>
    <col min="5386" max="5386" width="6.42578125" style="141" customWidth="1"/>
    <col min="5387" max="5632" width="6.42578125" style="141"/>
    <col min="5633" max="5633" width="7.140625" style="141" customWidth="1"/>
    <col min="5634" max="5634" width="44.28515625" style="141" bestFit="1" customWidth="1"/>
    <col min="5635" max="5635" width="9.85546875" style="141" bestFit="1" customWidth="1"/>
    <col min="5636" max="5636" width="15" style="141" customWidth="1"/>
    <col min="5637" max="5637" width="18.140625" style="141" bestFit="1" customWidth="1"/>
    <col min="5638" max="5638" width="17.5703125" style="141" customWidth="1"/>
    <col min="5639" max="5639" width="18.42578125" style="141" customWidth="1"/>
    <col min="5640" max="5640" width="16.140625" style="141" bestFit="1" customWidth="1"/>
    <col min="5641" max="5641" width="16.5703125" style="141" bestFit="1" customWidth="1"/>
    <col min="5642" max="5642" width="6.42578125" style="141" customWidth="1"/>
    <col min="5643" max="5888" width="6.42578125" style="141"/>
    <col min="5889" max="5889" width="7.140625" style="141" customWidth="1"/>
    <col min="5890" max="5890" width="44.28515625" style="141" bestFit="1" customWidth="1"/>
    <col min="5891" max="5891" width="9.85546875" style="141" bestFit="1" customWidth="1"/>
    <col min="5892" max="5892" width="15" style="141" customWidth="1"/>
    <col min="5893" max="5893" width="18.140625" style="141" bestFit="1" customWidth="1"/>
    <col min="5894" max="5894" width="17.5703125" style="141" customWidth="1"/>
    <col min="5895" max="5895" width="18.42578125" style="141" customWidth="1"/>
    <col min="5896" max="5896" width="16.140625" style="141" bestFit="1" customWidth="1"/>
    <col min="5897" max="5897" width="16.5703125" style="141" bestFit="1" customWidth="1"/>
    <col min="5898" max="5898" width="6.42578125" style="141" customWidth="1"/>
    <col min="5899" max="6144" width="6.42578125" style="141"/>
    <col min="6145" max="6145" width="7.140625" style="141" customWidth="1"/>
    <col min="6146" max="6146" width="44.28515625" style="141" bestFit="1" customWidth="1"/>
    <col min="6147" max="6147" width="9.85546875" style="141" bestFit="1" customWidth="1"/>
    <col min="6148" max="6148" width="15" style="141" customWidth="1"/>
    <col min="6149" max="6149" width="18.140625" style="141" bestFit="1" customWidth="1"/>
    <col min="6150" max="6150" width="17.5703125" style="141" customWidth="1"/>
    <col min="6151" max="6151" width="18.42578125" style="141" customWidth="1"/>
    <col min="6152" max="6152" width="16.140625" style="141" bestFit="1" customWidth="1"/>
    <col min="6153" max="6153" width="16.5703125" style="141" bestFit="1" customWidth="1"/>
    <col min="6154" max="6154" width="6.42578125" style="141" customWidth="1"/>
    <col min="6155" max="6400" width="6.42578125" style="141"/>
    <col min="6401" max="6401" width="7.140625" style="141" customWidth="1"/>
    <col min="6402" max="6402" width="44.28515625" style="141" bestFit="1" customWidth="1"/>
    <col min="6403" max="6403" width="9.85546875" style="141" bestFit="1" customWidth="1"/>
    <col min="6404" max="6404" width="15" style="141" customWidth="1"/>
    <col min="6405" max="6405" width="18.140625" style="141" bestFit="1" customWidth="1"/>
    <col min="6406" max="6406" width="17.5703125" style="141" customWidth="1"/>
    <col min="6407" max="6407" width="18.42578125" style="141" customWidth="1"/>
    <col min="6408" max="6408" width="16.140625" style="141" bestFit="1" customWidth="1"/>
    <col min="6409" max="6409" width="16.5703125" style="141" bestFit="1" customWidth="1"/>
    <col min="6410" max="6410" width="6.42578125" style="141" customWidth="1"/>
    <col min="6411" max="6656" width="6.42578125" style="141"/>
    <col min="6657" max="6657" width="7.140625" style="141" customWidth="1"/>
    <col min="6658" max="6658" width="44.28515625" style="141" bestFit="1" customWidth="1"/>
    <col min="6659" max="6659" width="9.85546875" style="141" bestFit="1" customWidth="1"/>
    <col min="6660" max="6660" width="15" style="141" customWidth="1"/>
    <col min="6661" max="6661" width="18.140625" style="141" bestFit="1" customWidth="1"/>
    <col min="6662" max="6662" width="17.5703125" style="141" customWidth="1"/>
    <col min="6663" max="6663" width="18.42578125" style="141" customWidth="1"/>
    <col min="6664" max="6664" width="16.140625" style="141" bestFit="1" customWidth="1"/>
    <col min="6665" max="6665" width="16.5703125" style="141" bestFit="1" customWidth="1"/>
    <col min="6666" max="6666" width="6.42578125" style="141" customWidth="1"/>
    <col min="6667" max="6912" width="6.42578125" style="141"/>
    <col min="6913" max="6913" width="7.140625" style="141" customWidth="1"/>
    <col min="6914" max="6914" width="44.28515625" style="141" bestFit="1" customWidth="1"/>
    <col min="6915" max="6915" width="9.85546875" style="141" bestFit="1" customWidth="1"/>
    <col min="6916" max="6916" width="15" style="141" customWidth="1"/>
    <col min="6917" max="6917" width="18.140625" style="141" bestFit="1" customWidth="1"/>
    <col min="6918" max="6918" width="17.5703125" style="141" customWidth="1"/>
    <col min="6919" max="6919" width="18.42578125" style="141" customWidth="1"/>
    <col min="6920" max="6920" width="16.140625" style="141" bestFit="1" customWidth="1"/>
    <col min="6921" max="6921" width="16.5703125" style="141" bestFit="1" customWidth="1"/>
    <col min="6922" max="6922" width="6.42578125" style="141" customWidth="1"/>
    <col min="6923" max="7168" width="6.42578125" style="141"/>
    <col min="7169" max="7169" width="7.140625" style="141" customWidth="1"/>
    <col min="7170" max="7170" width="44.28515625" style="141" bestFit="1" customWidth="1"/>
    <col min="7171" max="7171" width="9.85546875" style="141" bestFit="1" customWidth="1"/>
    <col min="7172" max="7172" width="15" style="141" customWidth="1"/>
    <col min="7173" max="7173" width="18.140625" style="141" bestFit="1" customWidth="1"/>
    <col min="7174" max="7174" width="17.5703125" style="141" customWidth="1"/>
    <col min="7175" max="7175" width="18.42578125" style="141" customWidth="1"/>
    <col min="7176" max="7176" width="16.140625" style="141" bestFit="1" customWidth="1"/>
    <col min="7177" max="7177" width="16.5703125" style="141" bestFit="1" customWidth="1"/>
    <col min="7178" max="7178" width="6.42578125" style="141" customWidth="1"/>
    <col min="7179" max="7424" width="6.42578125" style="141"/>
    <col min="7425" max="7425" width="7.140625" style="141" customWidth="1"/>
    <col min="7426" max="7426" width="44.28515625" style="141" bestFit="1" customWidth="1"/>
    <col min="7427" max="7427" width="9.85546875" style="141" bestFit="1" customWidth="1"/>
    <col min="7428" max="7428" width="15" style="141" customWidth="1"/>
    <col min="7429" max="7429" width="18.140625" style="141" bestFit="1" customWidth="1"/>
    <col min="7430" max="7430" width="17.5703125" style="141" customWidth="1"/>
    <col min="7431" max="7431" width="18.42578125" style="141" customWidth="1"/>
    <col min="7432" max="7432" width="16.140625" style="141" bestFit="1" customWidth="1"/>
    <col min="7433" max="7433" width="16.5703125" style="141" bestFit="1" customWidth="1"/>
    <col min="7434" max="7434" width="6.42578125" style="141" customWidth="1"/>
    <col min="7435" max="7680" width="6.42578125" style="141"/>
    <col min="7681" max="7681" width="7.140625" style="141" customWidth="1"/>
    <col min="7682" max="7682" width="44.28515625" style="141" bestFit="1" customWidth="1"/>
    <col min="7683" max="7683" width="9.85546875" style="141" bestFit="1" customWidth="1"/>
    <col min="7684" max="7684" width="15" style="141" customWidth="1"/>
    <col min="7685" max="7685" width="18.140625" style="141" bestFit="1" customWidth="1"/>
    <col min="7686" max="7686" width="17.5703125" style="141" customWidth="1"/>
    <col min="7687" max="7687" width="18.42578125" style="141" customWidth="1"/>
    <col min="7688" max="7688" width="16.140625" style="141" bestFit="1" customWidth="1"/>
    <col min="7689" max="7689" width="16.5703125" style="141" bestFit="1" customWidth="1"/>
    <col min="7690" max="7690" width="6.42578125" style="141" customWidth="1"/>
    <col min="7691" max="7936" width="6.42578125" style="141"/>
    <col min="7937" max="7937" width="7.140625" style="141" customWidth="1"/>
    <col min="7938" max="7938" width="44.28515625" style="141" bestFit="1" customWidth="1"/>
    <col min="7939" max="7939" width="9.85546875" style="141" bestFit="1" customWidth="1"/>
    <col min="7940" max="7940" width="15" style="141" customWidth="1"/>
    <col min="7941" max="7941" width="18.140625" style="141" bestFit="1" customWidth="1"/>
    <col min="7942" max="7942" width="17.5703125" style="141" customWidth="1"/>
    <col min="7943" max="7943" width="18.42578125" style="141" customWidth="1"/>
    <col min="7944" max="7944" width="16.140625" style="141" bestFit="1" customWidth="1"/>
    <col min="7945" max="7945" width="16.5703125" style="141" bestFit="1" customWidth="1"/>
    <col min="7946" max="7946" width="6.42578125" style="141" customWidth="1"/>
    <col min="7947" max="8192" width="6.42578125" style="141"/>
    <col min="8193" max="8193" width="7.140625" style="141" customWidth="1"/>
    <col min="8194" max="8194" width="44.28515625" style="141" bestFit="1" customWidth="1"/>
    <col min="8195" max="8195" width="9.85546875" style="141" bestFit="1" customWidth="1"/>
    <col min="8196" max="8196" width="15" style="141" customWidth="1"/>
    <col min="8197" max="8197" width="18.140625" style="141" bestFit="1" customWidth="1"/>
    <col min="8198" max="8198" width="17.5703125" style="141" customWidth="1"/>
    <col min="8199" max="8199" width="18.42578125" style="141" customWidth="1"/>
    <col min="8200" max="8200" width="16.140625" style="141" bestFit="1" customWidth="1"/>
    <col min="8201" max="8201" width="16.5703125" style="141" bestFit="1" customWidth="1"/>
    <col min="8202" max="8202" width="6.42578125" style="141" customWidth="1"/>
    <col min="8203" max="8448" width="6.42578125" style="141"/>
    <col min="8449" max="8449" width="7.140625" style="141" customWidth="1"/>
    <col min="8450" max="8450" width="44.28515625" style="141" bestFit="1" customWidth="1"/>
    <col min="8451" max="8451" width="9.85546875" style="141" bestFit="1" customWidth="1"/>
    <col min="8452" max="8452" width="15" style="141" customWidth="1"/>
    <col min="8453" max="8453" width="18.140625" style="141" bestFit="1" customWidth="1"/>
    <col min="8454" max="8454" width="17.5703125" style="141" customWidth="1"/>
    <col min="8455" max="8455" width="18.42578125" style="141" customWidth="1"/>
    <col min="8456" max="8456" width="16.140625" style="141" bestFit="1" customWidth="1"/>
    <col min="8457" max="8457" width="16.5703125" style="141" bestFit="1" customWidth="1"/>
    <col min="8458" max="8458" width="6.42578125" style="141" customWidth="1"/>
    <col min="8459" max="8704" width="6.42578125" style="141"/>
    <col min="8705" max="8705" width="7.140625" style="141" customWidth="1"/>
    <col min="8706" max="8706" width="44.28515625" style="141" bestFit="1" customWidth="1"/>
    <col min="8707" max="8707" width="9.85546875" style="141" bestFit="1" customWidth="1"/>
    <col min="8708" max="8708" width="15" style="141" customWidth="1"/>
    <col min="8709" max="8709" width="18.140625" style="141" bestFit="1" customWidth="1"/>
    <col min="8710" max="8710" width="17.5703125" style="141" customWidth="1"/>
    <col min="8711" max="8711" width="18.42578125" style="141" customWidth="1"/>
    <col min="8712" max="8712" width="16.140625" style="141" bestFit="1" customWidth="1"/>
    <col min="8713" max="8713" width="16.5703125" style="141" bestFit="1" customWidth="1"/>
    <col min="8714" max="8714" width="6.42578125" style="141" customWidth="1"/>
    <col min="8715" max="8960" width="6.42578125" style="141"/>
    <col min="8961" max="8961" width="7.140625" style="141" customWidth="1"/>
    <col min="8962" max="8962" width="44.28515625" style="141" bestFit="1" customWidth="1"/>
    <col min="8963" max="8963" width="9.85546875" style="141" bestFit="1" customWidth="1"/>
    <col min="8964" max="8964" width="15" style="141" customWidth="1"/>
    <col min="8965" max="8965" width="18.140625" style="141" bestFit="1" customWidth="1"/>
    <col min="8966" max="8966" width="17.5703125" style="141" customWidth="1"/>
    <col min="8967" max="8967" width="18.42578125" style="141" customWidth="1"/>
    <col min="8968" max="8968" width="16.140625" style="141" bestFit="1" customWidth="1"/>
    <col min="8969" max="8969" width="16.5703125" style="141" bestFit="1" customWidth="1"/>
    <col min="8970" max="8970" width="6.42578125" style="141" customWidth="1"/>
    <col min="8971" max="9216" width="6.42578125" style="141"/>
    <col min="9217" max="9217" width="7.140625" style="141" customWidth="1"/>
    <col min="9218" max="9218" width="44.28515625" style="141" bestFit="1" customWidth="1"/>
    <col min="9219" max="9219" width="9.85546875" style="141" bestFit="1" customWidth="1"/>
    <col min="9220" max="9220" width="15" style="141" customWidth="1"/>
    <col min="9221" max="9221" width="18.140625" style="141" bestFit="1" customWidth="1"/>
    <col min="9222" max="9222" width="17.5703125" style="141" customWidth="1"/>
    <col min="9223" max="9223" width="18.42578125" style="141" customWidth="1"/>
    <col min="9224" max="9224" width="16.140625" style="141" bestFit="1" customWidth="1"/>
    <col min="9225" max="9225" width="16.5703125" style="141" bestFit="1" customWidth="1"/>
    <col min="9226" max="9226" width="6.42578125" style="141" customWidth="1"/>
    <col min="9227" max="9472" width="6.42578125" style="141"/>
    <col min="9473" max="9473" width="7.140625" style="141" customWidth="1"/>
    <col min="9474" max="9474" width="44.28515625" style="141" bestFit="1" customWidth="1"/>
    <col min="9475" max="9475" width="9.85546875" style="141" bestFit="1" customWidth="1"/>
    <col min="9476" max="9476" width="15" style="141" customWidth="1"/>
    <col min="9477" max="9477" width="18.140625" style="141" bestFit="1" customWidth="1"/>
    <col min="9478" max="9478" width="17.5703125" style="141" customWidth="1"/>
    <col min="9479" max="9479" width="18.42578125" style="141" customWidth="1"/>
    <col min="9480" max="9480" width="16.140625" style="141" bestFit="1" customWidth="1"/>
    <col min="9481" max="9481" width="16.5703125" style="141" bestFit="1" customWidth="1"/>
    <col min="9482" max="9482" width="6.42578125" style="141" customWidth="1"/>
    <col min="9483" max="9728" width="6.42578125" style="141"/>
    <col min="9729" max="9729" width="7.140625" style="141" customWidth="1"/>
    <col min="9730" max="9730" width="44.28515625" style="141" bestFit="1" customWidth="1"/>
    <col min="9731" max="9731" width="9.85546875" style="141" bestFit="1" customWidth="1"/>
    <col min="9732" max="9732" width="15" style="141" customWidth="1"/>
    <col min="9733" max="9733" width="18.140625" style="141" bestFit="1" customWidth="1"/>
    <col min="9734" max="9734" width="17.5703125" style="141" customWidth="1"/>
    <col min="9735" max="9735" width="18.42578125" style="141" customWidth="1"/>
    <col min="9736" max="9736" width="16.140625" style="141" bestFit="1" customWidth="1"/>
    <col min="9737" max="9737" width="16.5703125" style="141" bestFit="1" customWidth="1"/>
    <col min="9738" max="9738" width="6.42578125" style="141" customWidth="1"/>
    <col min="9739" max="9984" width="6.42578125" style="141"/>
    <col min="9985" max="9985" width="7.140625" style="141" customWidth="1"/>
    <col min="9986" max="9986" width="44.28515625" style="141" bestFit="1" customWidth="1"/>
    <col min="9987" max="9987" width="9.85546875" style="141" bestFit="1" customWidth="1"/>
    <col min="9988" max="9988" width="15" style="141" customWidth="1"/>
    <col min="9989" max="9989" width="18.140625" style="141" bestFit="1" customWidth="1"/>
    <col min="9990" max="9990" width="17.5703125" style="141" customWidth="1"/>
    <col min="9991" max="9991" width="18.42578125" style="141" customWidth="1"/>
    <col min="9992" max="9992" width="16.140625" style="141" bestFit="1" customWidth="1"/>
    <col min="9993" max="9993" width="16.5703125" style="141" bestFit="1" customWidth="1"/>
    <col min="9994" max="9994" width="6.42578125" style="141" customWidth="1"/>
    <col min="9995" max="10240" width="6.42578125" style="141"/>
    <col min="10241" max="10241" width="7.140625" style="141" customWidth="1"/>
    <col min="10242" max="10242" width="44.28515625" style="141" bestFit="1" customWidth="1"/>
    <col min="10243" max="10243" width="9.85546875" style="141" bestFit="1" customWidth="1"/>
    <col min="10244" max="10244" width="15" style="141" customWidth="1"/>
    <col min="10245" max="10245" width="18.140625" style="141" bestFit="1" customWidth="1"/>
    <col min="10246" max="10246" width="17.5703125" style="141" customWidth="1"/>
    <col min="10247" max="10247" width="18.42578125" style="141" customWidth="1"/>
    <col min="10248" max="10248" width="16.140625" style="141" bestFit="1" customWidth="1"/>
    <col min="10249" max="10249" width="16.5703125" style="141" bestFit="1" customWidth="1"/>
    <col min="10250" max="10250" width="6.42578125" style="141" customWidth="1"/>
    <col min="10251" max="10496" width="6.42578125" style="141"/>
    <col min="10497" max="10497" width="7.140625" style="141" customWidth="1"/>
    <col min="10498" max="10498" width="44.28515625" style="141" bestFit="1" customWidth="1"/>
    <col min="10499" max="10499" width="9.85546875" style="141" bestFit="1" customWidth="1"/>
    <col min="10500" max="10500" width="15" style="141" customWidth="1"/>
    <col min="10501" max="10501" width="18.140625" style="141" bestFit="1" customWidth="1"/>
    <col min="10502" max="10502" width="17.5703125" style="141" customWidth="1"/>
    <col min="10503" max="10503" width="18.42578125" style="141" customWidth="1"/>
    <col min="10504" max="10504" width="16.140625" style="141" bestFit="1" customWidth="1"/>
    <col min="10505" max="10505" width="16.5703125" style="141" bestFit="1" customWidth="1"/>
    <col min="10506" max="10506" width="6.42578125" style="141" customWidth="1"/>
    <col min="10507" max="10752" width="6.42578125" style="141"/>
    <col min="10753" max="10753" width="7.140625" style="141" customWidth="1"/>
    <col min="10754" max="10754" width="44.28515625" style="141" bestFit="1" customWidth="1"/>
    <col min="10755" max="10755" width="9.85546875" style="141" bestFit="1" customWidth="1"/>
    <col min="10756" max="10756" width="15" style="141" customWidth="1"/>
    <col min="10757" max="10757" width="18.140625" style="141" bestFit="1" customWidth="1"/>
    <col min="10758" max="10758" width="17.5703125" style="141" customWidth="1"/>
    <col min="10759" max="10759" width="18.42578125" style="141" customWidth="1"/>
    <col min="10760" max="10760" width="16.140625" style="141" bestFit="1" customWidth="1"/>
    <col min="10761" max="10761" width="16.5703125" style="141" bestFit="1" customWidth="1"/>
    <col min="10762" max="10762" width="6.42578125" style="141" customWidth="1"/>
    <col min="10763" max="11008" width="6.42578125" style="141"/>
    <col min="11009" max="11009" width="7.140625" style="141" customWidth="1"/>
    <col min="11010" max="11010" width="44.28515625" style="141" bestFit="1" customWidth="1"/>
    <col min="11011" max="11011" width="9.85546875" style="141" bestFit="1" customWidth="1"/>
    <col min="11012" max="11012" width="15" style="141" customWidth="1"/>
    <col min="11013" max="11013" width="18.140625" style="141" bestFit="1" customWidth="1"/>
    <col min="11014" max="11014" width="17.5703125" style="141" customWidth="1"/>
    <col min="11015" max="11015" width="18.42578125" style="141" customWidth="1"/>
    <col min="11016" max="11016" width="16.140625" style="141" bestFit="1" customWidth="1"/>
    <col min="11017" max="11017" width="16.5703125" style="141" bestFit="1" customWidth="1"/>
    <col min="11018" max="11018" width="6.42578125" style="141" customWidth="1"/>
    <col min="11019" max="11264" width="6.42578125" style="141"/>
    <col min="11265" max="11265" width="7.140625" style="141" customWidth="1"/>
    <col min="11266" max="11266" width="44.28515625" style="141" bestFit="1" customWidth="1"/>
    <col min="11267" max="11267" width="9.85546875" style="141" bestFit="1" customWidth="1"/>
    <col min="11268" max="11268" width="15" style="141" customWidth="1"/>
    <col min="11269" max="11269" width="18.140625" style="141" bestFit="1" customWidth="1"/>
    <col min="11270" max="11270" width="17.5703125" style="141" customWidth="1"/>
    <col min="11271" max="11271" width="18.42578125" style="141" customWidth="1"/>
    <col min="11272" max="11272" width="16.140625" style="141" bestFit="1" customWidth="1"/>
    <col min="11273" max="11273" width="16.5703125" style="141" bestFit="1" customWidth="1"/>
    <col min="11274" max="11274" width="6.42578125" style="141" customWidth="1"/>
    <col min="11275" max="11520" width="6.42578125" style="141"/>
    <col min="11521" max="11521" width="7.140625" style="141" customWidth="1"/>
    <col min="11522" max="11522" width="44.28515625" style="141" bestFit="1" customWidth="1"/>
    <col min="11523" max="11523" width="9.85546875" style="141" bestFit="1" customWidth="1"/>
    <col min="11524" max="11524" width="15" style="141" customWidth="1"/>
    <col min="11525" max="11525" width="18.140625" style="141" bestFit="1" customWidth="1"/>
    <col min="11526" max="11526" width="17.5703125" style="141" customWidth="1"/>
    <col min="11527" max="11527" width="18.42578125" style="141" customWidth="1"/>
    <col min="11528" max="11528" width="16.140625" style="141" bestFit="1" customWidth="1"/>
    <col min="11529" max="11529" width="16.5703125" style="141" bestFit="1" customWidth="1"/>
    <col min="11530" max="11530" width="6.42578125" style="141" customWidth="1"/>
    <col min="11531" max="11776" width="6.42578125" style="141"/>
    <col min="11777" max="11777" width="7.140625" style="141" customWidth="1"/>
    <col min="11778" max="11778" width="44.28515625" style="141" bestFit="1" customWidth="1"/>
    <col min="11779" max="11779" width="9.85546875" style="141" bestFit="1" customWidth="1"/>
    <col min="11780" max="11780" width="15" style="141" customWidth="1"/>
    <col min="11781" max="11781" width="18.140625" style="141" bestFit="1" customWidth="1"/>
    <col min="11782" max="11782" width="17.5703125" style="141" customWidth="1"/>
    <col min="11783" max="11783" width="18.42578125" style="141" customWidth="1"/>
    <col min="11784" max="11784" width="16.140625" style="141" bestFit="1" customWidth="1"/>
    <col min="11785" max="11785" width="16.5703125" style="141" bestFit="1" customWidth="1"/>
    <col min="11786" max="11786" width="6.42578125" style="141" customWidth="1"/>
    <col min="11787" max="12032" width="6.42578125" style="141"/>
    <col min="12033" max="12033" width="7.140625" style="141" customWidth="1"/>
    <col min="12034" max="12034" width="44.28515625" style="141" bestFit="1" customWidth="1"/>
    <col min="12035" max="12035" width="9.85546875" style="141" bestFit="1" customWidth="1"/>
    <col min="12036" max="12036" width="15" style="141" customWidth="1"/>
    <col min="12037" max="12037" width="18.140625" style="141" bestFit="1" customWidth="1"/>
    <col min="12038" max="12038" width="17.5703125" style="141" customWidth="1"/>
    <col min="12039" max="12039" width="18.42578125" style="141" customWidth="1"/>
    <col min="12040" max="12040" width="16.140625" style="141" bestFit="1" customWidth="1"/>
    <col min="12041" max="12041" width="16.5703125" style="141" bestFit="1" customWidth="1"/>
    <col min="12042" max="12042" width="6.42578125" style="141" customWidth="1"/>
    <col min="12043" max="12288" width="6.42578125" style="141"/>
    <col min="12289" max="12289" width="7.140625" style="141" customWidth="1"/>
    <col min="12290" max="12290" width="44.28515625" style="141" bestFit="1" customWidth="1"/>
    <col min="12291" max="12291" width="9.85546875" style="141" bestFit="1" customWidth="1"/>
    <col min="12292" max="12292" width="15" style="141" customWidth="1"/>
    <col min="12293" max="12293" width="18.140625" style="141" bestFit="1" customWidth="1"/>
    <col min="12294" max="12294" width="17.5703125" style="141" customWidth="1"/>
    <col min="12295" max="12295" width="18.42578125" style="141" customWidth="1"/>
    <col min="12296" max="12296" width="16.140625" style="141" bestFit="1" customWidth="1"/>
    <col min="12297" max="12297" width="16.5703125" style="141" bestFit="1" customWidth="1"/>
    <col min="12298" max="12298" width="6.42578125" style="141" customWidth="1"/>
    <col min="12299" max="12544" width="6.42578125" style="141"/>
    <col min="12545" max="12545" width="7.140625" style="141" customWidth="1"/>
    <col min="12546" max="12546" width="44.28515625" style="141" bestFit="1" customWidth="1"/>
    <col min="12547" max="12547" width="9.85546875" style="141" bestFit="1" customWidth="1"/>
    <col min="12548" max="12548" width="15" style="141" customWidth="1"/>
    <col min="12549" max="12549" width="18.140625" style="141" bestFit="1" customWidth="1"/>
    <col min="12550" max="12550" width="17.5703125" style="141" customWidth="1"/>
    <col min="12551" max="12551" width="18.42578125" style="141" customWidth="1"/>
    <col min="12552" max="12552" width="16.140625" style="141" bestFit="1" customWidth="1"/>
    <col min="12553" max="12553" width="16.5703125" style="141" bestFit="1" customWidth="1"/>
    <col min="12554" max="12554" width="6.42578125" style="141" customWidth="1"/>
    <col min="12555" max="12800" width="6.42578125" style="141"/>
    <col min="12801" max="12801" width="7.140625" style="141" customWidth="1"/>
    <col min="12802" max="12802" width="44.28515625" style="141" bestFit="1" customWidth="1"/>
    <col min="12803" max="12803" width="9.85546875" style="141" bestFit="1" customWidth="1"/>
    <col min="12804" max="12804" width="15" style="141" customWidth="1"/>
    <col min="12805" max="12805" width="18.140625" style="141" bestFit="1" customWidth="1"/>
    <col min="12806" max="12806" width="17.5703125" style="141" customWidth="1"/>
    <col min="12807" max="12807" width="18.42578125" style="141" customWidth="1"/>
    <col min="12808" max="12808" width="16.140625" style="141" bestFit="1" customWidth="1"/>
    <col min="12809" max="12809" width="16.5703125" style="141" bestFit="1" customWidth="1"/>
    <col min="12810" max="12810" width="6.42578125" style="141" customWidth="1"/>
    <col min="12811" max="13056" width="6.42578125" style="141"/>
    <col min="13057" max="13057" width="7.140625" style="141" customWidth="1"/>
    <col min="13058" max="13058" width="44.28515625" style="141" bestFit="1" customWidth="1"/>
    <col min="13059" max="13059" width="9.85546875" style="141" bestFit="1" customWidth="1"/>
    <col min="13060" max="13060" width="15" style="141" customWidth="1"/>
    <col min="13061" max="13061" width="18.140625" style="141" bestFit="1" customWidth="1"/>
    <col min="13062" max="13062" width="17.5703125" style="141" customWidth="1"/>
    <col min="13063" max="13063" width="18.42578125" style="141" customWidth="1"/>
    <col min="13064" max="13064" width="16.140625" style="141" bestFit="1" customWidth="1"/>
    <col min="13065" max="13065" width="16.5703125" style="141" bestFit="1" customWidth="1"/>
    <col min="13066" max="13066" width="6.42578125" style="141" customWidth="1"/>
    <col min="13067" max="13312" width="6.42578125" style="141"/>
    <col min="13313" max="13313" width="7.140625" style="141" customWidth="1"/>
    <col min="13314" max="13314" width="44.28515625" style="141" bestFit="1" customWidth="1"/>
    <col min="13315" max="13315" width="9.85546875" style="141" bestFit="1" customWidth="1"/>
    <col min="13316" max="13316" width="15" style="141" customWidth="1"/>
    <col min="13317" max="13317" width="18.140625" style="141" bestFit="1" customWidth="1"/>
    <col min="13318" max="13318" width="17.5703125" style="141" customWidth="1"/>
    <col min="13319" max="13319" width="18.42578125" style="141" customWidth="1"/>
    <col min="13320" max="13320" width="16.140625" style="141" bestFit="1" customWidth="1"/>
    <col min="13321" max="13321" width="16.5703125" style="141" bestFit="1" customWidth="1"/>
    <col min="13322" max="13322" width="6.42578125" style="141" customWidth="1"/>
    <col min="13323" max="13568" width="6.42578125" style="141"/>
    <col min="13569" max="13569" width="7.140625" style="141" customWidth="1"/>
    <col min="13570" max="13570" width="44.28515625" style="141" bestFit="1" customWidth="1"/>
    <col min="13571" max="13571" width="9.85546875" style="141" bestFit="1" customWidth="1"/>
    <col min="13572" max="13572" width="15" style="141" customWidth="1"/>
    <col min="13573" max="13573" width="18.140625" style="141" bestFit="1" customWidth="1"/>
    <col min="13574" max="13574" width="17.5703125" style="141" customWidth="1"/>
    <col min="13575" max="13575" width="18.42578125" style="141" customWidth="1"/>
    <col min="13576" max="13576" width="16.140625" style="141" bestFit="1" customWidth="1"/>
    <col min="13577" max="13577" width="16.5703125" style="141" bestFit="1" customWidth="1"/>
    <col min="13578" max="13578" width="6.42578125" style="141" customWidth="1"/>
    <col min="13579" max="13824" width="6.42578125" style="141"/>
    <col min="13825" max="13825" width="7.140625" style="141" customWidth="1"/>
    <col min="13826" max="13826" width="44.28515625" style="141" bestFit="1" customWidth="1"/>
    <col min="13827" max="13827" width="9.85546875" style="141" bestFit="1" customWidth="1"/>
    <col min="13828" max="13828" width="15" style="141" customWidth="1"/>
    <col min="13829" max="13829" width="18.140625" style="141" bestFit="1" customWidth="1"/>
    <col min="13830" max="13830" width="17.5703125" style="141" customWidth="1"/>
    <col min="13831" max="13831" width="18.42578125" style="141" customWidth="1"/>
    <col min="13832" max="13832" width="16.140625" style="141" bestFit="1" customWidth="1"/>
    <col min="13833" max="13833" width="16.5703125" style="141" bestFit="1" customWidth="1"/>
    <col min="13834" max="13834" width="6.42578125" style="141" customWidth="1"/>
    <col min="13835" max="14080" width="6.42578125" style="141"/>
    <col min="14081" max="14081" width="7.140625" style="141" customWidth="1"/>
    <col min="14082" max="14082" width="44.28515625" style="141" bestFit="1" customWidth="1"/>
    <col min="14083" max="14083" width="9.85546875" style="141" bestFit="1" customWidth="1"/>
    <col min="14084" max="14084" width="15" style="141" customWidth="1"/>
    <col min="14085" max="14085" width="18.140625" style="141" bestFit="1" customWidth="1"/>
    <col min="14086" max="14086" width="17.5703125" style="141" customWidth="1"/>
    <col min="14087" max="14087" width="18.42578125" style="141" customWidth="1"/>
    <col min="14088" max="14088" width="16.140625" style="141" bestFit="1" customWidth="1"/>
    <col min="14089" max="14089" width="16.5703125" style="141" bestFit="1" customWidth="1"/>
    <col min="14090" max="14090" width="6.42578125" style="141" customWidth="1"/>
    <col min="14091" max="14336" width="6.42578125" style="141"/>
    <col min="14337" max="14337" width="7.140625" style="141" customWidth="1"/>
    <col min="14338" max="14338" width="44.28515625" style="141" bestFit="1" customWidth="1"/>
    <col min="14339" max="14339" width="9.85546875" style="141" bestFit="1" customWidth="1"/>
    <col min="14340" max="14340" width="15" style="141" customWidth="1"/>
    <col min="14341" max="14341" width="18.140625" style="141" bestFit="1" customWidth="1"/>
    <col min="14342" max="14342" width="17.5703125" style="141" customWidth="1"/>
    <col min="14343" max="14343" width="18.42578125" style="141" customWidth="1"/>
    <col min="14344" max="14344" width="16.140625" style="141" bestFit="1" customWidth="1"/>
    <col min="14345" max="14345" width="16.5703125" style="141" bestFit="1" customWidth="1"/>
    <col min="14346" max="14346" width="6.42578125" style="141" customWidth="1"/>
    <col min="14347" max="14592" width="6.42578125" style="141"/>
    <col min="14593" max="14593" width="7.140625" style="141" customWidth="1"/>
    <col min="14594" max="14594" width="44.28515625" style="141" bestFit="1" customWidth="1"/>
    <col min="14595" max="14595" width="9.85546875" style="141" bestFit="1" customWidth="1"/>
    <col min="14596" max="14596" width="15" style="141" customWidth="1"/>
    <col min="14597" max="14597" width="18.140625" style="141" bestFit="1" customWidth="1"/>
    <col min="14598" max="14598" width="17.5703125" style="141" customWidth="1"/>
    <col min="14599" max="14599" width="18.42578125" style="141" customWidth="1"/>
    <col min="14600" max="14600" width="16.140625" style="141" bestFit="1" customWidth="1"/>
    <col min="14601" max="14601" width="16.5703125" style="141" bestFit="1" customWidth="1"/>
    <col min="14602" max="14602" width="6.42578125" style="141" customWidth="1"/>
    <col min="14603" max="14848" width="6.42578125" style="141"/>
    <col min="14849" max="14849" width="7.140625" style="141" customWidth="1"/>
    <col min="14850" max="14850" width="44.28515625" style="141" bestFit="1" customWidth="1"/>
    <col min="14851" max="14851" width="9.85546875" style="141" bestFit="1" customWidth="1"/>
    <col min="14852" max="14852" width="15" style="141" customWidth="1"/>
    <col min="14853" max="14853" width="18.140625" style="141" bestFit="1" customWidth="1"/>
    <col min="14854" max="14854" width="17.5703125" style="141" customWidth="1"/>
    <col min="14855" max="14855" width="18.42578125" style="141" customWidth="1"/>
    <col min="14856" max="14856" width="16.140625" style="141" bestFit="1" customWidth="1"/>
    <col min="14857" max="14857" width="16.5703125" style="141" bestFit="1" customWidth="1"/>
    <col min="14858" max="14858" width="6.42578125" style="141" customWidth="1"/>
    <col min="14859" max="15104" width="6.42578125" style="141"/>
    <col min="15105" max="15105" width="7.140625" style="141" customWidth="1"/>
    <col min="15106" max="15106" width="44.28515625" style="141" bestFit="1" customWidth="1"/>
    <col min="15107" max="15107" width="9.85546875" style="141" bestFit="1" customWidth="1"/>
    <col min="15108" max="15108" width="15" style="141" customWidth="1"/>
    <col min="15109" max="15109" width="18.140625" style="141" bestFit="1" customWidth="1"/>
    <col min="15110" max="15110" width="17.5703125" style="141" customWidth="1"/>
    <col min="15111" max="15111" width="18.42578125" style="141" customWidth="1"/>
    <col min="15112" max="15112" width="16.140625" style="141" bestFit="1" customWidth="1"/>
    <col min="15113" max="15113" width="16.5703125" style="141" bestFit="1" customWidth="1"/>
    <col min="15114" max="15114" width="6.42578125" style="141" customWidth="1"/>
    <col min="15115" max="15360" width="6.42578125" style="141"/>
    <col min="15361" max="15361" width="7.140625" style="141" customWidth="1"/>
    <col min="15362" max="15362" width="44.28515625" style="141" bestFit="1" customWidth="1"/>
    <col min="15363" max="15363" width="9.85546875" style="141" bestFit="1" customWidth="1"/>
    <col min="15364" max="15364" width="15" style="141" customWidth="1"/>
    <col min="15365" max="15365" width="18.140625" style="141" bestFit="1" customWidth="1"/>
    <col min="15366" max="15366" width="17.5703125" style="141" customWidth="1"/>
    <col min="15367" max="15367" width="18.42578125" style="141" customWidth="1"/>
    <col min="15368" max="15368" width="16.140625" style="141" bestFit="1" customWidth="1"/>
    <col min="15369" max="15369" width="16.5703125" style="141" bestFit="1" customWidth="1"/>
    <col min="15370" max="15370" width="6.42578125" style="141" customWidth="1"/>
    <col min="15371" max="15616" width="6.42578125" style="141"/>
    <col min="15617" max="15617" width="7.140625" style="141" customWidth="1"/>
    <col min="15618" max="15618" width="44.28515625" style="141" bestFit="1" customWidth="1"/>
    <col min="15619" max="15619" width="9.85546875" style="141" bestFit="1" customWidth="1"/>
    <col min="15620" max="15620" width="15" style="141" customWidth="1"/>
    <col min="15621" max="15621" width="18.140625" style="141" bestFit="1" customWidth="1"/>
    <col min="15622" max="15622" width="17.5703125" style="141" customWidth="1"/>
    <col min="15623" max="15623" width="18.42578125" style="141" customWidth="1"/>
    <col min="15624" max="15624" width="16.140625" style="141" bestFit="1" customWidth="1"/>
    <col min="15625" max="15625" width="16.5703125" style="141" bestFit="1" customWidth="1"/>
    <col min="15626" max="15626" width="6.42578125" style="141" customWidth="1"/>
    <col min="15627" max="15872" width="6.42578125" style="141"/>
    <col min="15873" max="15873" width="7.140625" style="141" customWidth="1"/>
    <col min="15874" max="15874" width="44.28515625" style="141" bestFit="1" customWidth="1"/>
    <col min="15875" max="15875" width="9.85546875" style="141" bestFit="1" customWidth="1"/>
    <col min="15876" max="15876" width="15" style="141" customWidth="1"/>
    <col min="15877" max="15877" width="18.140625" style="141" bestFit="1" customWidth="1"/>
    <col min="15878" max="15878" width="17.5703125" style="141" customWidth="1"/>
    <col min="15879" max="15879" width="18.42578125" style="141" customWidth="1"/>
    <col min="15880" max="15880" width="16.140625" style="141" bestFit="1" customWidth="1"/>
    <col min="15881" max="15881" width="16.5703125" style="141" bestFit="1" customWidth="1"/>
    <col min="15882" max="15882" width="6.42578125" style="141" customWidth="1"/>
    <col min="15883" max="16128" width="6.42578125" style="141"/>
    <col min="16129" max="16129" width="7.140625" style="141" customWidth="1"/>
    <col min="16130" max="16130" width="44.28515625" style="141" bestFit="1" customWidth="1"/>
    <col min="16131" max="16131" width="9.85546875" style="141" bestFit="1" customWidth="1"/>
    <col min="16132" max="16132" width="15" style="141" customWidth="1"/>
    <col min="16133" max="16133" width="18.140625" style="141" bestFit="1" customWidth="1"/>
    <col min="16134" max="16134" width="17.5703125" style="141" customWidth="1"/>
    <col min="16135" max="16135" width="18.42578125" style="141" customWidth="1"/>
    <col min="16136" max="16136" width="16.140625" style="141" bestFit="1" customWidth="1"/>
    <col min="16137" max="16137" width="16.5703125" style="141" bestFit="1" customWidth="1"/>
    <col min="16138" max="16138" width="6.42578125" style="141" customWidth="1"/>
    <col min="16139" max="16384" width="6.42578125" style="141"/>
  </cols>
  <sheetData>
    <row r="1" spans="1:27" s="134" customFormat="1" ht="18.75" x14ac:dyDescent="0.2">
      <c r="A1" s="473" t="s">
        <v>878</v>
      </c>
      <c r="B1" s="471"/>
      <c r="C1" s="471"/>
      <c r="D1" s="471"/>
      <c r="E1" s="471"/>
      <c r="F1" s="133"/>
      <c r="G1" s="133"/>
      <c r="H1" s="133"/>
      <c r="I1" s="133"/>
      <c r="J1" s="133"/>
      <c r="K1" s="133"/>
      <c r="L1" s="133"/>
      <c r="M1" s="133"/>
      <c r="N1" s="133"/>
      <c r="O1" s="133"/>
      <c r="P1" s="133"/>
      <c r="Q1" s="133"/>
      <c r="R1" s="133"/>
      <c r="S1" s="133"/>
      <c r="T1" s="133"/>
      <c r="U1" s="133"/>
      <c r="V1" s="133"/>
      <c r="W1" s="133"/>
      <c r="X1" s="133"/>
      <c r="Y1" s="133"/>
      <c r="Z1" s="133"/>
      <c r="AA1" s="133"/>
    </row>
    <row r="2" spans="1:27" s="134" customFormat="1" ht="18.75" x14ac:dyDescent="0.2">
      <c r="A2" s="135"/>
      <c r="B2" s="135"/>
      <c r="C2" s="135"/>
      <c r="D2" s="135"/>
      <c r="E2" s="135"/>
      <c r="F2" s="135"/>
      <c r="G2" s="135"/>
      <c r="H2" s="135"/>
      <c r="I2" s="136" t="s">
        <v>791</v>
      </c>
      <c r="J2" s="135"/>
      <c r="K2" s="135"/>
      <c r="L2" s="135"/>
      <c r="M2" s="135"/>
      <c r="N2" s="135"/>
      <c r="O2" s="135"/>
      <c r="P2" s="135"/>
      <c r="Q2" s="135"/>
      <c r="R2" s="135"/>
      <c r="S2" s="135"/>
      <c r="T2" s="135"/>
      <c r="U2" s="135"/>
      <c r="V2" s="135"/>
      <c r="W2" s="135"/>
      <c r="X2" s="135"/>
      <c r="Y2" s="135"/>
      <c r="Z2" s="135"/>
      <c r="AA2" s="135"/>
    </row>
    <row r="3" spans="1:27" ht="76.5" x14ac:dyDescent="0.2">
      <c r="A3" s="137" t="s">
        <v>792</v>
      </c>
      <c r="B3" s="138" t="s">
        <v>793</v>
      </c>
      <c r="C3" s="138" t="s">
        <v>794</v>
      </c>
      <c r="D3" s="138" t="s">
        <v>795</v>
      </c>
      <c r="E3" s="138" t="s">
        <v>796</v>
      </c>
      <c r="F3" s="138" t="s">
        <v>797</v>
      </c>
      <c r="G3" s="138" t="s">
        <v>798</v>
      </c>
      <c r="H3" s="138" t="s">
        <v>799</v>
      </c>
      <c r="I3" s="138" t="s">
        <v>800</v>
      </c>
      <c r="K3" s="140"/>
      <c r="L3" s="140"/>
      <c r="M3" s="140"/>
      <c r="N3" s="140"/>
      <c r="O3" s="140"/>
      <c r="P3" s="140"/>
      <c r="Q3" s="140"/>
      <c r="R3" s="140"/>
      <c r="S3" s="140"/>
      <c r="T3" s="140"/>
      <c r="U3" s="140"/>
      <c r="V3" s="140"/>
      <c r="W3" s="140"/>
      <c r="X3" s="140"/>
      <c r="Y3" s="140"/>
      <c r="Z3" s="140"/>
    </row>
    <row r="4" spans="1:27" x14ac:dyDescent="0.2">
      <c r="A4" s="142" t="s">
        <v>801</v>
      </c>
      <c r="B4" s="143" t="s">
        <v>802</v>
      </c>
      <c r="C4" s="144"/>
      <c r="D4" s="144"/>
      <c r="E4" s="144"/>
      <c r="F4" s="144"/>
      <c r="G4" s="144"/>
      <c r="H4" s="144"/>
      <c r="I4" s="144"/>
    </row>
    <row r="5" spans="1:27" x14ac:dyDescent="0.2">
      <c r="A5" s="142" t="s">
        <v>803</v>
      </c>
      <c r="B5" s="143" t="s">
        <v>804</v>
      </c>
      <c r="C5" s="144"/>
      <c r="D5" s="144"/>
      <c r="E5" s="144"/>
      <c r="F5" s="144"/>
      <c r="G5" s="144"/>
      <c r="H5" s="144"/>
      <c r="I5" s="144"/>
    </row>
    <row r="6" spans="1:27" x14ac:dyDescent="0.2">
      <c r="A6" s="145">
        <v>1</v>
      </c>
      <c r="B6" s="146" t="s">
        <v>805</v>
      </c>
      <c r="C6" s="147">
        <v>16</v>
      </c>
      <c r="D6" s="144">
        <v>21363</v>
      </c>
      <c r="E6" s="148">
        <v>31582.995958134812</v>
      </c>
      <c r="F6" s="148">
        <v>31487.260377693827</v>
      </c>
      <c r="G6" s="148">
        <v>95.735580440993971</v>
      </c>
      <c r="H6" s="148">
        <v>11309.753872104708</v>
      </c>
      <c r="I6" s="148">
        <v>11566.841555205277</v>
      </c>
    </row>
    <row r="7" spans="1:27" x14ac:dyDescent="0.2">
      <c r="A7" s="145">
        <v>2</v>
      </c>
      <c r="B7" s="146" t="s">
        <v>806</v>
      </c>
      <c r="C7" s="147">
        <v>40</v>
      </c>
      <c r="D7" s="144">
        <v>1451293</v>
      </c>
      <c r="E7" s="148">
        <v>1741122.8786129355</v>
      </c>
      <c r="F7" s="148">
        <v>1651344.4447798098</v>
      </c>
      <c r="G7" s="148">
        <v>89778.433833125586</v>
      </c>
      <c r="H7" s="148">
        <v>477842.96310311102</v>
      </c>
      <c r="I7" s="148">
        <v>510923.82715456549</v>
      </c>
    </row>
    <row r="8" spans="1:27" x14ac:dyDescent="0.2">
      <c r="A8" s="145">
        <v>3</v>
      </c>
      <c r="B8" s="146" t="s">
        <v>807</v>
      </c>
      <c r="C8" s="147">
        <v>25</v>
      </c>
      <c r="D8" s="144">
        <v>591392</v>
      </c>
      <c r="E8" s="148">
        <v>21187.24336937119</v>
      </c>
      <c r="F8" s="148">
        <v>10149.981084420999</v>
      </c>
      <c r="G8" s="148">
        <v>11037.262284950186</v>
      </c>
      <c r="H8" s="148">
        <v>87144.673665827082</v>
      </c>
      <c r="I8" s="148">
        <v>86203.308903667348</v>
      </c>
    </row>
    <row r="9" spans="1:27" x14ac:dyDescent="0.2">
      <c r="A9" s="145">
        <v>4</v>
      </c>
      <c r="B9" s="146" t="s">
        <v>808</v>
      </c>
      <c r="C9" s="147">
        <v>26</v>
      </c>
      <c r="D9" s="144">
        <v>922455</v>
      </c>
      <c r="E9" s="148">
        <v>13428.886204377084</v>
      </c>
      <c r="F9" s="148">
        <v>8515.5388863044591</v>
      </c>
      <c r="G9" s="148">
        <v>4913.3473180726269</v>
      </c>
      <c r="H9" s="148">
        <v>89821.937997992645</v>
      </c>
      <c r="I9" s="148">
        <v>90672.654265040823</v>
      </c>
    </row>
    <row r="10" spans="1:27" x14ac:dyDescent="0.2">
      <c r="A10" s="145">
        <v>5</v>
      </c>
      <c r="B10" s="146" t="s">
        <v>809</v>
      </c>
      <c r="C10" s="147">
        <v>16</v>
      </c>
      <c r="D10" s="144">
        <v>284325</v>
      </c>
      <c r="E10" s="148">
        <v>14309.151123102954</v>
      </c>
      <c r="F10" s="148">
        <v>7890.6311364916492</v>
      </c>
      <c r="G10" s="148">
        <v>6418.5199866113062</v>
      </c>
      <c r="H10" s="148">
        <v>59017.646587845084</v>
      </c>
      <c r="I10" s="148">
        <v>59200.303769513601</v>
      </c>
    </row>
    <row r="11" spans="1:27" x14ac:dyDescent="0.2">
      <c r="A11" s="145">
        <v>6</v>
      </c>
      <c r="B11" s="146" t="s">
        <v>810</v>
      </c>
      <c r="C11" s="147">
        <v>29</v>
      </c>
      <c r="D11" s="144">
        <v>263140</v>
      </c>
      <c r="E11" s="148">
        <v>5214.5393012122722</v>
      </c>
      <c r="F11" s="148">
        <v>2443.9649064042096</v>
      </c>
      <c r="G11" s="148">
        <v>2770.5743948080622</v>
      </c>
      <c r="H11" s="148">
        <v>80720.930462900098</v>
      </c>
      <c r="I11" s="148">
        <v>80722.693126272672</v>
      </c>
    </row>
    <row r="12" spans="1:27" x14ac:dyDescent="0.2">
      <c r="A12" s="145">
        <v>7</v>
      </c>
      <c r="B12" s="146" t="s">
        <v>811</v>
      </c>
      <c r="C12" s="147">
        <v>17</v>
      </c>
      <c r="D12" s="144">
        <v>243389</v>
      </c>
      <c r="E12" s="148">
        <v>698.44443568351505</v>
      </c>
      <c r="F12" s="148">
        <v>1229.3361349372149</v>
      </c>
      <c r="G12" s="148">
        <v>-530.89169925369947</v>
      </c>
      <c r="H12" s="148">
        <v>36556.276954105364</v>
      </c>
      <c r="I12" s="148">
        <v>37329.08113785302</v>
      </c>
    </row>
    <row r="13" spans="1:27" x14ac:dyDescent="0.2">
      <c r="A13" s="145">
        <v>8</v>
      </c>
      <c r="B13" s="146" t="s">
        <v>812</v>
      </c>
      <c r="C13" s="147">
        <v>13</v>
      </c>
      <c r="D13" s="144">
        <v>103875</v>
      </c>
      <c r="E13" s="148">
        <v>465.7711771391921</v>
      </c>
      <c r="F13" s="148">
        <v>201.62715503200002</v>
      </c>
      <c r="G13" s="148">
        <v>264.14402210719214</v>
      </c>
      <c r="H13" s="148">
        <v>10127.503947742469</v>
      </c>
      <c r="I13" s="148">
        <v>10034.241702666824</v>
      </c>
    </row>
    <row r="14" spans="1:27" x14ac:dyDescent="0.2">
      <c r="A14" s="145">
        <v>9</v>
      </c>
      <c r="B14" s="146" t="s">
        <v>813</v>
      </c>
      <c r="C14" s="147">
        <v>2</v>
      </c>
      <c r="D14" s="144">
        <v>18687</v>
      </c>
      <c r="E14" s="148">
        <v>21.645727644638001</v>
      </c>
      <c r="F14" s="148">
        <v>13.584879718</v>
      </c>
      <c r="G14" s="148">
        <v>8.0608479266380009</v>
      </c>
      <c r="H14" s="148">
        <v>1130.4137173400929</v>
      </c>
      <c r="I14" s="148">
        <v>1125.2904254646724</v>
      </c>
    </row>
    <row r="15" spans="1:27" x14ac:dyDescent="0.2">
      <c r="A15" s="145">
        <v>10</v>
      </c>
      <c r="B15" s="146" t="s">
        <v>814</v>
      </c>
      <c r="C15" s="147">
        <v>28</v>
      </c>
      <c r="D15" s="144">
        <v>212622</v>
      </c>
      <c r="E15" s="148">
        <v>984.8735408306818</v>
      </c>
      <c r="F15" s="148">
        <v>572.90204104000009</v>
      </c>
      <c r="G15" s="148">
        <v>411.97149979068212</v>
      </c>
      <c r="H15" s="148">
        <v>19861.099271818399</v>
      </c>
      <c r="I15" s="148">
        <v>19881.428162556644</v>
      </c>
    </row>
    <row r="16" spans="1:27" x14ac:dyDescent="0.2">
      <c r="A16" s="145">
        <v>11</v>
      </c>
      <c r="B16" s="146" t="s">
        <v>815</v>
      </c>
      <c r="C16" s="147">
        <v>21</v>
      </c>
      <c r="D16" s="144">
        <v>193906</v>
      </c>
      <c r="E16" s="148">
        <v>6078.4447508593103</v>
      </c>
      <c r="F16" s="148">
        <v>2204.0461354969589</v>
      </c>
      <c r="G16" s="148">
        <v>3874.3986153623514</v>
      </c>
      <c r="H16" s="148">
        <v>61329.494956083137</v>
      </c>
      <c r="I16" s="148">
        <v>60431.668270648661</v>
      </c>
    </row>
    <row r="17" spans="1:10" x14ac:dyDescent="0.2">
      <c r="A17" s="145">
        <v>12</v>
      </c>
      <c r="B17" s="146" t="s">
        <v>816</v>
      </c>
      <c r="C17" s="147">
        <v>20</v>
      </c>
      <c r="D17" s="144">
        <v>576015</v>
      </c>
      <c r="E17" s="148">
        <v>994.87665833699111</v>
      </c>
      <c r="F17" s="148">
        <v>2248.1601347870883</v>
      </c>
      <c r="G17" s="148">
        <v>-1253.2834764500972</v>
      </c>
      <c r="H17" s="148">
        <v>79643.890369534492</v>
      </c>
      <c r="I17" s="148">
        <v>80756.803918142556</v>
      </c>
    </row>
    <row r="18" spans="1:10" x14ac:dyDescent="0.2">
      <c r="A18" s="145">
        <v>13</v>
      </c>
      <c r="B18" s="146" t="s">
        <v>817</v>
      </c>
      <c r="C18" s="147">
        <v>17</v>
      </c>
      <c r="D18" s="144">
        <v>84669</v>
      </c>
      <c r="E18" s="148">
        <v>3421.4179259721568</v>
      </c>
      <c r="F18" s="148">
        <v>629.26553234971379</v>
      </c>
      <c r="G18" s="148">
        <v>2792.1523936224426</v>
      </c>
      <c r="H18" s="148">
        <v>35682.169426096436</v>
      </c>
      <c r="I18" s="148">
        <v>34637.867611226531</v>
      </c>
    </row>
    <row r="19" spans="1:10" x14ac:dyDescent="0.2">
      <c r="A19" s="145">
        <v>14</v>
      </c>
      <c r="B19" s="146" t="s">
        <v>818</v>
      </c>
      <c r="C19" s="147">
        <v>22</v>
      </c>
      <c r="D19" s="144">
        <v>64848</v>
      </c>
      <c r="E19" s="148">
        <v>216.68836119667998</v>
      </c>
      <c r="F19" s="148">
        <v>257.54714667600007</v>
      </c>
      <c r="G19" s="148">
        <v>-40.858785479320019</v>
      </c>
      <c r="H19" s="148">
        <v>7545.5241795611328</v>
      </c>
      <c r="I19" s="148">
        <v>7532.044246926047</v>
      </c>
    </row>
    <row r="20" spans="1:10" x14ac:dyDescent="0.2">
      <c r="A20" s="145">
        <v>15</v>
      </c>
      <c r="B20" s="146" t="s">
        <v>819</v>
      </c>
      <c r="C20" s="147">
        <v>4</v>
      </c>
      <c r="D20" s="144">
        <v>10400</v>
      </c>
      <c r="E20" s="148">
        <v>52.249638208999997</v>
      </c>
      <c r="F20" s="148">
        <v>19.146162863000001</v>
      </c>
      <c r="G20" s="148">
        <v>33.103475345999996</v>
      </c>
      <c r="H20" s="148">
        <v>547.78130332567923</v>
      </c>
      <c r="I20" s="148">
        <v>538.71174212249082</v>
      </c>
    </row>
    <row r="21" spans="1:10" x14ac:dyDescent="0.2">
      <c r="A21" s="145">
        <v>16</v>
      </c>
      <c r="B21" s="146" t="s">
        <v>820</v>
      </c>
      <c r="C21" s="147">
        <v>7</v>
      </c>
      <c r="D21" s="144">
        <v>133693</v>
      </c>
      <c r="E21" s="148">
        <v>2068.5719838175883</v>
      </c>
      <c r="F21" s="148">
        <v>1720.8436206730005</v>
      </c>
      <c r="G21" s="148">
        <v>347.72836314458812</v>
      </c>
      <c r="H21" s="148">
        <v>30058.009016985317</v>
      </c>
      <c r="I21" s="148">
        <v>30140.440981693373</v>
      </c>
    </row>
    <row r="22" spans="1:10" s="152" customFormat="1" ht="25.5" x14ac:dyDescent="0.2">
      <c r="A22" s="142"/>
      <c r="B22" s="138" t="s">
        <v>821</v>
      </c>
      <c r="C22" s="149">
        <v>303</v>
      </c>
      <c r="D22" s="149">
        <v>5176072</v>
      </c>
      <c r="E22" s="150">
        <v>1841848.6787688234</v>
      </c>
      <c r="F22" s="150">
        <v>1720928.280114698</v>
      </c>
      <c r="G22" s="150">
        <v>120920.39865412556</v>
      </c>
      <c r="H22" s="150">
        <v>1088340.068832373</v>
      </c>
      <c r="I22" s="150">
        <v>1121697.2069735657</v>
      </c>
      <c r="J22" s="151"/>
    </row>
    <row r="23" spans="1:10" x14ac:dyDescent="0.2">
      <c r="A23" s="142"/>
      <c r="B23" s="143"/>
      <c r="C23" s="144"/>
      <c r="D23" s="144"/>
      <c r="E23" s="148"/>
      <c r="F23" s="148"/>
      <c r="G23" s="148"/>
      <c r="H23" s="148"/>
      <c r="I23" s="148"/>
    </row>
    <row r="24" spans="1:10" x14ac:dyDescent="0.2">
      <c r="A24" s="142" t="s">
        <v>822</v>
      </c>
      <c r="B24" s="143" t="s">
        <v>823</v>
      </c>
      <c r="C24" s="144"/>
      <c r="D24" s="144"/>
      <c r="E24" s="148"/>
      <c r="F24" s="148"/>
      <c r="G24" s="148"/>
      <c r="H24" s="148"/>
      <c r="I24" s="148"/>
    </row>
    <row r="25" spans="1:10" x14ac:dyDescent="0.2">
      <c r="A25" s="145">
        <v>17</v>
      </c>
      <c r="B25" s="153" t="s">
        <v>824</v>
      </c>
      <c r="C25" s="147">
        <v>34</v>
      </c>
      <c r="D25" s="144">
        <v>8718034</v>
      </c>
      <c r="E25" s="148">
        <v>4371.4139392870002</v>
      </c>
      <c r="F25" s="148">
        <v>2498.3517667610377</v>
      </c>
      <c r="G25" s="148">
        <v>1873.0621725259621</v>
      </c>
      <c r="H25" s="148">
        <v>152056.40206652251</v>
      </c>
      <c r="I25" s="148">
        <v>151782.16353778538</v>
      </c>
    </row>
    <row r="26" spans="1:10" x14ac:dyDescent="0.2">
      <c r="A26" s="145">
        <v>18</v>
      </c>
      <c r="B26" s="153" t="s">
        <v>825</v>
      </c>
      <c r="C26" s="147">
        <v>29</v>
      </c>
      <c r="D26" s="144">
        <v>8179430</v>
      </c>
      <c r="E26" s="148">
        <v>2627.1115887759806</v>
      </c>
      <c r="F26" s="148">
        <v>2578.8413819074035</v>
      </c>
      <c r="G26" s="148">
        <v>48.270206868576253</v>
      </c>
      <c r="H26" s="148">
        <v>126595.93019332419</v>
      </c>
      <c r="I26" s="148">
        <v>126132.40827936793</v>
      </c>
    </row>
    <row r="27" spans="1:10" x14ac:dyDescent="0.2">
      <c r="A27" s="145">
        <v>19</v>
      </c>
      <c r="B27" s="153" t="s">
        <v>826</v>
      </c>
      <c r="C27" s="147">
        <v>24</v>
      </c>
      <c r="D27" s="144">
        <v>4352083</v>
      </c>
      <c r="E27" s="148">
        <v>1179.3822842883023</v>
      </c>
      <c r="F27" s="148">
        <v>1199.8862844448126</v>
      </c>
      <c r="G27" s="148">
        <v>-20.504000156511101</v>
      </c>
      <c r="H27" s="148">
        <v>51426.52929621128</v>
      </c>
      <c r="I27" s="148">
        <v>51506.077680174159</v>
      </c>
    </row>
    <row r="28" spans="1:10" x14ac:dyDescent="0.2">
      <c r="A28" s="145">
        <v>20</v>
      </c>
      <c r="B28" s="153" t="s">
        <v>827</v>
      </c>
      <c r="C28" s="147">
        <v>24</v>
      </c>
      <c r="D28" s="144">
        <v>6128989</v>
      </c>
      <c r="E28" s="148">
        <v>2060.4612997860268</v>
      </c>
      <c r="F28" s="148">
        <v>1569.4228089614285</v>
      </c>
      <c r="G28" s="148">
        <v>491.03849082459828</v>
      </c>
      <c r="H28" s="148">
        <v>75058.469899661824</v>
      </c>
      <c r="I28" s="148">
        <v>75976.241828658109</v>
      </c>
    </row>
    <row r="29" spans="1:10" x14ac:dyDescent="0.2">
      <c r="A29" s="145">
        <v>21</v>
      </c>
      <c r="B29" s="153" t="s">
        <v>828</v>
      </c>
      <c r="C29" s="147">
        <v>20</v>
      </c>
      <c r="D29" s="144">
        <v>4946766</v>
      </c>
      <c r="E29" s="148">
        <v>1772.5987694274843</v>
      </c>
      <c r="F29" s="148">
        <v>816.77180962503371</v>
      </c>
      <c r="G29" s="148">
        <v>955.82695980245069</v>
      </c>
      <c r="H29" s="148">
        <v>43872.108684429913</v>
      </c>
      <c r="I29" s="148">
        <v>44279.323073407926</v>
      </c>
    </row>
    <row r="30" spans="1:10" x14ac:dyDescent="0.2">
      <c r="A30" s="145">
        <v>22</v>
      </c>
      <c r="B30" s="153" t="s">
        <v>829</v>
      </c>
      <c r="C30" s="147">
        <v>6</v>
      </c>
      <c r="D30" s="144">
        <v>505530</v>
      </c>
      <c r="E30" s="148">
        <v>27.888807636000003</v>
      </c>
      <c r="F30" s="148">
        <v>59.921406125999994</v>
      </c>
      <c r="G30" s="148">
        <v>-32.032598489999998</v>
      </c>
      <c r="H30" s="148">
        <v>4825.6040010152628</v>
      </c>
      <c r="I30" s="148">
        <v>4839.7035562867586</v>
      </c>
    </row>
    <row r="31" spans="1:10" x14ac:dyDescent="0.2">
      <c r="A31" s="145">
        <v>23</v>
      </c>
      <c r="B31" s="153" t="s">
        <v>830</v>
      </c>
      <c r="C31" s="147">
        <v>18</v>
      </c>
      <c r="D31" s="144">
        <v>4465360</v>
      </c>
      <c r="E31" s="148">
        <v>1131.5974694469817</v>
      </c>
      <c r="F31" s="148">
        <v>1091.9107912112429</v>
      </c>
      <c r="G31" s="148">
        <v>39.686678235739194</v>
      </c>
      <c r="H31" s="148">
        <v>58196.250973710485</v>
      </c>
      <c r="I31" s="148">
        <v>58522.089406445979</v>
      </c>
    </row>
    <row r="32" spans="1:10" x14ac:dyDescent="0.2">
      <c r="A32" s="145">
        <v>24</v>
      </c>
      <c r="B32" s="153" t="s">
        <v>831</v>
      </c>
      <c r="C32" s="147">
        <v>18</v>
      </c>
      <c r="D32" s="144">
        <v>2865887</v>
      </c>
      <c r="E32" s="148">
        <v>1086.2126190651388</v>
      </c>
      <c r="F32" s="148">
        <v>858.64284179218191</v>
      </c>
      <c r="G32" s="148">
        <v>227.56977727295691</v>
      </c>
      <c r="H32" s="148">
        <v>37392.524501782944</v>
      </c>
      <c r="I32" s="148">
        <v>37121.877201635616</v>
      </c>
    </row>
    <row r="33" spans="1:10" x14ac:dyDescent="0.2">
      <c r="A33" s="145">
        <v>25</v>
      </c>
      <c r="B33" s="153" t="s">
        <v>832</v>
      </c>
      <c r="C33" s="147">
        <v>91</v>
      </c>
      <c r="D33" s="144">
        <v>6317911</v>
      </c>
      <c r="E33" s="148">
        <v>1829.122381623622</v>
      </c>
      <c r="F33" s="148">
        <v>1261.9504742586923</v>
      </c>
      <c r="G33" s="148">
        <v>567.17190736492955</v>
      </c>
      <c r="H33" s="148">
        <v>62082.454334425907</v>
      </c>
      <c r="I33" s="148">
        <v>62238.716998963093</v>
      </c>
    </row>
    <row r="34" spans="1:10" x14ac:dyDescent="0.2">
      <c r="A34" s="145">
        <v>26</v>
      </c>
      <c r="B34" s="153" t="s">
        <v>833</v>
      </c>
      <c r="C34" s="147">
        <v>43</v>
      </c>
      <c r="D34" s="144">
        <v>11484832</v>
      </c>
      <c r="E34" s="148">
        <v>1353.7479423517495</v>
      </c>
      <c r="F34" s="148">
        <v>895.09650381287543</v>
      </c>
      <c r="G34" s="148">
        <v>458.65143853887423</v>
      </c>
      <c r="H34" s="148">
        <v>92043.504767546125</v>
      </c>
      <c r="I34" s="148">
        <v>91930.22445475994</v>
      </c>
    </row>
    <row r="35" spans="1:10" s="152" customFormat="1" ht="25.5" x14ac:dyDescent="0.2">
      <c r="A35" s="142"/>
      <c r="B35" s="138" t="s">
        <v>834</v>
      </c>
      <c r="C35" s="149">
        <v>307</v>
      </c>
      <c r="D35" s="149">
        <v>57964822</v>
      </c>
      <c r="E35" s="150">
        <v>17439.537101688285</v>
      </c>
      <c r="F35" s="150">
        <v>12830.796068900709</v>
      </c>
      <c r="G35" s="150">
        <v>4608.7410327875759</v>
      </c>
      <c r="H35" s="150">
        <v>703549.77871863032</v>
      </c>
      <c r="I35" s="150">
        <v>704328.82601748488</v>
      </c>
      <c r="J35" s="151"/>
    </row>
    <row r="36" spans="1:10" x14ac:dyDescent="0.2">
      <c r="A36" s="142"/>
      <c r="B36" s="143"/>
      <c r="C36" s="144"/>
      <c r="D36" s="144"/>
      <c r="E36" s="148"/>
      <c r="F36" s="148"/>
      <c r="G36" s="148"/>
      <c r="H36" s="148"/>
      <c r="I36" s="148"/>
    </row>
    <row r="37" spans="1:10" x14ac:dyDescent="0.2">
      <c r="A37" s="142" t="s">
        <v>835</v>
      </c>
      <c r="B37" s="143" t="s">
        <v>836</v>
      </c>
      <c r="C37" s="144"/>
      <c r="D37" s="144"/>
      <c r="E37" s="148"/>
      <c r="F37" s="148"/>
      <c r="G37" s="148"/>
      <c r="H37" s="148"/>
      <c r="I37" s="148"/>
    </row>
    <row r="38" spans="1:10" x14ac:dyDescent="0.2">
      <c r="A38" s="154">
        <v>27</v>
      </c>
      <c r="B38" s="155" t="s">
        <v>837</v>
      </c>
      <c r="C38" s="147">
        <v>22</v>
      </c>
      <c r="D38" s="144">
        <v>439456</v>
      </c>
      <c r="E38" s="148">
        <v>124.59365544819809</v>
      </c>
      <c r="F38" s="148">
        <v>363.99488719098855</v>
      </c>
      <c r="G38" s="148">
        <v>-239.40123174279054</v>
      </c>
      <c r="H38" s="148">
        <v>15227.815731530016</v>
      </c>
      <c r="I38" s="148">
        <v>15401.514432222304</v>
      </c>
    </row>
    <row r="39" spans="1:10" x14ac:dyDescent="0.2">
      <c r="A39" s="154">
        <v>28</v>
      </c>
      <c r="B39" s="155" t="s">
        <v>838</v>
      </c>
      <c r="C39" s="147">
        <v>31</v>
      </c>
      <c r="D39" s="144">
        <v>5526783</v>
      </c>
      <c r="E39" s="148">
        <v>2215.6637081493704</v>
      </c>
      <c r="F39" s="148">
        <v>4337.0735756139902</v>
      </c>
      <c r="G39" s="148">
        <v>-2121.4098674646193</v>
      </c>
      <c r="H39" s="148">
        <v>146292.12397307475</v>
      </c>
      <c r="I39" s="148">
        <v>148599.30485609735</v>
      </c>
    </row>
    <row r="40" spans="1:10" x14ac:dyDescent="0.2">
      <c r="A40" s="154">
        <v>29</v>
      </c>
      <c r="B40" s="155" t="s">
        <v>839</v>
      </c>
      <c r="C40" s="147">
        <v>20</v>
      </c>
      <c r="D40" s="144">
        <v>2458452</v>
      </c>
      <c r="E40" s="148">
        <v>2036.3632577637582</v>
      </c>
      <c r="F40" s="148">
        <v>1881.7098928141813</v>
      </c>
      <c r="G40" s="148">
        <v>154.65336494957668</v>
      </c>
      <c r="H40" s="148">
        <v>92832.567411297801</v>
      </c>
      <c r="I40" s="148">
        <v>93265.247091455909</v>
      </c>
    </row>
    <row r="41" spans="1:10" x14ac:dyDescent="0.2">
      <c r="A41" s="154">
        <v>30</v>
      </c>
      <c r="B41" s="155" t="s">
        <v>840</v>
      </c>
      <c r="C41" s="147">
        <v>8</v>
      </c>
      <c r="D41" s="144">
        <v>614524</v>
      </c>
      <c r="E41" s="148">
        <v>276.17557453048295</v>
      </c>
      <c r="F41" s="148">
        <v>505.79877644392172</v>
      </c>
      <c r="G41" s="148">
        <v>-229.62320191343872</v>
      </c>
      <c r="H41" s="148">
        <v>12610.236295532653</v>
      </c>
      <c r="I41" s="148">
        <v>12904.687476465111</v>
      </c>
    </row>
    <row r="42" spans="1:10" x14ac:dyDescent="0.2">
      <c r="A42" s="154">
        <v>31</v>
      </c>
      <c r="B42" s="155" t="s">
        <v>841</v>
      </c>
      <c r="C42" s="147">
        <v>23</v>
      </c>
      <c r="D42" s="144">
        <v>252394</v>
      </c>
      <c r="E42" s="148">
        <v>5327.37942757581</v>
      </c>
      <c r="F42" s="148">
        <v>3798.3361374029992</v>
      </c>
      <c r="G42" s="148">
        <v>1529.0432901728109</v>
      </c>
      <c r="H42" s="148">
        <v>50494.586954539234</v>
      </c>
      <c r="I42" s="148">
        <v>50839.105965252864</v>
      </c>
    </row>
    <row r="43" spans="1:10" x14ac:dyDescent="0.2">
      <c r="A43" s="154">
        <v>32</v>
      </c>
      <c r="B43" s="155" t="s">
        <v>842</v>
      </c>
      <c r="C43" s="147">
        <v>22</v>
      </c>
      <c r="D43" s="144">
        <v>364908</v>
      </c>
      <c r="E43" s="148">
        <v>278.90687502587355</v>
      </c>
      <c r="F43" s="148">
        <v>986.99841316043842</v>
      </c>
      <c r="G43" s="148">
        <v>-708.09153813456498</v>
      </c>
      <c r="H43" s="148">
        <v>18749.294238249884</v>
      </c>
      <c r="I43" s="148">
        <v>19258.735807214562</v>
      </c>
    </row>
    <row r="44" spans="1:10" s="152" customFormat="1" x14ac:dyDescent="0.2">
      <c r="A44" s="142"/>
      <c r="B44" s="138" t="s">
        <v>843</v>
      </c>
      <c r="C44" s="149">
        <v>126</v>
      </c>
      <c r="D44" s="149">
        <v>9656517</v>
      </c>
      <c r="E44" s="150">
        <v>10259.082498493493</v>
      </c>
      <c r="F44" s="150">
        <v>11873.911682626518</v>
      </c>
      <c r="G44" s="150">
        <v>-1614.8291841330256</v>
      </c>
      <c r="H44" s="150">
        <v>336206.62460422434</v>
      </c>
      <c r="I44" s="150">
        <v>340268.59562870808</v>
      </c>
      <c r="J44" s="151"/>
    </row>
    <row r="45" spans="1:10" x14ac:dyDescent="0.2">
      <c r="A45" s="142"/>
      <c r="B45" s="143"/>
      <c r="C45" s="144"/>
      <c r="D45" s="144"/>
      <c r="E45" s="148"/>
      <c r="F45" s="148"/>
      <c r="G45" s="148"/>
      <c r="H45" s="148"/>
      <c r="I45" s="148"/>
    </row>
    <row r="46" spans="1:10" x14ac:dyDescent="0.2">
      <c r="A46" s="142" t="s">
        <v>844</v>
      </c>
      <c r="B46" s="143" t="s">
        <v>845</v>
      </c>
      <c r="C46" s="144"/>
      <c r="D46" s="144"/>
      <c r="E46" s="148"/>
      <c r="F46" s="148"/>
      <c r="G46" s="148"/>
      <c r="H46" s="148"/>
      <c r="I46" s="148"/>
    </row>
    <row r="47" spans="1:10" x14ac:dyDescent="0.2">
      <c r="A47" s="154">
        <v>33</v>
      </c>
      <c r="B47" s="155" t="s">
        <v>846</v>
      </c>
      <c r="C47" s="147">
        <v>21</v>
      </c>
      <c r="D47" s="144">
        <v>2497702</v>
      </c>
      <c r="E47" s="148">
        <v>184.44735530799997</v>
      </c>
      <c r="F47" s="148">
        <v>58.590132175000008</v>
      </c>
      <c r="G47" s="148">
        <v>125.85722313299999</v>
      </c>
      <c r="H47" s="148">
        <v>8376.1913584960985</v>
      </c>
      <c r="I47" s="148">
        <v>8360.3910023248791</v>
      </c>
    </row>
    <row r="48" spans="1:10" x14ac:dyDescent="0.2">
      <c r="A48" s="154">
        <v>34</v>
      </c>
      <c r="B48" s="155" t="s">
        <v>847</v>
      </c>
      <c r="C48" s="147">
        <v>9</v>
      </c>
      <c r="D48" s="144">
        <v>2790432</v>
      </c>
      <c r="E48" s="148">
        <v>72.557508645000013</v>
      </c>
      <c r="F48" s="148">
        <v>41.120086129965998</v>
      </c>
      <c r="G48" s="148">
        <v>31.437422515034001</v>
      </c>
      <c r="H48" s="148">
        <v>8101.5763001364812</v>
      </c>
      <c r="I48" s="148">
        <v>8130.6750278543968</v>
      </c>
    </row>
    <row r="49" spans="1:10" s="152" customFormat="1" x14ac:dyDescent="0.2">
      <c r="A49" s="142"/>
      <c r="B49" s="138" t="s">
        <v>848</v>
      </c>
      <c r="C49" s="149">
        <v>30</v>
      </c>
      <c r="D49" s="149">
        <v>5288134</v>
      </c>
      <c r="E49" s="150">
        <v>257.00486395299998</v>
      </c>
      <c r="F49" s="150">
        <v>99.710218304966006</v>
      </c>
      <c r="G49" s="150">
        <v>157.29464564803399</v>
      </c>
      <c r="H49" s="150">
        <v>16477.76765863258</v>
      </c>
      <c r="I49" s="150">
        <v>16491.066030179274</v>
      </c>
      <c r="J49" s="151"/>
    </row>
    <row r="50" spans="1:10" x14ac:dyDescent="0.2">
      <c r="A50" s="142"/>
      <c r="B50" s="143"/>
      <c r="C50" s="144"/>
      <c r="D50" s="144"/>
      <c r="E50" s="148"/>
      <c r="F50" s="148"/>
      <c r="G50" s="148"/>
      <c r="H50" s="148"/>
      <c r="I50" s="148"/>
    </row>
    <row r="51" spans="1:10" x14ac:dyDescent="0.2">
      <c r="A51" s="142" t="s">
        <v>849</v>
      </c>
      <c r="B51" s="143" t="s">
        <v>850</v>
      </c>
      <c r="C51" s="144"/>
      <c r="D51" s="144"/>
      <c r="E51" s="148"/>
      <c r="F51" s="148"/>
      <c r="G51" s="148"/>
      <c r="H51" s="148"/>
      <c r="I51" s="148"/>
    </row>
    <row r="52" spans="1:10" x14ac:dyDescent="0.2">
      <c r="A52" s="154">
        <v>35</v>
      </c>
      <c r="B52" s="156" t="s">
        <v>851</v>
      </c>
      <c r="C52" s="147">
        <v>25</v>
      </c>
      <c r="D52" s="144">
        <v>288137</v>
      </c>
      <c r="E52" s="148">
        <v>261.65696195950818</v>
      </c>
      <c r="F52" s="148">
        <v>243.7235411822891</v>
      </c>
      <c r="G52" s="148">
        <v>17.933420777219084</v>
      </c>
      <c r="H52" s="148">
        <v>5286.3403475579807</v>
      </c>
      <c r="I52" s="148">
        <v>5255.265485305632</v>
      </c>
    </row>
    <row r="53" spans="1:10" x14ac:dyDescent="0.2">
      <c r="A53" s="154">
        <v>36</v>
      </c>
      <c r="B53" s="157" t="s">
        <v>852</v>
      </c>
      <c r="C53" s="147">
        <v>12</v>
      </c>
      <c r="D53" s="144">
        <v>319863</v>
      </c>
      <c r="E53" s="148">
        <v>4.5288896899999997</v>
      </c>
      <c r="F53" s="148">
        <v>14.23266294593132</v>
      </c>
      <c r="G53" s="148">
        <v>-9.7037732559313206</v>
      </c>
      <c r="H53" s="148">
        <v>4594.0641911612038</v>
      </c>
      <c r="I53" s="148">
        <v>4479.9181710710873</v>
      </c>
    </row>
    <row r="54" spans="1:10" x14ac:dyDescent="0.2">
      <c r="A54" s="154">
        <v>37</v>
      </c>
      <c r="B54" s="157" t="s">
        <v>853</v>
      </c>
      <c r="C54" s="147">
        <v>67</v>
      </c>
      <c r="D54" s="144">
        <v>906290</v>
      </c>
      <c r="E54" s="148">
        <v>3007.1218218270005</v>
      </c>
      <c r="F54" s="148">
        <v>7266.4151560120008</v>
      </c>
      <c r="G54" s="148">
        <v>-4259.2933341850003</v>
      </c>
      <c r="H54" s="148">
        <v>131188.70572710753</v>
      </c>
      <c r="I54" s="148">
        <v>132591.42431594472</v>
      </c>
    </row>
    <row r="55" spans="1:10" x14ac:dyDescent="0.2">
      <c r="A55" s="154">
        <v>38</v>
      </c>
      <c r="B55" s="158" t="s">
        <v>854</v>
      </c>
      <c r="C55" s="147">
        <v>29</v>
      </c>
      <c r="D55" s="144">
        <v>125594</v>
      </c>
      <c r="E55" s="148">
        <v>53.930245341726888</v>
      </c>
      <c r="F55" s="148">
        <v>33.30730052930295</v>
      </c>
      <c r="G55" s="148">
        <v>20.622944812423931</v>
      </c>
      <c r="H55" s="148">
        <v>1951.0490338625559</v>
      </c>
      <c r="I55" s="148">
        <v>1913.0906380488441</v>
      </c>
    </row>
    <row r="56" spans="1:10" s="152" customFormat="1" x14ac:dyDescent="0.2">
      <c r="A56" s="142"/>
      <c r="B56" s="138" t="s">
        <v>855</v>
      </c>
      <c r="C56" s="149">
        <v>133</v>
      </c>
      <c r="D56" s="149">
        <v>1639884</v>
      </c>
      <c r="E56" s="150">
        <v>3327.2379188182354</v>
      </c>
      <c r="F56" s="150">
        <v>7557.6786606695241</v>
      </c>
      <c r="G56" s="150">
        <v>-4230.4407418512883</v>
      </c>
      <c r="H56" s="150">
        <v>143020.15929968929</v>
      </c>
      <c r="I56" s="150">
        <v>144239.69861037028</v>
      </c>
      <c r="J56" s="151"/>
    </row>
    <row r="57" spans="1:10" x14ac:dyDescent="0.2">
      <c r="A57" s="142"/>
      <c r="B57" s="143"/>
      <c r="C57" s="144"/>
      <c r="D57" s="144"/>
      <c r="E57" s="148"/>
      <c r="F57" s="148"/>
      <c r="G57" s="148"/>
      <c r="H57" s="148"/>
      <c r="I57" s="148"/>
    </row>
    <row r="58" spans="1:10" s="152" customFormat="1" x14ac:dyDescent="0.2">
      <c r="A58" s="142"/>
      <c r="B58" s="143" t="s">
        <v>856</v>
      </c>
      <c r="C58" s="143">
        <v>899</v>
      </c>
      <c r="D58" s="143">
        <v>79725429</v>
      </c>
      <c r="E58" s="150">
        <v>1873131.5411517764</v>
      </c>
      <c r="F58" s="150">
        <v>1753290.3767451998</v>
      </c>
      <c r="G58" s="150">
        <v>119841.16440657685</v>
      </c>
      <c r="H58" s="150">
        <v>2287594.3991135499</v>
      </c>
      <c r="I58" s="150">
        <v>2327025.3932603085</v>
      </c>
      <c r="J58" s="151"/>
    </row>
    <row r="59" spans="1:10" x14ac:dyDescent="0.2">
      <c r="A59" s="142"/>
      <c r="B59" s="143"/>
      <c r="C59" s="144"/>
      <c r="D59" s="144"/>
      <c r="E59" s="148"/>
      <c r="F59" s="148"/>
      <c r="G59" s="148"/>
      <c r="H59" s="148"/>
      <c r="I59" s="148"/>
    </row>
    <row r="60" spans="1:10" x14ac:dyDescent="0.2">
      <c r="A60" s="142" t="s">
        <v>857</v>
      </c>
      <c r="B60" s="143" t="s">
        <v>858</v>
      </c>
      <c r="C60" s="144"/>
      <c r="D60" s="144"/>
      <c r="E60" s="148"/>
      <c r="F60" s="148"/>
      <c r="G60" s="148"/>
      <c r="H60" s="148"/>
      <c r="I60" s="148"/>
    </row>
    <row r="61" spans="1:10" x14ac:dyDescent="0.2">
      <c r="A61" s="142" t="s">
        <v>803</v>
      </c>
      <c r="B61" s="143" t="s">
        <v>804</v>
      </c>
      <c r="C61" s="144"/>
      <c r="D61" s="144"/>
      <c r="E61" s="148"/>
      <c r="F61" s="148"/>
      <c r="G61" s="148"/>
      <c r="H61" s="148"/>
      <c r="I61" s="148"/>
    </row>
    <row r="62" spans="1:10" x14ac:dyDescent="0.2">
      <c r="A62" s="145" t="s">
        <v>859</v>
      </c>
      <c r="B62" s="156" t="s">
        <v>860</v>
      </c>
      <c r="C62" s="147">
        <v>800</v>
      </c>
      <c r="D62" s="144">
        <v>916839</v>
      </c>
      <c r="E62" s="148">
        <v>384.45071528200003</v>
      </c>
      <c r="F62" s="148">
        <v>18028.865958966104</v>
      </c>
      <c r="G62" s="148">
        <v>-17644.415243684103</v>
      </c>
      <c r="H62" s="148">
        <v>141170.57805286782</v>
      </c>
      <c r="I62" s="148">
        <v>149375.47023388001</v>
      </c>
    </row>
    <row r="63" spans="1:10" x14ac:dyDescent="0.2">
      <c r="A63" s="145" t="s">
        <v>861</v>
      </c>
      <c r="B63" s="156" t="s">
        <v>862</v>
      </c>
      <c r="C63" s="147">
        <v>41</v>
      </c>
      <c r="D63" s="144">
        <v>147978</v>
      </c>
      <c r="E63" s="148">
        <v>0</v>
      </c>
      <c r="F63" s="148">
        <v>607.66936190880199</v>
      </c>
      <c r="G63" s="148">
        <v>-607.66936190880199</v>
      </c>
      <c r="H63" s="148">
        <v>5572.4234576050567</v>
      </c>
      <c r="I63" s="148">
        <v>5771.1243753172921</v>
      </c>
    </row>
    <row r="64" spans="1:10" x14ac:dyDescent="0.2">
      <c r="A64" s="145" t="s">
        <v>863</v>
      </c>
      <c r="B64" s="156" t="s">
        <v>864</v>
      </c>
      <c r="C64" s="147">
        <v>9</v>
      </c>
      <c r="D64" s="144">
        <v>89</v>
      </c>
      <c r="E64" s="148">
        <v>0</v>
      </c>
      <c r="F64" s="148">
        <v>314.72242813100002</v>
      </c>
      <c r="G64" s="148">
        <v>-314.72242813100002</v>
      </c>
      <c r="H64" s="148">
        <v>2348.64719388806</v>
      </c>
      <c r="I64" s="148">
        <v>2661.9667611413897</v>
      </c>
    </row>
    <row r="65" spans="1:10" x14ac:dyDescent="0.2">
      <c r="A65" s="145" t="s">
        <v>865</v>
      </c>
      <c r="B65" s="156" t="s">
        <v>866</v>
      </c>
      <c r="C65" s="147">
        <v>62</v>
      </c>
      <c r="D65" s="144">
        <v>134275</v>
      </c>
      <c r="E65" s="148">
        <v>0</v>
      </c>
      <c r="F65" s="148">
        <v>382.94807839100002</v>
      </c>
      <c r="G65" s="148">
        <v>-382.94807839100002</v>
      </c>
      <c r="H65" s="148">
        <v>5509.7463182875035</v>
      </c>
      <c r="I65" s="148">
        <v>5841.5842877607602</v>
      </c>
    </row>
    <row r="66" spans="1:10" s="152" customFormat="1" x14ac:dyDescent="0.2">
      <c r="A66" s="142"/>
      <c r="B66" s="143" t="s">
        <v>867</v>
      </c>
      <c r="C66" s="149">
        <v>912</v>
      </c>
      <c r="D66" s="149">
        <v>1199181</v>
      </c>
      <c r="E66" s="150">
        <v>384.45071528200003</v>
      </c>
      <c r="F66" s="150">
        <v>19334.205827396909</v>
      </c>
      <c r="G66" s="150">
        <v>-18949.755112114908</v>
      </c>
      <c r="H66" s="150">
        <v>154601.39502264844</v>
      </c>
      <c r="I66" s="150">
        <v>163650.14565809947</v>
      </c>
      <c r="J66" s="151"/>
    </row>
    <row r="67" spans="1:10" x14ac:dyDescent="0.2">
      <c r="A67" s="145"/>
      <c r="B67" s="156"/>
      <c r="C67" s="144"/>
      <c r="D67" s="144"/>
      <c r="E67" s="148"/>
      <c r="F67" s="148"/>
      <c r="G67" s="148"/>
      <c r="H67" s="148"/>
      <c r="I67" s="148"/>
    </row>
    <row r="68" spans="1:10" x14ac:dyDescent="0.2">
      <c r="A68" s="142" t="s">
        <v>822</v>
      </c>
      <c r="B68" s="143" t="s">
        <v>823</v>
      </c>
      <c r="C68" s="144"/>
      <c r="D68" s="144"/>
      <c r="E68" s="148"/>
      <c r="F68" s="148"/>
      <c r="G68" s="148"/>
      <c r="H68" s="148"/>
      <c r="I68" s="148"/>
    </row>
    <row r="69" spans="1:10" x14ac:dyDescent="0.2">
      <c r="A69" s="145" t="s">
        <v>859</v>
      </c>
      <c r="B69" s="156" t="s">
        <v>833</v>
      </c>
      <c r="C69" s="147">
        <v>26</v>
      </c>
      <c r="D69" s="144">
        <v>504150</v>
      </c>
      <c r="E69" s="148">
        <v>0</v>
      </c>
      <c r="F69" s="148">
        <v>48.085687828260902</v>
      </c>
      <c r="G69" s="148">
        <v>-48.085687828260902</v>
      </c>
      <c r="H69" s="148">
        <v>4506.0371510294181</v>
      </c>
      <c r="I69" s="148">
        <v>4564.4685165157089</v>
      </c>
    </row>
    <row r="70" spans="1:10" x14ac:dyDescent="0.2">
      <c r="A70" s="145" t="s">
        <v>861</v>
      </c>
      <c r="B70" s="156" t="s">
        <v>305</v>
      </c>
      <c r="C70" s="147">
        <v>102</v>
      </c>
      <c r="D70" s="144">
        <v>1290925</v>
      </c>
      <c r="E70" s="148">
        <v>-1.0000000000000001E-5</v>
      </c>
      <c r="F70" s="148">
        <v>331.17869672699999</v>
      </c>
      <c r="G70" s="148">
        <v>-331.17870672699996</v>
      </c>
      <c r="H70" s="148">
        <v>29654.460110593995</v>
      </c>
      <c r="I70" s="148">
        <v>29919.165788322152</v>
      </c>
    </row>
    <row r="71" spans="1:10" s="152" customFormat="1" x14ac:dyDescent="0.2">
      <c r="A71" s="142"/>
      <c r="B71" s="143" t="s">
        <v>868</v>
      </c>
      <c r="C71" s="149">
        <v>128</v>
      </c>
      <c r="D71" s="149">
        <v>1795075</v>
      </c>
      <c r="E71" s="150">
        <v>-1.0000000000000001E-5</v>
      </c>
      <c r="F71" s="150">
        <v>379.2643845552609</v>
      </c>
      <c r="G71" s="150">
        <v>-379.26439455526088</v>
      </c>
      <c r="H71" s="150">
        <v>34160.497261623415</v>
      </c>
      <c r="I71" s="150">
        <v>34483.634304837862</v>
      </c>
      <c r="J71" s="151"/>
    </row>
    <row r="72" spans="1:10" x14ac:dyDescent="0.2">
      <c r="A72" s="142"/>
      <c r="B72" s="143"/>
      <c r="C72" s="144"/>
      <c r="D72" s="144"/>
      <c r="E72" s="148"/>
      <c r="F72" s="148"/>
      <c r="G72" s="148"/>
      <c r="H72" s="148"/>
      <c r="I72" s="148"/>
    </row>
    <row r="73" spans="1:10" s="152" customFormat="1" x14ac:dyDescent="0.2">
      <c r="A73" s="142" t="s">
        <v>835</v>
      </c>
      <c r="B73" s="143" t="s">
        <v>850</v>
      </c>
      <c r="C73" s="149">
        <v>0</v>
      </c>
      <c r="D73" s="143">
        <v>0</v>
      </c>
      <c r="E73" s="150">
        <v>0</v>
      </c>
      <c r="F73" s="150">
        <v>0</v>
      </c>
      <c r="G73" s="150">
        <v>0</v>
      </c>
      <c r="H73" s="150">
        <v>0</v>
      </c>
      <c r="I73" s="150">
        <v>0</v>
      </c>
      <c r="J73" s="151"/>
    </row>
    <row r="74" spans="1:10" x14ac:dyDescent="0.2">
      <c r="A74" s="142"/>
      <c r="B74" s="143"/>
      <c r="C74" s="144"/>
      <c r="D74" s="144"/>
      <c r="E74" s="148"/>
      <c r="F74" s="148"/>
      <c r="G74" s="148"/>
      <c r="H74" s="148"/>
      <c r="I74" s="148"/>
    </row>
    <row r="75" spans="1:10" s="152" customFormat="1" x14ac:dyDescent="0.2">
      <c r="A75" s="142"/>
      <c r="B75" s="143" t="s">
        <v>869</v>
      </c>
      <c r="C75" s="149">
        <v>1040</v>
      </c>
      <c r="D75" s="149">
        <v>2994256</v>
      </c>
      <c r="E75" s="150">
        <v>384.45070528200006</v>
      </c>
      <c r="F75" s="150">
        <v>19713.470211952168</v>
      </c>
      <c r="G75" s="150">
        <v>-19329.019506670171</v>
      </c>
      <c r="H75" s="150">
        <v>188761.89228427186</v>
      </c>
      <c r="I75" s="150">
        <v>198133.77996293735</v>
      </c>
      <c r="J75" s="151"/>
    </row>
    <row r="76" spans="1:10" x14ac:dyDescent="0.2">
      <c r="A76" s="142"/>
      <c r="B76" s="143"/>
      <c r="C76" s="144"/>
      <c r="D76" s="144"/>
      <c r="E76" s="148"/>
      <c r="F76" s="148"/>
      <c r="G76" s="148"/>
      <c r="H76" s="148"/>
      <c r="I76" s="148"/>
    </row>
    <row r="77" spans="1:10" x14ac:dyDescent="0.2">
      <c r="A77" s="142" t="s">
        <v>870</v>
      </c>
      <c r="B77" s="143" t="s">
        <v>871</v>
      </c>
      <c r="C77" s="144"/>
      <c r="D77" s="144"/>
      <c r="E77" s="148"/>
      <c r="F77" s="148"/>
      <c r="G77" s="148"/>
      <c r="H77" s="148"/>
      <c r="I77" s="148"/>
    </row>
    <row r="78" spans="1:10" s="152" customFormat="1" x14ac:dyDescent="0.2">
      <c r="A78" s="142" t="s">
        <v>803</v>
      </c>
      <c r="B78" s="143" t="s">
        <v>804</v>
      </c>
      <c r="C78" s="143">
        <v>27</v>
      </c>
      <c r="D78" s="143">
        <v>4636</v>
      </c>
      <c r="E78" s="150">
        <v>0.14799549000000001</v>
      </c>
      <c r="F78" s="150">
        <v>52.561960571</v>
      </c>
      <c r="G78" s="150">
        <v>-52.413965081000008</v>
      </c>
      <c r="H78" s="150">
        <v>1919.1724114526062</v>
      </c>
      <c r="I78" s="150">
        <v>1992.8325232810187</v>
      </c>
      <c r="J78" s="151"/>
    </row>
    <row r="79" spans="1:10" x14ac:dyDescent="0.2">
      <c r="A79" s="142"/>
      <c r="B79" s="143"/>
      <c r="C79" s="144"/>
      <c r="D79" s="144"/>
      <c r="E79" s="148"/>
      <c r="F79" s="148"/>
      <c r="G79" s="148"/>
      <c r="H79" s="148"/>
      <c r="I79" s="148"/>
    </row>
    <row r="80" spans="1:10" s="152" customFormat="1" x14ac:dyDescent="0.2">
      <c r="A80" s="142" t="s">
        <v>822</v>
      </c>
      <c r="B80" s="143" t="s">
        <v>823</v>
      </c>
      <c r="C80" s="143">
        <v>1</v>
      </c>
      <c r="D80" s="143">
        <v>12018</v>
      </c>
      <c r="E80" s="150">
        <v>0</v>
      </c>
      <c r="F80" s="150">
        <v>0</v>
      </c>
      <c r="G80" s="150">
        <v>0</v>
      </c>
      <c r="H80" s="150">
        <v>481.46959260055058</v>
      </c>
      <c r="I80" s="150">
        <v>480.74746291707106</v>
      </c>
      <c r="J80" s="151"/>
    </row>
    <row r="81" spans="1:10" x14ac:dyDescent="0.2">
      <c r="A81" s="142"/>
      <c r="B81" s="143"/>
      <c r="C81" s="144"/>
      <c r="D81" s="144"/>
      <c r="E81" s="148"/>
      <c r="F81" s="148"/>
      <c r="G81" s="148"/>
      <c r="H81" s="148"/>
      <c r="I81" s="148"/>
    </row>
    <row r="82" spans="1:10" s="152" customFormat="1" x14ac:dyDescent="0.2">
      <c r="A82" s="142" t="s">
        <v>835</v>
      </c>
      <c r="B82" s="143" t="s">
        <v>850</v>
      </c>
      <c r="C82" s="143">
        <v>0</v>
      </c>
      <c r="D82" s="143">
        <v>0</v>
      </c>
      <c r="E82" s="150">
        <v>0</v>
      </c>
      <c r="F82" s="150">
        <v>0</v>
      </c>
      <c r="G82" s="150">
        <v>0</v>
      </c>
      <c r="H82" s="150">
        <v>0</v>
      </c>
      <c r="I82" s="150">
        <v>0</v>
      </c>
      <c r="J82" s="151"/>
    </row>
    <row r="83" spans="1:10" x14ac:dyDescent="0.2">
      <c r="A83" s="142"/>
      <c r="B83" s="143"/>
      <c r="C83" s="144"/>
      <c r="D83" s="144"/>
      <c r="E83" s="148"/>
      <c r="F83" s="148"/>
      <c r="G83" s="148"/>
      <c r="H83" s="148"/>
      <c r="I83" s="148"/>
    </row>
    <row r="84" spans="1:10" s="152" customFormat="1" x14ac:dyDescent="0.2">
      <c r="A84" s="142"/>
      <c r="B84" s="143" t="s">
        <v>872</v>
      </c>
      <c r="C84" s="143">
        <v>28</v>
      </c>
      <c r="D84" s="143">
        <v>16654</v>
      </c>
      <c r="E84" s="150">
        <v>0.14799549000000001</v>
      </c>
      <c r="F84" s="150">
        <v>52.561960571</v>
      </c>
      <c r="G84" s="150">
        <v>-52.413965081000008</v>
      </c>
      <c r="H84" s="150">
        <v>2400.6420040531566</v>
      </c>
      <c r="I84" s="150">
        <v>2473.5799861980895</v>
      </c>
      <c r="J84" s="151"/>
    </row>
    <row r="85" spans="1:10" x14ac:dyDescent="0.2">
      <c r="A85" s="142"/>
      <c r="B85" s="143"/>
      <c r="C85" s="144"/>
      <c r="D85" s="144"/>
      <c r="E85" s="148"/>
      <c r="F85" s="148"/>
      <c r="G85" s="148"/>
      <c r="H85" s="148"/>
      <c r="I85" s="148"/>
    </row>
    <row r="86" spans="1:10" s="152" customFormat="1" x14ac:dyDescent="0.2">
      <c r="A86" s="142"/>
      <c r="B86" s="143" t="s">
        <v>873</v>
      </c>
      <c r="C86" s="149">
        <v>1967</v>
      </c>
      <c r="D86" s="149">
        <v>82736339</v>
      </c>
      <c r="E86" s="150">
        <v>1873516.1398525485</v>
      </c>
      <c r="F86" s="150">
        <v>1773056.408917723</v>
      </c>
      <c r="G86" s="150">
        <v>100459.73093482568</v>
      </c>
      <c r="H86" s="150">
        <v>2478756.9334018747</v>
      </c>
      <c r="I86" s="150">
        <v>2527632.7532094438</v>
      </c>
      <c r="J86" s="151"/>
    </row>
    <row r="87" spans="1:10" x14ac:dyDescent="0.2">
      <c r="A87" s="142"/>
      <c r="B87" s="143"/>
      <c r="C87" s="144"/>
      <c r="D87" s="144"/>
      <c r="E87" s="148"/>
      <c r="F87" s="148"/>
      <c r="G87" s="148"/>
      <c r="H87" s="148"/>
      <c r="I87" s="148"/>
    </row>
    <row r="88" spans="1:10" s="152" customFormat="1" x14ac:dyDescent="0.2">
      <c r="A88" s="142"/>
      <c r="B88" s="143" t="s">
        <v>874</v>
      </c>
      <c r="C88" s="143">
        <v>42</v>
      </c>
      <c r="D88" s="143">
        <v>438895</v>
      </c>
      <c r="E88" s="150">
        <v>572.76836716000003</v>
      </c>
      <c r="F88" s="150">
        <v>80.745483840999981</v>
      </c>
      <c r="G88" s="150">
        <v>492.02288331900007</v>
      </c>
      <c r="H88" s="150">
        <v>4794.6279992694672</v>
      </c>
      <c r="I88" s="150">
        <v>4604.5907300980343</v>
      </c>
      <c r="J88" s="151"/>
    </row>
    <row r="89" spans="1:10" x14ac:dyDescent="0.2">
      <c r="A89" s="159"/>
      <c r="B89" s="134"/>
      <c r="C89" s="134"/>
      <c r="D89" s="134"/>
      <c r="E89" s="134"/>
      <c r="F89" s="134"/>
      <c r="G89" s="134"/>
      <c r="H89" s="134"/>
      <c r="I89" s="134"/>
    </row>
    <row r="90" spans="1:10" x14ac:dyDescent="0.2">
      <c r="A90" s="160"/>
      <c r="B90" s="472" t="s">
        <v>875</v>
      </c>
      <c r="C90" s="472"/>
      <c r="D90" s="472"/>
      <c r="E90" s="472"/>
      <c r="F90" s="472"/>
      <c r="G90" s="472"/>
      <c r="H90" s="472"/>
      <c r="I90" s="472"/>
    </row>
    <row r="91" spans="1:10" x14ac:dyDescent="0.2">
      <c r="A91" s="160" t="s">
        <v>306</v>
      </c>
      <c r="B91" s="472" t="s">
        <v>876</v>
      </c>
      <c r="C91" s="472"/>
      <c r="D91" s="472"/>
      <c r="E91" s="472"/>
      <c r="F91" s="472"/>
      <c r="G91" s="472"/>
      <c r="H91" s="472"/>
      <c r="I91" s="472"/>
    </row>
    <row r="92" spans="1:10" x14ac:dyDescent="0.2">
      <c r="A92" s="160"/>
      <c r="B92" s="472" t="s">
        <v>877</v>
      </c>
      <c r="C92" s="472"/>
      <c r="D92" s="472"/>
      <c r="E92" s="472"/>
      <c r="F92" s="472"/>
      <c r="G92" s="472"/>
      <c r="H92" s="472"/>
      <c r="I92" s="472"/>
    </row>
  </sheetData>
  <mergeCells count="4">
    <mergeCell ref="B90:I90"/>
    <mergeCell ref="B91:I91"/>
    <mergeCell ref="B92:I92"/>
    <mergeCell ref="A1:E1"/>
  </mergeCells>
  <printOptions horizontalCentered="1"/>
  <pageMargins left="0.25" right="0.25" top="0.75" bottom="0.75" header="0.3" footer="0.3"/>
  <pageSetup paperSize="8" scale="74"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workbookViewId="0">
      <selection sqref="A1:I1"/>
    </sheetView>
  </sheetViews>
  <sheetFormatPr defaultRowHeight="12.75" x14ac:dyDescent="0.2"/>
  <cols>
    <col min="1" max="1" width="11.5703125" bestFit="1" customWidth="1"/>
    <col min="2" max="7" width="12.140625" bestFit="1" customWidth="1"/>
    <col min="8" max="8" width="15" bestFit="1" customWidth="1"/>
    <col min="9" max="9" width="9.7109375" bestFit="1" customWidth="1"/>
    <col min="10" max="10" width="19.42578125" bestFit="1" customWidth="1"/>
    <col min="11" max="11" width="4.7109375" bestFit="1" customWidth="1"/>
  </cols>
  <sheetData>
    <row r="1" spans="1:10" ht="15.75" customHeight="1" x14ac:dyDescent="0.2">
      <c r="A1" s="474" t="s">
        <v>1055</v>
      </c>
      <c r="B1" s="474"/>
      <c r="C1" s="474"/>
      <c r="D1" s="474"/>
      <c r="E1" s="474"/>
      <c r="F1" s="474"/>
      <c r="G1" s="474"/>
      <c r="H1" s="474"/>
      <c r="I1" s="474"/>
    </row>
    <row r="2" spans="1:10" s="4" customFormat="1" ht="18.75" customHeight="1" x14ac:dyDescent="0.2">
      <c r="A2" s="416" t="s">
        <v>659</v>
      </c>
      <c r="B2" s="399" t="s">
        <v>112</v>
      </c>
      <c r="C2" s="458"/>
      <c r="D2" s="400"/>
      <c r="E2" s="399" t="s">
        <v>157</v>
      </c>
      <c r="F2" s="458"/>
      <c r="G2" s="400"/>
      <c r="H2" s="399" t="s">
        <v>140</v>
      </c>
      <c r="I2" s="458"/>
      <c r="J2" s="400"/>
    </row>
    <row r="3" spans="1:10" s="4" customFormat="1" ht="34.5" customHeight="1" x14ac:dyDescent="0.2">
      <c r="A3" s="417"/>
      <c r="B3" s="45" t="s">
        <v>660</v>
      </c>
      <c r="C3" s="45" t="s">
        <v>661</v>
      </c>
      <c r="D3" s="45" t="s">
        <v>662</v>
      </c>
      <c r="E3" s="45" t="s">
        <v>660</v>
      </c>
      <c r="F3" s="45" t="s">
        <v>661</v>
      </c>
      <c r="G3" s="45" t="s">
        <v>662</v>
      </c>
      <c r="H3" s="45" t="s">
        <v>660</v>
      </c>
      <c r="I3" s="45" t="s">
        <v>661</v>
      </c>
      <c r="J3" s="45" t="s">
        <v>663</v>
      </c>
    </row>
    <row r="4" spans="1:10" s="4" customFormat="1" ht="22.5" customHeight="1" x14ac:dyDescent="0.2">
      <c r="A4" s="56" t="s">
        <v>61</v>
      </c>
      <c r="B4" s="53">
        <v>708991.25</v>
      </c>
      <c r="C4" s="53">
        <v>621112.49</v>
      </c>
      <c r="D4" s="52">
        <v>87878.76</v>
      </c>
      <c r="E4" s="53">
        <v>2267415.52</v>
      </c>
      <c r="F4" s="53">
        <v>1877490.31</v>
      </c>
      <c r="G4" s="53">
        <v>418096.31</v>
      </c>
      <c r="H4" s="53">
        <v>2976406.77</v>
      </c>
      <c r="I4" s="53">
        <v>2498602.7999999998</v>
      </c>
      <c r="J4" s="53">
        <v>505975.07</v>
      </c>
    </row>
    <row r="5" spans="1:10" s="4" customFormat="1" ht="22.5" customHeight="1" x14ac:dyDescent="0.2">
      <c r="A5" s="56" t="s">
        <v>62</v>
      </c>
      <c r="B5" s="52">
        <v>46931.89</v>
      </c>
      <c r="C5" s="52">
        <v>51531.55</v>
      </c>
      <c r="D5" s="52">
        <v>-4599.66</v>
      </c>
      <c r="E5" s="53">
        <v>226460.99</v>
      </c>
      <c r="F5" s="53">
        <v>175640.89</v>
      </c>
      <c r="G5" s="52">
        <v>50820.1</v>
      </c>
      <c r="H5" s="53">
        <v>273392.88</v>
      </c>
      <c r="I5" s="53">
        <v>227172.44</v>
      </c>
      <c r="J5" s="52">
        <v>46220.44</v>
      </c>
    </row>
    <row r="6" spans="1:10" s="4" customFormat="1" ht="22.5" customHeight="1" x14ac:dyDescent="0.2">
      <c r="A6" s="56" t="s">
        <v>146</v>
      </c>
      <c r="B6" s="52">
        <v>46931.89</v>
      </c>
      <c r="C6" s="52">
        <v>51531.55</v>
      </c>
      <c r="D6" s="52">
        <v>-4599.66</v>
      </c>
      <c r="E6" s="53">
        <v>226460.99</v>
      </c>
      <c r="F6" s="53">
        <v>175640.89</v>
      </c>
      <c r="G6" s="52">
        <v>50820.1</v>
      </c>
      <c r="H6" s="53">
        <v>273392.88</v>
      </c>
      <c r="I6" s="53">
        <v>227172.44</v>
      </c>
      <c r="J6" s="52">
        <v>46220.44</v>
      </c>
    </row>
    <row r="7" spans="1:10" s="4" customFormat="1" ht="18.75" customHeight="1" x14ac:dyDescent="0.2">
      <c r="A7" s="366" t="s">
        <v>98</v>
      </c>
      <c r="B7" s="366"/>
      <c r="C7" s="366"/>
      <c r="D7" s="366"/>
      <c r="E7" s="366"/>
      <c r="F7" s="366"/>
      <c r="G7" s="366"/>
    </row>
    <row r="8" spans="1:10" s="4" customFormat="1" ht="18" customHeight="1" x14ac:dyDescent="0.2">
      <c r="A8" s="366" t="s">
        <v>168</v>
      </c>
      <c r="B8" s="366"/>
      <c r="C8" s="366"/>
      <c r="D8" s="366"/>
      <c r="E8" s="366"/>
      <c r="F8" s="366"/>
      <c r="G8" s="366"/>
    </row>
    <row r="9" spans="1:10" s="4" customFormat="1" ht="28.35" customHeight="1" x14ac:dyDescent="0.2"/>
  </sheetData>
  <mergeCells count="7">
    <mergeCell ref="A8:G8"/>
    <mergeCell ref="A1:I1"/>
    <mergeCell ref="A2:A3"/>
    <mergeCell ref="B2:D2"/>
    <mergeCell ref="E2:G2"/>
    <mergeCell ref="H2:J2"/>
    <mergeCell ref="A7:G7"/>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G17"/>
  <sheetViews>
    <sheetView workbookViewId="0">
      <selection sqref="A1:D1"/>
    </sheetView>
  </sheetViews>
  <sheetFormatPr defaultRowHeight="12.75" x14ac:dyDescent="0.2"/>
  <cols>
    <col min="1" max="1" width="21.140625" bestFit="1" customWidth="1"/>
    <col min="2" max="6" width="17.7109375" bestFit="1" customWidth="1"/>
    <col min="7" max="7" width="14.140625" bestFit="1" customWidth="1"/>
    <col min="8" max="8" width="8.28515625" bestFit="1" customWidth="1"/>
  </cols>
  <sheetData>
    <row r="1" spans="1:7" ht="15" customHeight="1" x14ac:dyDescent="0.2">
      <c r="A1" s="398" t="s">
        <v>1056</v>
      </c>
      <c r="B1" s="398"/>
      <c r="C1" s="398"/>
      <c r="D1" s="398"/>
    </row>
    <row r="2" spans="1:7" s="4" customFormat="1" ht="18" customHeight="1" x14ac:dyDescent="0.2">
      <c r="A2" s="41" t="s">
        <v>137</v>
      </c>
      <c r="B2" s="6" t="s">
        <v>61</v>
      </c>
      <c r="C2" s="6" t="s">
        <v>61</v>
      </c>
      <c r="D2" s="6" t="s">
        <v>61</v>
      </c>
      <c r="E2" s="6" t="s">
        <v>62</v>
      </c>
      <c r="F2" s="6" t="s">
        <v>62</v>
      </c>
      <c r="G2" s="6" t="s">
        <v>62</v>
      </c>
    </row>
    <row r="3" spans="1:7" s="4" customFormat="1" ht="27" customHeight="1" x14ac:dyDescent="0.2">
      <c r="A3" s="25" t="s">
        <v>664</v>
      </c>
      <c r="B3" s="24" t="s">
        <v>665</v>
      </c>
      <c r="C3" s="24" t="s">
        <v>666</v>
      </c>
      <c r="D3" s="24" t="s">
        <v>667</v>
      </c>
      <c r="E3" s="24" t="s">
        <v>665</v>
      </c>
      <c r="F3" s="24" t="s">
        <v>666</v>
      </c>
      <c r="G3" s="24" t="s">
        <v>667</v>
      </c>
    </row>
    <row r="4" spans="1:7" s="4" customFormat="1" ht="18" customHeight="1" x14ac:dyDescent="0.2">
      <c r="A4" s="3" t="s">
        <v>668</v>
      </c>
      <c r="B4" s="39">
        <v>138829</v>
      </c>
      <c r="C4" s="26">
        <v>6853</v>
      </c>
      <c r="D4" s="26">
        <v>4038</v>
      </c>
      <c r="E4" s="39">
        <v>140583</v>
      </c>
      <c r="F4" s="26">
        <v>7025</v>
      </c>
      <c r="G4" s="26">
        <v>4010</v>
      </c>
    </row>
    <row r="5" spans="1:7" s="4" customFormat="1" ht="18" customHeight="1" x14ac:dyDescent="0.2">
      <c r="A5" s="77" t="s">
        <v>669</v>
      </c>
      <c r="B5" s="3"/>
      <c r="C5" s="3"/>
      <c r="D5" s="3"/>
      <c r="E5" s="3"/>
      <c r="F5" s="3"/>
      <c r="G5" s="3"/>
    </row>
    <row r="6" spans="1:7" s="4" customFormat="1" ht="18" customHeight="1" x14ac:dyDescent="0.2">
      <c r="A6" s="3" t="s">
        <v>670</v>
      </c>
      <c r="B6" s="39">
        <v>111995.61</v>
      </c>
      <c r="C6" s="26">
        <v>18477.080000000002</v>
      </c>
      <c r="D6" s="475">
        <v>193620</v>
      </c>
      <c r="E6" s="39">
        <v>111043.03</v>
      </c>
      <c r="F6" s="26">
        <v>18587.98</v>
      </c>
      <c r="G6" s="475">
        <v>184606.81</v>
      </c>
    </row>
    <row r="7" spans="1:7" s="4" customFormat="1" ht="18" customHeight="1" x14ac:dyDescent="0.2">
      <c r="A7" s="3" t="s">
        <v>671</v>
      </c>
      <c r="B7" s="26">
        <v>458.85</v>
      </c>
      <c r="C7" s="26">
        <v>74.69</v>
      </c>
      <c r="D7" s="476"/>
      <c r="E7" s="26">
        <v>481.8</v>
      </c>
      <c r="F7" s="26">
        <v>78.290000000000006</v>
      </c>
      <c r="G7" s="476"/>
    </row>
    <row r="8" spans="1:7" s="4" customFormat="1" ht="18" customHeight="1" x14ac:dyDescent="0.2">
      <c r="A8" s="3" t="s">
        <v>672</v>
      </c>
      <c r="B8" s="39">
        <v>1160856.72</v>
      </c>
      <c r="C8" s="26">
        <v>74701.850000000006</v>
      </c>
      <c r="D8" s="476"/>
      <c r="E8" s="39">
        <v>1041125.6</v>
      </c>
      <c r="F8" s="26">
        <v>76272.67</v>
      </c>
      <c r="G8" s="476"/>
    </row>
    <row r="9" spans="1:7" s="4" customFormat="1" ht="18" customHeight="1" x14ac:dyDescent="0.2">
      <c r="A9" s="3" t="s">
        <v>673</v>
      </c>
      <c r="B9" s="26">
        <v>752.86</v>
      </c>
      <c r="C9" s="26">
        <v>530.57000000000005</v>
      </c>
      <c r="D9" s="476"/>
      <c r="E9" s="26">
        <v>1014.51</v>
      </c>
      <c r="F9" s="26">
        <v>578.66999999999996</v>
      </c>
      <c r="G9" s="476"/>
    </row>
    <row r="10" spans="1:7" s="4" customFormat="1" ht="18" customHeight="1" x14ac:dyDescent="0.2">
      <c r="A10" s="3" t="s">
        <v>674</v>
      </c>
      <c r="B10" s="26">
        <v>466.12</v>
      </c>
      <c r="C10" s="26">
        <v>-1.24</v>
      </c>
      <c r="D10" s="476"/>
      <c r="E10" s="26">
        <v>461.83</v>
      </c>
      <c r="F10" s="26">
        <v>-1.26</v>
      </c>
      <c r="G10" s="476"/>
    </row>
    <row r="11" spans="1:7" s="4" customFormat="1" ht="18" customHeight="1" x14ac:dyDescent="0.2">
      <c r="A11" s="3" t="s">
        <v>89</v>
      </c>
      <c r="B11" s="26">
        <v>14112.76</v>
      </c>
      <c r="C11" s="26">
        <v>13856.15</v>
      </c>
      <c r="D11" s="476"/>
      <c r="E11" s="26">
        <v>11108.57</v>
      </c>
      <c r="F11" s="26">
        <v>13737.02</v>
      </c>
      <c r="G11" s="476"/>
    </row>
    <row r="12" spans="1:7" s="4" customFormat="1" ht="18" customHeight="1" x14ac:dyDescent="0.2">
      <c r="A12" s="3" t="s">
        <v>305</v>
      </c>
      <c r="B12" s="26">
        <v>14498.29</v>
      </c>
      <c r="C12" s="26">
        <v>1392.08</v>
      </c>
      <c r="D12" s="476"/>
      <c r="E12" s="26">
        <v>9755.16</v>
      </c>
      <c r="F12" s="26">
        <v>1503.66</v>
      </c>
      <c r="G12" s="476"/>
    </row>
    <row r="13" spans="1:7" s="4" customFormat="1" ht="18" customHeight="1" x14ac:dyDescent="0.2">
      <c r="A13" s="3" t="s">
        <v>140</v>
      </c>
      <c r="B13" s="39">
        <v>1303141.21</v>
      </c>
      <c r="C13" s="39">
        <v>109031.18</v>
      </c>
      <c r="D13" s="477"/>
      <c r="E13" s="39">
        <v>1174990.5</v>
      </c>
      <c r="F13" s="39">
        <v>110757.03</v>
      </c>
      <c r="G13" s="477"/>
    </row>
    <row r="14" spans="1:7" s="4" customFormat="1" ht="24.75" customHeight="1" x14ac:dyDescent="0.2">
      <c r="A14" s="386" t="s">
        <v>675</v>
      </c>
      <c r="B14" s="386"/>
      <c r="C14" s="386"/>
      <c r="D14" s="386"/>
      <c r="E14" s="386"/>
      <c r="F14" s="386"/>
      <c r="G14" s="386"/>
    </row>
    <row r="15" spans="1:7" s="4" customFormat="1" ht="13.5" customHeight="1" x14ac:dyDescent="0.2">
      <c r="A15" s="386" t="s">
        <v>98</v>
      </c>
      <c r="B15" s="386"/>
      <c r="C15" s="386"/>
      <c r="D15" s="386"/>
      <c r="E15" s="386"/>
      <c r="F15" s="386"/>
      <c r="G15" s="386"/>
    </row>
    <row r="16" spans="1:7" s="4" customFormat="1" ht="13.5" customHeight="1" x14ac:dyDescent="0.2">
      <c r="A16" s="386" t="s">
        <v>123</v>
      </c>
      <c r="B16" s="386"/>
      <c r="C16" s="386"/>
      <c r="D16" s="386"/>
      <c r="E16" s="386"/>
      <c r="F16" s="386"/>
      <c r="G16" s="386"/>
    </row>
    <row r="17" s="4" customFormat="1" ht="28.35" customHeight="1" x14ac:dyDescent="0.2"/>
  </sheetData>
  <mergeCells count="6">
    <mergeCell ref="A1:D1"/>
    <mergeCell ref="A14:G14"/>
    <mergeCell ref="A15:G15"/>
    <mergeCell ref="A16:G16"/>
    <mergeCell ref="G6:G13"/>
    <mergeCell ref="D6:D13"/>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N20"/>
  <sheetViews>
    <sheetView workbookViewId="0"/>
  </sheetViews>
  <sheetFormatPr defaultRowHeight="12.75" x14ac:dyDescent="0.2"/>
  <cols>
    <col min="1" max="1" width="80.85546875" bestFit="1" customWidth="1"/>
    <col min="2" max="2" width="8.42578125" bestFit="1" customWidth="1"/>
    <col min="3" max="3" width="12.85546875" bestFit="1" customWidth="1"/>
    <col min="4" max="4" width="13.140625" bestFit="1" customWidth="1"/>
    <col min="5" max="7" width="12.28515625" bestFit="1" customWidth="1"/>
    <col min="8" max="8" width="10.140625" bestFit="1" customWidth="1"/>
    <col min="9" max="9" width="11" bestFit="1" customWidth="1"/>
    <col min="10" max="11" width="12.28515625" bestFit="1" customWidth="1"/>
    <col min="12" max="12" width="10" bestFit="1" customWidth="1"/>
    <col min="13" max="13" width="1.5703125" bestFit="1" customWidth="1"/>
    <col min="14" max="14" width="0.28515625" bestFit="1" customWidth="1"/>
    <col min="15" max="15" width="4.7109375" bestFit="1" customWidth="1"/>
  </cols>
  <sheetData>
    <row r="1" spans="1:14" ht="15.75" customHeight="1" x14ac:dyDescent="0.2">
      <c r="A1" s="5" t="s">
        <v>1057</v>
      </c>
    </row>
    <row r="2" spans="1:14" s="4" customFormat="1" ht="18.75" customHeight="1" x14ac:dyDescent="0.2">
      <c r="A2" s="480" t="s">
        <v>676</v>
      </c>
      <c r="B2" s="480" t="s">
        <v>677</v>
      </c>
      <c r="C2" s="399" t="s">
        <v>678</v>
      </c>
      <c r="D2" s="458"/>
      <c r="E2" s="458"/>
      <c r="F2" s="458"/>
      <c r="G2" s="458"/>
      <c r="H2" s="399" t="s">
        <v>679</v>
      </c>
      <c r="I2" s="458"/>
      <c r="J2" s="458"/>
      <c r="K2" s="458"/>
      <c r="L2" s="458"/>
      <c r="M2" s="400"/>
      <c r="N2" s="78"/>
    </row>
    <row r="3" spans="1:14" s="4" customFormat="1" ht="37.5" customHeight="1" x14ac:dyDescent="0.2">
      <c r="A3" s="481"/>
      <c r="B3" s="481"/>
      <c r="C3" s="33" t="s">
        <v>146</v>
      </c>
      <c r="D3" s="33" t="s">
        <v>766</v>
      </c>
      <c r="E3" s="33" t="s">
        <v>680</v>
      </c>
      <c r="F3" s="45" t="s">
        <v>681</v>
      </c>
      <c r="G3" s="45" t="s">
        <v>682</v>
      </c>
      <c r="H3" s="33" t="s">
        <v>146</v>
      </c>
      <c r="I3" s="33" t="s">
        <v>766</v>
      </c>
      <c r="J3" s="33" t="s">
        <v>680</v>
      </c>
      <c r="K3" s="45" t="s">
        <v>681</v>
      </c>
      <c r="L3" s="418" t="s">
        <v>682</v>
      </c>
      <c r="M3" s="420"/>
      <c r="N3" s="79"/>
    </row>
    <row r="4" spans="1:14" s="4" customFormat="1" ht="18" customHeight="1" x14ac:dyDescent="0.2">
      <c r="A4" s="80" t="s">
        <v>683</v>
      </c>
      <c r="B4" s="81" t="s">
        <v>684</v>
      </c>
      <c r="C4" s="7">
        <v>6168</v>
      </c>
      <c r="D4" s="7">
        <v>6150</v>
      </c>
      <c r="E4" s="7">
        <v>5949</v>
      </c>
      <c r="F4" s="82">
        <v>3.6812909729999999</v>
      </c>
      <c r="G4" s="82">
        <v>0.29268292699999998</v>
      </c>
      <c r="H4" s="7">
        <v>5763</v>
      </c>
      <c r="I4" s="7">
        <v>6407</v>
      </c>
      <c r="J4" s="7">
        <v>6766</v>
      </c>
      <c r="K4" s="82">
        <v>-14.82</v>
      </c>
      <c r="L4" s="478">
        <v>-10.050000000000001</v>
      </c>
      <c r="M4" s="479"/>
      <c r="N4" s="83" t="s">
        <v>683</v>
      </c>
    </row>
    <row r="5" spans="1:14" s="4" customFormat="1" ht="18" customHeight="1" x14ac:dyDescent="0.2">
      <c r="A5" s="80" t="s">
        <v>685</v>
      </c>
      <c r="B5" s="81" t="s">
        <v>684</v>
      </c>
      <c r="C5" s="7">
        <v>278</v>
      </c>
      <c r="D5" s="7">
        <v>277</v>
      </c>
      <c r="E5" s="7">
        <v>277</v>
      </c>
      <c r="F5" s="82">
        <v>0.36101083</v>
      </c>
      <c r="G5" s="82">
        <v>0.36101083</v>
      </c>
      <c r="H5" s="7">
        <v>598</v>
      </c>
      <c r="I5" s="7">
        <v>597</v>
      </c>
      <c r="J5" s="7">
        <v>601</v>
      </c>
      <c r="K5" s="82">
        <v>-0.49</v>
      </c>
      <c r="L5" s="478">
        <v>0.17</v>
      </c>
      <c r="M5" s="479"/>
      <c r="N5" s="83" t="s">
        <v>685</v>
      </c>
    </row>
    <row r="6" spans="1:14" s="4" customFormat="1" ht="18" customHeight="1" x14ac:dyDescent="0.2">
      <c r="A6" s="80" t="s">
        <v>686</v>
      </c>
      <c r="B6" s="81" t="s">
        <v>684</v>
      </c>
      <c r="C6" s="7">
        <v>3</v>
      </c>
      <c r="D6" s="7">
        <v>3</v>
      </c>
      <c r="E6" s="7">
        <v>3</v>
      </c>
      <c r="F6" s="82">
        <v>0</v>
      </c>
      <c r="G6" s="82">
        <v>0</v>
      </c>
      <c r="H6" s="7">
        <v>3</v>
      </c>
      <c r="I6" s="7">
        <v>3</v>
      </c>
      <c r="J6" s="7">
        <v>3</v>
      </c>
      <c r="K6" s="82">
        <v>0</v>
      </c>
      <c r="L6" s="478">
        <v>0</v>
      </c>
      <c r="M6" s="479"/>
      <c r="N6" s="83" t="s">
        <v>686</v>
      </c>
    </row>
    <row r="7" spans="1:14" s="4" customFormat="1" ht="18" customHeight="1" x14ac:dyDescent="0.2">
      <c r="A7" s="80" t="s">
        <v>687</v>
      </c>
      <c r="B7" s="81" t="s">
        <v>688</v>
      </c>
      <c r="C7" s="7">
        <v>185.99863999999999</v>
      </c>
      <c r="D7" s="7">
        <v>185.22417999999999</v>
      </c>
      <c r="E7" s="7">
        <v>171.51831000000001</v>
      </c>
      <c r="F7" s="82">
        <v>8.4424397609999993</v>
      </c>
      <c r="G7" s="82">
        <v>0.41812035600000003</v>
      </c>
      <c r="H7" s="7">
        <v>175.75</v>
      </c>
      <c r="I7" s="7">
        <v>173.86</v>
      </c>
      <c r="J7" s="7">
        <v>149.9</v>
      </c>
      <c r="K7" s="82">
        <v>17.239999999999998</v>
      </c>
      <c r="L7" s="478">
        <v>1.0900000000000001</v>
      </c>
      <c r="M7" s="479"/>
      <c r="N7" s="83" t="s">
        <v>687</v>
      </c>
    </row>
    <row r="8" spans="1:14" s="4" customFormat="1" ht="18" customHeight="1" x14ac:dyDescent="0.2">
      <c r="A8" s="80" t="s">
        <v>689</v>
      </c>
      <c r="B8" s="81" t="s">
        <v>690</v>
      </c>
      <c r="C8" s="7">
        <v>53170.958098199997</v>
      </c>
      <c r="D8" s="7">
        <v>53156.455825999998</v>
      </c>
      <c r="E8" s="7">
        <v>50265.0974269</v>
      </c>
      <c r="F8" s="82">
        <v>5.7810704050000004</v>
      </c>
      <c r="G8" s="82">
        <v>2.7282240999999999E-2</v>
      </c>
      <c r="H8" s="7">
        <v>18747.95</v>
      </c>
      <c r="I8" s="7">
        <v>17660.03</v>
      </c>
      <c r="J8" s="7">
        <v>15778.1</v>
      </c>
      <c r="K8" s="82">
        <v>18.82</v>
      </c>
      <c r="L8" s="478">
        <v>6.16</v>
      </c>
      <c r="M8" s="479"/>
      <c r="N8" s="83" t="s">
        <v>689</v>
      </c>
    </row>
    <row r="9" spans="1:14" s="4" customFormat="1" ht="18" customHeight="1" x14ac:dyDescent="0.2">
      <c r="A9" s="80" t="s">
        <v>691</v>
      </c>
      <c r="B9" s="81" t="s">
        <v>690</v>
      </c>
      <c r="C9" s="46">
        <v>13188179.8461277</v>
      </c>
      <c r="D9" s="46">
        <v>13113009.9838295</v>
      </c>
      <c r="E9" s="46">
        <v>13199167.079350401</v>
      </c>
      <c r="F9" s="82">
        <v>-8.3241867999999997E-2</v>
      </c>
      <c r="G9" s="82">
        <v>0.57324643500000005</v>
      </c>
      <c r="H9" s="44">
        <v>1753987.9</v>
      </c>
      <c r="I9" s="44">
        <v>1757785.2</v>
      </c>
      <c r="J9" s="44">
        <v>1863506.36</v>
      </c>
      <c r="K9" s="82">
        <v>-5.88</v>
      </c>
      <c r="L9" s="478">
        <v>-0.22</v>
      </c>
      <c r="M9" s="479"/>
      <c r="N9" s="83" t="s">
        <v>691</v>
      </c>
    </row>
    <row r="10" spans="1:14" s="4" customFormat="1" ht="18" customHeight="1" x14ac:dyDescent="0.2">
      <c r="A10" s="80" t="s">
        <v>692</v>
      </c>
      <c r="B10" s="81" t="s">
        <v>690</v>
      </c>
      <c r="C10" s="7">
        <v>57157.107011175001</v>
      </c>
      <c r="D10" s="7">
        <v>57208.252380090998</v>
      </c>
      <c r="E10" s="7">
        <v>53628.808879629003</v>
      </c>
      <c r="F10" s="82">
        <v>6.5791096339999999</v>
      </c>
      <c r="G10" s="82">
        <v>-8.9402081999999994E-2</v>
      </c>
      <c r="H10" s="7">
        <v>20397.73</v>
      </c>
      <c r="I10" s="7">
        <v>19301.259999999998</v>
      </c>
      <c r="J10" s="7">
        <v>16958.689999999999</v>
      </c>
      <c r="K10" s="82">
        <v>20.28</v>
      </c>
      <c r="L10" s="478">
        <v>5.68</v>
      </c>
      <c r="M10" s="479"/>
      <c r="N10" s="83" t="s">
        <v>692</v>
      </c>
    </row>
    <row r="11" spans="1:14" s="4" customFormat="1" ht="18" customHeight="1" x14ac:dyDescent="0.2">
      <c r="A11" s="80" t="s">
        <v>693</v>
      </c>
      <c r="B11" s="81" t="s">
        <v>690</v>
      </c>
      <c r="C11" s="46">
        <v>16011891.0544517</v>
      </c>
      <c r="D11" s="46">
        <v>15895015.5500302</v>
      </c>
      <c r="E11" s="46">
        <v>15771880.337443899</v>
      </c>
      <c r="F11" s="82">
        <v>1.5217634920000001</v>
      </c>
      <c r="G11" s="82">
        <v>0.73529657199999998</v>
      </c>
      <c r="H11" s="44">
        <v>1881605.16</v>
      </c>
      <c r="I11" s="44">
        <v>1882388.23</v>
      </c>
      <c r="J11" s="44">
        <v>1960970.29</v>
      </c>
      <c r="K11" s="82">
        <v>-4.05</v>
      </c>
      <c r="L11" s="478">
        <v>-0.04</v>
      </c>
      <c r="M11" s="479"/>
      <c r="N11" s="83" t="s">
        <v>693</v>
      </c>
    </row>
    <row r="12" spans="1:14" s="4" customFormat="1" ht="18" customHeight="1" x14ac:dyDescent="0.2">
      <c r="A12" s="80" t="s">
        <v>694</v>
      </c>
      <c r="B12" s="81" t="s">
        <v>690</v>
      </c>
      <c r="C12" s="7">
        <v>1026.0136301</v>
      </c>
      <c r="D12" s="7">
        <v>1183.8019534</v>
      </c>
      <c r="E12" s="7">
        <v>938.0122374</v>
      </c>
      <c r="F12" s="82">
        <v>9.3816891919999996</v>
      </c>
      <c r="G12" s="82">
        <v>-13.328946016</v>
      </c>
      <c r="H12" s="7">
        <v>577.45000000000005</v>
      </c>
      <c r="I12" s="7">
        <v>669.37</v>
      </c>
      <c r="J12" s="7">
        <v>654.44000000000005</v>
      </c>
      <c r="K12" s="82">
        <v>-11.76</v>
      </c>
      <c r="L12" s="478">
        <v>-13.73</v>
      </c>
      <c r="M12" s="479"/>
      <c r="N12" s="83" t="s">
        <v>694</v>
      </c>
    </row>
    <row r="13" spans="1:14" s="4" customFormat="1" ht="18" customHeight="1" x14ac:dyDescent="0.2">
      <c r="A13" s="80" t="s">
        <v>695</v>
      </c>
      <c r="B13" s="81" t="s">
        <v>690</v>
      </c>
      <c r="C13" s="7">
        <v>57.000757227999998</v>
      </c>
      <c r="D13" s="7">
        <v>62.305365967999997</v>
      </c>
      <c r="E13" s="7">
        <v>49.369065126000002</v>
      </c>
      <c r="F13" s="82">
        <v>15.458449702999999</v>
      </c>
      <c r="G13" s="82">
        <v>-8.5138874609999995</v>
      </c>
      <c r="H13" s="7">
        <v>19.25</v>
      </c>
      <c r="I13" s="7">
        <v>21.59</v>
      </c>
      <c r="J13" s="7">
        <v>21.81</v>
      </c>
      <c r="K13" s="82">
        <v>-11.76</v>
      </c>
      <c r="L13" s="478">
        <v>-10.86</v>
      </c>
      <c r="M13" s="479"/>
      <c r="N13" s="83" t="s">
        <v>695</v>
      </c>
    </row>
    <row r="14" spans="1:14" s="4" customFormat="1" ht="18" customHeight="1" x14ac:dyDescent="0.2">
      <c r="A14" s="80" t="s">
        <v>696</v>
      </c>
      <c r="B14" s="81" t="s">
        <v>690</v>
      </c>
      <c r="C14" s="44">
        <v>255007.72454144899</v>
      </c>
      <c r="D14" s="44">
        <v>298773.52908227901</v>
      </c>
      <c r="E14" s="44">
        <v>243371.85982808299</v>
      </c>
      <c r="F14" s="82">
        <v>4.7811052280000004</v>
      </c>
      <c r="G14" s="82">
        <v>-14.648487995</v>
      </c>
      <c r="H14" s="7">
        <v>54026.42</v>
      </c>
      <c r="I14" s="7">
        <v>67847.91</v>
      </c>
      <c r="J14" s="7">
        <v>69659.41</v>
      </c>
      <c r="K14" s="82">
        <v>-22.44</v>
      </c>
      <c r="L14" s="478">
        <v>-20.37</v>
      </c>
      <c r="M14" s="479"/>
      <c r="N14" s="83" t="s">
        <v>696</v>
      </c>
    </row>
    <row r="15" spans="1:14" s="4" customFormat="1" ht="18" customHeight="1" x14ac:dyDescent="0.2">
      <c r="A15" s="80" t="s">
        <v>697</v>
      </c>
      <c r="B15" s="81" t="s">
        <v>690</v>
      </c>
      <c r="C15" s="7">
        <v>14167.095807858001</v>
      </c>
      <c r="D15" s="7">
        <v>15724.922583277999</v>
      </c>
      <c r="E15" s="7">
        <v>12809.04525411</v>
      </c>
      <c r="F15" s="82">
        <v>10.602277741</v>
      </c>
      <c r="G15" s="82">
        <v>-9.9067373280000002</v>
      </c>
      <c r="H15" s="7">
        <v>1800.88</v>
      </c>
      <c r="I15" s="7">
        <v>2188.64</v>
      </c>
      <c r="J15" s="7">
        <v>2321.98</v>
      </c>
      <c r="K15" s="82">
        <v>-22.44</v>
      </c>
      <c r="L15" s="478">
        <v>-17.72</v>
      </c>
      <c r="M15" s="479"/>
      <c r="N15" s="83" t="s">
        <v>697</v>
      </c>
    </row>
    <row r="16" spans="1:14" s="4" customFormat="1" ht="18" customHeight="1" x14ac:dyDescent="0.2">
      <c r="A16" s="80" t="s">
        <v>698</v>
      </c>
      <c r="B16" s="81" t="s">
        <v>684</v>
      </c>
      <c r="C16" s="7">
        <v>7</v>
      </c>
      <c r="D16" s="7">
        <v>9</v>
      </c>
      <c r="E16" s="7">
        <v>18</v>
      </c>
      <c r="F16" s="82">
        <v>-61.111111111</v>
      </c>
      <c r="G16" s="82">
        <v>-22.222222221999999</v>
      </c>
      <c r="H16" s="7">
        <v>21</v>
      </c>
      <c r="I16" s="7">
        <v>85</v>
      </c>
      <c r="J16" s="7">
        <v>143</v>
      </c>
      <c r="K16" s="82">
        <v>-85.31</v>
      </c>
      <c r="L16" s="478">
        <v>-75.290000000000006</v>
      </c>
      <c r="M16" s="479"/>
      <c r="N16" s="83" t="s">
        <v>698</v>
      </c>
    </row>
    <row r="17" spans="1:14" s="4" customFormat="1" ht="18" customHeight="1" x14ac:dyDescent="0.2">
      <c r="A17" s="80" t="s">
        <v>699</v>
      </c>
      <c r="B17" s="81" t="s">
        <v>700</v>
      </c>
      <c r="C17" s="7">
        <v>86.769888976999994</v>
      </c>
      <c r="D17" s="7">
        <v>86.575851955999994</v>
      </c>
      <c r="E17" s="7">
        <v>86.833107505000001</v>
      </c>
      <c r="F17" s="82">
        <v>-7.2804636000000006E-2</v>
      </c>
      <c r="G17" s="82">
        <v>0.224123721</v>
      </c>
      <c r="H17" s="7">
        <v>11.48</v>
      </c>
      <c r="I17" s="7">
        <v>11.57</v>
      </c>
      <c r="J17" s="7">
        <v>12.87</v>
      </c>
      <c r="K17" s="82">
        <v>-10.8</v>
      </c>
      <c r="L17" s="478">
        <v>-0.78</v>
      </c>
      <c r="M17" s="479"/>
      <c r="N17" s="84" t="s">
        <v>701</v>
      </c>
    </row>
    <row r="18" spans="1:14" s="4" customFormat="1" ht="24.75" customHeight="1" x14ac:dyDescent="0.2">
      <c r="A18" s="387" t="s">
        <v>702</v>
      </c>
      <c r="B18" s="387"/>
      <c r="C18" s="387"/>
      <c r="D18" s="387"/>
      <c r="E18" s="387"/>
      <c r="F18" s="387"/>
      <c r="G18" s="387"/>
      <c r="H18" s="387"/>
      <c r="I18" s="387"/>
      <c r="J18" s="387"/>
      <c r="K18" s="387"/>
      <c r="L18" s="387"/>
    </row>
    <row r="19" spans="1:14" s="4" customFormat="1" ht="13.5" customHeight="1" x14ac:dyDescent="0.2">
      <c r="A19" s="386" t="s">
        <v>703</v>
      </c>
      <c r="B19" s="386"/>
      <c r="C19" s="386"/>
      <c r="D19" s="386"/>
      <c r="E19" s="386"/>
      <c r="F19" s="386"/>
      <c r="G19" s="386"/>
      <c r="H19" s="386"/>
      <c r="I19" s="386"/>
      <c r="J19" s="386"/>
      <c r="K19" s="386"/>
      <c r="L19" s="386"/>
    </row>
    <row r="20" spans="1:14" s="4" customFormat="1" ht="28.35" customHeight="1" x14ac:dyDescent="0.2"/>
  </sheetData>
  <mergeCells count="21">
    <mergeCell ref="L10:M10"/>
    <mergeCell ref="A2:A3"/>
    <mergeCell ref="B2:B3"/>
    <mergeCell ref="C2:G2"/>
    <mergeCell ref="H2:M2"/>
    <mergeCell ref="L3:M3"/>
    <mergeCell ref="L4:M4"/>
    <mergeCell ref="L5:M5"/>
    <mergeCell ref="L6:M6"/>
    <mergeCell ref="L7:M7"/>
    <mergeCell ref="L8:M8"/>
    <mergeCell ref="L9:M9"/>
    <mergeCell ref="L17:M17"/>
    <mergeCell ref="A18:L18"/>
    <mergeCell ref="A19:L19"/>
    <mergeCell ref="L11:M11"/>
    <mergeCell ref="L12:M12"/>
    <mergeCell ref="L13:M13"/>
    <mergeCell ref="L14:M14"/>
    <mergeCell ref="L15:M15"/>
    <mergeCell ref="L16:M16"/>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0"/>
  <sheetViews>
    <sheetView workbookViewId="0">
      <selection sqref="A1:J1"/>
    </sheetView>
  </sheetViews>
  <sheetFormatPr defaultRowHeight="12.75" x14ac:dyDescent="0.2"/>
  <cols>
    <col min="1" max="5" width="14.7109375" bestFit="1" customWidth="1"/>
    <col min="6" max="6" width="14.140625" bestFit="1" customWidth="1"/>
    <col min="7" max="9" width="14.7109375" bestFit="1" customWidth="1"/>
    <col min="10" max="10" width="9.85546875" bestFit="1" customWidth="1"/>
    <col min="11" max="11" width="19.5703125" bestFit="1" customWidth="1"/>
    <col min="12" max="12" width="4.7109375" bestFit="1" customWidth="1"/>
  </cols>
  <sheetData>
    <row r="1" spans="1:11" ht="16.5" customHeight="1" x14ac:dyDescent="0.2">
      <c r="A1" s="398" t="s">
        <v>883</v>
      </c>
      <c r="B1" s="398"/>
      <c r="C1" s="398"/>
      <c r="D1" s="398"/>
      <c r="E1" s="398"/>
      <c r="F1" s="398"/>
      <c r="G1" s="398"/>
      <c r="H1" s="398"/>
      <c r="I1" s="398"/>
      <c r="J1" s="398"/>
    </row>
    <row r="2" spans="1:11" s="4" customFormat="1" ht="18" customHeight="1" x14ac:dyDescent="0.2">
      <c r="A2" s="376" t="s">
        <v>164</v>
      </c>
      <c r="B2" s="388" t="s">
        <v>678</v>
      </c>
      <c r="C2" s="389"/>
      <c r="D2" s="389"/>
      <c r="E2" s="389"/>
      <c r="F2" s="390"/>
      <c r="G2" s="388" t="s">
        <v>679</v>
      </c>
      <c r="H2" s="389"/>
      <c r="I2" s="389"/>
      <c r="J2" s="389"/>
      <c r="K2" s="390"/>
    </row>
    <row r="3" spans="1:11" s="4" customFormat="1" ht="51" customHeight="1" x14ac:dyDescent="0.2">
      <c r="A3" s="378"/>
      <c r="B3" s="9" t="s">
        <v>704</v>
      </c>
      <c r="C3" s="9" t="s">
        <v>705</v>
      </c>
      <c r="D3" s="17" t="s">
        <v>706</v>
      </c>
      <c r="E3" s="17" t="s">
        <v>707</v>
      </c>
      <c r="F3" s="10" t="s">
        <v>708</v>
      </c>
      <c r="G3" s="9" t="s">
        <v>704</v>
      </c>
      <c r="H3" s="9" t="s">
        <v>705</v>
      </c>
      <c r="I3" s="17" t="s">
        <v>706</v>
      </c>
      <c r="J3" s="17" t="s">
        <v>707</v>
      </c>
      <c r="K3" s="10" t="s">
        <v>709</v>
      </c>
    </row>
    <row r="4" spans="1:11" s="4" customFormat="1" ht="18" customHeight="1" x14ac:dyDescent="0.2">
      <c r="A4" s="3" t="s">
        <v>61</v>
      </c>
      <c r="B4" s="26">
        <v>25233</v>
      </c>
      <c r="C4" s="26">
        <v>277</v>
      </c>
      <c r="D4" s="26">
        <v>30741</v>
      </c>
      <c r="E4" s="39">
        <v>1867407.56</v>
      </c>
      <c r="F4" s="42">
        <v>18680372.414999999</v>
      </c>
      <c r="G4" s="26">
        <v>12757</v>
      </c>
      <c r="H4" s="26">
        <v>597</v>
      </c>
      <c r="I4" s="26">
        <v>19460</v>
      </c>
      <c r="J4" s="39">
        <v>361876.12</v>
      </c>
      <c r="K4" s="39">
        <v>2079693.49</v>
      </c>
    </row>
    <row r="5" spans="1:11" s="4" customFormat="1" ht="18" customHeight="1" x14ac:dyDescent="0.2">
      <c r="A5" s="3" t="s">
        <v>62</v>
      </c>
      <c r="B5" s="26">
        <v>25841</v>
      </c>
      <c r="C5" s="26">
        <v>278</v>
      </c>
      <c r="D5" s="26">
        <v>30898</v>
      </c>
      <c r="E5" s="39">
        <v>1898007.04</v>
      </c>
      <c r="F5" s="42">
        <v>18846586.460000001</v>
      </c>
      <c r="G5" s="26">
        <v>13009</v>
      </c>
      <c r="H5" s="26">
        <v>598</v>
      </c>
      <c r="I5" s="26">
        <v>19461</v>
      </c>
      <c r="J5" s="39">
        <v>373897.06</v>
      </c>
      <c r="K5" s="39">
        <v>2079779.43</v>
      </c>
    </row>
    <row r="6" spans="1:11" s="4" customFormat="1" ht="18" customHeight="1" x14ac:dyDescent="0.2">
      <c r="A6" s="3" t="s">
        <v>146</v>
      </c>
      <c r="B6" s="26">
        <v>25841</v>
      </c>
      <c r="C6" s="26">
        <v>278</v>
      </c>
      <c r="D6" s="26">
        <v>30898</v>
      </c>
      <c r="E6" s="39">
        <v>1898007.04</v>
      </c>
      <c r="F6" s="42">
        <v>18846586.460000001</v>
      </c>
      <c r="G6" s="26">
        <v>13009</v>
      </c>
      <c r="H6" s="26">
        <v>598</v>
      </c>
      <c r="I6" s="26">
        <v>19461</v>
      </c>
      <c r="J6" s="39">
        <v>373897.06</v>
      </c>
      <c r="K6" s="39">
        <v>2079779.43</v>
      </c>
    </row>
    <row r="7" spans="1:11" s="4" customFormat="1" ht="18.75" customHeight="1" x14ac:dyDescent="0.2">
      <c r="A7" s="482" t="s">
        <v>710</v>
      </c>
      <c r="B7" s="482"/>
      <c r="C7" s="482"/>
      <c r="D7" s="482"/>
      <c r="E7" s="482"/>
      <c r="F7" s="482"/>
      <c r="G7" s="482"/>
      <c r="H7" s="482"/>
    </row>
    <row r="8" spans="1:11" s="4" customFormat="1" ht="18" customHeight="1" x14ac:dyDescent="0.2">
      <c r="A8" s="366" t="s">
        <v>711</v>
      </c>
      <c r="B8" s="366"/>
      <c r="C8" s="366"/>
      <c r="D8" s="366"/>
      <c r="E8" s="366"/>
      <c r="F8" s="366"/>
      <c r="G8" s="366"/>
      <c r="H8" s="366"/>
    </row>
    <row r="9" spans="1:11" s="4" customFormat="1" ht="18" customHeight="1" x14ac:dyDescent="0.2">
      <c r="A9" s="366" t="s">
        <v>703</v>
      </c>
      <c r="B9" s="366"/>
      <c r="C9" s="366"/>
      <c r="D9" s="366"/>
      <c r="E9" s="366"/>
      <c r="F9" s="366"/>
      <c r="G9" s="366"/>
      <c r="H9" s="366"/>
    </row>
    <row r="10" spans="1:11" s="4" customFormat="1" ht="28.35" customHeight="1" x14ac:dyDescent="0.2"/>
  </sheetData>
  <mergeCells count="7">
    <mergeCell ref="A9:H9"/>
    <mergeCell ref="A1:J1"/>
    <mergeCell ref="A2:A3"/>
    <mergeCell ref="B2:F2"/>
    <mergeCell ref="G2:K2"/>
    <mergeCell ref="A7:H7"/>
    <mergeCell ref="A8:H8"/>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workbookViewId="0"/>
  </sheetViews>
  <sheetFormatPr defaultRowHeight="12.75" x14ac:dyDescent="0.2"/>
  <cols>
    <col min="1" max="1" width="27.85546875" bestFit="1" customWidth="1"/>
    <col min="2" max="2" width="14.7109375" bestFit="1" customWidth="1"/>
    <col min="3" max="10" width="13.5703125" bestFit="1" customWidth="1"/>
    <col min="11" max="11" width="4.7109375" bestFit="1" customWidth="1"/>
  </cols>
  <sheetData>
    <row r="1" spans="1:10" ht="15.75" customHeight="1" x14ac:dyDescent="0.2">
      <c r="A1" s="5" t="s">
        <v>1058</v>
      </c>
    </row>
    <row r="2" spans="1:10" s="4" customFormat="1" ht="18" customHeight="1" x14ac:dyDescent="0.2">
      <c r="A2" s="376" t="s">
        <v>664</v>
      </c>
      <c r="B2" s="376" t="s">
        <v>677</v>
      </c>
      <c r="C2" s="388" t="s">
        <v>157</v>
      </c>
      <c r="D2" s="390"/>
      <c r="E2" s="388" t="s">
        <v>112</v>
      </c>
      <c r="F2" s="390"/>
      <c r="G2" s="388" t="s">
        <v>305</v>
      </c>
      <c r="H2" s="390"/>
      <c r="I2" s="388" t="s">
        <v>140</v>
      </c>
      <c r="J2" s="390"/>
    </row>
    <row r="3" spans="1:10" s="4" customFormat="1" ht="16.5" customHeight="1" x14ac:dyDescent="0.2">
      <c r="A3" s="378"/>
      <c r="B3" s="378"/>
      <c r="C3" s="6" t="s">
        <v>153</v>
      </c>
      <c r="D3" s="6" t="s">
        <v>712</v>
      </c>
      <c r="E3" s="6" t="s">
        <v>153</v>
      </c>
      <c r="F3" s="6" t="s">
        <v>712</v>
      </c>
      <c r="G3" s="6" t="s">
        <v>153</v>
      </c>
      <c r="H3" s="6" t="s">
        <v>712</v>
      </c>
      <c r="I3" s="6" t="s">
        <v>153</v>
      </c>
      <c r="J3" s="6" t="s">
        <v>712</v>
      </c>
    </row>
    <row r="4" spans="1:10" s="4" customFormat="1" ht="18" customHeight="1" x14ac:dyDescent="0.2">
      <c r="A4" s="483" t="s">
        <v>678</v>
      </c>
      <c r="B4" s="484"/>
      <c r="C4" s="484"/>
      <c r="D4" s="484"/>
      <c r="E4" s="484"/>
      <c r="F4" s="484"/>
      <c r="G4" s="484"/>
      <c r="H4" s="484"/>
      <c r="I4" s="484"/>
      <c r="J4" s="485"/>
    </row>
    <row r="5" spans="1:10" s="4" customFormat="1" ht="27" customHeight="1" x14ac:dyDescent="0.2">
      <c r="A5" s="12" t="s">
        <v>713</v>
      </c>
      <c r="B5" s="33" t="s">
        <v>714</v>
      </c>
      <c r="C5" s="7">
        <v>717</v>
      </c>
      <c r="D5" s="7">
        <v>1848</v>
      </c>
      <c r="E5" s="7">
        <v>6168</v>
      </c>
      <c r="F5" s="7">
        <v>16302</v>
      </c>
      <c r="G5" s="7">
        <v>74</v>
      </c>
      <c r="H5" s="7">
        <v>4725</v>
      </c>
      <c r="I5" s="7">
        <v>6959</v>
      </c>
      <c r="J5" s="7">
        <v>22875</v>
      </c>
    </row>
    <row r="6" spans="1:10" s="4" customFormat="1" ht="15" customHeight="1" x14ac:dyDescent="0.2">
      <c r="A6" s="12" t="s">
        <v>715</v>
      </c>
      <c r="B6" s="33" t="s">
        <v>714</v>
      </c>
      <c r="C6" s="7">
        <v>10568</v>
      </c>
      <c r="D6" s="7">
        <v>6293</v>
      </c>
      <c r="E6" s="7">
        <v>12532</v>
      </c>
      <c r="F6" s="7">
        <v>16984</v>
      </c>
      <c r="G6" s="7">
        <v>8466</v>
      </c>
      <c r="H6" s="7">
        <v>33024</v>
      </c>
      <c r="I6" s="7">
        <v>31566</v>
      </c>
      <c r="J6" s="7">
        <v>56301</v>
      </c>
    </row>
    <row r="7" spans="1:10" s="4" customFormat="1" ht="15" customHeight="1" x14ac:dyDescent="0.2">
      <c r="A7" s="12" t="s">
        <v>716</v>
      </c>
      <c r="B7" s="33" t="s">
        <v>717</v>
      </c>
      <c r="C7" s="44">
        <v>115001.10016</v>
      </c>
      <c r="D7" s="44">
        <v>469550.03791000001</v>
      </c>
      <c r="E7" s="44">
        <v>5317095.8098200001</v>
      </c>
      <c r="F7" s="44">
        <v>8611035.2791200001</v>
      </c>
      <c r="G7" s="44">
        <v>283613.79113753</v>
      </c>
      <c r="H7" s="44">
        <v>4183774.4584928099</v>
      </c>
      <c r="I7" s="44">
        <v>5715710.7011175305</v>
      </c>
      <c r="J7" s="46">
        <v>13264359.7755228</v>
      </c>
    </row>
    <row r="8" spans="1:10" s="4" customFormat="1" ht="15" customHeight="1" x14ac:dyDescent="0.2">
      <c r="A8" s="12" t="s">
        <v>718</v>
      </c>
      <c r="B8" s="33" t="s">
        <v>719</v>
      </c>
      <c r="C8" s="44">
        <v>2616898.7492514998</v>
      </c>
      <c r="D8" s="44">
        <v>492034.56943195401</v>
      </c>
      <c r="E8" s="46">
        <v>13188179.8461277</v>
      </c>
      <c r="F8" s="44">
        <v>877736.34845025302</v>
      </c>
      <c r="G8" s="44">
        <v>206812.45907250801</v>
      </c>
      <c r="H8" s="44">
        <v>1464924.4877711199</v>
      </c>
      <c r="I8" s="46">
        <v>16011891.0544517</v>
      </c>
      <c r="J8" s="44">
        <v>2834695.40565333</v>
      </c>
    </row>
    <row r="9" spans="1:10" s="4" customFormat="1" ht="27" customHeight="1" x14ac:dyDescent="0.2">
      <c r="A9" s="12" t="s">
        <v>720</v>
      </c>
      <c r="B9" s="33" t="s">
        <v>721</v>
      </c>
      <c r="C9" s="7">
        <v>14633.83488</v>
      </c>
      <c r="D9" s="7">
        <v>9593.1077999999998</v>
      </c>
      <c r="E9" s="44">
        <v>102601.36301</v>
      </c>
      <c r="F9" s="7">
        <v>41.12482</v>
      </c>
      <c r="G9" s="7">
        <v>8344.4068751100003</v>
      </c>
      <c r="H9" s="7">
        <v>1111.0535481700001</v>
      </c>
      <c r="I9" s="44">
        <v>125579.60476510999</v>
      </c>
      <c r="J9" s="7">
        <v>10745.28616817</v>
      </c>
    </row>
    <row r="10" spans="1:10" s="4" customFormat="1" ht="15" customHeight="1" x14ac:dyDescent="0.2">
      <c r="A10" s="12" t="s">
        <v>722</v>
      </c>
      <c r="B10" s="33" t="s">
        <v>723</v>
      </c>
      <c r="C10" s="44">
        <v>566545.24805149995</v>
      </c>
      <c r="D10" s="7">
        <v>14579.056302499999</v>
      </c>
      <c r="E10" s="44">
        <v>255007.72454144899</v>
      </c>
      <c r="F10" s="7">
        <v>50.317951393999998</v>
      </c>
      <c r="G10" s="7">
        <v>3555.6967900499999</v>
      </c>
      <c r="H10" s="7">
        <v>288.16463442000003</v>
      </c>
      <c r="I10" s="44">
        <v>825108.66938299895</v>
      </c>
      <c r="J10" s="7">
        <v>14917.538888314</v>
      </c>
    </row>
    <row r="11" spans="1:10" s="4" customFormat="1" ht="18" customHeight="1" x14ac:dyDescent="0.2">
      <c r="A11" s="483" t="s">
        <v>679</v>
      </c>
      <c r="B11" s="484"/>
      <c r="C11" s="484"/>
      <c r="D11" s="484"/>
      <c r="E11" s="484"/>
      <c r="F11" s="484"/>
      <c r="G11" s="484"/>
      <c r="H11" s="484"/>
      <c r="I11" s="484"/>
      <c r="J11" s="485"/>
    </row>
    <row r="12" spans="1:10" s="4" customFormat="1" ht="27" customHeight="1" x14ac:dyDescent="0.2">
      <c r="A12" s="12" t="s">
        <v>724</v>
      </c>
      <c r="B12" s="33" t="s">
        <v>714</v>
      </c>
      <c r="C12" s="26">
        <v>558</v>
      </c>
      <c r="D12" s="26">
        <v>404</v>
      </c>
      <c r="E12" s="26">
        <v>5763</v>
      </c>
      <c r="F12" s="26">
        <v>6167</v>
      </c>
      <c r="G12" s="26">
        <v>2472</v>
      </c>
      <c r="H12" s="26">
        <v>558</v>
      </c>
      <c r="I12" s="26">
        <v>8793</v>
      </c>
      <c r="J12" s="26">
        <v>7129</v>
      </c>
    </row>
    <row r="13" spans="1:10" s="4" customFormat="1" ht="15" customHeight="1" x14ac:dyDescent="0.2">
      <c r="A13" s="12" t="s">
        <v>725</v>
      </c>
      <c r="B13" s="33" t="s">
        <v>714</v>
      </c>
      <c r="C13" s="26">
        <v>8092</v>
      </c>
      <c r="D13" s="26">
        <v>2238</v>
      </c>
      <c r="E13" s="26">
        <v>5898</v>
      </c>
      <c r="F13" s="26">
        <v>6413</v>
      </c>
      <c r="G13" s="26">
        <v>19500</v>
      </c>
      <c r="H13" s="26">
        <v>1976</v>
      </c>
      <c r="I13" s="26">
        <v>33490</v>
      </c>
      <c r="J13" s="26">
        <v>10627</v>
      </c>
    </row>
    <row r="14" spans="1:10" s="4" customFormat="1" ht="15" customHeight="1" x14ac:dyDescent="0.2">
      <c r="A14" s="12" t="s">
        <v>716</v>
      </c>
      <c r="B14" s="33" t="s">
        <v>726</v>
      </c>
      <c r="C14" s="26">
        <v>2981.36</v>
      </c>
      <c r="D14" s="26">
        <v>97214.01</v>
      </c>
      <c r="E14" s="39">
        <v>1874795.06</v>
      </c>
      <c r="F14" s="39">
        <v>1440957.39</v>
      </c>
      <c r="G14" s="39">
        <v>161996.79</v>
      </c>
      <c r="H14" s="39">
        <v>161026.03</v>
      </c>
      <c r="I14" s="39">
        <v>2039773.21</v>
      </c>
      <c r="J14" s="39">
        <v>1699197.43</v>
      </c>
    </row>
    <row r="15" spans="1:10" s="4" customFormat="1" ht="15" customHeight="1" x14ac:dyDescent="0.2">
      <c r="A15" s="12" t="s">
        <v>718</v>
      </c>
      <c r="B15" s="33" t="s">
        <v>727</v>
      </c>
      <c r="C15" s="26">
        <v>63183.01</v>
      </c>
      <c r="D15" s="26">
        <v>33668.61</v>
      </c>
      <c r="E15" s="39">
        <v>1753987.9</v>
      </c>
      <c r="F15" s="39">
        <v>139703.88</v>
      </c>
      <c r="G15" s="26">
        <v>64434.25</v>
      </c>
      <c r="H15" s="26">
        <v>24801.77</v>
      </c>
      <c r="I15" s="39">
        <v>1881605.16</v>
      </c>
      <c r="J15" s="39">
        <v>198174.27</v>
      </c>
    </row>
    <row r="16" spans="1:10" s="4" customFormat="1" ht="27" customHeight="1" x14ac:dyDescent="0.2">
      <c r="A16" s="12" t="s">
        <v>720</v>
      </c>
      <c r="B16" s="33" t="s">
        <v>726</v>
      </c>
      <c r="C16" s="26">
        <v>30.3</v>
      </c>
      <c r="D16" s="26">
        <v>0</v>
      </c>
      <c r="E16" s="26">
        <v>57744.94</v>
      </c>
      <c r="F16" s="26">
        <v>0</v>
      </c>
      <c r="G16" s="26">
        <v>22217.69</v>
      </c>
      <c r="H16" s="26">
        <v>0</v>
      </c>
      <c r="I16" s="26">
        <v>79992.92</v>
      </c>
      <c r="J16" s="26">
        <v>0</v>
      </c>
    </row>
    <row r="17" spans="1:10" s="4" customFormat="1" ht="15" customHeight="1" x14ac:dyDescent="0.2">
      <c r="A17" s="12" t="s">
        <v>722</v>
      </c>
      <c r="B17" s="33" t="s">
        <v>727</v>
      </c>
      <c r="C17" s="26">
        <v>2436.23</v>
      </c>
      <c r="D17" s="26">
        <v>0</v>
      </c>
      <c r="E17" s="26">
        <v>54026.42</v>
      </c>
      <c r="F17" s="26">
        <v>0</v>
      </c>
      <c r="G17" s="26">
        <v>12497.81</v>
      </c>
      <c r="H17" s="26">
        <v>0</v>
      </c>
      <c r="I17" s="26">
        <v>68960.460000000006</v>
      </c>
      <c r="J17" s="26">
        <v>0</v>
      </c>
    </row>
    <row r="18" spans="1:10" s="4" customFormat="1" ht="14.25" customHeight="1" x14ac:dyDescent="0.2">
      <c r="A18" s="386" t="s">
        <v>728</v>
      </c>
      <c r="B18" s="386"/>
      <c r="C18" s="386"/>
      <c r="D18" s="386"/>
      <c r="E18" s="386"/>
      <c r="F18" s="386"/>
      <c r="G18" s="386"/>
      <c r="H18" s="386"/>
      <c r="I18" s="386"/>
      <c r="J18" s="386"/>
    </row>
    <row r="19" spans="1:10" s="4" customFormat="1" ht="13.5" customHeight="1" x14ac:dyDescent="0.2">
      <c r="A19" s="386" t="s">
        <v>703</v>
      </c>
      <c r="B19" s="386"/>
      <c r="C19" s="386"/>
      <c r="D19" s="386"/>
      <c r="E19" s="386"/>
      <c r="F19" s="386"/>
      <c r="G19" s="386"/>
      <c r="H19" s="386"/>
      <c r="I19" s="386"/>
      <c r="J19" s="386"/>
    </row>
    <row r="20" spans="1:10" s="4" customFormat="1" ht="27.6" customHeight="1" x14ac:dyDescent="0.2"/>
  </sheetData>
  <mergeCells count="10">
    <mergeCell ref="A4:J4"/>
    <mergeCell ref="A11:J11"/>
    <mergeCell ref="A18:J18"/>
    <mergeCell ref="A19:J19"/>
    <mergeCell ref="A2:A3"/>
    <mergeCell ref="B2:B3"/>
    <mergeCell ref="C2:D2"/>
    <mergeCell ref="E2:F2"/>
    <mergeCell ref="G2:H2"/>
    <mergeCell ref="I2:J2"/>
  </mergeCells>
  <pageMargins left="0.78431372549019618" right="0.78431372549019618" top="0.98039215686274517" bottom="0.98039215686274517" header="0.50980392156862753" footer="0.50980392156862753"/>
  <pageSetup paperSize="9" orientation="landscape" useFirstPageNumber="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workbookViewId="0"/>
  </sheetViews>
  <sheetFormatPr defaultRowHeight="12.75" x14ac:dyDescent="0.2"/>
  <cols>
    <col min="1" max="1" width="9.140625" style="165" customWidth="1"/>
    <col min="2" max="2" width="18.5703125" style="165" customWidth="1"/>
    <col min="3" max="3" width="10.140625" style="165" bestFit="1" customWidth="1"/>
    <col min="4" max="4" width="11.42578125" style="165" customWidth="1"/>
    <col min="5" max="5" width="7.42578125" style="165" bestFit="1" customWidth="1"/>
    <col min="6" max="6" width="7.140625" style="165" bestFit="1" customWidth="1"/>
    <col min="7" max="7" width="8.7109375" style="165" bestFit="1" customWidth="1"/>
    <col min="8" max="8" width="10.42578125" style="165" customWidth="1"/>
    <col min="9" max="9" width="8.7109375" style="165" customWidth="1"/>
    <col min="10" max="10" width="6.7109375" style="165" bestFit="1" customWidth="1"/>
    <col min="11" max="11" width="10.140625" style="165" bestFit="1" customWidth="1"/>
    <col min="12" max="16384" width="9.140625" style="165"/>
  </cols>
  <sheetData>
    <row r="1" spans="1:16" ht="15.75" thickBot="1" x14ac:dyDescent="0.25">
      <c r="A1" s="164" t="s">
        <v>1059</v>
      </c>
      <c r="B1" s="164"/>
      <c r="C1" s="164"/>
      <c r="D1" s="164"/>
      <c r="E1" s="164"/>
      <c r="F1" s="164"/>
      <c r="G1" s="164"/>
      <c r="H1" s="164"/>
      <c r="I1" s="164"/>
      <c r="J1" s="164"/>
    </row>
    <row r="2" spans="1:16" ht="15" x14ac:dyDescent="0.2">
      <c r="A2" s="488" t="s">
        <v>886</v>
      </c>
      <c r="B2" s="490" t="s">
        <v>664</v>
      </c>
      <c r="C2" s="492" t="s">
        <v>887</v>
      </c>
      <c r="D2" s="492"/>
      <c r="E2" s="492"/>
      <c r="F2" s="492"/>
      <c r="G2" s="492"/>
      <c r="H2" s="492" t="s">
        <v>888</v>
      </c>
      <c r="I2" s="492"/>
      <c r="J2" s="492"/>
      <c r="K2" s="493"/>
    </row>
    <row r="3" spans="1:16" ht="51.75" customHeight="1" x14ac:dyDescent="0.2">
      <c r="A3" s="489"/>
      <c r="B3" s="491"/>
      <c r="C3" s="166" t="s">
        <v>889</v>
      </c>
      <c r="D3" s="167" t="s">
        <v>890</v>
      </c>
      <c r="E3" s="166" t="s">
        <v>891</v>
      </c>
      <c r="F3" s="166" t="s">
        <v>892</v>
      </c>
      <c r="G3" s="167" t="s">
        <v>893</v>
      </c>
      <c r="H3" s="166" t="s">
        <v>889</v>
      </c>
      <c r="I3" s="167" t="s">
        <v>890</v>
      </c>
      <c r="J3" s="166" t="s">
        <v>891</v>
      </c>
      <c r="K3" s="168" t="s">
        <v>892</v>
      </c>
    </row>
    <row r="4" spans="1:16" x14ac:dyDescent="0.2">
      <c r="A4" s="494" t="s">
        <v>894</v>
      </c>
      <c r="B4" s="169" t="s">
        <v>895</v>
      </c>
      <c r="C4" s="170">
        <v>18</v>
      </c>
      <c r="D4" s="170">
        <v>2</v>
      </c>
      <c r="E4" s="170">
        <v>1</v>
      </c>
      <c r="F4" s="170">
        <v>1</v>
      </c>
      <c r="G4" s="170">
        <v>0</v>
      </c>
      <c r="H4" s="170">
        <v>5</v>
      </c>
      <c r="I4" s="170">
        <v>0</v>
      </c>
      <c r="J4" s="170">
        <v>0</v>
      </c>
      <c r="K4" s="171">
        <v>0</v>
      </c>
      <c r="L4" s="172"/>
    </row>
    <row r="5" spans="1:16" x14ac:dyDescent="0.2">
      <c r="A5" s="494"/>
      <c r="B5" s="169" t="s">
        <v>896</v>
      </c>
      <c r="C5" s="170">
        <v>18</v>
      </c>
      <c r="D5" s="170">
        <v>0</v>
      </c>
      <c r="E5" s="170">
        <v>0</v>
      </c>
      <c r="F5" s="170">
        <v>0</v>
      </c>
      <c r="G5" s="170">
        <v>0</v>
      </c>
      <c r="H5" s="170">
        <v>5</v>
      </c>
      <c r="I5" s="170">
        <v>0</v>
      </c>
      <c r="J5" s="170">
        <v>0</v>
      </c>
      <c r="K5" s="171">
        <v>0</v>
      </c>
      <c r="L5" s="172"/>
    </row>
    <row r="6" spans="1:16" x14ac:dyDescent="0.2">
      <c r="A6" s="494"/>
      <c r="B6" s="169" t="s">
        <v>897</v>
      </c>
      <c r="C6" s="170">
        <v>15</v>
      </c>
      <c r="D6" s="170">
        <v>0</v>
      </c>
      <c r="E6" s="170">
        <v>0</v>
      </c>
      <c r="F6" s="170">
        <v>0</v>
      </c>
      <c r="G6" s="170">
        <v>0</v>
      </c>
      <c r="H6" s="170">
        <v>2</v>
      </c>
      <c r="I6" s="170">
        <v>0</v>
      </c>
      <c r="J6" s="170">
        <v>0</v>
      </c>
      <c r="K6" s="171">
        <v>0</v>
      </c>
      <c r="L6" s="172"/>
    </row>
    <row r="7" spans="1:16" x14ac:dyDescent="0.2">
      <c r="A7" s="494" t="s">
        <v>898</v>
      </c>
      <c r="B7" s="169" t="s">
        <v>895</v>
      </c>
      <c r="C7" s="173">
        <v>8</v>
      </c>
      <c r="D7" s="173">
        <v>6</v>
      </c>
      <c r="E7" s="173">
        <v>3</v>
      </c>
      <c r="F7" s="173">
        <v>2</v>
      </c>
      <c r="G7" s="173">
        <v>0</v>
      </c>
      <c r="H7" s="173">
        <v>0</v>
      </c>
      <c r="I7" s="173">
        <v>2</v>
      </c>
      <c r="J7" s="173">
        <v>2</v>
      </c>
      <c r="K7" s="171">
        <v>1</v>
      </c>
    </row>
    <row r="8" spans="1:16" x14ac:dyDescent="0.2">
      <c r="A8" s="494"/>
      <c r="B8" s="169" t="s">
        <v>896</v>
      </c>
      <c r="C8" s="173">
        <v>7</v>
      </c>
      <c r="D8" s="173">
        <v>6</v>
      </c>
      <c r="E8" s="173">
        <v>2</v>
      </c>
      <c r="F8" s="173">
        <v>2</v>
      </c>
      <c r="G8" s="173">
        <v>0</v>
      </c>
      <c r="H8" s="173">
        <v>0</v>
      </c>
      <c r="I8" s="173">
        <v>2</v>
      </c>
      <c r="J8" s="173">
        <v>2</v>
      </c>
      <c r="K8" s="171">
        <v>1</v>
      </c>
    </row>
    <row r="9" spans="1:16" x14ac:dyDescent="0.2">
      <c r="A9" s="494"/>
      <c r="B9" s="169" t="s">
        <v>897</v>
      </c>
      <c r="C9" s="173">
        <v>4</v>
      </c>
      <c r="D9" s="173">
        <v>5</v>
      </c>
      <c r="E9" s="173">
        <v>2</v>
      </c>
      <c r="F9" s="173">
        <v>2</v>
      </c>
      <c r="G9" s="173">
        <v>0</v>
      </c>
      <c r="H9" s="173">
        <v>0</v>
      </c>
      <c r="I9" s="173">
        <v>2</v>
      </c>
      <c r="J9" s="173">
        <v>2</v>
      </c>
      <c r="K9" s="171">
        <v>1</v>
      </c>
    </row>
    <row r="10" spans="1:16" x14ac:dyDescent="0.2">
      <c r="A10" s="494" t="s">
        <v>899</v>
      </c>
      <c r="B10" s="169" t="s">
        <v>895</v>
      </c>
      <c r="C10" s="173">
        <v>12</v>
      </c>
      <c r="D10" s="173">
        <v>1</v>
      </c>
      <c r="E10" s="173">
        <v>0</v>
      </c>
      <c r="F10" s="173">
        <v>0</v>
      </c>
      <c r="G10" s="170">
        <v>1</v>
      </c>
      <c r="H10" s="173">
        <v>0</v>
      </c>
      <c r="I10" s="173">
        <v>0</v>
      </c>
      <c r="J10" s="173">
        <v>0</v>
      </c>
      <c r="K10" s="174">
        <v>0</v>
      </c>
      <c r="M10" s="165" t="s">
        <v>900</v>
      </c>
    </row>
    <row r="11" spans="1:16" x14ac:dyDescent="0.2">
      <c r="A11" s="494"/>
      <c r="B11" s="169" t="s">
        <v>896</v>
      </c>
      <c r="C11" s="173">
        <v>11</v>
      </c>
      <c r="D11" s="173">
        <v>1</v>
      </c>
      <c r="E11" s="173">
        <v>0</v>
      </c>
      <c r="F11" s="173">
        <v>0</v>
      </c>
      <c r="G11" s="170">
        <v>1</v>
      </c>
      <c r="H11" s="173">
        <v>0</v>
      </c>
      <c r="I11" s="173">
        <v>0</v>
      </c>
      <c r="J11" s="173">
        <v>0</v>
      </c>
      <c r="K11" s="174">
        <v>0</v>
      </c>
    </row>
    <row r="12" spans="1:16" x14ac:dyDescent="0.2">
      <c r="A12" s="494"/>
      <c r="B12" s="169" t="s">
        <v>897</v>
      </c>
      <c r="C12" s="173">
        <v>2</v>
      </c>
      <c r="D12" s="173">
        <v>1</v>
      </c>
      <c r="E12" s="173">
        <v>0</v>
      </c>
      <c r="F12" s="173">
        <v>0</v>
      </c>
      <c r="G12" s="173">
        <v>1</v>
      </c>
      <c r="H12" s="173">
        <v>0</v>
      </c>
      <c r="I12" s="173">
        <v>0</v>
      </c>
      <c r="J12" s="173">
        <v>0</v>
      </c>
      <c r="K12" s="171">
        <v>0</v>
      </c>
    </row>
    <row r="13" spans="1:16" x14ac:dyDescent="0.2">
      <c r="A13" s="486" t="s">
        <v>227</v>
      </c>
      <c r="B13" s="175" t="s">
        <v>895</v>
      </c>
      <c r="C13" s="173">
        <v>3</v>
      </c>
      <c r="D13" s="173">
        <v>1</v>
      </c>
      <c r="E13" s="173">
        <v>2</v>
      </c>
      <c r="F13" s="173">
        <v>1</v>
      </c>
      <c r="G13" s="173">
        <v>0</v>
      </c>
      <c r="H13" s="173">
        <v>0</v>
      </c>
      <c r="I13" s="173">
        <v>0</v>
      </c>
      <c r="J13" s="173">
        <v>0</v>
      </c>
      <c r="K13" s="171">
        <v>0</v>
      </c>
      <c r="P13" s="165" t="s">
        <v>900</v>
      </c>
    </row>
    <row r="14" spans="1:16" ht="15" customHeight="1" x14ac:dyDescent="0.2">
      <c r="A14" s="486"/>
      <c r="B14" s="175" t="s">
        <v>896</v>
      </c>
      <c r="C14" s="173">
        <v>3</v>
      </c>
      <c r="D14" s="173">
        <v>1</v>
      </c>
      <c r="E14" s="173">
        <v>2</v>
      </c>
      <c r="F14" s="173">
        <v>1</v>
      </c>
      <c r="G14" s="173">
        <v>0</v>
      </c>
      <c r="H14" s="173">
        <v>0</v>
      </c>
      <c r="I14" s="173">
        <v>0</v>
      </c>
      <c r="J14" s="173">
        <v>0</v>
      </c>
      <c r="K14" s="171">
        <v>0</v>
      </c>
    </row>
    <row r="15" spans="1:16" ht="15.75" customHeight="1" x14ac:dyDescent="0.2">
      <c r="A15" s="486"/>
      <c r="B15" s="175" t="s">
        <v>897</v>
      </c>
      <c r="C15" s="173">
        <v>2</v>
      </c>
      <c r="D15" s="173">
        <v>1</v>
      </c>
      <c r="E15" s="173">
        <v>2</v>
      </c>
      <c r="F15" s="173">
        <v>0</v>
      </c>
      <c r="G15" s="173">
        <v>0</v>
      </c>
      <c r="H15" s="173">
        <v>0</v>
      </c>
      <c r="I15" s="173">
        <v>0</v>
      </c>
      <c r="J15" s="173">
        <v>0</v>
      </c>
      <c r="K15" s="171">
        <v>0</v>
      </c>
      <c r="N15" s="165" t="s">
        <v>900</v>
      </c>
    </row>
    <row r="16" spans="1:16" ht="15.75" customHeight="1" x14ac:dyDescent="0.2">
      <c r="A16" s="486" t="s">
        <v>228</v>
      </c>
      <c r="B16" s="175" t="s">
        <v>895</v>
      </c>
      <c r="C16" s="173">
        <v>0</v>
      </c>
      <c r="D16" s="173">
        <v>1</v>
      </c>
      <c r="E16" s="173">
        <v>2</v>
      </c>
      <c r="F16" s="173">
        <v>1</v>
      </c>
      <c r="G16" s="173">
        <v>0</v>
      </c>
      <c r="H16" s="173">
        <v>0</v>
      </c>
      <c r="I16" s="173">
        <v>0</v>
      </c>
      <c r="J16" s="173">
        <v>0</v>
      </c>
      <c r="K16" s="171">
        <v>0</v>
      </c>
    </row>
    <row r="17" spans="1:13" ht="15.75" customHeight="1" x14ac:dyDescent="0.2">
      <c r="A17" s="486"/>
      <c r="B17" s="175" t="s">
        <v>896</v>
      </c>
      <c r="C17" s="173">
        <v>0</v>
      </c>
      <c r="D17" s="173">
        <v>0</v>
      </c>
      <c r="E17" s="173">
        <v>2</v>
      </c>
      <c r="F17" s="173">
        <v>1</v>
      </c>
      <c r="G17" s="173">
        <v>0</v>
      </c>
      <c r="H17" s="173">
        <v>0</v>
      </c>
      <c r="I17" s="173">
        <v>0</v>
      </c>
      <c r="J17" s="173">
        <v>0</v>
      </c>
      <c r="K17" s="171">
        <v>0</v>
      </c>
    </row>
    <row r="18" spans="1:13" ht="15.75" customHeight="1" thickBot="1" x14ac:dyDescent="0.25">
      <c r="A18" s="487"/>
      <c r="B18" s="176" t="s">
        <v>897</v>
      </c>
      <c r="C18" s="177">
        <v>0</v>
      </c>
      <c r="D18" s="177">
        <v>0</v>
      </c>
      <c r="E18" s="177">
        <v>2</v>
      </c>
      <c r="F18" s="177">
        <v>1</v>
      </c>
      <c r="G18" s="177">
        <v>0</v>
      </c>
      <c r="H18" s="177">
        <v>0</v>
      </c>
      <c r="I18" s="177">
        <v>0</v>
      </c>
      <c r="J18" s="177">
        <v>0</v>
      </c>
      <c r="K18" s="178">
        <v>0</v>
      </c>
    </row>
    <row r="19" spans="1:13" ht="15" customHeight="1" x14ac:dyDescent="0.2">
      <c r="A19" s="179" t="s">
        <v>901</v>
      </c>
      <c r="B19" s="180"/>
      <c r="C19" s="180"/>
      <c r="D19" s="180"/>
      <c r="E19" s="181"/>
      <c r="F19" s="181"/>
      <c r="G19" s="181"/>
      <c r="H19" s="181"/>
      <c r="I19" s="181"/>
      <c r="J19" s="181"/>
      <c r="M19" s="165" t="s">
        <v>900</v>
      </c>
    </row>
    <row r="20" spans="1:13" ht="15" customHeight="1" x14ac:dyDescent="0.2">
      <c r="B20" s="181"/>
      <c r="C20" s="181"/>
      <c r="D20" s="181"/>
      <c r="E20" s="181"/>
      <c r="F20" s="181"/>
      <c r="G20" s="181"/>
      <c r="H20" s="181"/>
      <c r="I20" s="181"/>
      <c r="J20" s="181"/>
    </row>
    <row r="29" spans="1:13" x14ac:dyDescent="0.2">
      <c r="E29" s="165" t="s">
        <v>900</v>
      </c>
    </row>
  </sheetData>
  <mergeCells count="9">
    <mergeCell ref="A16:A18"/>
    <mergeCell ref="A2:A3"/>
    <mergeCell ref="B2:B3"/>
    <mergeCell ref="C2:G2"/>
    <mergeCell ref="H2:K2"/>
    <mergeCell ref="A4:A6"/>
    <mergeCell ref="A7:A9"/>
    <mergeCell ref="A10:A12"/>
    <mergeCell ref="A13:A15"/>
  </mergeCells>
  <pageMargins left="0.7" right="0.7" top="0.75" bottom="0.75" header="0.3" footer="0.3"/>
  <pageSetup scale="85"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K9"/>
  <sheetViews>
    <sheetView workbookViewId="0">
      <selection activeCell="C42" sqref="C42:C43"/>
    </sheetView>
  </sheetViews>
  <sheetFormatPr defaultRowHeight="12.75" x14ac:dyDescent="0.2"/>
  <cols>
    <col min="1" max="2" width="9" style="183" customWidth="1"/>
    <col min="3" max="5" width="10" style="183" customWidth="1"/>
    <col min="6" max="16384" width="9.140625" style="183"/>
  </cols>
  <sheetData>
    <row r="1" spans="1:11" s="182" customFormat="1" ht="15" customHeight="1" thickBot="1" x14ac:dyDescent="0.3">
      <c r="A1" s="495" t="s">
        <v>1060</v>
      </c>
      <c r="B1" s="495"/>
      <c r="C1" s="495"/>
      <c r="D1" s="495"/>
      <c r="E1" s="495"/>
      <c r="F1" s="495"/>
      <c r="G1" s="495"/>
      <c r="H1" s="495"/>
      <c r="I1" s="495"/>
    </row>
    <row r="2" spans="1:11" ht="16.5" customHeight="1" x14ac:dyDescent="0.2">
      <c r="A2" s="496" t="s">
        <v>659</v>
      </c>
      <c r="B2" s="498" t="s">
        <v>902</v>
      </c>
      <c r="C2" s="499"/>
      <c r="D2" s="499"/>
      <c r="E2" s="500"/>
      <c r="F2" s="498" t="s">
        <v>903</v>
      </c>
      <c r="G2" s="499"/>
      <c r="H2" s="499"/>
      <c r="I2" s="500"/>
    </row>
    <row r="3" spans="1:11" ht="15.75" customHeight="1" x14ac:dyDescent="0.2">
      <c r="A3" s="497"/>
      <c r="B3" s="184" t="s">
        <v>904</v>
      </c>
      <c r="C3" s="185" t="s">
        <v>265</v>
      </c>
      <c r="D3" s="185" t="s">
        <v>266</v>
      </c>
      <c r="E3" s="186" t="s">
        <v>267</v>
      </c>
      <c r="F3" s="184" t="s">
        <v>904</v>
      </c>
      <c r="G3" s="185" t="s">
        <v>265</v>
      </c>
      <c r="H3" s="185" t="s">
        <v>266</v>
      </c>
      <c r="I3" s="186" t="s">
        <v>267</v>
      </c>
    </row>
    <row r="4" spans="1:11" s="191" customFormat="1" x14ac:dyDescent="0.2">
      <c r="A4" s="187" t="s">
        <v>61</v>
      </c>
      <c r="B4" s="188">
        <v>3662.99</v>
      </c>
      <c r="C4" s="188">
        <v>4172</v>
      </c>
      <c r="D4" s="188">
        <v>3312</v>
      </c>
      <c r="E4" s="188">
        <v>3739</v>
      </c>
      <c r="F4" s="188">
        <v>3051.23</v>
      </c>
      <c r="G4" s="188">
        <v>3590</v>
      </c>
      <c r="H4" s="188">
        <v>2838</v>
      </c>
      <c r="I4" s="188">
        <v>3414</v>
      </c>
      <c r="J4" s="189"/>
      <c r="K4" s="190"/>
    </row>
    <row r="5" spans="1:11" s="191" customFormat="1" x14ac:dyDescent="0.2">
      <c r="A5" s="187" t="s">
        <v>62</v>
      </c>
      <c r="B5" s="188">
        <v>3742.4</v>
      </c>
      <c r="C5" s="188">
        <v>3839.61</v>
      </c>
      <c r="D5" s="188">
        <v>3742.4</v>
      </c>
      <c r="E5" s="188">
        <f>E6</f>
        <v>3769.31</v>
      </c>
      <c r="F5" s="188">
        <v>3450.3</v>
      </c>
      <c r="G5" s="188">
        <v>3604.18</v>
      </c>
      <c r="H5" s="188">
        <v>3450.33</v>
      </c>
      <c r="I5" s="188">
        <f>I6</f>
        <v>3500.82</v>
      </c>
      <c r="J5" s="189"/>
      <c r="K5" s="190"/>
    </row>
    <row r="6" spans="1:11" x14ac:dyDescent="0.2">
      <c r="A6" s="192">
        <v>43556</v>
      </c>
      <c r="B6" s="193">
        <v>3742.4</v>
      </c>
      <c r="C6" s="193">
        <v>3839.61</v>
      </c>
      <c r="D6" s="193">
        <v>3742.4</v>
      </c>
      <c r="E6" s="193">
        <v>3769.31</v>
      </c>
      <c r="F6" s="193">
        <v>3450.3</v>
      </c>
      <c r="G6" s="193">
        <v>3604.18</v>
      </c>
      <c r="H6" s="193">
        <v>3450.33</v>
      </c>
      <c r="I6" s="193">
        <v>3500.82</v>
      </c>
    </row>
    <row r="7" spans="1:11" x14ac:dyDescent="0.2">
      <c r="A7" s="183" t="str">
        <f>'[1]1'!A8</f>
        <v>$ indicates as on April 30, 2019</v>
      </c>
      <c r="B7" s="191"/>
      <c r="C7" s="191"/>
      <c r="D7" s="194"/>
      <c r="E7" s="194"/>
      <c r="F7" s="195"/>
      <c r="G7" s="195"/>
      <c r="H7" s="195"/>
      <c r="I7" s="195"/>
    </row>
    <row r="8" spans="1:11" s="191" customFormat="1" x14ac:dyDescent="0.2">
      <c r="A8" s="196" t="s">
        <v>905</v>
      </c>
      <c r="B8" s="197"/>
      <c r="C8" s="197"/>
      <c r="D8" s="195"/>
      <c r="E8" s="195" t="s">
        <v>900</v>
      </c>
      <c r="F8" s="195"/>
      <c r="G8" s="195"/>
      <c r="H8" s="195"/>
      <c r="I8" s="195"/>
    </row>
    <row r="9" spans="1:11" s="191" customFormat="1" x14ac:dyDescent="0.2">
      <c r="A9" s="195"/>
      <c r="B9" s="198"/>
      <c r="C9" s="195"/>
      <c r="D9" s="195"/>
      <c r="E9" s="195"/>
      <c r="F9" s="195"/>
      <c r="G9" s="195"/>
      <c r="H9" s="195"/>
      <c r="I9" s="195"/>
    </row>
  </sheetData>
  <mergeCells count="4">
    <mergeCell ref="A1:I1"/>
    <mergeCell ref="A2:A3"/>
    <mergeCell ref="B2:E2"/>
    <mergeCell ref="F2:I2"/>
  </mergeCell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R38"/>
  <sheetViews>
    <sheetView workbookViewId="0">
      <selection activeCell="C42" sqref="C42:C43"/>
    </sheetView>
  </sheetViews>
  <sheetFormatPr defaultRowHeight="12.75" x14ac:dyDescent="0.2"/>
  <cols>
    <col min="1" max="1" width="9.140625" style="183" customWidth="1"/>
    <col min="2" max="2" width="7.140625" style="183" customWidth="1"/>
    <col min="3" max="3" width="11.28515625" style="183" bestFit="1" customWidth="1"/>
    <col min="4" max="5" width="10" style="183" customWidth="1"/>
    <col min="6" max="6" width="9.5703125" style="183" customWidth="1"/>
    <col min="7" max="7" width="11.140625" style="183" customWidth="1"/>
    <col min="8" max="8" width="10.7109375" style="183" customWidth="1"/>
    <col min="9" max="9" width="9.5703125" style="183" customWidth="1"/>
    <col min="10" max="10" width="12.5703125" style="183" customWidth="1"/>
    <col min="11" max="11" width="7.5703125" style="183" customWidth="1"/>
    <col min="12" max="12" width="11.140625" style="183" customWidth="1"/>
    <col min="13" max="13" width="10.140625" style="183" customWidth="1"/>
    <col min="14" max="14" width="10.42578125" style="183" customWidth="1"/>
    <col min="15" max="15" width="10.42578125" style="209" customWidth="1"/>
    <col min="16" max="16" width="12.42578125" style="183" bestFit="1" customWidth="1"/>
    <col min="17" max="17" width="8.5703125" style="183" customWidth="1"/>
    <col min="18" max="18" width="9.140625" style="183"/>
    <col min="19" max="19" width="8.140625" style="183" bestFit="1" customWidth="1"/>
    <col min="20" max="16384" width="9.140625" style="183"/>
  </cols>
  <sheetData>
    <row r="1" spans="1:18" s="182" customFormat="1" ht="15" x14ac:dyDescent="0.25">
      <c r="A1" s="510" t="s">
        <v>1061</v>
      </c>
      <c r="B1" s="510"/>
      <c r="C1" s="510"/>
      <c r="D1" s="510"/>
      <c r="E1" s="510"/>
      <c r="F1" s="510"/>
      <c r="G1" s="510"/>
      <c r="H1" s="510"/>
      <c r="I1" s="510"/>
      <c r="J1" s="510"/>
      <c r="K1" s="510"/>
      <c r="L1" s="510"/>
      <c r="M1" s="510"/>
      <c r="N1" s="510"/>
      <c r="O1" s="510"/>
      <c r="P1" s="510"/>
      <c r="Q1" s="510"/>
    </row>
    <row r="2" spans="1:18" s="182" customFormat="1" ht="15" x14ac:dyDescent="0.25">
      <c r="A2" s="511" t="s">
        <v>906</v>
      </c>
      <c r="B2" s="511"/>
      <c r="C2" s="511"/>
      <c r="D2" s="511"/>
      <c r="E2" s="511"/>
      <c r="F2" s="511"/>
      <c r="G2" s="511"/>
      <c r="H2" s="511"/>
      <c r="I2" s="511"/>
      <c r="J2" s="511"/>
      <c r="K2" s="511"/>
      <c r="L2" s="511"/>
      <c r="M2" s="511"/>
      <c r="N2" s="511"/>
      <c r="O2" s="511"/>
      <c r="P2" s="511"/>
      <c r="Q2" s="511"/>
      <c r="R2" s="511"/>
    </row>
    <row r="3" spans="1:18" s="199" customFormat="1" ht="27.75" customHeight="1" x14ac:dyDescent="0.2">
      <c r="A3" s="508" t="s">
        <v>659</v>
      </c>
      <c r="B3" s="508" t="s">
        <v>907</v>
      </c>
      <c r="C3" s="512" t="s">
        <v>889</v>
      </c>
      <c r="D3" s="513"/>
      <c r="E3" s="514"/>
      <c r="F3" s="515" t="s">
        <v>908</v>
      </c>
      <c r="G3" s="515"/>
      <c r="H3" s="515"/>
      <c r="I3" s="515" t="s">
        <v>909</v>
      </c>
      <c r="J3" s="515"/>
      <c r="K3" s="515"/>
      <c r="L3" s="515" t="s">
        <v>910</v>
      </c>
      <c r="M3" s="515"/>
      <c r="N3" s="515"/>
      <c r="O3" s="516" t="s">
        <v>140</v>
      </c>
      <c r="P3" s="517"/>
      <c r="Q3" s="515" t="s">
        <v>911</v>
      </c>
      <c r="R3" s="515"/>
    </row>
    <row r="4" spans="1:18" s="199" customFormat="1" ht="60" customHeight="1" x14ac:dyDescent="0.2">
      <c r="A4" s="509"/>
      <c r="B4" s="509"/>
      <c r="C4" s="200" t="s">
        <v>912</v>
      </c>
      <c r="D4" s="200" t="s">
        <v>913</v>
      </c>
      <c r="E4" s="201" t="s">
        <v>914</v>
      </c>
      <c r="F4" s="200" t="s">
        <v>912</v>
      </c>
      <c r="G4" s="200" t="s">
        <v>913</v>
      </c>
      <c r="H4" s="200" t="s">
        <v>914</v>
      </c>
      <c r="I4" s="200" t="s">
        <v>912</v>
      </c>
      <c r="J4" s="200" t="s">
        <v>913</v>
      </c>
      <c r="K4" s="200" t="s">
        <v>914</v>
      </c>
      <c r="L4" s="200" t="s">
        <v>915</v>
      </c>
      <c r="M4" s="200" t="s">
        <v>913</v>
      </c>
      <c r="N4" s="200" t="s">
        <v>914</v>
      </c>
      <c r="O4" s="200" t="s">
        <v>913</v>
      </c>
      <c r="P4" s="200" t="s">
        <v>914</v>
      </c>
      <c r="Q4" s="201" t="s">
        <v>916</v>
      </c>
      <c r="R4" s="202" t="s">
        <v>917</v>
      </c>
    </row>
    <row r="5" spans="1:18" s="181" customFormat="1" x14ac:dyDescent="0.2">
      <c r="A5" s="203" t="s">
        <v>61</v>
      </c>
      <c r="B5" s="204">
        <v>257</v>
      </c>
      <c r="C5" s="204">
        <v>9662.0726899999991</v>
      </c>
      <c r="D5" s="204">
        <v>1828722</v>
      </c>
      <c r="E5" s="204">
        <v>101232.75622780001</v>
      </c>
      <c r="F5" s="204">
        <v>111474.84255</v>
      </c>
      <c r="G5" s="204">
        <v>78835865</v>
      </c>
      <c r="H5" s="204">
        <v>2525601.2266747495</v>
      </c>
      <c r="I5" s="204">
        <v>168.65427792800003</v>
      </c>
      <c r="J5" s="204">
        <v>28837833</v>
      </c>
      <c r="K5" s="204">
        <v>1513817.2792994003</v>
      </c>
      <c r="L5" s="204">
        <v>671698.23484194512</v>
      </c>
      <c r="M5" s="204">
        <v>136946607</v>
      </c>
      <c r="N5" s="204">
        <v>2450777.1105934996</v>
      </c>
      <c r="O5" s="204">
        <v>246449027</v>
      </c>
      <c r="P5" s="204">
        <v>6591428.3727954486</v>
      </c>
      <c r="Q5" s="204">
        <v>313641</v>
      </c>
      <c r="R5" s="204">
        <v>14243.598900749999</v>
      </c>
    </row>
    <row r="6" spans="1:18" s="181" customFormat="1" x14ac:dyDescent="0.2">
      <c r="A6" s="203" t="s">
        <v>62</v>
      </c>
      <c r="B6" s="204">
        <v>20</v>
      </c>
      <c r="C6" s="204">
        <v>991.38808999999969</v>
      </c>
      <c r="D6" s="204">
        <v>196632</v>
      </c>
      <c r="E6" s="204">
        <v>10805.720484200001</v>
      </c>
      <c r="F6" s="204">
        <v>7029.8468499999972</v>
      </c>
      <c r="G6" s="204">
        <v>5565142</v>
      </c>
      <c r="H6" s="204">
        <v>172972.51855400001</v>
      </c>
      <c r="I6" s="204">
        <v>15.129268015000001</v>
      </c>
      <c r="J6" s="204">
        <v>2516285</v>
      </c>
      <c r="K6" s="204">
        <v>129663.01232870005</v>
      </c>
      <c r="L6" s="204">
        <v>62102.356971425492</v>
      </c>
      <c r="M6" s="204">
        <v>12417788</v>
      </c>
      <c r="N6" s="204">
        <v>213671.81312250005</v>
      </c>
      <c r="O6" s="204">
        <v>20695847</v>
      </c>
      <c r="P6" s="204">
        <v>527113.06448940013</v>
      </c>
      <c r="Q6" s="204">
        <v>318726</v>
      </c>
      <c r="R6" s="204">
        <f>R7</f>
        <v>13840.07858885</v>
      </c>
    </row>
    <row r="7" spans="1:18" s="191" customFormat="1" x14ac:dyDescent="0.2">
      <c r="A7" s="205">
        <v>43556</v>
      </c>
      <c r="B7" s="206">
        <v>20</v>
      </c>
      <c r="C7" s="206">
        <v>991.38808999999969</v>
      </c>
      <c r="D7" s="206">
        <v>196632</v>
      </c>
      <c r="E7" s="207">
        <v>10805.720484200001</v>
      </c>
      <c r="F7" s="206">
        <v>7029.8468499999972</v>
      </c>
      <c r="G7" s="206">
        <v>5565142</v>
      </c>
      <c r="H7" s="206">
        <v>172972.51855400001</v>
      </c>
      <c r="I7" s="206">
        <v>15.129268015000001</v>
      </c>
      <c r="J7" s="206">
        <v>2516285</v>
      </c>
      <c r="K7" s="206">
        <v>129663.01232870005</v>
      </c>
      <c r="L7" s="206">
        <v>62102.356971425492</v>
      </c>
      <c r="M7" s="206">
        <v>12417788</v>
      </c>
      <c r="N7" s="206">
        <v>213671.81312250005</v>
      </c>
      <c r="O7" s="206">
        <v>20695847</v>
      </c>
      <c r="P7" s="206">
        <v>527113.06448940013</v>
      </c>
      <c r="Q7" s="206">
        <v>318726</v>
      </c>
      <c r="R7" s="206">
        <v>13840.07858885</v>
      </c>
    </row>
    <row r="8" spans="1:18" x14ac:dyDescent="0.2">
      <c r="A8" s="503" t="s">
        <v>918</v>
      </c>
      <c r="B8" s="503"/>
      <c r="C8" s="503"/>
      <c r="D8" s="503"/>
      <c r="E8" s="503"/>
      <c r="F8" s="503"/>
      <c r="G8" s="503"/>
      <c r="H8" s="503"/>
      <c r="I8" s="503"/>
      <c r="J8" s="503"/>
      <c r="K8" s="503"/>
      <c r="L8" s="503"/>
      <c r="M8" s="503"/>
      <c r="N8" s="503"/>
      <c r="O8" s="503"/>
      <c r="P8" s="503"/>
      <c r="Q8" s="503"/>
      <c r="R8" s="503"/>
    </row>
    <row r="9" spans="1:18" ht="24" customHeight="1" x14ac:dyDescent="0.2">
      <c r="A9" s="504" t="s">
        <v>919</v>
      </c>
      <c r="B9" s="504" t="s">
        <v>907</v>
      </c>
      <c r="C9" s="505" t="s">
        <v>908</v>
      </c>
      <c r="D9" s="505"/>
      <c r="E9" s="505"/>
      <c r="F9" s="505"/>
      <c r="G9" s="505" t="s">
        <v>909</v>
      </c>
      <c r="H9" s="505"/>
      <c r="I9" s="505"/>
      <c r="J9" s="505"/>
      <c r="K9" s="505" t="s">
        <v>910</v>
      </c>
      <c r="L9" s="505"/>
      <c r="M9" s="505"/>
      <c r="N9" s="505"/>
      <c r="O9" s="505" t="s">
        <v>140</v>
      </c>
      <c r="P9" s="505"/>
      <c r="Q9" s="505" t="s">
        <v>911</v>
      </c>
      <c r="R9" s="505"/>
    </row>
    <row r="10" spans="1:18" x14ac:dyDescent="0.2">
      <c r="A10" s="504"/>
      <c r="B10" s="504"/>
      <c r="C10" s="502" t="s">
        <v>920</v>
      </c>
      <c r="D10" s="502"/>
      <c r="E10" s="502" t="s">
        <v>921</v>
      </c>
      <c r="F10" s="502"/>
      <c r="G10" s="502" t="s">
        <v>920</v>
      </c>
      <c r="H10" s="502"/>
      <c r="I10" s="502" t="s">
        <v>921</v>
      </c>
      <c r="J10" s="502"/>
      <c r="K10" s="502" t="s">
        <v>920</v>
      </c>
      <c r="L10" s="502"/>
      <c r="M10" s="502" t="s">
        <v>921</v>
      </c>
      <c r="N10" s="502"/>
      <c r="O10" s="506" t="s">
        <v>916</v>
      </c>
      <c r="P10" s="508" t="s">
        <v>922</v>
      </c>
      <c r="Q10" s="506" t="s">
        <v>916</v>
      </c>
      <c r="R10" s="506" t="s">
        <v>923</v>
      </c>
    </row>
    <row r="11" spans="1:18" ht="38.25" x14ac:dyDescent="0.2">
      <c r="A11" s="504"/>
      <c r="B11" s="504"/>
      <c r="C11" s="208" t="s">
        <v>916</v>
      </c>
      <c r="D11" s="201" t="s">
        <v>914</v>
      </c>
      <c r="E11" s="208" t="s">
        <v>916</v>
      </c>
      <c r="F11" s="201" t="s">
        <v>914</v>
      </c>
      <c r="G11" s="208" t="s">
        <v>916</v>
      </c>
      <c r="H11" s="201" t="s">
        <v>914</v>
      </c>
      <c r="I11" s="208" t="s">
        <v>916</v>
      </c>
      <c r="J11" s="201" t="s">
        <v>914</v>
      </c>
      <c r="K11" s="208" t="s">
        <v>916</v>
      </c>
      <c r="L11" s="201" t="s">
        <v>914</v>
      </c>
      <c r="M11" s="208" t="s">
        <v>916</v>
      </c>
      <c r="N11" s="201" t="s">
        <v>914</v>
      </c>
      <c r="O11" s="507"/>
      <c r="P11" s="509"/>
      <c r="Q11" s="507"/>
      <c r="R11" s="507"/>
    </row>
    <row r="12" spans="1:18" x14ac:dyDescent="0.2">
      <c r="A12" s="203" t="s">
        <v>61</v>
      </c>
      <c r="B12" s="204">
        <v>257</v>
      </c>
      <c r="C12" s="204">
        <v>69152</v>
      </c>
      <c r="D12" s="204">
        <v>3701.0512629999998</v>
      </c>
      <c r="E12" s="204">
        <v>54509</v>
      </c>
      <c r="F12" s="204">
        <v>2791.6585439999999</v>
      </c>
      <c r="G12" s="204">
        <v>265487</v>
      </c>
      <c r="H12" s="204">
        <v>75209.556406000018</v>
      </c>
      <c r="I12" s="204">
        <v>207148</v>
      </c>
      <c r="J12" s="204">
        <v>60490.499556499999</v>
      </c>
      <c r="K12" s="204">
        <v>480193</v>
      </c>
      <c r="L12" s="204">
        <v>20896.828280000002</v>
      </c>
      <c r="M12" s="204">
        <v>418758</v>
      </c>
      <c r="N12" s="204">
        <v>17854.905913999999</v>
      </c>
      <c r="O12" s="204">
        <v>1495517</v>
      </c>
      <c r="P12" s="204">
        <v>180944.49896349999</v>
      </c>
      <c r="Q12" s="204">
        <v>9471</v>
      </c>
      <c r="R12" s="204">
        <v>802.06000000000006</v>
      </c>
    </row>
    <row r="13" spans="1:18" x14ac:dyDescent="0.2">
      <c r="A13" s="203" t="s">
        <v>62</v>
      </c>
      <c r="B13" s="204">
        <v>20</v>
      </c>
      <c r="C13" s="204">
        <v>4633</v>
      </c>
      <c r="D13" s="204">
        <v>324.85000000000002</v>
      </c>
      <c r="E13" s="204">
        <v>5480</v>
      </c>
      <c r="F13" s="204">
        <v>417.91999999999996</v>
      </c>
      <c r="G13" s="204">
        <v>11545</v>
      </c>
      <c r="H13" s="204">
        <v>2283.17</v>
      </c>
      <c r="I13" s="204">
        <v>6547</v>
      </c>
      <c r="J13" s="204">
        <v>1510.86</v>
      </c>
      <c r="K13" s="204">
        <v>42154</v>
      </c>
      <c r="L13" s="204">
        <v>1919.28</v>
      </c>
      <c r="M13" s="204">
        <v>51136</v>
      </c>
      <c r="N13" s="204">
        <v>2229.16</v>
      </c>
      <c r="O13" s="204">
        <v>121495</v>
      </c>
      <c r="P13" s="204">
        <v>8685.25</v>
      </c>
      <c r="Q13" s="204">
        <v>6962</v>
      </c>
      <c r="R13" s="204">
        <f>R14</f>
        <v>907.8</v>
      </c>
    </row>
    <row r="14" spans="1:18" x14ac:dyDescent="0.2">
      <c r="A14" s="205">
        <v>43556</v>
      </c>
      <c r="B14" s="206">
        <v>20</v>
      </c>
      <c r="C14" s="206">
        <v>4633</v>
      </c>
      <c r="D14" s="206">
        <v>324.85000000000002</v>
      </c>
      <c r="E14" s="206">
        <v>5480</v>
      </c>
      <c r="F14" s="206">
        <v>417.91999999999996</v>
      </c>
      <c r="G14" s="206">
        <v>11545</v>
      </c>
      <c r="H14" s="206">
        <v>2283.17</v>
      </c>
      <c r="I14" s="206">
        <v>6547</v>
      </c>
      <c r="J14" s="206">
        <v>1510.86</v>
      </c>
      <c r="K14" s="206">
        <v>42154</v>
      </c>
      <c r="L14" s="206">
        <v>1919.28</v>
      </c>
      <c r="M14" s="206">
        <v>51136</v>
      </c>
      <c r="N14" s="206">
        <v>2229.16</v>
      </c>
      <c r="O14" s="206">
        <v>121495</v>
      </c>
      <c r="P14" s="206">
        <v>8685.25</v>
      </c>
      <c r="Q14" s="206">
        <v>6962</v>
      </c>
      <c r="R14" s="206">
        <v>907.8</v>
      </c>
    </row>
    <row r="15" spans="1:18" x14ac:dyDescent="0.2">
      <c r="A15" s="183" t="str">
        <f>'[1]1'!A8</f>
        <v>$ indicates as on April 30, 2019</v>
      </c>
    </row>
    <row r="16" spans="1:18" x14ac:dyDescent="0.2">
      <c r="A16" s="183" t="s">
        <v>924</v>
      </c>
      <c r="I16" s="210"/>
      <c r="J16" s="211"/>
      <c r="K16" s="211"/>
      <c r="L16" s="211"/>
      <c r="M16" s="211"/>
      <c r="N16" s="211"/>
      <c r="O16" s="212"/>
      <c r="P16" s="211"/>
    </row>
    <row r="17" spans="1:16" x14ac:dyDescent="0.2">
      <c r="A17" s="501" t="s">
        <v>925</v>
      </c>
      <c r="B17" s="501"/>
      <c r="C17" s="501"/>
      <c r="D17" s="501"/>
      <c r="E17" s="501"/>
      <c r="F17" s="501"/>
      <c r="G17" s="501"/>
      <c r="H17" s="501"/>
      <c r="I17" s="501"/>
      <c r="J17" s="501"/>
      <c r="L17" s="211"/>
      <c r="N17" s="213"/>
      <c r="O17" s="213"/>
      <c r="P17" s="213"/>
    </row>
    <row r="22" spans="1:16" x14ac:dyDescent="0.2">
      <c r="B22" s="191" t="s">
        <v>926</v>
      </c>
    </row>
    <row r="23" spans="1:16" x14ac:dyDescent="0.2">
      <c r="B23" s="183" t="s">
        <v>927</v>
      </c>
      <c r="D23" s="183" t="s">
        <v>928</v>
      </c>
      <c r="E23" s="183" t="s">
        <v>929</v>
      </c>
      <c r="F23" s="183" t="s">
        <v>140</v>
      </c>
      <c r="H23" s="183" t="s">
        <v>930</v>
      </c>
      <c r="I23" s="183" t="s">
        <v>931</v>
      </c>
      <c r="J23" s="183" t="s">
        <v>932</v>
      </c>
      <c r="K23" s="183" t="s">
        <v>933</v>
      </c>
    </row>
    <row r="24" spans="1:16" x14ac:dyDescent="0.2">
      <c r="D24" s="211"/>
    </row>
    <row r="25" spans="1:16" x14ac:dyDescent="0.2">
      <c r="B25" s="183" t="s">
        <v>934</v>
      </c>
      <c r="C25" s="214"/>
      <c r="D25" s="214">
        <f>E5+'66'!E5+'67'!E4+'66'!I5+'66'!K5</f>
        <v>647592.87638710008</v>
      </c>
      <c r="E25" s="211">
        <f>P12+H5+K5+N5+'67'!K4+'67'!H4+'68'!P4+'69'!E4</f>
        <v>6730282.6443223506</v>
      </c>
      <c r="F25" s="215">
        <f>D25+E25</f>
        <v>7377875.5207094504</v>
      </c>
      <c r="H25" s="211">
        <f>P5+'66'!E5+'67'!M4+'68'!P4+'69'!E4</f>
        <v>7196756.2714759503</v>
      </c>
      <c r="I25" s="211">
        <f>P12+'66'!I5+'66'!K5</f>
        <v>181118.35896349998</v>
      </c>
      <c r="J25" s="216">
        <f>H25+I25</f>
        <v>7377874.63043945</v>
      </c>
      <c r="K25" s="214" t="b">
        <f>F25=J25</f>
        <v>0</v>
      </c>
      <c r="M25" s="217">
        <f>'71'!D27+'71'!D39+'72'!D21+'72'!D28+'73'!D16+'73'!D26+'73'!D37+0.51</f>
        <v>593509.21602140029</v>
      </c>
    </row>
    <row r="26" spans="1:16" x14ac:dyDescent="0.2">
      <c r="B26" s="205">
        <v>43191</v>
      </c>
      <c r="C26" s="214"/>
      <c r="D26" s="214">
        <f>E7+'66'!E7+'67'!E6+'66'!I7+'66'!K7</f>
        <v>58822.545109199978</v>
      </c>
      <c r="E26" s="211">
        <f>P14+H7+K7+N7+'67'!K6</f>
        <v>528669.95400520007</v>
      </c>
      <c r="F26" s="214">
        <f>D26+E26</f>
        <v>587492.49911440001</v>
      </c>
      <c r="H26" s="211">
        <f>P7+'66'!E7+'67'!M6</f>
        <v>579342.85911440011</v>
      </c>
      <c r="I26" s="211">
        <f>P14+'66'!I7+'66'!K7</f>
        <v>8686.0300000000007</v>
      </c>
      <c r="J26" s="211">
        <f>H26+I26</f>
        <v>588028.88911440014</v>
      </c>
      <c r="K26" s="214" t="b">
        <f t="shared" ref="K26:K33" si="0">F26=J26</f>
        <v>0</v>
      </c>
    </row>
    <row r="27" spans="1:16" x14ac:dyDescent="0.2">
      <c r="B27" s="205">
        <v>43221</v>
      </c>
      <c r="C27" s="214"/>
      <c r="D27" s="214" t="e">
        <f>#REF!+'66'!#REF!+'67'!#REF!+'66'!#REF!+'66'!#REF!</f>
        <v>#REF!</v>
      </c>
      <c r="E27" s="211" t="e">
        <f>#REF!+#REF!+#REF!+#REF!+'67'!#REF!</f>
        <v>#REF!</v>
      </c>
      <c r="F27" s="214" t="e">
        <f t="shared" ref="F27:F33" si="1">D27+E27</f>
        <v>#REF!</v>
      </c>
      <c r="H27" s="211" t="e">
        <f>#REF!+'66'!#REF!+'67'!#REF!</f>
        <v>#REF!</v>
      </c>
      <c r="I27" s="211" t="e">
        <f>#REF!+'66'!#REF!+'66'!#REF!</f>
        <v>#REF!</v>
      </c>
      <c r="J27" s="211" t="e">
        <f t="shared" ref="J27:J33" si="2">H27+I27</f>
        <v>#REF!</v>
      </c>
      <c r="K27" s="214" t="e">
        <f t="shared" si="0"/>
        <v>#REF!</v>
      </c>
    </row>
    <row r="28" spans="1:16" x14ac:dyDescent="0.2">
      <c r="B28" s="205">
        <v>43252</v>
      </c>
      <c r="C28" s="214"/>
      <c r="D28" s="214" t="e">
        <f>#REF!+'66'!#REF!+'67'!#REF!+'66'!#REF!+'66'!#REF!</f>
        <v>#REF!</v>
      </c>
      <c r="E28" s="211" t="e">
        <f>#REF!+#REF!+#REF!+#REF!+'67'!#REF!</f>
        <v>#REF!</v>
      </c>
      <c r="F28" s="214" t="e">
        <f t="shared" si="1"/>
        <v>#REF!</v>
      </c>
      <c r="H28" s="211" t="e">
        <f>#REF!+'66'!#REF!+'67'!#REF!</f>
        <v>#REF!</v>
      </c>
      <c r="I28" s="211" t="e">
        <f>#REF!+'66'!#REF!+'66'!#REF!</f>
        <v>#REF!</v>
      </c>
      <c r="J28" s="211" t="e">
        <f t="shared" si="2"/>
        <v>#REF!</v>
      </c>
      <c r="K28" s="214" t="e">
        <f t="shared" si="0"/>
        <v>#REF!</v>
      </c>
    </row>
    <row r="29" spans="1:16" x14ac:dyDescent="0.2">
      <c r="B29" s="205">
        <v>43282</v>
      </c>
      <c r="C29" s="214"/>
      <c r="D29" s="214" t="e">
        <f>#REF!+'66'!#REF!+'67'!#REF!+'66'!#REF!+'66'!#REF!</f>
        <v>#REF!</v>
      </c>
      <c r="E29" s="211" t="e">
        <f>#REF!+#REF!+#REF!+#REF!+'67'!#REF!</f>
        <v>#REF!</v>
      </c>
      <c r="F29" s="214" t="e">
        <f t="shared" si="1"/>
        <v>#REF!</v>
      </c>
      <c r="H29" s="211" t="e">
        <f>#REF!+'66'!#REF!+'67'!#REF!</f>
        <v>#REF!</v>
      </c>
      <c r="I29" s="211" t="e">
        <f>#REF!+'66'!#REF!+'66'!#REF!</f>
        <v>#REF!</v>
      </c>
      <c r="J29" s="211" t="e">
        <f t="shared" si="2"/>
        <v>#REF!</v>
      </c>
      <c r="K29" s="214" t="e">
        <f t="shared" si="0"/>
        <v>#REF!</v>
      </c>
    </row>
    <row r="30" spans="1:16" x14ac:dyDescent="0.2">
      <c r="B30" s="205">
        <v>43313</v>
      </c>
      <c r="C30" s="214"/>
      <c r="D30" s="214" t="e">
        <f>#REF!+'66'!#REF!+'67'!#REF!+'66'!#REF!+'66'!#REF!</f>
        <v>#REF!</v>
      </c>
      <c r="E30" s="211" t="e">
        <f>#REF!+#REF!+#REF!+#REF!+'67'!#REF!+'67'!#REF!</f>
        <v>#REF!</v>
      </c>
      <c r="F30" s="214" t="e">
        <f t="shared" si="1"/>
        <v>#REF!</v>
      </c>
      <c r="H30" s="211" t="e">
        <f>#REF!+'66'!#REF!+'67'!#REF!</f>
        <v>#REF!</v>
      </c>
      <c r="I30" s="211" t="e">
        <f>#REF!+'66'!#REF!+'66'!#REF!</f>
        <v>#REF!</v>
      </c>
      <c r="J30" s="211" t="e">
        <f t="shared" si="2"/>
        <v>#REF!</v>
      </c>
      <c r="K30" s="214" t="e">
        <f t="shared" si="0"/>
        <v>#REF!</v>
      </c>
    </row>
    <row r="31" spans="1:16" x14ac:dyDescent="0.2">
      <c r="B31" s="205">
        <v>43344</v>
      </c>
      <c r="C31" s="214"/>
      <c r="D31" s="214" t="e">
        <f>#REF!+'66'!#REF!+'67'!#REF!+'66'!#REF!+'66'!#REF!</f>
        <v>#REF!</v>
      </c>
      <c r="E31" s="211" t="e">
        <f>#REF!+#REF!+#REF!+#REF!+'67'!#REF!+'67'!#REF!+'68'!P4+'69'!E4</f>
        <v>#REF!</v>
      </c>
      <c r="F31" s="214" t="e">
        <f t="shared" si="1"/>
        <v>#REF!</v>
      </c>
      <c r="H31" s="211" t="e">
        <f>#REF!+'66'!#REF!+'67'!#REF!+'68'!P4+'69'!E4</f>
        <v>#REF!</v>
      </c>
      <c r="I31" s="211" t="e">
        <f>#REF!+'66'!#REF!+'66'!#REF!</f>
        <v>#REF!</v>
      </c>
      <c r="J31" s="211" t="e">
        <f t="shared" si="2"/>
        <v>#REF!</v>
      </c>
      <c r="K31" s="214" t="e">
        <f t="shared" si="0"/>
        <v>#REF!</v>
      </c>
    </row>
    <row r="32" spans="1:16" x14ac:dyDescent="0.2">
      <c r="B32" s="205">
        <v>43380</v>
      </c>
      <c r="C32" s="214"/>
      <c r="D32" s="214" t="e">
        <f>#REF!+'66'!#REF!+'67'!#REF!+'66'!#REF!+'66'!#REF!</f>
        <v>#REF!</v>
      </c>
      <c r="E32" s="211" t="e">
        <f>#REF!+#REF!+#REF!+#REF!+'67'!#REF!+'67'!#REF!+'68'!P6+'69'!E6</f>
        <v>#REF!</v>
      </c>
      <c r="F32" s="214" t="e">
        <f t="shared" si="1"/>
        <v>#REF!</v>
      </c>
      <c r="H32" s="211" t="e">
        <f>#REF!+'66'!#REF!+'67'!#REF!+'68'!P6+'69'!E6</f>
        <v>#REF!</v>
      </c>
      <c r="I32" s="211" t="e">
        <f>#REF!+'66'!#REF!+'66'!#REF!</f>
        <v>#REF!</v>
      </c>
      <c r="J32" s="211" t="e">
        <f t="shared" si="2"/>
        <v>#REF!</v>
      </c>
      <c r="K32" s="214" t="e">
        <f t="shared" si="0"/>
        <v>#REF!</v>
      </c>
    </row>
    <row r="33" spans="2:11" x14ac:dyDescent="0.2">
      <c r="B33" s="205">
        <v>43405</v>
      </c>
      <c r="C33" s="214"/>
      <c r="D33" s="214" t="e">
        <f>#REF!+'66'!#REF!+'67'!#REF!+'66'!#REF!+'66'!#REF!</f>
        <v>#REF!</v>
      </c>
      <c r="E33" s="211" t="e">
        <f>#REF!+#REF!+#REF!+#REF!+'67'!#REF!+'67'!#REF!+'68'!#REF!+'69'!#REF!</f>
        <v>#REF!</v>
      </c>
      <c r="F33" s="214" t="e">
        <f t="shared" si="1"/>
        <v>#REF!</v>
      </c>
      <c r="H33" s="211" t="e">
        <f>#REF!+'66'!#REF!+'67'!#REF!+'68'!#REF!+'69'!#REF!</f>
        <v>#REF!</v>
      </c>
      <c r="I33" s="211" t="e">
        <f>#REF!+'66'!#REF!+'66'!#REF!</f>
        <v>#REF!</v>
      </c>
      <c r="J33" s="211" t="e">
        <f t="shared" si="2"/>
        <v>#REF!</v>
      </c>
      <c r="K33" s="214" t="e">
        <f t="shared" si="0"/>
        <v>#REF!</v>
      </c>
    </row>
    <row r="34" spans="2:11" x14ac:dyDescent="0.2">
      <c r="H34" s="211"/>
      <c r="I34" s="211"/>
      <c r="J34" s="211"/>
    </row>
    <row r="36" spans="2:11" x14ac:dyDescent="0.2">
      <c r="D36" s="211"/>
    </row>
    <row r="38" spans="2:11" x14ac:dyDescent="0.2">
      <c r="D38" s="218"/>
    </row>
  </sheetData>
  <mergeCells count="31">
    <mergeCell ref="A1:H1"/>
    <mergeCell ref="I1:O1"/>
    <mergeCell ref="P1:Q1"/>
    <mergeCell ref="A2:R2"/>
    <mergeCell ref="A3:A4"/>
    <mergeCell ref="B3:B4"/>
    <mergeCell ref="C3:E3"/>
    <mergeCell ref="F3:H3"/>
    <mergeCell ref="I3:K3"/>
    <mergeCell ref="L3:N3"/>
    <mergeCell ref="O3:P3"/>
    <mergeCell ref="Q3:R3"/>
    <mergeCell ref="A8:R8"/>
    <mergeCell ref="A9:A11"/>
    <mergeCell ref="B9:B11"/>
    <mergeCell ref="C9:F9"/>
    <mergeCell ref="G9:J9"/>
    <mergeCell ref="K9:N9"/>
    <mergeCell ref="O9:P9"/>
    <mergeCell ref="Q9:R9"/>
    <mergeCell ref="O10:O11"/>
    <mergeCell ref="P10:P11"/>
    <mergeCell ref="Q10:Q11"/>
    <mergeCell ref="R10:R11"/>
    <mergeCell ref="K10:L10"/>
    <mergeCell ref="M10:N10"/>
    <mergeCell ref="A17:J17"/>
    <mergeCell ref="C10:D10"/>
    <mergeCell ref="E10:F10"/>
    <mergeCell ref="G10:H10"/>
    <mergeCell ref="I10:J10"/>
  </mergeCells>
  <pageMargins left="0.7" right="0.7" top="0.75" bottom="0.75" header="0.3" footer="0.3"/>
  <pageSetup scale="69" orientation="landscape"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M10"/>
  <sheetViews>
    <sheetView workbookViewId="0">
      <selection activeCell="C42" sqref="C42:C43"/>
    </sheetView>
  </sheetViews>
  <sheetFormatPr defaultRowHeight="12.75" x14ac:dyDescent="0.2"/>
  <cols>
    <col min="1" max="1" width="9.140625" style="183" customWidth="1"/>
    <col min="2" max="2" width="7.140625" style="183" customWidth="1"/>
    <col min="3" max="3" width="11.42578125" style="183" customWidth="1"/>
    <col min="4" max="4" width="14.140625" style="183" bestFit="1" customWidth="1"/>
    <col min="5" max="5" width="10.28515625" style="183" customWidth="1"/>
    <col min="6" max="6" width="8.7109375" style="183" customWidth="1"/>
    <col min="7" max="8" width="9.140625" style="183"/>
    <col min="9" max="9" width="9.5703125" style="183" bestFit="1" customWidth="1"/>
    <col min="10" max="16384" width="9.140625" style="183"/>
  </cols>
  <sheetData>
    <row r="1" spans="1:13" ht="15" x14ac:dyDescent="0.2">
      <c r="A1" s="495" t="s">
        <v>1062</v>
      </c>
      <c r="B1" s="495"/>
      <c r="C1" s="510"/>
      <c r="D1" s="510"/>
      <c r="E1" s="510"/>
      <c r="F1" s="510"/>
      <c r="G1" s="510"/>
    </row>
    <row r="2" spans="1:13" x14ac:dyDescent="0.2">
      <c r="A2" s="513" t="s">
        <v>659</v>
      </c>
      <c r="B2" s="515" t="s">
        <v>907</v>
      </c>
      <c r="C2" s="524" t="s">
        <v>906</v>
      </c>
      <c r="D2" s="524"/>
      <c r="E2" s="524"/>
      <c r="F2" s="524"/>
      <c r="G2" s="524"/>
      <c r="H2" s="524" t="s">
        <v>918</v>
      </c>
      <c r="I2" s="524"/>
      <c r="J2" s="524"/>
      <c r="K2" s="524"/>
      <c r="L2" s="524"/>
      <c r="M2" s="524"/>
    </row>
    <row r="3" spans="1:13" s="199" customFormat="1" ht="34.5" customHeight="1" x14ac:dyDescent="0.2">
      <c r="A3" s="522"/>
      <c r="B3" s="515"/>
      <c r="C3" s="515" t="s">
        <v>935</v>
      </c>
      <c r="D3" s="515" t="s">
        <v>913</v>
      </c>
      <c r="E3" s="515" t="s">
        <v>936</v>
      </c>
      <c r="F3" s="516" t="s">
        <v>911</v>
      </c>
      <c r="G3" s="517"/>
      <c r="H3" s="518" t="s">
        <v>937</v>
      </c>
      <c r="I3" s="519"/>
      <c r="J3" s="518" t="s">
        <v>938</v>
      </c>
      <c r="K3" s="519"/>
      <c r="L3" s="520" t="s">
        <v>939</v>
      </c>
      <c r="M3" s="521"/>
    </row>
    <row r="4" spans="1:13" s="199" customFormat="1" ht="41.25" customHeight="1" x14ac:dyDescent="0.2">
      <c r="A4" s="523"/>
      <c r="B4" s="515"/>
      <c r="C4" s="515"/>
      <c r="D4" s="515"/>
      <c r="E4" s="515"/>
      <c r="F4" s="219" t="s">
        <v>572</v>
      </c>
      <c r="G4" s="219" t="s">
        <v>917</v>
      </c>
      <c r="H4" s="208" t="s">
        <v>916</v>
      </c>
      <c r="I4" s="219" t="s">
        <v>914</v>
      </c>
      <c r="J4" s="208" t="s">
        <v>916</v>
      </c>
      <c r="K4" s="219" t="s">
        <v>936</v>
      </c>
      <c r="L4" s="220" t="s">
        <v>916</v>
      </c>
      <c r="M4" s="220" t="s">
        <v>940</v>
      </c>
    </row>
    <row r="5" spans="1:13" s="191" customFormat="1" x14ac:dyDescent="0.2">
      <c r="A5" s="221" t="s">
        <v>61</v>
      </c>
      <c r="B5" s="223">
        <v>248</v>
      </c>
      <c r="C5" s="223">
        <v>120124.91900000004</v>
      </c>
      <c r="D5" s="223">
        <v>14005485</v>
      </c>
      <c r="E5" s="223">
        <v>531414.09615000011</v>
      </c>
      <c r="F5" s="224">
        <v>128338.5</v>
      </c>
      <c r="G5" s="224">
        <v>5328.3399999999992</v>
      </c>
      <c r="H5" s="224">
        <v>3646</v>
      </c>
      <c r="I5" s="225">
        <v>159.9</v>
      </c>
      <c r="J5" s="225">
        <v>328</v>
      </c>
      <c r="K5" s="225">
        <v>13.959999999999999</v>
      </c>
      <c r="L5" s="225">
        <v>6</v>
      </c>
      <c r="M5" s="226">
        <v>0.27</v>
      </c>
    </row>
    <row r="6" spans="1:13" s="191" customFormat="1" x14ac:dyDescent="0.2">
      <c r="A6" s="221" t="s">
        <v>62</v>
      </c>
      <c r="B6" s="223">
        <v>19</v>
      </c>
      <c r="C6" s="223">
        <v>9826.4570000000003</v>
      </c>
      <c r="D6" s="223">
        <v>1294409</v>
      </c>
      <c r="E6" s="223">
        <v>47775.984624999983</v>
      </c>
      <c r="F6" s="224">
        <v>135463</v>
      </c>
      <c r="G6" s="224">
        <f>G7</f>
        <v>5988.3100000000013</v>
      </c>
      <c r="H6" s="224">
        <v>17</v>
      </c>
      <c r="I6" s="224">
        <v>0.78</v>
      </c>
      <c r="J6" s="224">
        <v>0</v>
      </c>
      <c r="K6" s="224">
        <v>0</v>
      </c>
      <c r="L6" s="224">
        <v>6</v>
      </c>
      <c r="M6" s="227">
        <f>M7</f>
        <v>0.27</v>
      </c>
    </row>
    <row r="7" spans="1:13" x14ac:dyDescent="0.2">
      <c r="A7" s="205">
        <v>43556</v>
      </c>
      <c r="B7" s="228">
        <v>19</v>
      </c>
      <c r="C7" s="228">
        <v>9826.4570000000003</v>
      </c>
      <c r="D7" s="228">
        <v>1294409</v>
      </c>
      <c r="E7" s="228">
        <v>47775.984624999983</v>
      </c>
      <c r="F7" s="229">
        <v>135463</v>
      </c>
      <c r="G7" s="229">
        <v>5988.3100000000013</v>
      </c>
      <c r="H7" s="229">
        <v>17</v>
      </c>
      <c r="I7" s="230">
        <v>0.78</v>
      </c>
      <c r="J7" s="229">
        <v>0</v>
      </c>
      <c r="K7" s="230">
        <v>0</v>
      </c>
      <c r="L7" s="229">
        <v>6</v>
      </c>
      <c r="M7" s="231">
        <v>0.27</v>
      </c>
    </row>
    <row r="8" spans="1:13" ht="15" x14ac:dyDescent="0.25">
      <c r="A8" s="183" t="str">
        <f>'[1]1'!A8</f>
        <v>$ indicates as on April 30, 2019</v>
      </c>
      <c r="B8" s="191"/>
      <c r="C8" s="232"/>
      <c r="D8" s="233"/>
      <c r="E8" s="234"/>
      <c r="F8" s="234"/>
      <c r="G8" s="234"/>
      <c r="I8" s="235"/>
      <c r="J8" s="236"/>
    </row>
    <row r="9" spans="1:13" x14ac:dyDescent="0.2">
      <c r="A9" s="237" t="s">
        <v>941</v>
      </c>
      <c r="C9" s="197"/>
      <c r="F9" s="214"/>
      <c r="G9" s="211"/>
      <c r="H9" s="209"/>
      <c r="I9" s="238"/>
      <c r="J9" s="209"/>
    </row>
    <row r="10" spans="1:13" ht="15" x14ac:dyDescent="0.25">
      <c r="A10" s="237"/>
      <c r="B10" s="237"/>
      <c r="C10" s="237"/>
      <c r="D10" s="239"/>
      <c r="E10" s="239"/>
      <c r="F10" s="239"/>
      <c r="G10" s="239"/>
      <c r="H10" s="239"/>
      <c r="I10" s="239"/>
      <c r="J10" s="239"/>
    </row>
  </sheetData>
  <mergeCells count="13">
    <mergeCell ref="H3:I3"/>
    <mergeCell ref="J3:K3"/>
    <mergeCell ref="L3:M3"/>
    <mergeCell ref="A1:E1"/>
    <mergeCell ref="F1:G1"/>
    <mergeCell ref="A2:A4"/>
    <mergeCell ref="B2:B4"/>
    <mergeCell ref="C2:G2"/>
    <mergeCell ref="H2:M2"/>
    <mergeCell ref="C3:C4"/>
    <mergeCell ref="D3:D4"/>
    <mergeCell ref="E3:E4"/>
    <mergeCell ref="F3:G3"/>
  </mergeCells>
  <pageMargins left="0.7" right="0.7" top="0.75" bottom="0.75" header="0.3" footer="0.3"/>
  <pageSetup scale="99"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O11"/>
  <sheetViews>
    <sheetView workbookViewId="0">
      <selection activeCell="C42" sqref="C42:C43"/>
    </sheetView>
  </sheetViews>
  <sheetFormatPr defaultRowHeight="15" x14ac:dyDescent="0.25"/>
  <cols>
    <col min="1" max="2" width="9.140625" style="239"/>
    <col min="3" max="3" width="10.5703125" style="239" bestFit="1" customWidth="1"/>
    <col min="4" max="4" width="9.28515625" style="239" bestFit="1" customWidth="1"/>
    <col min="5" max="5" width="9.140625" style="239"/>
    <col min="6" max="6" width="9.85546875" style="239" customWidth="1"/>
    <col min="7" max="7" width="9.85546875" style="239" bestFit="1" customWidth="1"/>
    <col min="8" max="8" width="9.28515625" style="239" bestFit="1" customWidth="1"/>
    <col min="9" max="9" width="13.28515625" style="239" customWidth="1"/>
    <col min="10" max="10" width="9.42578125" style="239" customWidth="1"/>
    <col min="11" max="11" width="9.140625" style="239"/>
    <col min="12" max="12" width="11.7109375" style="239" bestFit="1" customWidth="1"/>
    <col min="13" max="13" width="11.85546875" style="239" bestFit="1" customWidth="1"/>
    <col min="14" max="16384" width="9.140625" style="239"/>
  </cols>
  <sheetData>
    <row r="1" spans="1:15" ht="15" customHeight="1" x14ac:dyDescent="0.25">
      <c r="A1" s="240" t="s">
        <v>1063</v>
      </c>
      <c r="B1" s="240"/>
      <c r="F1" s="237"/>
      <c r="G1" s="237"/>
      <c r="I1" s="240"/>
      <c r="J1" s="241"/>
      <c r="K1" s="164"/>
    </row>
    <row r="2" spans="1:15" ht="41.25" customHeight="1" x14ac:dyDescent="0.25">
      <c r="A2" s="508" t="s">
        <v>659</v>
      </c>
      <c r="B2" s="508" t="s">
        <v>907</v>
      </c>
      <c r="C2" s="516" t="s">
        <v>942</v>
      </c>
      <c r="D2" s="526"/>
      <c r="E2" s="517"/>
      <c r="F2" s="515" t="s">
        <v>943</v>
      </c>
      <c r="G2" s="515"/>
      <c r="H2" s="515"/>
      <c r="I2" s="515" t="s">
        <v>944</v>
      </c>
      <c r="J2" s="515"/>
      <c r="K2" s="515"/>
      <c r="L2" s="516" t="s">
        <v>945</v>
      </c>
      <c r="M2" s="517"/>
      <c r="N2" s="516" t="s">
        <v>911</v>
      </c>
      <c r="O2" s="517"/>
    </row>
    <row r="3" spans="1:15" ht="41.25" customHeight="1" x14ac:dyDescent="0.25">
      <c r="A3" s="509"/>
      <c r="B3" s="509"/>
      <c r="C3" s="202" t="s">
        <v>946</v>
      </c>
      <c r="D3" s="202" t="s">
        <v>913</v>
      </c>
      <c r="E3" s="202" t="s">
        <v>936</v>
      </c>
      <c r="F3" s="202" t="s">
        <v>935</v>
      </c>
      <c r="G3" s="202" t="s">
        <v>913</v>
      </c>
      <c r="H3" s="202" t="s">
        <v>936</v>
      </c>
      <c r="I3" s="202" t="s">
        <v>947</v>
      </c>
      <c r="J3" s="202" t="s">
        <v>913</v>
      </c>
      <c r="K3" s="219" t="s">
        <v>936</v>
      </c>
      <c r="L3" s="202" t="s">
        <v>913</v>
      </c>
      <c r="M3" s="202" t="s">
        <v>936</v>
      </c>
      <c r="N3" s="202" t="s">
        <v>948</v>
      </c>
      <c r="O3" s="202" t="s">
        <v>917</v>
      </c>
    </row>
    <row r="4" spans="1:15" x14ac:dyDescent="0.25">
      <c r="A4" s="221" t="s">
        <v>61</v>
      </c>
      <c r="B4" s="222">
        <v>257</v>
      </c>
      <c r="C4" s="222">
        <v>3195.8932</v>
      </c>
      <c r="D4" s="222">
        <v>683893</v>
      </c>
      <c r="E4" s="222">
        <v>14772.164009300001</v>
      </c>
      <c r="F4" s="222">
        <v>1155.8499999999999</v>
      </c>
      <c r="G4" s="222">
        <v>115585</v>
      </c>
      <c r="H4" s="222">
        <v>4062.66</v>
      </c>
      <c r="I4" s="222">
        <v>55312169</v>
      </c>
      <c r="J4" s="222">
        <v>55312169</v>
      </c>
      <c r="K4" s="222">
        <v>18901.566963199999</v>
      </c>
      <c r="L4" s="222">
        <v>56111647</v>
      </c>
      <c r="M4" s="222">
        <v>37735.500702500001</v>
      </c>
      <c r="N4" s="222">
        <v>129291</v>
      </c>
      <c r="O4" s="222">
        <v>77</v>
      </c>
    </row>
    <row r="5" spans="1:15" x14ac:dyDescent="0.25">
      <c r="A5" s="221" t="s">
        <v>62</v>
      </c>
      <c r="B5" s="222">
        <v>20</v>
      </c>
      <c r="C5" s="222">
        <v>39.5</v>
      </c>
      <c r="D5" s="222">
        <v>18822</v>
      </c>
      <c r="E5" s="222">
        <v>240.06</v>
      </c>
      <c r="F5" s="222">
        <v>157.54</v>
      </c>
      <c r="G5" s="222">
        <v>15754</v>
      </c>
      <c r="H5" s="222">
        <v>536.39</v>
      </c>
      <c r="I5" s="222">
        <v>10661364</v>
      </c>
      <c r="J5" s="222">
        <v>10661364</v>
      </c>
      <c r="K5" s="222">
        <v>3677.36</v>
      </c>
      <c r="L5" s="222">
        <v>10695940</v>
      </c>
      <c r="M5" s="222">
        <v>4453.8100000000004</v>
      </c>
      <c r="N5" s="222">
        <v>172820</v>
      </c>
      <c r="O5" s="222">
        <f>O6</f>
        <v>80.44</v>
      </c>
    </row>
    <row r="6" spans="1:15" x14ac:dyDescent="0.25">
      <c r="A6" s="192">
        <v>43556</v>
      </c>
      <c r="B6" s="242">
        <v>20</v>
      </c>
      <c r="C6" s="242">
        <v>39.5</v>
      </c>
      <c r="D6" s="242">
        <v>18822</v>
      </c>
      <c r="E6" s="242">
        <v>240.06</v>
      </c>
      <c r="F6" s="242">
        <v>157.54</v>
      </c>
      <c r="G6" s="242">
        <v>15754</v>
      </c>
      <c r="H6" s="242">
        <v>536.39</v>
      </c>
      <c r="I6" s="242">
        <v>10661364</v>
      </c>
      <c r="J6" s="242">
        <v>10661364</v>
      </c>
      <c r="K6" s="243">
        <v>3677.36</v>
      </c>
      <c r="L6" s="228">
        <v>10695940</v>
      </c>
      <c r="M6" s="228">
        <v>4453.8100000000004</v>
      </c>
      <c r="N6" s="242">
        <v>172820</v>
      </c>
      <c r="O6" s="243">
        <v>80.44</v>
      </c>
    </row>
    <row r="7" spans="1:15" x14ac:dyDescent="0.25">
      <c r="A7" s="244" t="str">
        <f>'64'!A7</f>
        <v>$ indicates as on April 30, 2019</v>
      </c>
      <c r="B7" s="245"/>
      <c r="F7" s="246"/>
      <c r="I7" s="247"/>
    </row>
    <row r="8" spans="1:15" x14ac:dyDescent="0.25">
      <c r="A8" s="244" t="s">
        <v>949</v>
      </c>
      <c r="B8" s="248"/>
      <c r="I8" s="248"/>
      <c r="J8" s="242"/>
    </row>
    <row r="9" spans="1:15" x14ac:dyDescent="0.25">
      <c r="A9" s="249" t="s">
        <v>950</v>
      </c>
      <c r="B9" s="249"/>
      <c r="I9" s="249"/>
      <c r="J9" s="249"/>
    </row>
    <row r="10" spans="1:15" ht="30" customHeight="1" x14ac:dyDescent="0.25">
      <c r="A10" s="525" t="s">
        <v>951</v>
      </c>
      <c r="B10" s="525"/>
      <c r="C10" s="525"/>
      <c r="D10" s="525"/>
      <c r="E10" s="525"/>
      <c r="F10" s="525"/>
      <c r="G10" s="525"/>
      <c r="H10" s="525"/>
      <c r="I10" s="525"/>
      <c r="J10" s="525"/>
      <c r="K10" s="525"/>
      <c r="L10" s="525"/>
      <c r="M10" s="525"/>
      <c r="N10" s="525"/>
      <c r="O10" s="525"/>
    </row>
    <row r="11" spans="1:15" ht="19.5" customHeight="1" x14ac:dyDescent="0.25">
      <c r="A11" s="196" t="s">
        <v>952</v>
      </c>
      <c r="F11" s="239" t="s">
        <v>900</v>
      </c>
      <c r="H11" s="239" t="s">
        <v>900</v>
      </c>
    </row>
  </sheetData>
  <mergeCells count="8">
    <mergeCell ref="N2:O2"/>
    <mergeCell ref="A10:O10"/>
    <mergeCell ref="A2:A3"/>
    <mergeCell ref="B2:B3"/>
    <mergeCell ref="C2:E2"/>
    <mergeCell ref="F2:H2"/>
    <mergeCell ref="I2:K2"/>
    <mergeCell ref="L2:M2"/>
  </mergeCells>
  <pageMargins left="0.7" right="0.7" top="0.75" bottom="0.75" header="0.3" footer="0.3"/>
  <pageSetup paperSize="9" scale="8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6"/>
  <sheetViews>
    <sheetView workbookViewId="0">
      <selection sqref="A1:R1"/>
    </sheetView>
  </sheetViews>
  <sheetFormatPr defaultRowHeight="15" x14ac:dyDescent="0.25"/>
  <cols>
    <col min="1" max="7" width="9.140625" style="239"/>
    <col min="8" max="8" width="13.7109375" style="239" customWidth="1"/>
    <col min="9" max="15" width="9.140625" style="239"/>
    <col min="16" max="16" width="10.85546875" style="239" bestFit="1" customWidth="1"/>
    <col min="17" max="17" width="11.28515625" style="239" customWidth="1"/>
    <col min="18" max="18" width="9.140625" style="239" customWidth="1"/>
    <col min="19" max="16384" width="9.140625" style="239"/>
  </cols>
  <sheetData>
    <row r="1" spans="1:18" x14ac:dyDescent="0.25">
      <c r="A1" s="510" t="s">
        <v>1064</v>
      </c>
      <c r="B1" s="510"/>
      <c r="C1" s="510"/>
      <c r="D1" s="510"/>
      <c r="E1" s="510"/>
      <c r="F1" s="510"/>
      <c r="G1" s="510"/>
      <c r="H1" s="510"/>
      <c r="I1" s="510"/>
      <c r="J1" s="510"/>
      <c r="K1" s="510"/>
      <c r="L1" s="510"/>
      <c r="M1" s="510"/>
      <c r="N1" s="510"/>
      <c r="O1" s="510"/>
      <c r="P1" s="510"/>
      <c r="Q1" s="510"/>
      <c r="R1" s="510"/>
    </row>
    <row r="2" spans="1:18" ht="30" customHeight="1" x14ac:dyDescent="0.25">
      <c r="A2" s="515" t="s">
        <v>659</v>
      </c>
      <c r="B2" s="515" t="s">
        <v>907</v>
      </c>
      <c r="C2" s="515" t="s">
        <v>953</v>
      </c>
      <c r="D2" s="515"/>
      <c r="E2" s="515"/>
      <c r="F2" s="515" t="s">
        <v>954</v>
      </c>
      <c r="G2" s="515"/>
      <c r="H2" s="515"/>
      <c r="I2" s="515" t="s">
        <v>955</v>
      </c>
      <c r="J2" s="515"/>
      <c r="K2" s="515"/>
      <c r="L2" s="516" t="s">
        <v>889</v>
      </c>
      <c r="M2" s="526"/>
      <c r="N2" s="517"/>
      <c r="O2" s="516" t="s">
        <v>140</v>
      </c>
      <c r="P2" s="517"/>
      <c r="Q2" s="515" t="s">
        <v>911</v>
      </c>
      <c r="R2" s="515"/>
    </row>
    <row r="3" spans="1:18" ht="38.25" x14ac:dyDescent="0.25">
      <c r="A3" s="515"/>
      <c r="B3" s="515"/>
      <c r="C3" s="202" t="s">
        <v>956</v>
      </c>
      <c r="D3" s="202" t="s">
        <v>913</v>
      </c>
      <c r="E3" s="202" t="s">
        <v>936</v>
      </c>
      <c r="F3" s="202" t="s">
        <v>957</v>
      </c>
      <c r="G3" s="202" t="s">
        <v>913</v>
      </c>
      <c r="H3" s="202" t="s">
        <v>936</v>
      </c>
      <c r="I3" s="202" t="s">
        <v>958</v>
      </c>
      <c r="J3" s="202" t="s">
        <v>913</v>
      </c>
      <c r="K3" s="202" t="s">
        <v>936</v>
      </c>
      <c r="L3" s="202" t="s">
        <v>959</v>
      </c>
      <c r="M3" s="202" t="s">
        <v>913</v>
      </c>
      <c r="N3" s="202" t="s">
        <v>936</v>
      </c>
      <c r="O3" s="202" t="s">
        <v>913</v>
      </c>
      <c r="P3" s="202" t="s">
        <v>936</v>
      </c>
      <c r="Q3" s="202" t="s">
        <v>916</v>
      </c>
      <c r="R3" s="202" t="s">
        <v>917</v>
      </c>
    </row>
    <row r="4" spans="1:18" x14ac:dyDescent="0.25">
      <c r="A4" s="221" t="s">
        <v>61</v>
      </c>
      <c r="B4" s="222">
        <v>128</v>
      </c>
      <c r="C4" s="222">
        <v>21</v>
      </c>
      <c r="D4" s="222">
        <v>21</v>
      </c>
      <c r="E4" s="222">
        <v>0.99</v>
      </c>
      <c r="F4" s="222">
        <v>771.64099999999985</v>
      </c>
      <c r="G4" s="222">
        <v>103678</v>
      </c>
      <c r="H4" s="222">
        <v>28079.568538000003</v>
      </c>
      <c r="I4" s="222">
        <f>7700/7.33</f>
        <v>1050.4774897680763</v>
      </c>
      <c r="J4" s="222">
        <v>77</v>
      </c>
      <c r="K4" s="222">
        <v>4.2851400000000002</v>
      </c>
      <c r="L4" s="222">
        <v>793415.25</v>
      </c>
      <c r="M4" s="222">
        <v>101429</v>
      </c>
      <c r="N4" s="222">
        <v>4718.8899999999994</v>
      </c>
      <c r="O4" s="222">
        <f>D4+G4+J4+M4</f>
        <v>205205</v>
      </c>
      <c r="P4" s="222">
        <v>32803.747987000002</v>
      </c>
      <c r="Q4" s="222">
        <v>1052</v>
      </c>
      <c r="R4" s="222">
        <v>73.27</v>
      </c>
    </row>
    <row r="5" spans="1:18" x14ac:dyDescent="0.25">
      <c r="A5" s="221" t="s">
        <v>62</v>
      </c>
      <c r="B5" s="222">
        <v>20</v>
      </c>
      <c r="C5" s="222">
        <v>7</v>
      </c>
      <c r="D5" s="222">
        <v>7</v>
      </c>
      <c r="E5" s="250">
        <v>0.33</v>
      </c>
      <c r="F5" s="222">
        <v>109.79</v>
      </c>
      <c r="G5" s="222">
        <v>10431</v>
      </c>
      <c r="H5" s="222">
        <v>2217.9</v>
      </c>
      <c r="I5" s="222">
        <v>0</v>
      </c>
      <c r="J5" s="222">
        <v>0</v>
      </c>
      <c r="K5" s="222">
        <v>0</v>
      </c>
      <c r="L5" s="222">
        <v>416618</v>
      </c>
      <c r="M5" s="222">
        <v>55862</v>
      </c>
      <c r="N5" s="222">
        <v>2771.82</v>
      </c>
      <c r="O5" s="222">
        <v>66300</v>
      </c>
      <c r="P5" s="222">
        <v>4990.05</v>
      </c>
      <c r="Q5" s="222">
        <v>1175</v>
      </c>
      <c r="R5" s="222">
        <f>R6</f>
        <v>106.29</v>
      </c>
    </row>
    <row r="6" spans="1:18" x14ac:dyDescent="0.25">
      <c r="A6" s="192">
        <v>43556</v>
      </c>
      <c r="B6" s="242">
        <v>20</v>
      </c>
      <c r="C6" s="243">
        <v>7</v>
      </c>
      <c r="D6" s="242">
        <v>7</v>
      </c>
      <c r="E6" s="251">
        <v>0.33</v>
      </c>
      <c r="F6" s="242">
        <v>109.79</v>
      </c>
      <c r="G6" s="242">
        <v>10431</v>
      </c>
      <c r="H6" s="243">
        <v>2217.9</v>
      </c>
      <c r="I6" s="242">
        <v>0</v>
      </c>
      <c r="J6" s="242">
        <v>0</v>
      </c>
      <c r="K6" s="243">
        <v>0</v>
      </c>
      <c r="L6" s="243">
        <v>416618</v>
      </c>
      <c r="M6" s="243">
        <v>55862</v>
      </c>
      <c r="N6" s="243">
        <v>2771.82</v>
      </c>
      <c r="O6" s="242">
        <v>66300</v>
      </c>
      <c r="P6" s="242">
        <v>4990.05</v>
      </c>
      <c r="Q6" s="242">
        <v>1175</v>
      </c>
      <c r="R6" s="242">
        <v>106.29</v>
      </c>
    </row>
    <row r="7" spans="1:18" x14ac:dyDescent="0.25">
      <c r="A7" s="183" t="str">
        <f>'[1]1'!A8</f>
        <v>$ indicates as on April 30, 2019</v>
      </c>
      <c r="B7" s="252"/>
      <c r="C7" s="252"/>
      <c r="D7" s="252"/>
      <c r="E7" s="252"/>
      <c r="F7" s="252"/>
      <c r="G7" s="252"/>
      <c r="H7" s="252"/>
      <c r="I7" s="253"/>
      <c r="J7" s="253"/>
      <c r="K7" s="253"/>
      <c r="L7" s="253"/>
      <c r="M7" s="253"/>
      <c r="N7" s="253"/>
      <c r="O7" s="253"/>
      <c r="P7" s="253"/>
      <c r="Q7" s="254"/>
      <c r="R7" s="255"/>
    </row>
    <row r="8" spans="1:18" x14ac:dyDescent="0.25">
      <c r="A8" s="527" t="s">
        <v>960</v>
      </c>
      <c r="B8" s="527"/>
      <c r="C8" s="527"/>
      <c r="D8" s="527"/>
      <c r="E8" s="527"/>
      <c r="F8" s="527"/>
      <c r="G8" s="527"/>
      <c r="H8" s="527"/>
      <c r="I8" s="527"/>
      <c r="J8" s="253"/>
      <c r="K8" s="253"/>
      <c r="L8" s="253"/>
      <c r="M8" s="253"/>
      <c r="N8" s="253"/>
      <c r="O8" s="253"/>
      <c r="P8" s="253"/>
      <c r="Q8" s="254"/>
      <c r="R8" s="255"/>
    </row>
    <row r="9" spans="1:18" x14ac:dyDescent="0.25">
      <c r="A9" s="196" t="s">
        <v>575</v>
      </c>
      <c r="B9" s="183"/>
      <c r="C9" s="183"/>
      <c r="D9" s="183"/>
      <c r="E9" s="183"/>
      <c r="F9" s="183"/>
      <c r="G9" s="183"/>
      <c r="H9" s="211"/>
      <c r="I9" s="183"/>
      <c r="J9" s="183"/>
      <c r="K9" s="183"/>
      <c r="L9" s="209"/>
      <c r="M9" s="211">
        <f>E6+H6</f>
        <v>2218.23</v>
      </c>
      <c r="N9" s="211"/>
      <c r="O9" s="183"/>
      <c r="P9" s="183"/>
      <c r="Q9" s="183"/>
      <c r="R9" s="183"/>
    </row>
    <row r="10" spans="1:18" x14ac:dyDescent="0.25">
      <c r="A10" s="196"/>
      <c r="B10" s="183"/>
      <c r="C10" s="183"/>
      <c r="D10" s="183"/>
      <c r="E10" s="183"/>
      <c r="F10" s="183"/>
      <c r="G10" s="183"/>
      <c r="H10" s="183"/>
      <c r="I10" s="211"/>
      <c r="J10" s="183" t="s">
        <v>900</v>
      </c>
      <c r="K10" s="183"/>
      <c r="L10" s="183"/>
      <c r="M10" s="183"/>
      <c r="N10" s="183"/>
      <c r="O10" s="183"/>
      <c r="P10" s="183"/>
      <c r="Q10" s="183"/>
      <c r="R10" s="183"/>
    </row>
    <row r="12" spans="1:18" x14ac:dyDescent="0.25">
      <c r="P12" s="256"/>
    </row>
    <row r="13" spans="1:18" x14ac:dyDescent="0.25">
      <c r="H13" s="256"/>
      <c r="P13" s="256"/>
      <c r="Q13" s="256"/>
    </row>
    <row r="14" spans="1:18" x14ac:dyDescent="0.25">
      <c r="H14" s="256"/>
      <c r="P14" s="256"/>
    </row>
    <row r="15" spans="1:18" x14ac:dyDescent="0.25">
      <c r="P15" s="256"/>
    </row>
    <row r="16" spans="1:18" x14ac:dyDescent="0.25">
      <c r="H16" s="256"/>
      <c r="P16" s="256"/>
    </row>
  </sheetData>
  <mergeCells count="10">
    <mergeCell ref="A8:I8"/>
    <mergeCell ref="A1:R1"/>
    <mergeCell ref="A2:A3"/>
    <mergeCell ref="B2:B3"/>
    <mergeCell ref="C2:E2"/>
    <mergeCell ref="F2:H2"/>
    <mergeCell ref="I2:K2"/>
    <mergeCell ref="L2:N2"/>
    <mergeCell ref="O2:P2"/>
    <mergeCell ref="Q2:R2"/>
  </mergeCells>
  <pageMargins left="0.7" right="0.7" top="0.75" bottom="0.75" header="0.3" footer="0.3"/>
  <pageSetup scale="54" orientation="landscape"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3"/>
  <sheetViews>
    <sheetView workbookViewId="0"/>
  </sheetViews>
  <sheetFormatPr defaultRowHeight="15" x14ac:dyDescent="0.25"/>
  <cols>
    <col min="1" max="12" width="9.140625" style="239"/>
    <col min="13" max="13" width="9.42578125" style="239" bestFit="1" customWidth="1"/>
    <col min="14" max="16384" width="9.140625" style="239"/>
  </cols>
  <sheetData>
    <row r="1" spans="1:15" x14ac:dyDescent="0.25">
      <c r="A1" s="257" t="s">
        <v>1065</v>
      </c>
    </row>
    <row r="2" spans="1:15" ht="36.75" customHeight="1" x14ac:dyDescent="0.25">
      <c r="A2" s="515" t="s">
        <v>659</v>
      </c>
      <c r="B2" s="515" t="s">
        <v>907</v>
      </c>
      <c r="C2" s="515" t="s">
        <v>954</v>
      </c>
      <c r="D2" s="515"/>
      <c r="E2" s="515"/>
      <c r="F2" s="516" t="s">
        <v>910</v>
      </c>
      <c r="G2" s="526"/>
      <c r="H2" s="517"/>
      <c r="I2" s="516" t="s">
        <v>140</v>
      </c>
      <c r="J2" s="517"/>
      <c r="K2" s="202" t="s">
        <v>911</v>
      </c>
      <c r="L2" s="202"/>
    </row>
    <row r="3" spans="1:15" ht="38.25" x14ac:dyDescent="0.25">
      <c r="A3" s="515"/>
      <c r="B3" s="515"/>
      <c r="C3" s="202" t="s">
        <v>956</v>
      </c>
      <c r="D3" s="202" t="s">
        <v>913</v>
      </c>
      <c r="E3" s="202" t="s">
        <v>936</v>
      </c>
      <c r="F3" s="200" t="s">
        <v>915</v>
      </c>
      <c r="G3" s="200" t="s">
        <v>913</v>
      </c>
      <c r="H3" s="200" t="s">
        <v>914</v>
      </c>
      <c r="I3" s="200" t="s">
        <v>913</v>
      </c>
      <c r="J3" s="200" t="s">
        <v>914</v>
      </c>
      <c r="K3" s="202" t="s">
        <v>916</v>
      </c>
      <c r="L3" s="202" t="s">
        <v>917</v>
      </c>
    </row>
    <row r="4" spans="1:15" x14ac:dyDescent="0.25">
      <c r="A4" s="221" t="s">
        <v>61</v>
      </c>
      <c r="B4" s="222">
        <v>120</v>
      </c>
      <c r="C4" s="222">
        <v>148.73920000000004</v>
      </c>
      <c r="D4" s="222">
        <v>36315</v>
      </c>
      <c r="E4" s="222">
        <v>3374.5538409999999</v>
      </c>
      <c r="F4" s="222">
        <v>10584</v>
      </c>
      <c r="G4" s="222">
        <v>10584</v>
      </c>
      <c r="H4" s="222">
        <v>69.264048000000003</v>
      </c>
      <c r="I4" s="222">
        <v>46899</v>
      </c>
      <c r="J4" s="222">
        <v>3443.8178889999999</v>
      </c>
      <c r="K4" s="222">
        <v>159</v>
      </c>
      <c r="L4" s="222">
        <v>6.59</v>
      </c>
    </row>
    <row r="5" spans="1:15" x14ac:dyDescent="0.25">
      <c r="A5" s="221" t="s">
        <v>62</v>
      </c>
      <c r="B5" s="222">
        <v>20</v>
      </c>
      <c r="C5" s="222">
        <v>6.2169999999999996</v>
      </c>
      <c r="D5" s="222">
        <v>12468</v>
      </c>
      <c r="E5" s="222">
        <v>431.03876900000006</v>
      </c>
      <c r="F5" s="222">
        <v>8443</v>
      </c>
      <c r="G5" s="222">
        <v>8443</v>
      </c>
      <c r="H5" s="222">
        <v>58.747573000000003</v>
      </c>
      <c r="I5" s="222">
        <v>20911</v>
      </c>
      <c r="J5" s="222">
        <v>489.78634199999982</v>
      </c>
      <c r="K5" s="222">
        <v>91</v>
      </c>
      <c r="L5" s="222">
        <f>L6</f>
        <v>4.3600000000000003</v>
      </c>
    </row>
    <row r="6" spans="1:15" x14ac:dyDescent="0.25">
      <c r="A6" s="192">
        <v>43556</v>
      </c>
      <c r="B6" s="242">
        <v>20</v>
      </c>
      <c r="C6" s="242">
        <v>6.2169999999999996</v>
      </c>
      <c r="D6" s="242">
        <v>12468</v>
      </c>
      <c r="E6" s="242">
        <v>431.03876900000006</v>
      </c>
      <c r="F6" s="242">
        <v>8443</v>
      </c>
      <c r="G6" s="242">
        <v>8443</v>
      </c>
      <c r="H6" s="242">
        <v>58.747573000000003</v>
      </c>
      <c r="I6" s="242">
        <v>20911</v>
      </c>
      <c r="J6" s="242">
        <v>489.78634199999982</v>
      </c>
      <c r="K6" s="242">
        <v>91</v>
      </c>
      <c r="L6" s="242">
        <v>4.3600000000000003</v>
      </c>
    </row>
    <row r="7" spans="1:15" x14ac:dyDescent="0.25">
      <c r="A7" s="183" t="str">
        <f>'[1]1'!A8</f>
        <v>$ indicates as on April 30, 2019</v>
      </c>
      <c r="E7" s="258"/>
    </row>
    <row r="8" spans="1:15" x14ac:dyDescent="0.25">
      <c r="A8" s="528" t="s">
        <v>961</v>
      </c>
      <c r="B8" s="528"/>
      <c r="C8" s="528"/>
      <c r="D8" s="528"/>
      <c r="E8" s="528"/>
      <c r="F8" s="528"/>
      <c r="G8" s="528"/>
      <c r="H8" s="528"/>
      <c r="I8" s="528"/>
      <c r="J8" s="528"/>
      <c r="K8" s="528"/>
      <c r="L8" s="528"/>
    </row>
    <row r="9" spans="1:15" x14ac:dyDescent="0.25">
      <c r="A9" s="196" t="s">
        <v>272</v>
      </c>
    </row>
    <row r="10" spans="1:15" x14ac:dyDescent="0.25">
      <c r="A10" s="196"/>
    </row>
    <row r="15" spans="1:15" x14ac:dyDescent="0.25">
      <c r="M15" s="246"/>
      <c r="N15" s="246"/>
      <c r="O15" s="246"/>
    </row>
    <row r="16" spans="1:15" x14ac:dyDescent="0.25">
      <c r="M16" s="246"/>
      <c r="N16" s="246"/>
      <c r="O16" s="246"/>
    </row>
    <row r="17" spans="13:16" x14ac:dyDescent="0.25">
      <c r="M17" s="246"/>
      <c r="N17" s="246"/>
      <c r="O17" s="246"/>
    </row>
    <row r="18" spans="13:16" x14ac:dyDescent="0.25">
      <c r="M18" s="246"/>
      <c r="N18" s="246"/>
      <c r="O18" s="246"/>
    </row>
    <row r="19" spans="13:16" x14ac:dyDescent="0.25">
      <c r="M19" s="246"/>
      <c r="N19" s="246"/>
      <c r="O19" s="246"/>
    </row>
    <row r="23" spans="13:16" x14ac:dyDescent="0.25">
      <c r="P23" s="246"/>
    </row>
  </sheetData>
  <mergeCells count="6">
    <mergeCell ref="A8:L8"/>
    <mergeCell ref="A2:A3"/>
    <mergeCell ref="B2:B3"/>
    <mergeCell ref="C2:E2"/>
    <mergeCell ref="F2:H2"/>
    <mergeCell ref="I2:J2"/>
  </mergeCells>
  <pageMargins left="0.7" right="0.7" top="0.75" bottom="0.75" header="0.3" footer="0.3"/>
  <pageSetup scale="84"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U10"/>
  <sheetViews>
    <sheetView workbookViewId="0">
      <selection activeCell="C42" sqref="C42:C43"/>
    </sheetView>
  </sheetViews>
  <sheetFormatPr defaultRowHeight="12.75" x14ac:dyDescent="0.2"/>
  <cols>
    <col min="1" max="1" width="9.140625" style="183" customWidth="1"/>
    <col min="2" max="2" width="9.7109375" style="183" customWidth="1"/>
    <col min="3" max="3" width="7.85546875" style="183" customWidth="1"/>
    <col min="4" max="5" width="9.140625" style="183"/>
    <col min="6" max="6" width="10.7109375" style="183" customWidth="1"/>
    <col min="7" max="7" width="10.28515625" style="183" customWidth="1"/>
    <col min="8" max="17" width="9.140625" style="183"/>
    <col min="18" max="18" width="9" style="183" customWidth="1"/>
    <col min="19" max="16384" width="9.140625" style="183"/>
  </cols>
  <sheetData>
    <row r="1" spans="1:21" s="259" customFormat="1" ht="18" customHeight="1" x14ac:dyDescent="0.25">
      <c r="A1" s="495" t="s">
        <v>1066</v>
      </c>
      <c r="B1" s="495"/>
      <c r="C1" s="495"/>
      <c r="D1" s="495"/>
      <c r="E1" s="495"/>
      <c r="F1" s="495"/>
      <c r="G1" s="495"/>
      <c r="H1" s="495"/>
      <c r="I1" s="495"/>
      <c r="J1" s="495"/>
      <c r="K1" s="495"/>
      <c r="L1" s="495"/>
      <c r="M1" s="495"/>
      <c r="N1" s="495"/>
    </row>
    <row r="2" spans="1:21" ht="17.25" customHeight="1" x14ac:dyDescent="0.2">
      <c r="A2" s="534" t="s">
        <v>164</v>
      </c>
      <c r="B2" s="529" t="s">
        <v>898</v>
      </c>
      <c r="C2" s="530"/>
      <c r="D2" s="530"/>
      <c r="E2" s="537"/>
      <c r="F2" s="529" t="s">
        <v>894</v>
      </c>
      <c r="G2" s="530"/>
      <c r="H2" s="530"/>
      <c r="I2" s="529" t="s">
        <v>899</v>
      </c>
      <c r="J2" s="530"/>
      <c r="K2" s="530"/>
      <c r="L2" s="537"/>
      <c r="M2" s="529" t="s">
        <v>227</v>
      </c>
      <c r="N2" s="530"/>
      <c r="O2" s="530"/>
      <c r="P2" s="537"/>
      <c r="Q2" s="529" t="s">
        <v>228</v>
      </c>
      <c r="R2" s="530"/>
    </row>
    <row r="3" spans="1:21" ht="12.75" customHeight="1" x14ac:dyDescent="0.2">
      <c r="A3" s="535"/>
      <c r="B3" s="531" t="s">
        <v>962</v>
      </c>
      <c r="C3" s="532"/>
      <c r="D3" s="516" t="s">
        <v>963</v>
      </c>
      <c r="E3" s="517"/>
      <c r="F3" s="531" t="s">
        <v>889</v>
      </c>
      <c r="G3" s="533"/>
      <c r="H3" s="532"/>
      <c r="I3" s="531" t="s">
        <v>889</v>
      </c>
      <c r="J3" s="532"/>
      <c r="K3" s="516" t="s">
        <v>964</v>
      </c>
      <c r="L3" s="517"/>
      <c r="M3" s="516" t="s">
        <v>964</v>
      </c>
      <c r="N3" s="517"/>
      <c r="O3" s="516" t="s">
        <v>889</v>
      </c>
      <c r="P3" s="517"/>
      <c r="Q3" s="516" t="s">
        <v>964</v>
      </c>
      <c r="R3" s="517"/>
    </row>
    <row r="4" spans="1:21" x14ac:dyDescent="0.2">
      <c r="A4" s="536"/>
      <c r="B4" s="260" t="s">
        <v>309</v>
      </c>
      <c r="C4" s="260" t="s">
        <v>965</v>
      </c>
      <c r="D4" s="260" t="s">
        <v>309</v>
      </c>
      <c r="E4" s="260" t="s">
        <v>965</v>
      </c>
      <c r="F4" s="260" t="s">
        <v>309</v>
      </c>
      <c r="G4" s="260" t="s">
        <v>965</v>
      </c>
      <c r="H4" s="260" t="s">
        <v>966</v>
      </c>
      <c r="I4" s="260" t="s">
        <v>309</v>
      </c>
      <c r="J4" s="260" t="s">
        <v>965</v>
      </c>
      <c r="K4" s="260" t="s">
        <v>309</v>
      </c>
      <c r="L4" s="260" t="s">
        <v>965</v>
      </c>
      <c r="M4" s="260" t="s">
        <v>309</v>
      </c>
      <c r="N4" s="260" t="s">
        <v>965</v>
      </c>
      <c r="O4" s="260" t="s">
        <v>309</v>
      </c>
      <c r="P4" s="260" t="s">
        <v>965</v>
      </c>
      <c r="Q4" s="260" t="s">
        <v>309</v>
      </c>
      <c r="R4" s="260" t="s">
        <v>965</v>
      </c>
    </row>
    <row r="5" spans="1:21" s="191" customFormat="1" x14ac:dyDescent="0.2">
      <c r="A5" s="187" t="s">
        <v>61</v>
      </c>
      <c r="B5" s="261">
        <v>38.24843636704783</v>
      </c>
      <c r="C5" s="261">
        <v>61.75156363295217</v>
      </c>
      <c r="D5" s="261">
        <v>27.622798014852613</v>
      </c>
      <c r="E5" s="261">
        <v>72.377201985147394</v>
      </c>
      <c r="F5" s="262">
        <v>44.124684505659182</v>
      </c>
      <c r="G5" s="262">
        <v>55.463657380271655</v>
      </c>
      <c r="H5" s="263">
        <v>0.41165811406914354</v>
      </c>
      <c r="I5" s="262">
        <v>7.19</v>
      </c>
      <c r="J5" s="262">
        <v>92.81</v>
      </c>
      <c r="K5" s="262">
        <v>45.46</v>
      </c>
      <c r="L5" s="262">
        <v>54.54</v>
      </c>
      <c r="M5" s="262">
        <v>92.954601508123332</v>
      </c>
      <c r="N5" s="262">
        <v>7.0453984918766688</v>
      </c>
      <c r="O5" s="262" t="s">
        <v>748</v>
      </c>
      <c r="P5" s="262" t="s">
        <v>748</v>
      </c>
      <c r="Q5" s="262">
        <v>83.932336774617426</v>
      </c>
      <c r="R5" s="262">
        <v>16.067663225382567</v>
      </c>
    </row>
    <row r="6" spans="1:21" s="191" customFormat="1" x14ac:dyDescent="0.2">
      <c r="A6" s="187" t="s">
        <v>62</v>
      </c>
      <c r="B6" s="261">
        <v>39.596508484151968</v>
      </c>
      <c r="C6" s="261">
        <v>60.403491515848032</v>
      </c>
      <c r="D6" s="261">
        <v>29.710732137800083</v>
      </c>
      <c r="E6" s="261">
        <v>70.289267862199907</v>
      </c>
      <c r="F6" s="262">
        <v>47.493273169772991</v>
      </c>
      <c r="G6" s="262">
        <v>51.791447087313699</v>
      </c>
      <c r="H6" s="263">
        <v>0.71527974291330443</v>
      </c>
      <c r="I6" s="262">
        <v>55.62</v>
      </c>
      <c r="J6" s="262">
        <v>44.38</v>
      </c>
      <c r="K6" s="262">
        <v>64.5</v>
      </c>
      <c r="L6" s="262">
        <v>35</v>
      </c>
      <c r="M6" s="262">
        <v>47.508401196808798</v>
      </c>
      <c r="N6" s="262">
        <v>2.4915988031911742</v>
      </c>
      <c r="O6" s="262">
        <v>36.91367970708999</v>
      </c>
      <c r="P6" s="262">
        <v>13.086320292910012</v>
      </c>
      <c r="Q6" s="262">
        <v>50.49049479211488</v>
      </c>
      <c r="R6" s="262">
        <v>49.509505207885113</v>
      </c>
    </row>
    <row r="7" spans="1:21" x14ac:dyDescent="0.2">
      <c r="A7" s="264">
        <v>43556</v>
      </c>
      <c r="B7" s="265">
        <v>39.596508484151968</v>
      </c>
      <c r="C7" s="265">
        <v>60.403491515848032</v>
      </c>
      <c r="D7" s="265">
        <v>29.710732137800083</v>
      </c>
      <c r="E7" s="265">
        <v>70.289267862199907</v>
      </c>
      <c r="F7" s="266">
        <v>47.493273169772991</v>
      </c>
      <c r="G7" s="266">
        <v>51.791447087313699</v>
      </c>
      <c r="H7" s="267">
        <v>0.71527974291330443</v>
      </c>
      <c r="I7" s="265">
        <v>55.62</v>
      </c>
      <c r="J7" s="265">
        <v>44.38</v>
      </c>
      <c r="K7" s="265">
        <v>64.5</v>
      </c>
      <c r="L7" s="265">
        <v>35</v>
      </c>
      <c r="M7" s="266">
        <v>47.508401196808798</v>
      </c>
      <c r="N7" s="266">
        <v>2.4915988031911742</v>
      </c>
      <c r="O7" s="266">
        <v>36.91367970708999</v>
      </c>
      <c r="P7" s="266">
        <v>13.086320292910012</v>
      </c>
      <c r="Q7" s="266">
        <v>50.49049479211488</v>
      </c>
      <c r="R7" s="266">
        <v>49.509505207885113</v>
      </c>
    </row>
    <row r="8" spans="1:21" x14ac:dyDescent="0.2">
      <c r="A8" s="268" t="str">
        <f>'64'!A7</f>
        <v>$ indicates as on April 30, 2019</v>
      </c>
      <c r="B8" s="268"/>
      <c r="C8" s="268"/>
      <c r="D8" s="268"/>
      <c r="E8" s="268"/>
    </row>
    <row r="9" spans="1:21" x14ac:dyDescent="0.2">
      <c r="A9" s="197" t="s">
        <v>967</v>
      </c>
      <c r="J9" s="183" t="s">
        <v>900</v>
      </c>
      <c r="K9" s="165"/>
      <c r="L9" s="165"/>
      <c r="M9" s="165"/>
      <c r="N9" s="165" t="s">
        <v>900</v>
      </c>
      <c r="O9" s="165" t="s">
        <v>900</v>
      </c>
      <c r="P9" s="165"/>
      <c r="Q9" s="165"/>
      <c r="R9" s="165"/>
      <c r="S9" s="165"/>
      <c r="T9" s="165"/>
      <c r="U9" s="165"/>
    </row>
    <row r="10" spans="1:21" x14ac:dyDescent="0.2">
      <c r="A10" s="196" t="s">
        <v>968</v>
      </c>
      <c r="E10" s="268"/>
      <c r="J10" s="165"/>
    </row>
  </sheetData>
  <mergeCells count="15">
    <mergeCell ref="A1:N1"/>
    <mergeCell ref="A2:A4"/>
    <mergeCell ref="B2:E2"/>
    <mergeCell ref="F2:H2"/>
    <mergeCell ref="I2:L2"/>
    <mergeCell ref="M2:P2"/>
    <mergeCell ref="Q2:R2"/>
    <mergeCell ref="B3:C3"/>
    <mergeCell ref="D3:E3"/>
    <mergeCell ref="F3:H3"/>
    <mergeCell ref="I3:J3"/>
    <mergeCell ref="K3:L3"/>
    <mergeCell ref="M3:N3"/>
    <mergeCell ref="O3:P3"/>
    <mergeCell ref="Q3:R3"/>
  </mergeCells>
  <pageMargins left="0.7" right="0.7" top="0.75" bottom="0.75" header="0.3" footer="0.3"/>
  <pageSetup scale="74" orientation="landscape"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99"/>
  <sheetViews>
    <sheetView workbookViewId="0">
      <selection sqref="A1:J1"/>
    </sheetView>
  </sheetViews>
  <sheetFormatPr defaultRowHeight="12.75" x14ac:dyDescent="0.2"/>
  <cols>
    <col min="1" max="1" width="9.42578125" style="269" bestFit="1" customWidth="1"/>
    <col min="2" max="2" width="17.7109375" style="269" customWidth="1"/>
    <col min="3" max="3" width="12.42578125" style="269" customWidth="1"/>
    <col min="4" max="4" width="13" style="269" customWidth="1"/>
    <col min="5" max="5" width="11" style="307" customWidth="1"/>
    <col min="6" max="6" width="11.28515625" style="307" customWidth="1"/>
    <col min="7" max="7" width="12" style="269" customWidth="1"/>
    <col min="8" max="8" width="12.5703125" style="269" customWidth="1"/>
    <col min="9" max="9" width="13" style="307" bestFit="1" customWidth="1"/>
    <col min="10" max="10" width="12" style="307" bestFit="1" customWidth="1"/>
    <col min="11" max="11" width="9.42578125" style="269" bestFit="1" customWidth="1"/>
    <col min="12" max="16384" width="9.140625" style="269"/>
  </cols>
  <sheetData>
    <row r="1" spans="1:14" ht="15" x14ac:dyDescent="0.2">
      <c r="A1" s="551" t="s">
        <v>1067</v>
      </c>
      <c r="B1" s="551"/>
      <c r="C1" s="551"/>
      <c r="D1" s="551"/>
      <c r="E1" s="551"/>
      <c r="F1" s="551"/>
      <c r="G1" s="551"/>
      <c r="H1" s="551"/>
      <c r="I1" s="551"/>
      <c r="J1" s="551"/>
    </row>
    <row r="2" spans="1:14" x14ac:dyDescent="0.2">
      <c r="A2" s="505" t="s">
        <v>969</v>
      </c>
      <c r="B2" s="552" t="s">
        <v>970</v>
      </c>
      <c r="C2" s="553" t="s">
        <v>62</v>
      </c>
      <c r="D2" s="554"/>
      <c r="E2" s="553">
        <v>43191</v>
      </c>
      <c r="F2" s="554"/>
      <c r="G2" s="553">
        <v>43525</v>
      </c>
      <c r="H2" s="554"/>
      <c r="I2" s="553">
        <v>43556</v>
      </c>
      <c r="J2" s="554"/>
    </row>
    <row r="3" spans="1:14" ht="38.25" x14ac:dyDescent="0.2">
      <c r="A3" s="505"/>
      <c r="B3" s="552"/>
      <c r="C3" s="270" t="s">
        <v>935</v>
      </c>
      <c r="D3" s="219" t="s">
        <v>917</v>
      </c>
      <c r="E3" s="270" t="s">
        <v>935</v>
      </c>
      <c r="F3" s="219" t="s">
        <v>917</v>
      </c>
      <c r="G3" s="270" t="s">
        <v>935</v>
      </c>
      <c r="H3" s="219" t="s">
        <v>917</v>
      </c>
      <c r="I3" s="270" t="s">
        <v>935</v>
      </c>
      <c r="J3" s="219" t="s">
        <v>917</v>
      </c>
    </row>
    <row r="4" spans="1:14" ht="15.75" x14ac:dyDescent="0.2">
      <c r="A4" s="539" t="s">
        <v>887</v>
      </c>
      <c r="B4" s="539"/>
      <c r="C4" s="539"/>
      <c r="D4" s="539"/>
      <c r="E4" s="539"/>
      <c r="F4" s="539"/>
      <c r="G4" s="539"/>
      <c r="H4" s="539"/>
      <c r="I4" s="539"/>
      <c r="J4" s="539"/>
    </row>
    <row r="5" spans="1:14" x14ac:dyDescent="0.2">
      <c r="A5" s="271" t="s">
        <v>801</v>
      </c>
      <c r="B5" s="540" t="s">
        <v>909</v>
      </c>
      <c r="C5" s="541"/>
      <c r="D5" s="541"/>
      <c r="E5" s="541"/>
      <c r="F5" s="541"/>
      <c r="G5" s="541"/>
      <c r="H5" s="541"/>
      <c r="I5" s="541"/>
      <c r="J5" s="542"/>
    </row>
    <row r="6" spans="1:14" x14ac:dyDescent="0.2">
      <c r="A6" s="272">
        <v>1</v>
      </c>
      <c r="B6" s="273" t="s">
        <v>971</v>
      </c>
      <c r="C6" s="274">
        <v>0.23213101499999989</v>
      </c>
      <c r="D6" s="275">
        <v>73848.884898400007</v>
      </c>
      <c r="E6" s="274">
        <v>0.21308275099999999</v>
      </c>
      <c r="F6" s="275">
        <v>66209.530344599989</v>
      </c>
      <c r="G6" s="276">
        <v>0.32116161699999995</v>
      </c>
      <c r="H6" s="277">
        <v>102934.60236579999</v>
      </c>
      <c r="I6" s="278">
        <v>0.23213101499999989</v>
      </c>
      <c r="J6" s="277">
        <v>73848.884898400007</v>
      </c>
      <c r="K6" s="279">
        <f>(J6-H6)/H6*100</f>
        <v>-28.256501505720795</v>
      </c>
      <c r="L6" s="279"/>
      <c r="M6" s="279"/>
    </row>
    <row r="7" spans="1:14" x14ac:dyDescent="0.2">
      <c r="A7" s="272">
        <v>2</v>
      </c>
      <c r="B7" s="273" t="s">
        <v>972</v>
      </c>
      <c r="C7" s="275">
        <v>14.897137000000003</v>
      </c>
      <c r="D7" s="275">
        <v>55814.12743030001</v>
      </c>
      <c r="E7" s="275">
        <v>15.222353000000005</v>
      </c>
      <c r="F7" s="275">
        <v>59630.904609100005</v>
      </c>
      <c r="G7" s="277">
        <v>12.75699</v>
      </c>
      <c r="H7" s="277">
        <v>48919.012251399989</v>
      </c>
      <c r="I7" s="280">
        <v>14.897137000000003</v>
      </c>
      <c r="J7" s="277">
        <v>55814.12743030001</v>
      </c>
      <c r="K7" s="279">
        <f>(J7-H7)/H7*100</f>
        <v>14.094959937999757</v>
      </c>
      <c r="L7" s="279"/>
      <c r="M7" s="279"/>
    </row>
    <row r="8" spans="1:14" x14ac:dyDescent="0.2">
      <c r="A8" s="272"/>
      <c r="B8" s="281" t="s">
        <v>973</v>
      </c>
      <c r="C8" s="282">
        <f>SUM(C6:C7)</f>
        <v>15.129268015000003</v>
      </c>
      <c r="D8" s="282">
        <f t="shared" ref="D8:J8" si="0">SUM(D6:D7)</f>
        <v>129663.01232870002</v>
      </c>
      <c r="E8" s="282">
        <f t="shared" si="0"/>
        <v>15.435435751000005</v>
      </c>
      <c r="F8" s="282">
        <f t="shared" si="0"/>
        <v>125840.43495369999</v>
      </c>
      <c r="G8" s="282">
        <f t="shared" si="0"/>
        <v>13.078151617</v>
      </c>
      <c r="H8" s="282">
        <f t="shared" si="0"/>
        <v>151853.61461719999</v>
      </c>
      <c r="I8" s="282">
        <f t="shared" si="0"/>
        <v>15.129268015000003</v>
      </c>
      <c r="J8" s="282">
        <f t="shared" si="0"/>
        <v>129663.01232870002</v>
      </c>
      <c r="K8" s="279">
        <f>(J8-H8)/H8*100</f>
        <v>-14.613153822145836</v>
      </c>
      <c r="L8" s="279"/>
      <c r="M8" s="279"/>
    </row>
    <row r="9" spans="1:14" ht="12.75" customHeight="1" x14ac:dyDescent="0.2">
      <c r="A9" s="283" t="s">
        <v>857</v>
      </c>
      <c r="B9" s="543" t="s">
        <v>974</v>
      </c>
      <c r="C9" s="544"/>
      <c r="D9" s="544"/>
      <c r="E9" s="544"/>
      <c r="F9" s="544"/>
      <c r="G9" s="544"/>
      <c r="H9" s="544"/>
      <c r="I9" s="544"/>
      <c r="J9" s="545"/>
      <c r="K9" s="279"/>
      <c r="L9" s="279"/>
      <c r="M9" s="279"/>
    </row>
    <row r="10" spans="1:14" x14ac:dyDescent="0.2">
      <c r="A10" s="272">
        <v>1</v>
      </c>
      <c r="B10" s="273" t="s">
        <v>975</v>
      </c>
      <c r="C10" s="228">
        <v>692.32599999999991</v>
      </c>
      <c r="D10" s="228">
        <v>9683.8302150000018</v>
      </c>
      <c r="E10" s="275">
        <v>4262.54</v>
      </c>
      <c r="F10" s="275">
        <v>64882.026149999998</v>
      </c>
      <c r="G10" s="228">
        <v>879.98599999999999</v>
      </c>
      <c r="H10" s="228">
        <v>12225.512100000002</v>
      </c>
      <c r="I10" s="280">
        <v>692.32599999999991</v>
      </c>
      <c r="J10" s="275">
        <v>9683.8302150000018</v>
      </c>
      <c r="K10" s="279">
        <f t="shared" ref="K10:K27" si="1">(J10-H10)/H10*100</f>
        <v>-20.789982981571786</v>
      </c>
      <c r="L10" s="279"/>
      <c r="M10" s="279"/>
      <c r="N10" s="279"/>
    </row>
    <row r="11" spans="1:14" x14ac:dyDescent="0.2">
      <c r="A11" s="272">
        <v>2</v>
      </c>
      <c r="B11" s="273" t="s">
        <v>976</v>
      </c>
      <c r="C11" s="228" t="s">
        <v>430</v>
      </c>
      <c r="D11" s="228" t="s">
        <v>430</v>
      </c>
      <c r="E11" s="275">
        <v>4.9390000000000001</v>
      </c>
      <c r="F11" s="275">
        <v>175.364305</v>
      </c>
      <c r="G11" s="275" t="s">
        <v>430</v>
      </c>
      <c r="H11" s="275" t="s">
        <v>430</v>
      </c>
      <c r="I11" s="275" t="s">
        <v>430</v>
      </c>
      <c r="J11" s="275" t="s">
        <v>430</v>
      </c>
      <c r="K11" s="279"/>
      <c r="L11" s="279"/>
      <c r="M11" s="279"/>
    </row>
    <row r="12" spans="1:14" x14ac:dyDescent="0.2">
      <c r="A12" s="272">
        <v>3</v>
      </c>
      <c r="B12" s="273" t="s">
        <v>977</v>
      </c>
      <c r="C12" s="228">
        <v>955.16100000000006</v>
      </c>
      <c r="D12" s="228">
        <v>42859.898412499999</v>
      </c>
      <c r="E12" s="275">
        <v>1086.7239999999999</v>
      </c>
      <c r="F12" s="275">
        <v>48769.53325125001</v>
      </c>
      <c r="G12" s="228">
        <v>918.33925000000011</v>
      </c>
      <c r="H12" s="228">
        <v>41177.238276250013</v>
      </c>
      <c r="I12" s="280">
        <v>955.16100000000006</v>
      </c>
      <c r="J12" s="275">
        <v>42859.898412499999</v>
      </c>
      <c r="K12" s="279">
        <f t="shared" si="1"/>
        <v>4.0863841449524836</v>
      </c>
      <c r="L12" s="279"/>
      <c r="M12" s="279"/>
      <c r="N12" s="279"/>
    </row>
    <row r="13" spans="1:14" x14ac:dyDescent="0.2">
      <c r="A13" s="272">
        <v>4</v>
      </c>
      <c r="B13" s="273" t="s">
        <v>978</v>
      </c>
      <c r="C13" s="228">
        <v>1745.6029999999996</v>
      </c>
      <c r="D13" s="228">
        <v>23756.034465000004</v>
      </c>
      <c r="E13" s="275">
        <v>2054.6459999999997</v>
      </c>
      <c r="F13" s="275">
        <v>31838.551855000002</v>
      </c>
      <c r="G13" s="228">
        <v>2149.9320000000002</v>
      </c>
      <c r="H13" s="228">
        <v>30822.333825000002</v>
      </c>
      <c r="I13" s="280">
        <v>1745.6029999999996</v>
      </c>
      <c r="J13" s="275">
        <v>23756.034465000004</v>
      </c>
      <c r="K13" s="279">
        <f t="shared" si="1"/>
        <v>-22.925906260441966</v>
      </c>
      <c r="L13" s="284"/>
      <c r="M13" s="284"/>
      <c r="N13" s="284"/>
    </row>
    <row r="14" spans="1:14" x14ac:dyDescent="0.2">
      <c r="A14" s="272">
        <v>5</v>
      </c>
      <c r="B14" s="273" t="s">
        <v>979</v>
      </c>
      <c r="C14" s="228">
        <v>256.10084999999998</v>
      </c>
      <c r="D14" s="228">
        <v>22922.506121500002</v>
      </c>
      <c r="E14" s="275">
        <v>440.34719999999999</v>
      </c>
      <c r="F14" s="275">
        <v>41261.816993999993</v>
      </c>
      <c r="G14" s="228">
        <v>289.28560000000004</v>
      </c>
      <c r="H14" s="228">
        <v>26408.500119000004</v>
      </c>
      <c r="I14" s="280">
        <v>256.10084999999998</v>
      </c>
      <c r="J14" s="275">
        <v>22922.506121500002</v>
      </c>
      <c r="K14" s="279">
        <f t="shared" si="1"/>
        <v>-13.200272570542351</v>
      </c>
      <c r="L14" s="279"/>
      <c r="M14" s="279"/>
      <c r="N14" s="279"/>
    </row>
    <row r="15" spans="1:14" x14ac:dyDescent="0.2">
      <c r="A15" s="272">
        <v>6</v>
      </c>
      <c r="B15" s="273" t="s">
        <v>980</v>
      </c>
      <c r="C15" s="228">
        <v>3380.6559999999999</v>
      </c>
      <c r="D15" s="228">
        <v>73750.24933999998</v>
      </c>
      <c r="E15" s="275">
        <v>3145.8280000000009</v>
      </c>
      <c r="F15" s="275">
        <v>66102.643100000001</v>
      </c>
      <c r="G15" s="228">
        <v>4362.8379999999997</v>
      </c>
      <c r="H15" s="228">
        <v>86539.207739999983</v>
      </c>
      <c r="I15" s="280">
        <v>3380.6559999999999</v>
      </c>
      <c r="J15" s="275">
        <v>73750.24933999998</v>
      </c>
      <c r="K15" s="279">
        <f t="shared" si="1"/>
        <v>-14.778224499608767</v>
      </c>
      <c r="L15" s="279"/>
      <c r="M15" s="284"/>
      <c r="N15" s="284"/>
    </row>
    <row r="16" spans="1:14" x14ac:dyDescent="0.2">
      <c r="A16" s="272"/>
      <c r="B16" s="281" t="s">
        <v>981</v>
      </c>
      <c r="C16" s="282">
        <f>SUM(C10:C15)</f>
        <v>7029.8468499999999</v>
      </c>
      <c r="D16" s="282">
        <f t="shared" ref="D16:J16" si="2">SUM(D10:D15)</f>
        <v>172972.51855400001</v>
      </c>
      <c r="E16" s="282">
        <f t="shared" si="2"/>
        <v>10995.024200000002</v>
      </c>
      <c r="F16" s="282">
        <f t="shared" si="2"/>
        <v>253029.93565524998</v>
      </c>
      <c r="G16" s="282">
        <f t="shared" si="2"/>
        <v>8600.3808500000014</v>
      </c>
      <c r="H16" s="282">
        <f t="shared" si="2"/>
        <v>197172.79206025001</v>
      </c>
      <c r="I16" s="282">
        <f t="shared" si="2"/>
        <v>7029.8468499999999</v>
      </c>
      <c r="J16" s="282">
        <f t="shared" si="2"/>
        <v>172972.51855400001</v>
      </c>
      <c r="K16" s="279">
        <f t="shared" si="1"/>
        <v>-12.273637378353467</v>
      </c>
      <c r="L16" s="279"/>
      <c r="M16" s="279"/>
    </row>
    <row r="17" spans="1:13" ht="15" customHeight="1" x14ac:dyDescent="0.2">
      <c r="A17" s="283" t="s">
        <v>870</v>
      </c>
      <c r="B17" s="543" t="s">
        <v>982</v>
      </c>
      <c r="C17" s="544"/>
      <c r="D17" s="544"/>
      <c r="E17" s="544"/>
      <c r="F17" s="544"/>
      <c r="G17" s="544"/>
      <c r="H17" s="544"/>
      <c r="I17" s="544"/>
      <c r="J17" s="545"/>
      <c r="K17" s="279"/>
      <c r="L17" s="279"/>
      <c r="M17" s="279"/>
    </row>
    <row r="18" spans="1:13" x14ac:dyDescent="0.2">
      <c r="A18" s="272">
        <v>1</v>
      </c>
      <c r="B18" s="273" t="s">
        <v>983</v>
      </c>
      <c r="C18" s="285">
        <v>8.4099999999999994E-2</v>
      </c>
      <c r="D18" s="228">
        <v>14.506960999999999</v>
      </c>
      <c r="E18" s="274">
        <v>0.18309999999999998</v>
      </c>
      <c r="F18" s="275">
        <v>18.373867000000004</v>
      </c>
      <c r="G18" s="285">
        <v>5.6000000000000008E-2</v>
      </c>
      <c r="H18" s="228">
        <v>8.7345030000000001</v>
      </c>
      <c r="I18" s="286">
        <v>8.4099999999999994E-2</v>
      </c>
      <c r="J18" s="275">
        <v>14.506960999999999</v>
      </c>
      <c r="K18" s="279">
        <f t="shared" si="1"/>
        <v>66.087996077166594</v>
      </c>
      <c r="L18" s="279"/>
      <c r="M18" s="279"/>
    </row>
    <row r="19" spans="1:13" x14ac:dyDescent="0.2">
      <c r="A19" s="272">
        <v>2</v>
      </c>
      <c r="B19" s="273" t="s">
        <v>984</v>
      </c>
      <c r="C19" s="228">
        <v>594.14575000000013</v>
      </c>
      <c r="D19" s="228">
        <v>7785.2231499999998</v>
      </c>
      <c r="E19" s="275">
        <v>264.83449999999999</v>
      </c>
      <c r="F19" s="275">
        <v>3238.3743749999999</v>
      </c>
      <c r="G19" s="228">
        <v>519.16724999999997</v>
      </c>
      <c r="H19" s="228">
        <v>6505.6240250000001</v>
      </c>
      <c r="I19" s="280">
        <v>594.14575000000013</v>
      </c>
      <c r="J19" s="275">
        <v>7785.2231499999998</v>
      </c>
      <c r="K19" s="279">
        <f t="shared" si="1"/>
        <v>19.66912197942456</v>
      </c>
      <c r="L19" s="279"/>
      <c r="M19" s="279"/>
    </row>
    <row r="20" spans="1:13" x14ac:dyDescent="0.2">
      <c r="A20" s="272">
        <v>3</v>
      </c>
      <c r="B20" s="273" t="s">
        <v>985</v>
      </c>
      <c r="C20" s="228">
        <v>391.08000000000004</v>
      </c>
      <c r="D20" s="228">
        <v>2119.0546399999998</v>
      </c>
      <c r="E20" s="275">
        <v>405.17000000000007</v>
      </c>
      <c r="F20" s="275">
        <v>2628.2279899999999</v>
      </c>
      <c r="G20" s="228">
        <v>411.07000000000005</v>
      </c>
      <c r="H20" s="228">
        <v>2183.0701099999997</v>
      </c>
      <c r="I20" s="280">
        <v>391.08000000000004</v>
      </c>
      <c r="J20" s="275">
        <v>2119.0546399999998</v>
      </c>
      <c r="K20" s="279">
        <f t="shared" si="1"/>
        <v>-2.9323597857331221</v>
      </c>
      <c r="L20" s="279"/>
      <c r="M20" s="279"/>
    </row>
    <row r="21" spans="1:13" ht="12" customHeight="1" x14ac:dyDescent="0.2">
      <c r="A21" s="272">
        <v>4</v>
      </c>
      <c r="B21" s="273" t="s">
        <v>986</v>
      </c>
      <c r="C21" s="228">
        <v>6.0782400000000001</v>
      </c>
      <c r="D21" s="228">
        <v>886.93573319999985</v>
      </c>
      <c r="E21" s="275">
        <v>11.1996</v>
      </c>
      <c r="F21" s="275">
        <v>1497.0987215999999</v>
      </c>
      <c r="G21" s="228">
        <v>6.2139599999999993</v>
      </c>
      <c r="H21" s="228">
        <v>1009.2882132000002</v>
      </c>
      <c r="I21" s="280">
        <v>6.0782400000000001</v>
      </c>
      <c r="J21" s="275">
        <v>886.93573319999985</v>
      </c>
      <c r="K21" s="279">
        <f t="shared" si="1"/>
        <v>-12.122650240021681</v>
      </c>
      <c r="L21" s="279"/>
      <c r="M21" s="279"/>
    </row>
    <row r="22" spans="1:13" ht="13.5" customHeight="1" x14ac:dyDescent="0.2">
      <c r="A22" s="272"/>
      <c r="B22" s="281" t="s">
        <v>987</v>
      </c>
      <c r="C22" s="282">
        <f t="shared" ref="C22:J22" si="3">SUM(C18:C21)</f>
        <v>991.38809000000026</v>
      </c>
      <c r="D22" s="282">
        <f t="shared" si="3"/>
        <v>10805.720484199999</v>
      </c>
      <c r="E22" s="282">
        <f t="shared" si="3"/>
        <v>681.38720000000012</v>
      </c>
      <c r="F22" s="282">
        <f t="shared" si="3"/>
        <v>7382.0749535999985</v>
      </c>
      <c r="G22" s="282">
        <f t="shared" si="3"/>
        <v>936.5072100000001</v>
      </c>
      <c r="H22" s="282">
        <f t="shared" si="3"/>
        <v>9706.7168511999989</v>
      </c>
      <c r="I22" s="282">
        <f t="shared" si="3"/>
        <v>991.38809000000026</v>
      </c>
      <c r="J22" s="282">
        <f t="shared" si="3"/>
        <v>10805.720484199999</v>
      </c>
      <c r="K22" s="279">
        <f t="shared" si="1"/>
        <v>11.322094276028411</v>
      </c>
      <c r="L22" s="279"/>
      <c r="M22" s="279"/>
    </row>
    <row r="23" spans="1:13" x14ac:dyDescent="0.2">
      <c r="A23" s="283" t="s">
        <v>988</v>
      </c>
      <c r="B23" s="543" t="s">
        <v>910</v>
      </c>
      <c r="C23" s="544"/>
      <c r="D23" s="544"/>
      <c r="E23" s="544"/>
      <c r="F23" s="544"/>
      <c r="G23" s="544"/>
      <c r="H23" s="544"/>
      <c r="I23" s="544"/>
      <c r="J23" s="545"/>
      <c r="K23" s="279"/>
      <c r="L23" s="279" t="s">
        <v>900</v>
      </c>
      <c r="M23" s="279"/>
    </row>
    <row r="24" spans="1:13" x14ac:dyDescent="0.2">
      <c r="A24" s="272">
        <v>1</v>
      </c>
      <c r="B24" s="273" t="s">
        <v>989</v>
      </c>
      <c r="C24" s="228">
        <v>62102.356971425492</v>
      </c>
      <c r="D24" s="228">
        <v>202058.65768500004</v>
      </c>
      <c r="E24" s="275">
        <v>50265.019828433498</v>
      </c>
      <c r="F24" s="275">
        <v>159948.61998699998</v>
      </c>
      <c r="G24" s="228">
        <v>68525.5139540565</v>
      </c>
      <c r="H24" s="228">
        <v>203182.74584300004</v>
      </c>
      <c r="I24" s="280">
        <v>62102.356971425492</v>
      </c>
      <c r="J24" s="275">
        <v>202058.65768500004</v>
      </c>
      <c r="K24" s="279">
        <f t="shared" si="1"/>
        <v>-0.55323996795898467</v>
      </c>
      <c r="L24" s="279"/>
      <c r="M24" s="279"/>
    </row>
    <row r="25" spans="1:13" ht="25.5" x14ac:dyDescent="0.2">
      <c r="A25" s="272">
        <v>2</v>
      </c>
      <c r="B25" s="273" t="s">
        <v>990</v>
      </c>
      <c r="C25" s="287">
        <v>638.53125</v>
      </c>
      <c r="D25" s="287">
        <v>11613.1554375</v>
      </c>
      <c r="E25" s="288">
        <v>875.41375000000005</v>
      </c>
      <c r="F25" s="288">
        <v>15662.086424999998</v>
      </c>
      <c r="G25" s="287">
        <v>794.37374999999997</v>
      </c>
      <c r="H25" s="287">
        <v>15552.202312500001</v>
      </c>
      <c r="I25" s="289">
        <v>638.53125</v>
      </c>
      <c r="J25" s="288">
        <v>11613.1554375</v>
      </c>
      <c r="K25" s="279">
        <f t="shared" si="1"/>
        <v>-25.327904021888997</v>
      </c>
      <c r="L25" s="279"/>
      <c r="M25" s="279"/>
    </row>
    <row r="26" spans="1:13" x14ac:dyDescent="0.2">
      <c r="A26" s="283"/>
      <c r="B26" s="281" t="s">
        <v>991</v>
      </c>
      <c r="C26" s="223">
        <f>C24</f>
        <v>62102.356971425492</v>
      </c>
      <c r="D26" s="223">
        <f>SUM(D24:D25)</f>
        <v>213671.81312250005</v>
      </c>
      <c r="E26" s="223">
        <f>E24</f>
        <v>50265.019828433498</v>
      </c>
      <c r="F26" s="223">
        <f>SUM(F24:F25)</f>
        <v>175610.70641199997</v>
      </c>
      <c r="G26" s="223">
        <f>G24</f>
        <v>68525.5139540565</v>
      </c>
      <c r="H26" s="223">
        <f>SUM(H24:H25)</f>
        <v>218734.94815550005</v>
      </c>
      <c r="I26" s="223">
        <f>I24</f>
        <v>62102.356971425492</v>
      </c>
      <c r="J26" s="223">
        <f>SUM(J24:J25)</f>
        <v>213671.81312250005</v>
      </c>
      <c r="K26" s="279" t="s">
        <v>900</v>
      </c>
      <c r="L26" s="279"/>
      <c r="M26" s="279"/>
    </row>
    <row r="27" spans="1:13" ht="15" customHeight="1" x14ac:dyDescent="0.2">
      <c r="A27" s="546" t="s">
        <v>992</v>
      </c>
      <c r="B27" s="546"/>
      <c r="C27" s="223">
        <f>C26+C22+C16+C8</f>
        <v>70138.721179440501</v>
      </c>
      <c r="D27" s="223">
        <f>D26+D22+D16+D8</f>
        <v>527113.06448940013</v>
      </c>
      <c r="E27" s="223">
        <f>E26+E22+E16+E8</f>
        <v>61956.866664184497</v>
      </c>
      <c r="F27" s="223">
        <f>F26+F22+F16+F8</f>
        <v>561863.15197454998</v>
      </c>
      <c r="G27" s="223">
        <f>SUM(G8+G16+G22+G26)</f>
        <v>78075.480165673507</v>
      </c>
      <c r="H27" s="223">
        <f>H26+H22+H16+H8</f>
        <v>577468.07168415003</v>
      </c>
      <c r="I27" s="223">
        <f>I26+I22+I16+I8</f>
        <v>70138.721179440501</v>
      </c>
      <c r="J27" s="223">
        <f>J26+J22+J16+J8</f>
        <v>527113.06448940013</v>
      </c>
      <c r="K27" s="279">
        <f t="shared" si="1"/>
        <v>-8.7199638670745241</v>
      </c>
    </row>
    <row r="28" spans="1:13" ht="15" customHeight="1" x14ac:dyDescent="0.2">
      <c r="A28" s="539" t="s">
        <v>888</v>
      </c>
      <c r="B28" s="539"/>
      <c r="C28" s="539"/>
      <c r="D28" s="539"/>
      <c r="E28" s="539"/>
      <c r="F28" s="539"/>
      <c r="G28" s="539"/>
      <c r="H28" s="539"/>
      <c r="I28" s="539"/>
      <c r="J28" s="539"/>
      <c r="K28" s="269" t="s">
        <v>900</v>
      </c>
    </row>
    <row r="29" spans="1:13" ht="15" customHeight="1" x14ac:dyDescent="0.2">
      <c r="A29" s="290" t="s">
        <v>993</v>
      </c>
      <c r="B29" s="540" t="s">
        <v>909</v>
      </c>
      <c r="C29" s="541"/>
      <c r="D29" s="541"/>
      <c r="E29" s="541"/>
      <c r="F29" s="541"/>
      <c r="G29" s="541"/>
      <c r="H29" s="541"/>
      <c r="I29" s="541"/>
      <c r="J29" s="542"/>
      <c r="L29" s="269" t="s">
        <v>900</v>
      </c>
    </row>
    <row r="30" spans="1:13" ht="15" customHeight="1" x14ac:dyDescent="0.2">
      <c r="A30" s="291">
        <v>1</v>
      </c>
      <c r="B30" s="292" t="s">
        <v>971</v>
      </c>
      <c r="C30" s="285">
        <v>8.2609999999999992E-3</v>
      </c>
      <c r="D30" s="285">
        <v>2660.1477900000004</v>
      </c>
      <c r="E30" s="293">
        <v>8.3880000000000014E-3</v>
      </c>
      <c r="F30" s="293">
        <v>2640.4238849999997</v>
      </c>
      <c r="G30" s="285">
        <v>2.3273000000000002E-2</v>
      </c>
      <c r="H30" s="285">
        <v>7579.6182550000003</v>
      </c>
      <c r="I30" s="285">
        <v>8.2609999999999992E-3</v>
      </c>
      <c r="J30" s="285">
        <v>2660.1477900000004</v>
      </c>
      <c r="K30" s="279">
        <f>(J30-H30)/H30*100</f>
        <v>-64.903934466024111</v>
      </c>
    </row>
    <row r="31" spans="1:13" ht="15" customHeight="1" x14ac:dyDescent="0.2">
      <c r="A31" s="291">
        <v>2</v>
      </c>
      <c r="B31" s="292" t="s">
        <v>972</v>
      </c>
      <c r="C31" s="285">
        <v>0.29493000000000003</v>
      </c>
      <c r="D31" s="285">
        <v>1133.8833479999996</v>
      </c>
      <c r="E31" s="294">
        <v>0</v>
      </c>
      <c r="F31" s="294">
        <v>0</v>
      </c>
      <c r="G31" s="293">
        <v>0.1779</v>
      </c>
      <c r="H31" s="293">
        <v>704.21693400000004</v>
      </c>
      <c r="I31" s="285">
        <v>0.29493000000000003</v>
      </c>
      <c r="J31" s="285">
        <v>1133.8833479999996</v>
      </c>
      <c r="K31" s="279">
        <f t="shared" ref="K31:K39" si="4">(J31-H31)/H31*100</f>
        <v>61.013360124623127</v>
      </c>
    </row>
    <row r="32" spans="1:13" ht="15" customHeight="1" x14ac:dyDescent="0.2">
      <c r="A32" s="295"/>
      <c r="B32" s="296" t="s">
        <v>994</v>
      </c>
      <c r="C32" s="297">
        <f>SUM(C30:C31)</f>
        <v>0.30319100000000004</v>
      </c>
      <c r="D32" s="297">
        <f t="shared" ref="D32:J32" si="5">SUM(D30:D31)</f>
        <v>3794.0311380000003</v>
      </c>
      <c r="E32" s="297">
        <f t="shared" si="5"/>
        <v>8.3880000000000014E-3</v>
      </c>
      <c r="F32" s="297">
        <f t="shared" si="5"/>
        <v>2640.4238849999997</v>
      </c>
      <c r="G32" s="297">
        <f t="shared" si="5"/>
        <v>0.20117299999999999</v>
      </c>
      <c r="H32" s="297">
        <f t="shared" si="5"/>
        <v>8283.8351890000013</v>
      </c>
      <c r="I32" s="297">
        <f t="shared" si="5"/>
        <v>0.30319100000000004</v>
      </c>
      <c r="J32" s="297">
        <f t="shared" si="5"/>
        <v>3794.0311380000003</v>
      </c>
      <c r="K32" s="279">
        <f t="shared" si="4"/>
        <v>-54.199582060275105</v>
      </c>
    </row>
    <row r="33" spans="1:11" ht="15" customHeight="1" x14ac:dyDescent="0.2">
      <c r="A33" s="295" t="s">
        <v>995</v>
      </c>
      <c r="B33" s="547" t="s">
        <v>996</v>
      </c>
      <c r="C33" s="548"/>
      <c r="D33" s="548"/>
      <c r="E33" s="548"/>
      <c r="F33" s="548"/>
      <c r="G33" s="548"/>
      <c r="H33" s="548"/>
      <c r="I33" s="548"/>
      <c r="J33" s="549"/>
      <c r="K33" s="279"/>
    </row>
    <row r="34" spans="1:11" ht="15" customHeight="1" x14ac:dyDescent="0.2">
      <c r="A34" s="291">
        <v>1</v>
      </c>
      <c r="B34" s="298" t="s">
        <v>977</v>
      </c>
      <c r="C34" s="285">
        <v>5.851</v>
      </c>
      <c r="D34" s="285">
        <v>265.17124899999999</v>
      </c>
      <c r="E34" s="294">
        <v>0</v>
      </c>
      <c r="F34" s="294">
        <v>0</v>
      </c>
      <c r="G34" s="293">
        <v>5.3559999999999999</v>
      </c>
      <c r="H34" s="293">
        <v>244.78430700000001</v>
      </c>
      <c r="I34" s="285">
        <v>5.851</v>
      </c>
      <c r="J34" s="285">
        <v>265.17124899999999</v>
      </c>
      <c r="K34" s="279">
        <f t="shared" si="4"/>
        <v>8.3285330868861518</v>
      </c>
    </row>
    <row r="35" spans="1:11" ht="15" customHeight="1" x14ac:dyDescent="0.2">
      <c r="A35" s="291">
        <v>2</v>
      </c>
      <c r="B35" s="298" t="s">
        <v>980</v>
      </c>
      <c r="C35" s="285">
        <v>21.310000000000002</v>
      </c>
      <c r="D35" s="285">
        <v>477.59880500000003</v>
      </c>
      <c r="E35" s="294">
        <v>0</v>
      </c>
      <c r="F35" s="294">
        <v>0</v>
      </c>
      <c r="G35" s="293">
        <v>20.935000000000002</v>
      </c>
      <c r="H35" s="293">
        <v>419.66460000000001</v>
      </c>
      <c r="I35" s="285">
        <v>21.310000000000002</v>
      </c>
      <c r="J35" s="285">
        <v>477.59880500000003</v>
      </c>
      <c r="K35" s="279">
        <f t="shared" si="4"/>
        <v>13.804882518087066</v>
      </c>
    </row>
    <row r="36" spans="1:11" ht="15" customHeight="1" x14ac:dyDescent="0.2">
      <c r="A36" s="291"/>
      <c r="B36" s="296" t="s">
        <v>997</v>
      </c>
      <c r="C36" s="297">
        <f>SUM(C34:C35)</f>
        <v>27.161000000000001</v>
      </c>
      <c r="D36" s="297">
        <f>SUM(D34:D35)</f>
        <v>742.77005400000007</v>
      </c>
      <c r="E36" s="294">
        <v>0</v>
      </c>
      <c r="F36" s="294">
        <v>0</v>
      </c>
      <c r="G36" s="299">
        <f>SUM(G34:G35)</f>
        <v>26.291000000000004</v>
      </c>
      <c r="H36" s="299">
        <f>SUM(H34:H35)</f>
        <v>664.44890699999996</v>
      </c>
      <c r="I36" s="297">
        <f>SUM(I34:I35)</f>
        <v>27.161000000000001</v>
      </c>
      <c r="J36" s="297">
        <f>SUM(J34:J35)</f>
        <v>742.77005400000007</v>
      </c>
      <c r="K36" s="279">
        <f t="shared" si="4"/>
        <v>11.787384428642023</v>
      </c>
    </row>
    <row r="37" spans="1:11" ht="15" customHeight="1" x14ac:dyDescent="0.2">
      <c r="A37" s="295" t="s">
        <v>998</v>
      </c>
      <c r="B37" s="547" t="s">
        <v>910</v>
      </c>
      <c r="C37" s="548"/>
      <c r="D37" s="548"/>
      <c r="E37" s="548"/>
      <c r="F37" s="548"/>
      <c r="G37" s="548"/>
      <c r="H37" s="548"/>
      <c r="I37" s="548"/>
      <c r="J37" s="549"/>
      <c r="K37" s="279"/>
    </row>
    <row r="38" spans="1:11" ht="15" customHeight="1" x14ac:dyDescent="0.2">
      <c r="A38" s="291">
        <v>1</v>
      </c>
      <c r="B38" s="298" t="s">
        <v>989</v>
      </c>
      <c r="C38" s="285">
        <v>1272.7148888500001</v>
      </c>
      <c r="D38" s="285">
        <v>4148.4456880000007</v>
      </c>
      <c r="E38" s="294">
        <v>0</v>
      </c>
      <c r="F38" s="294">
        <v>0</v>
      </c>
      <c r="G38" s="293">
        <v>1243.260591015</v>
      </c>
      <c r="H38" s="293">
        <v>3702.7328409999996</v>
      </c>
      <c r="I38" s="285">
        <v>1272.7148888500001</v>
      </c>
      <c r="J38" s="285">
        <v>4148.4456880000007</v>
      </c>
      <c r="K38" s="279">
        <f t="shared" si="4"/>
        <v>12.03740226852627</v>
      </c>
    </row>
    <row r="39" spans="1:11" ht="15" customHeight="1" x14ac:dyDescent="0.2">
      <c r="A39" s="550" t="s">
        <v>999</v>
      </c>
      <c r="B39" s="550"/>
      <c r="C39" s="297">
        <f t="shared" ref="C39:J39" si="6">SUM(C32+C36+C38)</f>
        <v>1300.1790798500001</v>
      </c>
      <c r="D39" s="297">
        <f>SUM(D32+D36+D38)</f>
        <v>8685.2468800000024</v>
      </c>
      <c r="E39" s="297">
        <f>SUM(E32)</f>
        <v>8.3880000000000014E-3</v>
      </c>
      <c r="F39" s="297">
        <f>SUM(F32)</f>
        <v>2640.4238849999997</v>
      </c>
      <c r="G39" s="297">
        <f t="shared" si="6"/>
        <v>1269.7527640150001</v>
      </c>
      <c r="H39" s="297">
        <f t="shared" si="6"/>
        <v>12651.016937</v>
      </c>
      <c r="I39" s="297">
        <f t="shared" si="6"/>
        <v>1300.1790798500001</v>
      </c>
      <c r="J39" s="297">
        <f t="shared" si="6"/>
        <v>8685.2468800000024</v>
      </c>
      <c r="K39" s="279">
        <f t="shared" si="4"/>
        <v>-31.347440895454376</v>
      </c>
    </row>
    <row r="40" spans="1:11" x14ac:dyDescent="0.2">
      <c r="A40" s="300" t="str">
        <f>'64'!A7</f>
        <v>$ indicates as on April 30, 2019</v>
      </c>
      <c r="B40" s="301"/>
      <c r="E40" s="269"/>
      <c r="F40" s="269"/>
      <c r="I40" s="269"/>
      <c r="J40" s="302"/>
    </row>
    <row r="41" spans="1:11" x14ac:dyDescent="0.2">
      <c r="A41" s="269" t="s">
        <v>1000</v>
      </c>
      <c r="E41" s="269"/>
      <c r="F41" s="269"/>
      <c r="I41" s="285"/>
      <c r="J41" s="269"/>
    </row>
    <row r="42" spans="1:11" x14ac:dyDescent="0.2">
      <c r="A42" s="269" t="s">
        <v>1001</v>
      </c>
      <c r="E42" s="269"/>
      <c r="F42" s="269" t="s">
        <v>900</v>
      </c>
      <c r="G42" s="303"/>
      <c r="I42" s="269"/>
      <c r="J42" s="269"/>
    </row>
    <row r="43" spans="1:11" x14ac:dyDescent="0.2">
      <c r="A43" s="538" t="s">
        <v>1002</v>
      </c>
      <c r="B43" s="538"/>
      <c r="C43" s="538"/>
      <c r="D43" s="538"/>
      <c r="E43" s="538"/>
      <c r="F43" s="538"/>
      <c r="G43" s="538"/>
      <c r="H43" s="538"/>
      <c r="I43" s="538"/>
      <c r="J43" s="269"/>
    </row>
    <row r="44" spans="1:11" x14ac:dyDescent="0.2">
      <c r="A44" s="237" t="s">
        <v>1003</v>
      </c>
      <c r="E44" s="304"/>
      <c r="F44" s="304"/>
      <c r="I44" s="279"/>
      <c r="J44" s="269"/>
    </row>
    <row r="45" spans="1:11" x14ac:dyDescent="0.2">
      <c r="C45" s="303"/>
      <c r="D45" s="303"/>
      <c r="E45" s="303"/>
      <c r="F45" s="269"/>
      <c r="G45" s="303"/>
      <c r="H45" s="303"/>
      <c r="I45" s="303"/>
      <c r="J45" s="303"/>
    </row>
    <row r="46" spans="1:11" x14ac:dyDescent="0.2">
      <c r="E46" s="304"/>
      <c r="F46" s="304"/>
      <c r="I46" s="269"/>
      <c r="J46" s="269"/>
    </row>
    <row r="47" spans="1:11" x14ac:dyDescent="0.2">
      <c r="E47" s="304"/>
      <c r="F47" s="304"/>
      <c r="I47" s="269"/>
      <c r="J47" s="269"/>
    </row>
    <row r="48" spans="1:11" x14ac:dyDescent="0.2">
      <c r="E48" s="304"/>
      <c r="F48" s="304"/>
      <c r="I48" s="269"/>
      <c r="J48" s="269"/>
    </row>
    <row r="49" spans="5:10" x14ac:dyDescent="0.2">
      <c r="E49" s="304"/>
      <c r="F49" s="304"/>
      <c r="H49" s="305"/>
      <c r="I49" s="269"/>
      <c r="J49" s="269"/>
    </row>
    <row r="50" spans="5:10" x14ac:dyDescent="0.2">
      <c r="E50" s="304"/>
      <c r="F50" s="304"/>
      <c r="I50" s="269"/>
      <c r="J50" s="269"/>
    </row>
    <row r="51" spans="5:10" x14ac:dyDescent="0.2">
      <c r="E51" s="304"/>
      <c r="F51" s="304"/>
      <c r="I51" s="269"/>
      <c r="J51" s="269"/>
    </row>
    <row r="52" spans="5:10" x14ac:dyDescent="0.2">
      <c r="E52" s="304"/>
      <c r="F52" s="304"/>
      <c r="I52" s="306"/>
      <c r="J52" s="304"/>
    </row>
    <row r="53" spans="5:10" x14ac:dyDescent="0.2">
      <c r="E53" s="304"/>
      <c r="F53" s="304"/>
      <c r="I53" s="306"/>
      <c r="J53" s="304"/>
    </row>
    <row r="54" spans="5:10" x14ac:dyDescent="0.2">
      <c r="E54" s="304"/>
      <c r="F54" s="304"/>
      <c r="I54" s="306"/>
      <c r="J54" s="304"/>
    </row>
    <row r="55" spans="5:10" x14ac:dyDescent="0.2">
      <c r="E55" s="304"/>
      <c r="F55" s="304"/>
      <c r="I55" s="306"/>
      <c r="J55" s="304"/>
    </row>
    <row r="56" spans="5:10" x14ac:dyDescent="0.2">
      <c r="E56" s="304"/>
      <c r="F56" s="304"/>
      <c r="I56" s="306"/>
      <c r="J56" s="304"/>
    </row>
    <row r="57" spans="5:10" x14ac:dyDescent="0.2">
      <c r="E57" s="304"/>
      <c r="F57" s="304"/>
      <c r="I57" s="306"/>
      <c r="J57" s="304"/>
    </row>
    <row r="58" spans="5:10" x14ac:dyDescent="0.2">
      <c r="E58" s="304"/>
      <c r="F58" s="304"/>
      <c r="I58" s="306"/>
      <c r="J58" s="304"/>
    </row>
    <row r="59" spans="5:10" x14ac:dyDescent="0.2">
      <c r="E59" s="304"/>
      <c r="F59" s="304"/>
      <c r="I59" s="306"/>
      <c r="J59" s="304"/>
    </row>
    <row r="60" spans="5:10" x14ac:dyDescent="0.2">
      <c r="E60" s="304"/>
      <c r="F60" s="304"/>
      <c r="I60" s="304"/>
      <c r="J60" s="304"/>
    </row>
    <row r="61" spans="5:10" x14ac:dyDescent="0.2">
      <c r="E61" s="304"/>
      <c r="F61" s="304"/>
      <c r="I61" s="304"/>
      <c r="J61" s="304"/>
    </row>
    <row r="62" spans="5:10" x14ac:dyDescent="0.2">
      <c r="E62" s="304"/>
      <c r="F62" s="304"/>
      <c r="I62" s="304"/>
      <c r="J62" s="304"/>
    </row>
    <row r="63" spans="5:10" x14ac:dyDescent="0.2">
      <c r="E63" s="304"/>
      <c r="F63" s="304"/>
      <c r="I63" s="304"/>
      <c r="J63" s="304"/>
    </row>
    <row r="64" spans="5:10" x14ac:dyDescent="0.2">
      <c r="E64" s="304"/>
      <c r="F64" s="304"/>
      <c r="I64" s="304"/>
      <c r="J64" s="304"/>
    </row>
    <row r="65" spans="5:10" x14ac:dyDescent="0.2">
      <c r="E65" s="304"/>
      <c r="F65" s="304"/>
      <c r="I65" s="304"/>
      <c r="J65" s="304"/>
    </row>
    <row r="66" spans="5:10" x14ac:dyDescent="0.2">
      <c r="E66" s="304"/>
      <c r="F66" s="304"/>
      <c r="I66" s="304"/>
      <c r="J66" s="304"/>
    </row>
    <row r="67" spans="5:10" x14ac:dyDescent="0.2">
      <c r="E67" s="304"/>
      <c r="F67" s="304"/>
      <c r="I67" s="304"/>
      <c r="J67" s="304"/>
    </row>
    <row r="68" spans="5:10" x14ac:dyDescent="0.2">
      <c r="E68" s="304"/>
      <c r="F68" s="304"/>
      <c r="I68" s="304"/>
      <c r="J68" s="304"/>
    </row>
    <row r="69" spans="5:10" x14ac:dyDescent="0.2">
      <c r="E69" s="304"/>
      <c r="F69" s="304"/>
      <c r="I69" s="304"/>
      <c r="J69" s="304"/>
    </row>
    <row r="70" spans="5:10" x14ac:dyDescent="0.2">
      <c r="E70" s="304"/>
      <c r="F70" s="304"/>
      <c r="I70" s="304"/>
      <c r="J70" s="304"/>
    </row>
    <row r="71" spans="5:10" x14ac:dyDescent="0.2">
      <c r="E71" s="304"/>
      <c r="F71" s="304"/>
      <c r="I71" s="304"/>
      <c r="J71" s="304"/>
    </row>
    <row r="72" spans="5:10" x14ac:dyDescent="0.2">
      <c r="E72" s="304"/>
      <c r="F72" s="304"/>
      <c r="I72" s="304"/>
      <c r="J72" s="304"/>
    </row>
    <row r="73" spans="5:10" x14ac:dyDescent="0.2">
      <c r="E73" s="304"/>
      <c r="F73" s="304"/>
      <c r="I73" s="304"/>
      <c r="J73" s="304"/>
    </row>
    <row r="74" spans="5:10" x14ac:dyDescent="0.2">
      <c r="E74" s="304"/>
      <c r="F74" s="304"/>
      <c r="I74" s="304"/>
      <c r="J74" s="304"/>
    </row>
    <row r="75" spans="5:10" x14ac:dyDescent="0.2">
      <c r="E75" s="304"/>
      <c r="F75" s="304"/>
      <c r="I75" s="304"/>
      <c r="J75" s="304"/>
    </row>
    <row r="76" spans="5:10" x14ac:dyDescent="0.2">
      <c r="E76" s="304"/>
      <c r="F76" s="304"/>
      <c r="I76" s="304"/>
      <c r="J76" s="304"/>
    </row>
    <row r="77" spans="5:10" x14ac:dyDescent="0.2">
      <c r="E77" s="304"/>
      <c r="F77" s="304"/>
      <c r="I77" s="304"/>
      <c r="J77" s="304"/>
    </row>
    <row r="78" spans="5:10" x14ac:dyDescent="0.2">
      <c r="E78" s="304"/>
      <c r="F78" s="304"/>
      <c r="I78" s="304"/>
      <c r="J78" s="304"/>
    </row>
    <row r="79" spans="5:10" x14ac:dyDescent="0.2">
      <c r="E79" s="304"/>
      <c r="F79" s="304"/>
      <c r="I79" s="304"/>
      <c r="J79" s="304"/>
    </row>
    <row r="80" spans="5:10" x14ac:dyDescent="0.2">
      <c r="E80" s="304"/>
      <c r="F80" s="304"/>
      <c r="I80" s="304"/>
      <c r="J80" s="304"/>
    </row>
    <row r="81" spans="5:10" x14ac:dyDescent="0.2">
      <c r="E81" s="304"/>
      <c r="F81" s="304"/>
      <c r="I81" s="304"/>
      <c r="J81" s="304"/>
    </row>
    <row r="82" spans="5:10" x14ac:dyDescent="0.2">
      <c r="E82" s="304"/>
      <c r="F82" s="304"/>
      <c r="I82" s="304"/>
      <c r="J82" s="304"/>
    </row>
    <row r="83" spans="5:10" x14ac:dyDescent="0.2">
      <c r="E83" s="304"/>
      <c r="F83" s="304"/>
      <c r="I83" s="304"/>
      <c r="J83" s="304"/>
    </row>
    <row r="84" spans="5:10" x14ac:dyDescent="0.2">
      <c r="E84" s="304"/>
      <c r="F84" s="304"/>
      <c r="I84" s="304"/>
      <c r="J84" s="304"/>
    </row>
    <row r="85" spans="5:10" x14ac:dyDescent="0.2">
      <c r="E85" s="304"/>
      <c r="F85" s="304"/>
      <c r="I85" s="304"/>
      <c r="J85" s="304"/>
    </row>
    <row r="86" spans="5:10" x14ac:dyDescent="0.2">
      <c r="E86" s="304"/>
      <c r="F86" s="304"/>
      <c r="I86" s="304"/>
      <c r="J86" s="304"/>
    </row>
    <row r="87" spans="5:10" x14ac:dyDescent="0.2">
      <c r="E87" s="304"/>
      <c r="F87" s="304"/>
      <c r="I87" s="304"/>
      <c r="J87" s="304"/>
    </row>
    <row r="88" spans="5:10" x14ac:dyDescent="0.2">
      <c r="E88" s="304"/>
      <c r="F88" s="304"/>
      <c r="I88" s="304"/>
      <c r="J88" s="304"/>
    </row>
    <row r="89" spans="5:10" x14ac:dyDescent="0.2">
      <c r="E89" s="304"/>
      <c r="F89" s="304"/>
      <c r="I89" s="304"/>
      <c r="J89" s="304"/>
    </row>
    <row r="90" spans="5:10" x14ac:dyDescent="0.2">
      <c r="E90" s="304"/>
      <c r="F90" s="304"/>
      <c r="I90" s="304"/>
      <c r="J90" s="304"/>
    </row>
    <row r="91" spans="5:10" x14ac:dyDescent="0.2">
      <c r="E91" s="304"/>
      <c r="F91" s="304"/>
      <c r="I91" s="304"/>
      <c r="J91" s="304"/>
    </row>
    <row r="92" spans="5:10" x14ac:dyDescent="0.2">
      <c r="E92" s="304"/>
      <c r="F92" s="304"/>
      <c r="I92" s="304"/>
      <c r="J92" s="304"/>
    </row>
    <row r="93" spans="5:10" x14ac:dyDescent="0.2">
      <c r="E93" s="304"/>
      <c r="F93" s="304"/>
      <c r="I93" s="304"/>
      <c r="J93" s="304"/>
    </row>
    <row r="94" spans="5:10" x14ac:dyDescent="0.2">
      <c r="E94" s="304"/>
      <c r="F94" s="304"/>
      <c r="I94" s="304"/>
      <c r="J94" s="304"/>
    </row>
    <row r="95" spans="5:10" x14ac:dyDescent="0.2">
      <c r="E95" s="304"/>
      <c r="F95" s="304"/>
      <c r="I95" s="304"/>
      <c r="J95" s="304"/>
    </row>
    <row r="96" spans="5:10" x14ac:dyDescent="0.2">
      <c r="E96" s="304"/>
      <c r="F96" s="304"/>
      <c r="I96" s="304"/>
      <c r="J96" s="304"/>
    </row>
    <row r="97" spans="5:10" x14ac:dyDescent="0.2">
      <c r="E97" s="304"/>
      <c r="F97" s="304"/>
      <c r="I97" s="304"/>
      <c r="J97" s="304"/>
    </row>
    <row r="98" spans="5:10" x14ac:dyDescent="0.2">
      <c r="E98" s="304"/>
      <c r="F98" s="304"/>
      <c r="I98" s="304"/>
      <c r="J98" s="304"/>
    </row>
    <row r="99" spans="5:10" x14ac:dyDescent="0.2">
      <c r="E99" s="304"/>
      <c r="F99" s="304"/>
      <c r="I99" s="304"/>
      <c r="J99" s="304"/>
    </row>
    <row r="100" spans="5:10" x14ac:dyDescent="0.2">
      <c r="E100" s="304"/>
      <c r="F100" s="304"/>
      <c r="I100" s="304"/>
      <c r="J100" s="304"/>
    </row>
    <row r="101" spans="5:10" x14ac:dyDescent="0.2">
      <c r="E101" s="304"/>
      <c r="F101" s="304"/>
      <c r="I101" s="304"/>
      <c r="J101" s="304"/>
    </row>
    <row r="102" spans="5:10" x14ac:dyDescent="0.2">
      <c r="E102" s="304"/>
      <c r="F102" s="304"/>
      <c r="I102" s="304"/>
      <c r="J102" s="304"/>
    </row>
    <row r="103" spans="5:10" x14ac:dyDescent="0.2">
      <c r="E103" s="304"/>
      <c r="F103" s="304"/>
      <c r="I103" s="304"/>
      <c r="J103" s="304"/>
    </row>
    <row r="104" spans="5:10" x14ac:dyDescent="0.2">
      <c r="E104" s="304"/>
      <c r="F104" s="304"/>
      <c r="I104" s="304"/>
      <c r="J104" s="304"/>
    </row>
    <row r="105" spans="5:10" x14ac:dyDescent="0.2">
      <c r="E105" s="304"/>
      <c r="F105" s="304"/>
      <c r="I105" s="304"/>
      <c r="J105" s="304"/>
    </row>
    <row r="106" spans="5:10" x14ac:dyDescent="0.2">
      <c r="E106" s="304"/>
      <c r="F106" s="304"/>
      <c r="I106" s="304"/>
      <c r="J106" s="304"/>
    </row>
    <row r="107" spans="5:10" x14ac:dyDescent="0.2">
      <c r="E107" s="304"/>
      <c r="F107" s="304"/>
      <c r="I107" s="304"/>
      <c r="J107" s="304"/>
    </row>
    <row r="108" spans="5:10" x14ac:dyDescent="0.2">
      <c r="E108" s="304"/>
      <c r="F108" s="304"/>
      <c r="I108" s="304"/>
      <c r="J108" s="304"/>
    </row>
    <row r="109" spans="5:10" x14ac:dyDescent="0.2">
      <c r="E109" s="304"/>
      <c r="F109" s="304"/>
      <c r="I109" s="304"/>
      <c r="J109" s="304"/>
    </row>
    <row r="110" spans="5:10" x14ac:dyDescent="0.2">
      <c r="E110" s="304"/>
      <c r="F110" s="304"/>
      <c r="I110" s="304"/>
      <c r="J110" s="304"/>
    </row>
    <row r="111" spans="5:10" x14ac:dyDescent="0.2">
      <c r="E111" s="304"/>
      <c r="F111" s="304"/>
      <c r="I111" s="304"/>
      <c r="J111" s="304"/>
    </row>
    <row r="112" spans="5:10" x14ac:dyDescent="0.2">
      <c r="E112" s="304"/>
      <c r="F112" s="304"/>
      <c r="I112" s="304"/>
      <c r="J112" s="304"/>
    </row>
    <row r="113" spans="5:10" x14ac:dyDescent="0.2">
      <c r="E113" s="304"/>
      <c r="F113" s="304"/>
      <c r="I113" s="304"/>
      <c r="J113" s="304"/>
    </row>
    <row r="114" spans="5:10" x14ac:dyDescent="0.2">
      <c r="E114" s="304"/>
      <c r="F114" s="304"/>
      <c r="I114" s="304"/>
      <c r="J114" s="304"/>
    </row>
    <row r="115" spans="5:10" x14ac:dyDescent="0.2">
      <c r="E115" s="304"/>
      <c r="F115" s="304"/>
      <c r="I115" s="304"/>
      <c r="J115" s="304"/>
    </row>
    <row r="116" spans="5:10" x14ac:dyDescent="0.2">
      <c r="E116" s="304"/>
      <c r="F116" s="304"/>
      <c r="I116" s="304"/>
      <c r="J116" s="304"/>
    </row>
    <row r="117" spans="5:10" x14ac:dyDescent="0.2">
      <c r="E117" s="304"/>
      <c r="F117" s="304"/>
      <c r="I117" s="304"/>
      <c r="J117" s="304"/>
    </row>
    <row r="118" spans="5:10" x14ac:dyDescent="0.2">
      <c r="E118" s="304"/>
      <c r="F118" s="304"/>
      <c r="I118" s="304"/>
      <c r="J118" s="304"/>
    </row>
    <row r="119" spans="5:10" x14ac:dyDescent="0.2">
      <c r="E119" s="304"/>
      <c r="F119" s="304"/>
      <c r="I119" s="304"/>
      <c r="J119" s="304"/>
    </row>
    <row r="120" spans="5:10" x14ac:dyDescent="0.2">
      <c r="E120" s="304"/>
      <c r="F120" s="304"/>
      <c r="I120" s="304"/>
      <c r="J120" s="304"/>
    </row>
    <row r="121" spans="5:10" x14ac:dyDescent="0.2">
      <c r="E121" s="304"/>
      <c r="F121" s="304"/>
      <c r="I121" s="304"/>
      <c r="J121" s="304"/>
    </row>
    <row r="122" spans="5:10" x14ac:dyDescent="0.2">
      <c r="E122" s="304"/>
      <c r="F122" s="304"/>
      <c r="I122" s="304"/>
      <c r="J122" s="304"/>
    </row>
    <row r="123" spans="5:10" x14ac:dyDescent="0.2">
      <c r="E123" s="304"/>
      <c r="F123" s="304"/>
      <c r="I123" s="304"/>
      <c r="J123" s="304"/>
    </row>
    <row r="124" spans="5:10" x14ac:dyDescent="0.2">
      <c r="E124" s="304"/>
      <c r="F124" s="304"/>
      <c r="I124" s="304"/>
      <c r="J124" s="304"/>
    </row>
    <row r="125" spans="5:10" x14ac:dyDescent="0.2">
      <c r="E125" s="304"/>
      <c r="F125" s="304"/>
      <c r="I125" s="304"/>
      <c r="J125" s="304"/>
    </row>
    <row r="126" spans="5:10" x14ac:dyDescent="0.2">
      <c r="E126" s="304"/>
      <c r="F126" s="304"/>
      <c r="I126" s="304"/>
      <c r="J126" s="304"/>
    </row>
    <row r="127" spans="5:10" x14ac:dyDescent="0.2">
      <c r="E127" s="304"/>
      <c r="F127" s="304"/>
      <c r="I127" s="304"/>
      <c r="J127" s="304"/>
    </row>
    <row r="128" spans="5:10" x14ac:dyDescent="0.2">
      <c r="E128" s="304"/>
      <c r="F128" s="304"/>
      <c r="I128" s="304"/>
      <c r="J128" s="304"/>
    </row>
    <row r="129" spans="5:10" x14ac:dyDescent="0.2">
      <c r="E129" s="304"/>
      <c r="F129" s="304"/>
      <c r="I129" s="304"/>
      <c r="J129" s="304"/>
    </row>
    <row r="130" spans="5:10" x14ac:dyDescent="0.2">
      <c r="E130" s="304"/>
      <c r="F130" s="304"/>
      <c r="I130" s="304"/>
      <c r="J130" s="304"/>
    </row>
    <row r="131" spans="5:10" x14ac:dyDescent="0.2">
      <c r="E131" s="304"/>
      <c r="F131" s="304"/>
      <c r="I131" s="304"/>
      <c r="J131" s="304"/>
    </row>
    <row r="132" spans="5:10" x14ac:dyDescent="0.2">
      <c r="E132" s="304"/>
      <c r="F132" s="304"/>
      <c r="I132" s="304"/>
      <c r="J132" s="304"/>
    </row>
    <row r="133" spans="5:10" x14ac:dyDescent="0.2">
      <c r="E133" s="304"/>
      <c r="F133" s="304"/>
      <c r="I133" s="304"/>
      <c r="J133" s="304"/>
    </row>
    <row r="134" spans="5:10" x14ac:dyDescent="0.2">
      <c r="E134" s="304"/>
      <c r="F134" s="304"/>
      <c r="I134" s="304"/>
      <c r="J134" s="304"/>
    </row>
    <row r="135" spans="5:10" x14ac:dyDescent="0.2">
      <c r="E135" s="304"/>
      <c r="F135" s="304"/>
      <c r="I135" s="304"/>
      <c r="J135" s="304"/>
    </row>
    <row r="136" spans="5:10" x14ac:dyDescent="0.2">
      <c r="E136" s="304"/>
      <c r="F136" s="304"/>
      <c r="I136" s="304"/>
      <c r="J136" s="304"/>
    </row>
    <row r="137" spans="5:10" x14ac:dyDescent="0.2">
      <c r="E137" s="304"/>
      <c r="F137" s="304"/>
      <c r="I137" s="304"/>
      <c r="J137" s="304"/>
    </row>
    <row r="138" spans="5:10" x14ac:dyDescent="0.2">
      <c r="E138" s="304"/>
      <c r="F138" s="304"/>
      <c r="I138" s="304"/>
      <c r="J138" s="304"/>
    </row>
    <row r="139" spans="5:10" x14ac:dyDescent="0.2">
      <c r="E139" s="304"/>
      <c r="F139" s="304"/>
      <c r="I139" s="304"/>
      <c r="J139" s="304"/>
    </row>
    <row r="140" spans="5:10" x14ac:dyDescent="0.2">
      <c r="E140" s="304"/>
      <c r="F140" s="304"/>
      <c r="I140" s="304"/>
      <c r="J140" s="304"/>
    </row>
    <row r="141" spans="5:10" x14ac:dyDescent="0.2">
      <c r="E141" s="304"/>
      <c r="F141" s="304"/>
      <c r="I141" s="304"/>
      <c r="J141" s="304"/>
    </row>
    <row r="142" spans="5:10" x14ac:dyDescent="0.2">
      <c r="E142" s="304"/>
      <c r="F142" s="304"/>
      <c r="I142" s="304"/>
      <c r="J142" s="304"/>
    </row>
    <row r="143" spans="5:10" x14ac:dyDescent="0.2">
      <c r="E143" s="304"/>
      <c r="F143" s="304"/>
      <c r="I143" s="304"/>
      <c r="J143" s="304"/>
    </row>
    <row r="144" spans="5:10" x14ac:dyDescent="0.2">
      <c r="E144" s="304"/>
      <c r="F144" s="304"/>
      <c r="I144" s="304"/>
      <c r="J144" s="304"/>
    </row>
    <row r="145" spans="5:10" x14ac:dyDescent="0.2">
      <c r="E145" s="304"/>
      <c r="F145" s="304"/>
      <c r="I145" s="304"/>
      <c r="J145" s="304"/>
    </row>
    <row r="146" spans="5:10" x14ac:dyDescent="0.2">
      <c r="E146" s="304"/>
      <c r="F146" s="304"/>
      <c r="I146" s="304"/>
      <c r="J146" s="304"/>
    </row>
    <row r="147" spans="5:10" x14ac:dyDescent="0.2">
      <c r="E147" s="304"/>
      <c r="F147" s="304"/>
      <c r="I147" s="304"/>
      <c r="J147" s="304"/>
    </row>
    <row r="148" spans="5:10" x14ac:dyDescent="0.2">
      <c r="E148" s="304"/>
      <c r="F148" s="304"/>
      <c r="I148" s="304"/>
      <c r="J148" s="304"/>
    </row>
    <row r="149" spans="5:10" x14ac:dyDescent="0.2">
      <c r="E149" s="304"/>
      <c r="F149" s="304"/>
      <c r="I149" s="304"/>
      <c r="J149" s="304"/>
    </row>
    <row r="150" spans="5:10" x14ac:dyDescent="0.2">
      <c r="E150" s="304"/>
      <c r="F150" s="304"/>
      <c r="I150" s="304"/>
      <c r="J150" s="304"/>
    </row>
    <row r="151" spans="5:10" x14ac:dyDescent="0.2">
      <c r="E151" s="304"/>
      <c r="F151" s="304"/>
      <c r="I151" s="304"/>
      <c r="J151" s="304"/>
    </row>
    <row r="152" spans="5:10" x14ac:dyDescent="0.2">
      <c r="E152" s="304"/>
      <c r="F152" s="304"/>
      <c r="I152" s="304"/>
      <c r="J152" s="304"/>
    </row>
    <row r="153" spans="5:10" x14ac:dyDescent="0.2">
      <c r="E153" s="304"/>
      <c r="F153" s="304"/>
      <c r="I153" s="304"/>
      <c r="J153" s="304"/>
    </row>
    <row r="154" spans="5:10" x14ac:dyDescent="0.2">
      <c r="E154" s="304"/>
      <c r="F154" s="304"/>
      <c r="I154" s="304"/>
      <c r="J154" s="304"/>
    </row>
    <row r="155" spans="5:10" x14ac:dyDescent="0.2">
      <c r="E155" s="304"/>
      <c r="F155" s="304"/>
      <c r="I155" s="304"/>
      <c r="J155" s="304"/>
    </row>
    <row r="156" spans="5:10" x14ac:dyDescent="0.2">
      <c r="E156" s="304"/>
      <c r="F156" s="304"/>
      <c r="I156" s="304"/>
      <c r="J156" s="304"/>
    </row>
    <row r="157" spans="5:10" x14ac:dyDescent="0.2">
      <c r="E157" s="304"/>
      <c r="F157" s="304"/>
      <c r="I157" s="304"/>
      <c r="J157" s="304"/>
    </row>
    <row r="158" spans="5:10" x14ac:dyDescent="0.2">
      <c r="E158" s="304"/>
      <c r="F158" s="304"/>
      <c r="I158" s="304"/>
      <c r="J158" s="304"/>
    </row>
    <row r="159" spans="5:10" x14ac:dyDescent="0.2">
      <c r="E159" s="304"/>
      <c r="F159" s="304"/>
      <c r="I159" s="304"/>
      <c r="J159" s="304"/>
    </row>
    <row r="160" spans="5:10" x14ac:dyDescent="0.2">
      <c r="E160" s="304"/>
      <c r="F160" s="304"/>
      <c r="I160" s="304"/>
      <c r="J160" s="304"/>
    </row>
    <row r="161" spans="5:10" x14ac:dyDescent="0.2">
      <c r="E161" s="304"/>
      <c r="F161" s="304"/>
      <c r="I161" s="304"/>
      <c r="J161" s="304"/>
    </row>
    <row r="162" spans="5:10" x14ac:dyDescent="0.2">
      <c r="E162" s="304"/>
      <c r="F162" s="304"/>
      <c r="I162" s="304"/>
      <c r="J162" s="304"/>
    </row>
    <row r="163" spans="5:10" x14ac:dyDescent="0.2">
      <c r="E163" s="304"/>
      <c r="F163" s="304"/>
      <c r="I163" s="304"/>
      <c r="J163" s="304"/>
    </row>
    <row r="164" spans="5:10" x14ac:dyDescent="0.2">
      <c r="E164" s="304"/>
      <c r="F164" s="304"/>
      <c r="I164" s="304"/>
      <c r="J164" s="304"/>
    </row>
    <row r="165" spans="5:10" x14ac:dyDescent="0.2">
      <c r="E165" s="304"/>
      <c r="F165" s="304"/>
      <c r="I165" s="304"/>
      <c r="J165" s="304"/>
    </row>
    <row r="166" spans="5:10" x14ac:dyDescent="0.2">
      <c r="E166" s="304"/>
      <c r="F166" s="304"/>
      <c r="I166" s="304"/>
      <c r="J166" s="304"/>
    </row>
    <row r="167" spans="5:10" x14ac:dyDescent="0.2">
      <c r="E167" s="304"/>
      <c r="F167" s="304"/>
      <c r="I167" s="304"/>
      <c r="J167" s="304"/>
    </row>
    <row r="168" spans="5:10" x14ac:dyDescent="0.2">
      <c r="E168" s="304"/>
      <c r="F168" s="304"/>
      <c r="I168" s="304"/>
      <c r="J168" s="304"/>
    </row>
    <row r="169" spans="5:10" x14ac:dyDescent="0.2">
      <c r="E169" s="304"/>
      <c r="F169" s="304"/>
      <c r="I169" s="304"/>
      <c r="J169" s="304"/>
    </row>
    <row r="170" spans="5:10" x14ac:dyDescent="0.2">
      <c r="E170" s="304"/>
      <c r="F170" s="304"/>
      <c r="I170" s="304"/>
      <c r="J170" s="304"/>
    </row>
    <row r="171" spans="5:10" x14ac:dyDescent="0.2">
      <c r="E171" s="304"/>
      <c r="F171" s="304"/>
      <c r="I171" s="304"/>
      <c r="J171" s="304"/>
    </row>
    <row r="172" spans="5:10" x14ac:dyDescent="0.2">
      <c r="E172" s="304"/>
      <c r="F172" s="304"/>
      <c r="I172" s="304"/>
      <c r="J172" s="304"/>
    </row>
    <row r="173" spans="5:10" x14ac:dyDescent="0.2">
      <c r="E173" s="304"/>
      <c r="F173" s="304"/>
      <c r="I173" s="304"/>
      <c r="J173" s="304"/>
    </row>
    <row r="174" spans="5:10" x14ac:dyDescent="0.2">
      <c r="E174" s="304"/>
      <c r="F174" s="304"/>
      <c r="I174" s="304"/>
      <c r="J174" s="304"/>
    </row>
    <row r="175" spans="5:10" x14ac:dyDescent="0.2">
      <c r="E175" s="304"/>
      <c r="F175" s="304"/>
      <c r="I175" s="304"/>
      <c r="J175" s="304"/>
    </row>
    <row r="176" spans="5:10" x14ac:dyDescent="0.2">
      <c r="E176" s="304"/>
      <c r="F176" s="304"/>
      <c r="I176" s="304"/>
      <c r="J176" s="304"/>
    </row>
    <row r="177" spans="5:10" x14ac:dyDescent="0.2">
      <c r="E177" s="304"/>
      <c r="F177" s="304"/>
      <c r="I177" s="304"/>
      <c r="J177" s="304"/>
    </row>
    <row r="178" spans="5:10" x14ac:dyDescent="0.2">
      <c r="E178" s="304"/>
      <c r="F178" s="304"/>
      <c r="I178" s="304"/>
      <c r="J178" s="304"/>
    </row>
    <row r="179" spans="5:10" x14ac:dyDescent="0.2">
      <c r="E179" s="304"/>
      <c r="F179" s="304"/>
      <c r="I179" s="304"/>
      <c r="J179" s="304"/>
    </row>
    <row r="180" spans="5:10" x14ac:dyDescent="0.2">
      <c r="E180" s="304"/>
      <c r="F180" s="304"/>
      <c r="I180" s="304"/>
      <c r="J180" s="304"/>
    </row>
    <row r="181" spans="5:10" x14ac:dyDescent="0.2">
      <c r="E181" s="304"/>
      <c r="F181" s="304"/>
      <c r="I181" s="304"/>
      <c r="J181" s="304"/>
    </row>
    <row r="182" spans="5:10" x14ac:dyDescent="0.2">
      <c r="E182" s="304"/>
      <c r="F182" s="304"/>
      <c r="I182" s="304"/>
      <c r="J182" s="304"/>
    </row>
    <row r="183" spans="5:10" x14ac:dyDescent="0.2">
      <c r="E183" s="304"/>
      <c r="F183" s="304"/>
      <c r="I183" s="304"/>
      <c r="J183" s="304"/>
    </row>
    <row r="184" spans="5:10" x14ac:dyDescent="0.2">
      <c r="E184" s="304"/>
      <c r="F184" s="304"/>
      <c r="I184" s="304"/>
      <c r="J184" s="304"/>
    </row>
    <row r="185" spans="5:10" x14ac:dyDescent="0.2">
      <c r="E185" s="304"/>
      <c r="F185" s="304"/>
      <c r="I185" s="304"/>
      <c r="J185" s="304"/>
    </row>
    <row r="186" spans="5:10" x14ac:dyDescent="0.2">
      <c r="E186" s="304"/>
      <c r="F186" s="304"/>
      <c r="I186" s="304"/>
      <c r="J186" s="304"/>
    </row>
    <row r="187" spans="5:10" x14ac:dyDescent="0.2">
      <c r="E187" s="304"/>
      <c r="F187" s="304"/>
      <c r="I187" s="304"/>
      <c r="J187" s="304"/>
    </row>
    <row r="188" spans="5:10" x14ac:dyDescent="0.2">
      <c r="E188" s="304"/>
      <c r="F188" s="304"/>
      <c r="I188" s="304"/>
      <c r="J188" s="304"/>
    </row>
    <row r="189" spans="5:10" x14ac:dyDescent="0.2">
      <c r="E189" s="304"/>
      <c r="F189" s="304"/>
      <c r="I189" s="304"/>
      <c r="J189" s="304"/>
    </row>
    <row r="190" spans="5:10" x14ac:dyDescent="0.2">
      <c r="E190" s="304"/>
      <c r="F190" s="304"/>
      <c r="I190" s="304"/>
      <c r="J190" s="304"/>
    </row>
    <row r="191" spans="5:10" x14ac:dyDescent="0.2">
      <c r="E191" s="304"/>
      <c r="F191" s="304"/>
      <c r="I191" s="304"/>
      <c r="J191" s="304"/>
    </row>
    <row r="192" spans="5:10" x14ac:dyDescent="0.2">
      <c r="E192" s="304"/>
      <c r="F192" s="304"/>
      <c r="I192" s="304"/>
      <c r="J192" s="304"/>
    </row>
    <row r="193" spans="5:10" x14ac:dyDescent="0.2">
      <c r="E193" s="304"/>
      <c r="F193" s="304"/>
      <c r="I193" s="304"/>
      <c r="J193" s="304"/>
    </row>
    <row r="194" spans="5:10" x14ac:dyDescent="0.2">
      <c r="E194" s="304"/>
      <c r="F194" s="304"/>
      <c r="I194" s="304"/>
      <c r="J194" s="304"/>
    </row>
    <row r="195" spans="5:10" x14ac:dyDescent="0.2">
      <c r="E195" s="304"/>
      <c r="F195" s="304"/>
      <c r="I195" s="304"/>
      <c r="J195" s="304"/>
    </row>
    <row r="196" spans="5:10" x14ac:dyDescent="0.2">
      <c r="E196" s="304"/>
      <c r="F196" s="304"/>
      <c r="I196" s="304"/>
      <c r="J196" s="304"/>
    </row>
    <row r="197" spans="5:10" x14ac:dyDescent="0.2">
      <c r="E197" s="304"/>
      <c r="F197" s="304"/>
      <c r="I197" s="304"/>
      <c r="J197" s="304"/>
    </row>
    <row r="198" spans="5:10" x14ac:dyDescent="0.2">
      <c r="E198" s="304"/>
      <c r="F198" s="304"/>
      <c r="I198" s="304"/>
      <c r="J198" s="304"/>
    </row>
    <row r="199" spans="5:10" x14ac:dyDescent="0.2">
      <c r="E199" s="304"/>
      <c r="F199" s="304"/>
      <c r="I199" s="304"/>
      <c r="J199" s="304"/>
    </row>
    <row r="200" spans="5:10" x14ac:dyDescent="0.2">
      <c r="E200" s="304"/>
      <c r="F200" s="304"/>
      <c r="I200" s="304"/>
      <c r="J200" s="304"/>
    </row>
    <row r="201" spans="5:10" x14ac:dyDescent="0.2">
      <c r="E201" s="304"/>
      <c r="F201" s="304"/>
      <c r="I201" s="304"/>
      <c r="J201" s="304"/>
    </row>
    <row r="202" spans="5:10" x14ac:dyDescent="0.2">
      <c r="E202" s="304"/>
      <c r="F202" s="304"/>
      <c r="I202" s="304"/>
      <c r="J202" s="304"/>
    </row>
    <row r="203" spans="5:10" x14ac:dyDescent="0.2">
      <c r="E203" s="304"/>
      <c r="F203" s="304"/>
      <c r="I203" s="304"/>
      <c r="J203" s="304"/>
    </row>
    <row r="204" spans="5:10" x14ac:dyDescent="0.2">
      <c r="E204" s="304"/>
      <c r="F204" s="304"/>
      <c r="I204" s="304"/>
      <c r="J204" s="304"/>
    </row>
    <row r="205" spans="5:10" x14ac:dyDescent="0.2">
      <c r="E205" s="304"/>
      <c r="F205" s="304"/>
      <c r="I205" s="304"/>
      <c r="J205" s="304"/>
    </row>
    <row r="206" spans="5:10" x14ac:dyDescent="0.2">
      <c r="E206" s="304"/>
      <c r="F206" s="304"/>
      <c r="I206" s="304"/>
      <c r="J206" s="304"/>
    </row>
    <row r="207" spans="5:10" x14ac:dyDescent="0.2">
      <c r="E207" s="304"/>
      <c r="F207" s="304"/>
      <c r="I207" s="304"/>
      <c r="J207" s="304"/>
    </row>
    <row r="208" spans="5:10" x14ac:dyDescent="0.2">
      <c r="E208" s="304"/>
      <c r="F208" s="304"/>
      <c r="I208" s="304"/>
      <c r="J208" s="304"/>
    </row>
    <row r="209" spans="5:10" x14ac:dyDescent="0.2">
      <c r="E209" s="304"/>
      <c r="F209" s="304"/>
      <c r="I209" s="304"/>
      <c r="J209" s="304"/>
    </row>
    <row r="210" spans="5:10" x14ac:dyDescent="0.2">
      <c r="E210" s="304"/>
      <c r="F210" s="304"/>
      <c r="I210" s="304"/>
      <c r="J210" s="304"/>
    </row>
    <row r="211" spans="5:10" x14ac:dyDescent="0.2">
      <c r="E211" s="304"/>
      <c r="F211" s="304"/>
      <c r="I211" s="304"/>
      <c r="J211" s="304"/>
    </row>
    <row r="212" spans="5:10" x14ac:dyDescent="0.2">
      <c r="E212" s="304"/>
      <c r="F212" s="304"/>
      <c r="I212" s="304"/>
      <c r="J212" s="304"/>
    </row>
    <row r="213" spans="5:10" x14ac:dyDescent="0.2">
      <c r="E213" s="304"/>
      <c r="F213" s="304"/>
      <c r="I213" s="304"/>
      <c r="J213" s="304"/>
    </row>
    <row r="214" spans="5:10" x14ac:dyDescent="0.2">
      <c r="E214" s="304"/>
      <c r="F214" s="304"/>
      <c r="I214" s="304"/>
      <c r="J214" s="304"/>
    </row>
    <row r="215" spans="5:10" x14ac:dyDescent="0.2">
      <c r="E215" s="304"/>
      <c r="F215" s="304"/>
      <c r="I215" s="304"/>
      <c r="J215" s="304"/>
    </row>
    <row r="216" spans="5:10" x14ac:dyDescent="0.2">
      <c r="E216" s="304"/>
      <c r="F216" s="304"/>
      <c r="I216" s="304"/>
      <c r="J216" s="304"/>
    </row>
    <row r="217" spans="5:10" x14ac:dyDescent="0.2">
      <c r="E217" s="304"/>
      <c r="F217" s="304"/>
      <c r="I217" s="304"/>
      <c r="J217" s="304"/>
    </row>
    <row r="218" spans="5:10" x14ac:dyDescent="0.2">
      <c r="E218" s="304"/>
      <c r="F218" s="304"/>
      <c r="I218" s="304"/>
      <c r="J218" s="304"/>
    </row>
    <row r="219" spans="5:10" x14ac:dyDescent="0.2">
      <c r="E219" s="304"/>
      <c r="F219" s="304"/>
      <c r="I219" s="304"/>
      <c r="J219" s="304"/>
    </row>
    <row r="220" spans="5:10" x14ac:dyDescent="0.2">
      <c r="E220" s="304"/>
      <c r="F220" s="304"/>
      <c r="I220" s="304"/>
      <c r="J220" s="304"/>
    </row>
    <row r="221" spans="5:10" x14ac:dyDescent="0.2">
      <c r="E221" s="304"/>
      <c r="F221" s="304"/>
      <c r="I221" s="304"/>
      <c r="J221" s="304"/>
    </row>
    <row r="222" spans="5:10" x14ac:dyDescent="0.2">
      <c r="E222" s="304"/>
      <c r="F222" s="304"/>
      <c r="I222" s="304"/>
      <c r="J222" s="304"/>
    </row>
    <row r="223" spans="5:10" x14ac:dyDescent="0.2">
      <c r="E223" s="304"/>
      <c r="F223" s="304"/>
      <c r="I223" s="304"/>
      <c r="J223" s="304"/>
    </row>
    <row r="224" spans="5:10" x14ac:dyDescent="0.2">
      <c r="E224" s="304"/>
      <c r="F224" s="304"/>
      <c r="I224" s="304"/>
      <c r="J224" s="304"/>
    </row>
    <row r="225" spans="5:10" x14ac:dyDescent="0.2">
      <c r="E225" s="304"/>
      <c r="F225" s="304"/>
      <c r="I225" s="304"/>
      <c r="J225" s="304"/>
    </row>
    <row r="226" spans="5:10" x14ac:dyDescent="0.2">
      <c r="E226" s="304"/>
      <c r="F226" s="304"/>
      <c r="I226" s="304"/>
      <c r="J226" s="304"/>
    </row>
    <row r="227" spans="5:10" x14ac:dyDescent="0.2">
      <c r="E227" s="304"/>
      <c r="F227" s="304"/>
      <c r="I227" s="304"/>
      <c r="J227" s="304"/>
    </row>
    <row r="228" spans="5:10" x14ac:dyDescent="0.2">
      <c r="E228" s="304"/>
      <c r="F228" s="304"/>
      <c r="I228" s="304"/>
      <c r="J228" s="304"/>
    </row>
    <row r="229" spans="5:10" x14ac:dyDescent="0.2">
      <c r="E229" s="304"/>
      <c r="F229" s="304"/>
      <c r="I229" s="304"/>
      <c r="J229" s="304"/>
    </row>
    <row r="230" spans="5:10" x14ac:dyDescent="0.2">
      <c r="E230" s="304"/>
      <c r="F230" s="304"/>
      <c r="I230" s="304"/>
      <c r="J230" s="304"/>
    </row>
    <row r="231" spans="5:10" x14ac:dyDescent="0.2">
      <c r="E231" s="304"/>
      <c r="F231" s="304"/>
      <c r="I231" s="304"/>
      <c r="J231" s="304"/>
    </row>
    <row r="232" spans="5:10" x14ac:dyDescent="0.2">
      <c r="E232" s="304"/>
      <c r="F232" s="304"/>
      <c r="I232" s="304"/>
      <c r="J232" s="304"/>
    </row>
    <row r="233" spans="5:10" x14ac:dyDescent="0.2">
      <c r="E233" s="304"/>
      <c r="F233" s="304"/>
      <c r="I233" s="304"/>
      <c r="J233" s="304"/>
    </row>
    <row r="234" spans="5:10" x14ac:dyDescent="0.2">
      <c r="E234" s="304"/>
      <c r="F234" s="304"/>
      <c r="I234" s="304"/>
      <c r="J234" s="304"/>
    </row>
    <row r="235" spans="5:10" x14ac:dyDescent="0.2">
      <c r="E235" s="304"/>
      <c r="F235" s="304"/>
      <c r="I235" s="304"/>
      <c r="J235" s="304"/>
    </row>
    <row r="236" spans="5:10" x14ac:dyDescent="0.2">
      <c r="E236" s="304"/>
      <c r="F236" s="304"/>
      <c r="I236" s="304"/>
      <c r="J236" s="304"/>
    </row>
    <row r="237" spans="5:10" x14ac:dyDescent="0.2">
      <c r="E237" s="304"/>
      <c r="F237" s="304"/>
      <c r="I237" s="304"/>
      <c r="J237" s="304"/>
    </row>
    <row r="238" spans="5:10" x14ac:dyDescent="0.2">
      <c r="E238" s="304"/>
      <c r="F238" s="304"/>
      <c r="I238" s="304"/>
      <c r="J238" s="304"/>
    </row>
    <row r="239" spans="5:10" x14ac:dyDescent="0.2">
      <c r="E239" s="304"/>
      <c r="F239" s="304"/>
      <c r="I239" s="304"/>
      <c r="J239" s="304"/>
    </row>
    <row r="240" spans="5:10" x14ac:dyDescent="0.2">
      <c r="E240" s="304"/>
      <c r="F240" s="304"/>
      <c r="I240" s="304"/>
      <c r="J240" s="304"/>
    </row>
    <row r="241" spans="5:10" x14ac:dyDescent="0.2">
      <c r="E241" s="304"/>
      <c r="F241" s="304"/>
      <c r="I241" s="304"/>
      <c r="J241" s="304"/>
    </row>
    <row r="242" spans="5:10" x14ac:dyDescent="0.2">
      <c r="E242" s="304"/>
      <c r="F242" s="304"/>
      <c r="I242" s="304"/>
      <c r="J242" s="304"/>
    </row>
    <row r="243" spans="5:10" x14ac:dyDescent="0.2">
      <c r="E243" s="304"/>
      <c r="F243" s="304"/>
      <c r="I243" s="304"/>
      <c r="J243" s="304"/>
    </row>
    <row r="244" spans="5:10" x14ac:dyDescent="0.2">
      <c r="E244" s="304"/>
      <c r="F244" s="304"/>
      <c r="I244" s="304"/>
      <c r="J244" s="304"/>
    </row>
    <row r="245" spans="5:10" x14ac:dyDescent="0.2">
      <c r="E245" s="304"/>
      <c r="F245" s="304"/>
      <c r="I245" s="304"/>
      <c r="J245" s="304"/>
    </row>
    <row r="246" spans="5:10" x14ac:dyDescent="0.2">
      <c r="E246" s="304"/>
      <c r="F246" s="304"/>
      <c r="I246" s="304"/>
      <c r="J246" s="304"/>
    </row>
    <row r="247" spans="5:10" x14ac:dyDescent="0.2">
      <c r="E247" s="304"/>
      <c r="F247" s="304"/>
      <c r="I247" s="304"/>
      <c r="J247" s="304"/>
    </row>
    <row r="248" spans="5:10" x14ac:dyDescent="0.2">
      <c r="E248" s="304"/>
      <c r="F248" s="304"/>
      <c r="I248" s="304"/>
      <c r="J248" s="304"/>
    </row>
    <row r="249" spans="5:10" x14ac:dyDescent="0.2">
      <c r="E249" s="304"/>
      <c r="F249" s="304"/>
      <c r="I249" s="304"/>
      <c r="J249" s="304"/>
    </row>
    <row r="250" spans="5:10" x14ac:dyDescent="0.2">
      <c r="E250" s="304"/>
      <c r="F250" s="304"/>
      <c r="I250" s="304"/>
      <c r="J250" s="304"/>
    </row>
    <row r="251" spans="5:10" x14ac:dyDescent="0.2">
      <c r="E251" s="304"/>
      <c r="F251" s="304"/>
      <c r="I251" s="304"/>
      <c r="J251" s="304"/>
    </row>
    <row r="252" spans="5:10" x14ac:dyDescent="0.2">
      <c r="E252" s="304"/>
      <c r="F252" s="304"/>
      <c r="I252" s="304"/>
      <c r="J252" s="304"/>
    </row>
    <row r="253" spans="5:10" x14ac:dyDescent="0.2">
      <c r="E253" s="304"/>
      <c r="F253" s="304"/>
      <c r="I253" s="304"/>
      <c r="J253" s="304"/>
    </row>
    <row r="254" spans="5:10" x14ac:dyDescent="0.2">
      <c r="E254" s="304"/>
      <c r="F254" s="304"/>
      <c r="I254" s="304"/>
      <c r="J254" s="304"/>
    </row>
    <row r="255" spans="5:10" x14ac:dyDescent="0.2">
      <c r="E255" s="304"/>
      <c r="F255" s="304"/>
      <c r="I255" s="304"/>
      <c r="J255" s="304"/>
    </row>
    <row r="256" spans="5:10" x14ac:dyDescent="0.2">
      <c r="E256" s="304"/>
      <c r="F256" s="304"/>
      <c r="I256" s="304"/>
      <c r="J256" s="304"/>
    </row>
    <row r="257" spans="5:10" x14ac:dyDescent="0.2">
      <c r="E257" s="304"/>
      <c r="F257" s="304"/>
      <c r="I257" s="304"/>
      <c r="J257" s="304"/>
    </row>
    <row r="258" spans="5:10" x14ac:dyDescent="0.2">
      <c r="E258" s="304"/>
      <c r="F258" s="304"/>
      <c r="I258" s="304"/>
      <c r="J258" s="304"/>
    </row>
    <row r="259" spans="5:10" x14ac:dyDescent="0.2">
      <c r="E259" s="304"/>
      <c r="F259" s="304"/>
      <c r="I259" s="304"/>
      <c r="J259" s="304"/>
    </row>
    <row r="260" spans="5:10" x14ac:dyDescent="0.2">
      <c r="E260" s="304"/>
      <c r="F260" s="304"/>
      <c r="I260" s="304"/>
      <c r="J260" s="304"/>
    </row>
    <row r="261" spans="5:10" x14ac:dyDescent="0.2">
      <c r="E261" s="304"/>
      <c r="F261" s="304"/>
      <c r="I261" s="304"/>
      <c r="J261" s="304"/>
    </row>
    <row r="262" spans="5:10" x14ac:dyDescent="0.2">
      <c r="E262" s="304"/>
      <c r="F262" s="304"/>
      <c r="I262" s="304"/>
      <c r="J262" s="304"/>
    </row>
    <row r="263" spans="5:10" x14ac:dyDescent="0.2">
      <c r="E263" s="304"/>
      <c r="F263" s="304"/>
      <c r="I263" s="304"/>
      <c r="J263" s="304"/>
    </row>
    <row r="264" spans="5:10" x14ac:dyDescent="0.2">
      <c r="E264" s="304"/>
      <c r="F264" s="304"/>
      <c r="I264" s="304"/>
      <c r="J264" s="304"/>
    </row>
    <row r="265" spans="5:10" x14ac:dyDescent="0.2">
      <c r="E265" s="304"/>
      <c r="F265" s="304"/>
      <c r="I265" s="304"/>
      <c r="J265" s="304"/>
    </row>
    <row r="266" spans="5:10" x14ac:dyDescent="0.2">
      <c r="E266" s="304"/>
      <c r="F266" s="304"/>
      <c r="I266" s="304"/>
      <c r="J266" s="304"/>
    </row>
    <row r="267" spans="5:10" x14ac:dyDescent="0.2">
      <c r="E267" s="304"/>
      <c r="F267" s="304"/>
      <c r="I267" s="304"/>
      <c r="J267" s="304"/>
    </row>
    <row r="268" spans="5:10" x14ac:dyDescent="0.2">
      <c r="E268" s="304"/>
      <c r="F268" s="304"/>
      <c r="I268" s="304"/>
      <c r="J268" s="304"/>
    </row>
    <row r="269" spans="5:10" x14ac:dyDescent="0.2">
      <c r="E269" s="304"/>
      <c r="F269" s="304"/>
      <c r="I269" s="304"/>
      <c r="J269" s="304"/>
    </row>
    <row r="270" spans="5:10" x14ac:dyDescent="0.2">
      <c r="E270" s="304"/>
      <c r="F270" s="304"/>
      <c r="I270" s="304"/>
      <c r="J270" s="304"/>
    </row>
    <row r="271" spans="5:10" x14ac:dyDescent="0.2">
      <c r="E271" s="304"/>
      <c r="F271" s="304"/>
      <c r="I271" s="304"/>
      <c r="J271" s="304"/>
    </row>
    <row r="272" spans="5:10" x14ac:dyDescent="0.2">
      <c r="E272" s="304"/>
      <c r="F272" s="304"/>
      <c r="I272" s="304"/>
      <c r="J272" s="304"/>
    </row>
    <row r="273" spans="5:10" x14ac:dyDescent="0.2">
      <c r="E273" s="304"/>
      <c r="F273" s="304"/>
      <c r="I273" s="304"/>
      <c r="J273" s="304"/>
    </row>
    <row r="274" spans="5:10" x14ac:dyDescent="0.2">
      <c r="E274" s="304"/>
      <c r="F274" s="304"/>
      <c r="I274" s="304"/>
      <c r="J274" s="304"/>
    </row>
    <row r="275" spans="5:10" x14ac:dyDescent="0.2">
      <c r="E275" s="304"/>
      <c r="F275" s="304"/>
      <c r="I275" s="304"/>
      <c r="J275" s="304"/>
    </row>
    <row r="276" spans="5:10" x14ac:dyDescent="0.2">
      <c r="E276" s="304"/>
      <c r="F276" s="304"/>
      <c r="I276" s="304"/>
      <c r="J276" s="304"/>
    </row>
    <row r="277" spans="5:10" x14ac:dyDescent="0.2">
      <c r="E277" s="304"/>
      <c r="F277" s="304"/>
      <c r="I277" s="304"/>
      <c r="J277" s="304"/>
    </row>
    <row r="278" spans="5:10" x14ac:dyDescent="0.2">
      <c r="E278" s="304"/>
      <c r="F278" s="304"/>
      <c r="I278" s="304"/>
      <c r="J278" s="304"/>
    </row>
    <row r="279" spans="5:10" x14ac:dyDescent="0.2">
      <c r="E279" s="304"/>
      <c r="F279" s="304"/>
      <c r="I279" s="304"/>
      <c r="J279" s="304"/>
    </row>
    <row r="280" spans="5:10" x14ac:dyDescent="0.2">
      <c r="E280" s="304"/>
      <c r="F280" s="304"/>
      <c r="I280" s="304"/>
      <c r="J280" s="304"/>
    </row>
    <row r="281" spans="5:10" x14ac:dyDescent="0.2">
      <c r="E281" s="304"/>
      <c r="F281" s="304"/>
      <c r="I281" s="304"/>
      <c r="J281" s="304"/>
    </row>
    <row r="282" spans="5:10" x14ac:dyDescent="0.2">
      <c r="E282" s="304"/>
      <c r="F282" s="304"/>
      <c r="I282" s="304"/>
      <c r="J282" s="304"/>
    </row>
    <row r="283" spans="5:10" x14ac:dyDescent="0.2">
      <c r="E283" s="304"/>
      <c r="F283" s="304"/>
      <c r="I283" s="304"/>
      <c r="J283" s="304"/>
    </row>
    <row r="284" spans="5:10" x14ac:dyDescent="0.2">
      <c r="E284" s="304"/>
      <c r="F284" s="304"/>
      <c r="I284" s="304"/>
      <c r="J284" s="304"/>
    </row>
    <row r="285" spans="5:10" x14ac:dyDescent="0.2">
      <c r="E285" s="304"/>
      <c r="F285" s="304"/>
      <c r="I285" s="304"/>
      <c r="J285" s="304"/>
    </row>
    <row r="286" spans="5:10" x14ac:dyDescent="0.2">
      <c r="E286" s="304"/>
      <c r="F286" s="304"/>
      <c r="I286" s="304"/>
      <c r="J286" s="304"/>
    </row>
    <row r="287" spans="5:10" x14ac:dyDescent="0.2">
      <c r="E287" s="304"/>
      <c r="F287" s="304"/>
      <c r="I287" s="304"/>
      <c r="J287" s="304"/>
    </row>
    <row r="288" spans="5:10" x14ac:dyDescent="0.2">
      <c r="E288" s="304"/>
      <c r="F288" s="304"/>
      <c r="I288" s="304"/>
      <c r="J288" s="304"/>
    </row>
    <row r="289" spans="5:10" x14ac:dyDescent="0.2">
      <c r="E289" s="304"/>
      <c r="F289" s="304"/>
      <c r="I289" s="304"/>
      <c r="J289" s="304"/>
    </row>
    <row r="290" spans="5:10" x14ac:dyDescent="0.2">
      <c r="I290" s="304"/>
      <c r="J290" s="304"/>
    </row>
    <row r="291" spans="5:10" x14ac:dyDescent="0.2">
      <c r="I291" s="304"/>
      <c r="J291" s="304"/>
    </row>
    <row r="292" spans="5:10" x14ac:dyDescent="0.2">
      <c r="I292" s="304"/>
      <c r="J292" s="304"/>
    </row>
    <row r="293" spans="5:10" x14ac:dyDescent="0.2">
      <c r="I293" s="304"/>
      <c r="J293" s="304"/>
    </row>
    <row r="294" spans="5:10" x14ac:dyDescent="0.2">
      <c r="I294" s="304"/>
      <c r="J294" s="304"/>
    </row>
    <row r="295" spans="5:10" x14ac:dyDescent="0.2">
      <c r="I295" s="304"/>
      <c r="J295" s="304"/>
    </row>
    <row r="296" spans="5:10" x14ac:dyDescent="0.2">
      <c r="I296" s="304"/>
      <c r="J296" s="304"/>
    </row>
    <row r="297" spans="5:10" x14ac:dyDescent="0.2">
      <c r="I297" s="304"/>
      <c r="J297" s="304"/>
    </row>
    <row r="298" spans="5:10" x14ac:dyDescent="0.2">
      <c r="I298" s="304"/>
      <c r="J298" s="304"/>
    </row>
    <row r="299" spans="5:10" x14ac:dyDescent="0.2">
      <c r="I299" s="304"/>
      <c r="J299" s="304"/>
    </row>
  </sheetData>
  <mergeCells count="19">
    <mergeCell ref="A1:J1"/>
    <mergeCell ref="A2:A3"/>
    <mergeCell ref="B2:B3"/>
    <mergeCell ref="C2:D2"/>
    <mergeCell ref="E2:F2"/>
    <mergeCell ref="G2:H2"/>
    <mergeCell ref="I2:J2"/>
    <mergeCell ref="A43:I43"/>
    <mergeCell ref="A4:J4"/>
    <mergeCell ref="B5:J5"/>
    <mergeCell ref="B9:J9"/>
    <mergeCell ref="B17:J17"/>
    <mergeCell ref="B23:J23"/>
    <mergeCell ref="A27:B27"/>
    <mergeCell ref="A28:J28"/>
    <mergeCell ref="B29:J29"/>
    <mergeCell ref="B33:J33"/>
    <mergeCell ref="B37:J37"/>
    <mergeCell ref="A39:B39"/>
  </mergeCells>
  <pageMargins left="0.7" right="0.7" top="0.75" bottom="0.75" header="0.3" footer="0.3"/>
  <pageSetup paperSize="9" scale="71"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1"/>
  <sheetViews>
    <sheetView workbookViewId="0">
      <selection sqref="A1:J1"/>
    </sheetView>
  </sheetViews>
  <sheetFormatPr defaultRowHeight="12.75" x14ac:dyDescent="0.2"/>
  <cols>
    <col min="1" max="1" width="7.140625" style="304" bestFit="1" customWidth="1"/>
    <col min="2" max="2" width="18.7109375" style="304" customWidth="1"/>
    <col min="3" max="3" width="11.140625" style="304" bestFit="1" customWidth="1"/>
    <col min="4" max="5" width="12.85546875" style="304" customWidth="1"/>
    <col min="6" max="6" width="9.85546875" style="304" customWidth="1"/>
    <col min="7" max="7" width="7.7109375" style="304" bestFit="1" customWidth="1"/>
    <col min="8" max="8" width="9" style="304" bestFit="1" customWidth="1"/>
    <col min="9" max="9" width="10.7109375" style="304" customWidth="1"/>
    <col min="10" max="10" width="8.85546875" style="304" bestFit="1" customWidth="1"/>
    <col min="11" max="16384" width="9.140625" style="304"/>
  </cols>
  <sheetData>
    <row r="1" spans="1:11" ht="15" customHeight="1" x14ac:dyDescent="0.25">
      <c r="A1" s="559" t="s">
        <v>1068</v>
      </c>
      <c r="B1" s="559"/>
      <c r="C1" s="559"/>
      <c r="D1" s="559"/>
      <c r="E1" s="559"/>
      <c r="F1" s="559"/>
      <c r="G1" s="559"/>
      <c r="H1" s="559"/>
      <c r="I1" s="559"/>
      <c r="J1" s="559"/>
    </row>
    <row r="2" spans="1:11" ht="15" customHeight="1" x14ac:dyDescent="0.2">
      <c r="A2" s="505" t="s">
        <v>969</v>
      </c>
      <c r="B2" s="560" t="s">
        <v>1004</v>
      </c>
      <c r="C2" s="553" t="s">
        <v>62</v>
      </c>
      <c r="D2" s="554"/>
      <c r="E2" s="553">
        <v>43207</v>
      </c>
      <c r="F2" s="554"/>
      <c r="G2" s="553">
        <v>43525</v>
      </c>
      <c r="H2" s="554"/>
      <c r="I2" s="553">
        <v>43573</v>
      </c>
      <c r="J2" s="554"/>
    </row>
    <row r="3" spans="1:11" ht="38.25" x14ac:dyDescent="0.2">
      <c r="A3" s="505"/>
      <c r="B3" s="561"/>
      <c r="C3" s="270" t="s">
        <v>946</v>
      </c>
      <c r="D3" s="202" t="s">
        <v>917</v>
      </c>
      <c r="E3" s="270" t="s">
        <v>946</v>
      </c>
      <c r="F3" s="202" t="s">
        <v>917</v>
      </c>
      <c r="G3" s="270" t="s">
        <v>946</v>
      </c>
      <c r="H3" s="270" t="s">
        <v>1005</v>
      </c>
      <c r="I3" s="270" t="s">
        <v>912</v>
      </c>
      <c r="J3" s="202" t="s">
        <v>917</v>
      </c>
    </row>
    <row r="4" spans="1:11" ht="15" customHeight="1" x14ac:dyDescent="0.2">
      <c r="A4" s="555" t="s">
        <v>887</v>
      </c>
      <c r="B4" s="556"/>
      <c r="C4" s="556"/>
      <c r="D4" s="556"/>
      <c r="E4" s="556"/>
      <c r="F4" s="556"/>
      <c r="G4" s="556"/>
      <c r="H4" s="556"/>
      <c r="I4" s="556"/>
      <c r="J4" s="557"/>
    </row>
    <row r="5" spans="1:11" x14ac:dyDescent="0.2">
      <c r="A5" s="308">
        <v>1</v>
      </c>
      <c r="B5" s="273" t="s">
        <v>1006</v>
      </c>
      <c r="C5" s="275">
        <v>37.170000000000009</v>
      </c>
      <c r="D5" s="275">
        <v>66.150439999999989</v>
      </c>
      <c r="E5" s="309">
        <v>60.74</v>
      </c>
      <c r="F5" s="309">
        <v>84.584085000000016</v>
      </c>
      <c r="G5" s="275">
        <v>4.4500000000000011</v>
      </c>
      <c r="H5" s="275">
        <v>7.535235000000001</v>
      </c>
      <c r="I5" s="275">
        <v>37.170000000000009</v>
      </c>
      <c r="J5" s="275">
        <v>66.150439999999989</v>
      </c>
      <c r="K5" s="310">
        <f>(J5-H5)/H5*100</f>
        <v>777.88157900848455</v>
      </c>
    </row>
    <row r="6" spans="1:11" x14ac:dyDescent="0.2">
      <c r="A6" s="308">
        <v>2</v>
      </c>
      <c r="B6" s="273" t="s">
        <v>1007</v>
      </c>
      <c r="C6" s="275">
        <v>2096.665</v>
      </c>
      <c r="D6" s="275">
        <v>12159.881160000001</v>
      </c>
      <c r="E6" s="275">
        <v>734.48</v>
      </c>
      <c r="F6" s="275">
        <v>3027.2686900000008</v>
      </c>
      <c r="G6" s="275">
        <v>889.62500000000011</v>
      </c>
      <c r="H6" s="275">
        <v>4716.9569500000016</v>
      </c>
      <c r="I6" s="275">
        <v>2096.665</v>
      </c>
      <c r="J6" s="275">
        <v>12159.881160000001</v>
      </c>
      <c r="K6" s="311">
        <f t="shared" ref="K6:K21" si="0">(J6-H6)/H6*100</f>
        <v>157.79080218232639</v>
      </c>
    </row>
    <row r="7" spans="1:11" x14ac:dyDescent="0.2">
      <c r="A7" s="308">
        <v>3</v>
      </c>
      <c r="B7" s="273" t="s">
        <v>1008</v>
      </c>
      <c r="C7" s="275">
        <v>1175.8299999999997</v>
      </c>
      <c r="D7" s="275">
        <v>5260.2237200000009</v>
      </c>
      <c r="E7" s="275">
        <v>1047.25</v>
      </c>
      <c r="F7" s="275">
        <v>3857.7925199999995</v>
      </c>
      <c r="G7" s="275">
        <v>682.81999999999982</v>
      </c>
      <c r="H7" s="275">
        <v>2894.3339300000007</v>
      </c>
      <c r="I7" s="275">
        <v>1175.8299999999997</v>
      </c>
      <c r="J7" s="275">
        <v>5260.2237200000009</v>
      </c>
      <c r="K7" s="311">
        <f t="shared" si="0"/>
        <v>81.742115706738772</v>
      </c>
    </row>
    <row r="8" spans="1:11" x14ac:dyDescent="0.2">
      <c r="A8" s="308">
        <f>A7+1</f>
        <v>4</v>
      </c>
      <c r="B8" s="273" t="s">
        <v>1009</v>
      </c>
      <c r="C8" s="275">
        <v>1499.9700000000003</v>
      </c>
      <c r="D8" s="275">
        <v>3627.2631300000007</v>
      </c>
      <c r="E8" s="275">
        <v>1808.69</v>
      </c>
      <c r="F8" s="275">
        <v>2423.8931849999999</v>
      </c>
      <c r="G8" s="275">
        <v>1416.3999999999999</v>
      </c>
      <c r="H8" s="275">
        <v>3046.0078049999997</v>
      </c>
      <c r="I8" s="312">
        <v>1499.9700000000003</v>
      </c>
      <c r="J8" s="275">
        <v>3627.2631300000007</v>
      </c>
      <c r="K8" s="311">
        <f t="shared" si="0"/>
        <v>19.082529074478227</v>
      </c>
    </row>
    <row r="9" spans="1:11" x14ac:dyDescent="0.2">
      <c r="A9" s="308">
        <f t="shared" ref="A9:A20" si="1">A8+1</f>
        <v>5</v>
      </c>
      <c r="B9" s="273" t="s">
        <v>1010</v>
      </c>
      <c r="C9" s="275">
        <v>307.09999999999991</v>
      </c>
      <c r="D9" s="275">
        <v>2215.6226300000003</v>
      </c>
      <c r="E9" s="275">
        <v>178.01999999999998</v>
      </c>
      <c r="F9" s="275">
        <v>914.91329999999994</v>
      </c>
      <c r="G9" s="275">
        <v>211.39</v>
      </c>
      <c r="H9" s="275">
        <v>1385.7470699999999</v>
      </c>
      <c r="I9" s="275">
        <v>307.09999999999991</v>
      </c>
      <c r="J9" s="275">
        <v>2215.6226300000003</v>
      </c>
      <c r="K9" s="311">
        <f t="shared" si="0"/>
        <v>59.886510169565099</v>
      </c>
    </row>
    <row r="10" spans="1:11" x14ac:dyDescent="0.2">
      <c r="A10" s="308">
        <f t="shared" si="1"/>
        <v>6</v>
      </c>
      <c r="B10" s="273" t="s">
        <v>1011</v>
      </c>
      <c r="C10" s="275">
        <v>1610.21</v>
      </c>
      <c r="D10" s="275">
        <v>7140.3029099999994</v>
      </c>
      <c r="E10" s="275">
        <v>1812.28</v>
      </c>
      <c r="F10" s="275">
        <v>7420.3335000000006</v>
      </c>
      <c r="G10" s="275">
        <v>1294.9199999999998</v>
      </c>
      <c r="H10" s="275">
        <v>5602.0324049999999</v>
      </c>
      <c r="I10" s="275">
        <v>1610.21</v>
      </c>
      <c r="J10" s="275">
        <v>7140.3029099999994</v>
      </c>
      <c r="K10" s="311">
        <f t="shared" si="0"/>
        <v>27.459150425960445</v>
      </c>
    </row>
    <row r="11" spans="1:11" x14ac:dyDescent="0.2">
      <c r="A11" s="308">
        <f t="shared" si="1"/>
        <v>7</v>
      </c>
      <c r="B11" s="273" t="s">
        <v>1012</v>
      </c>
      <c r="C11" s="275">
        <v>425.59</v>
      </c>
      <c r="D11" s="275">
        <v>3815.41374</v>
      </c>
      <c r="E11" s="275">
        <v>420.08</v>
      </c>
      <c r="F11" s="275">
        <v>3729.2399749999995</v>
      </c>
      <c r="G11" s="275">
        <v>392.98500000000001</v>
      </c>
      <c r="H11" s="275">
        <v>3434.2602849999994</v>
      </c>
      <c r="I11" s="275">
        <v>425.59</v>
      </c>
      <c r="J11" s="275">
        <v>3815.41374</v>
      </c>
      <c r="K11" s="311">
        <f t="shared" si="0"/>
        <v>11.098560486658064</v>
      </c>
    </row>
    <row r="12" spans="1:11" x14ac:dyDescent="0.2">
      <c r="A12" s="308">
        <f t="shared" si="1"/>
        <v>8</v>
      </c>
      <c r="B12" s="273" t="s">
        <v>1013</v>
      </c>
      <c r="C12" s="275">
        <v>82.131</v>
      </c>
      <c r="D12" s="275">
        <v>1359.7781849999999</v>
      </c>
      <c r="E12" s="275">
        <v>76.326000000000008</v>
      </c>
      <c r="F12" s="275">
        <v>1180.2218400000002</v>
      </c>
      <c r="G12" s="275">
        <v>55.182000000000002</v>
      </c>
      <c r="H12" s="275">
        <v>857.23291499999993</v>
      </c>
      <c r="I12" s="275">
        <v>82.131</v>
      </c>
      <c r="J12" s="275">
        <v>1359.7781849999999</v>
      </c>
      <c r="K12" s="311">
        <f t="shared" si="0"/>
        <v>58.624122010060709</v>
      </c>
    </row>
    <row r="13" spans="1:11" x14ac:dyDescent="0.2">
      <c r="A13" s="308">
        <f t="shared" si="1"/>
        <v>9</v>
      </c>
      <c r="B13" s="273" t="s">
        <v>1014</v>
      </c>
      <c r="C13" s="275">
        <v>172.91600000000003</v>
      </c>
      <c r="D13" s="275">
        <v>1044.2541999999999</v>
      </c>
      <c r="E13" s="275">
        <v>118.77999999999999</v>
      </c>
      <c r="F13" s="275">
        <v>541.76859999999999</v>
      </c>
      <c r="G13" s="275">
        <v>266.24</v>
      </c>
      <c r="H13" s="275">
        <v>1539.8774500000002</v>
      </c>
      <c r="I13" s="275">
        <v>172.91600000000003</v>
      </c>
      <c r="J13" s="275">
        <v>1044.2541999999999</v>
      </c>
      <c r="K13" s="311">
        <f t="shared" si="0"/>
        <v>-32.185889208261365</v>
      </c>
    </row>
    <row r="14" spans="1:11" x14ac:dyDescent="0.2">
      <c r="A14" s="308">
        <f t="shared" si="1"/>
        <v>10</v>
      </c>
      <c r="B14" s="273" t="s">
        <v>1015</v>
      </c>
      <c r="C14" s="275">
        <v>8.27</v>
      </c>
      <c r="D14" s="275">
        <v>15.501830000000002</v>
      </c>
      <c r="E14" s="274">
        <v>11.65</v>
      </c>
      <c r="F14" s="274">
        <v>13.917029999999999</v>
      </c>
      <c r="G14" s="275">
        <v>3.05</v>
      </c>
      <c r="H14" s="274">
        <v>5.36707</v>
      </c>
      <c r="I14" s="274">
        <v>8.27</v>
      </c>
      <c r="J14" s="275">
        <v>15.501830000000002</v>
      </c>
      <c r="K14" s="311">
        <f t="shared" si="0"/>
        <v>188.83226788545707</v>
      </c>
    </row>
    <row r="15" spans="1:11" x14ac:dyDescent="0.2">
      <c r="A15" s="308">
        <f t="shared" si="1"/>
        <v>11</v>
      </c>
      <c r="B15" s="273" t="s">
        <v>1016</v>
      </c>
      <c r="C15" s="275">
        <v>662.75</v>
      </c>
      <c r="D15" s="275">
        <v>2517.7128600000001</v>
      </c>
      <c r="E15" s="275">
        <v>1091.9299999999998</v>
      </c>
      <c r="F15" s="275">
        <v>4293.426989999999</v>
      </c>
      <c r="G15" s="275">
        <v>334.28999999999996</v>
      </c>
      <c r="H15" s="275">
        <v>1270.0075399999998</v>
      </c>
      <c r="I15" s="275">
        <v>662.75</v>
      </c>
      <c r="J15" s="275">
        <v>2517.7128600000001</v>
      </c>
      <c r="K15" s="311">
        <f t="shared" si="0"/>
        <v>98.243930110840154</v>
      </c>
    </row>
    <row r="16" spans="1:11" x14ac:dyDescent="0.2">
      <c r="A16" s="308">
        <f t="shared" si="1"/>
        <v>12</v>
      </c>
      <c r="B16" s="273" t="s">
        <v>1017</v>
      </c>
      <c r="C16" s="309" t="s">
        <v>430</v>
      </c>
      <c r="D16" s="274" t="s">
        <v>430</v>
      </c>
      <c r="E16" s="274">
        <v>0.02</v>
      </c>
      <c r="F16" s="274">
        <v>5.8999999999999997E-2</v>
      </c>
      <c r="G16" s="309" t="s">
        <v>430</v>
      </c>
      <c r="H16" s="309" t="s">
        <v>430</v>
      </c>
      <c r="I16" s="309" t="s">
        <v>430</v>
      </c>
      <c r="J16" s="309" t="s">
        <v>430</v>
      </c>
      <c r="K16" s="311"/>
    </row>
    <row r="17" spans="1:11" x14ac:dyDescent="0.2">
      <c r="A17" s="308">
        <f t="shared" si="1"/>
        <v>13</v>
      </c>
      <c r="B17" s="273" t="s">
        <v>1018</v>
      </c>
      <c r="C17" s="275">
        <v>1140.21</v>
      </c>
      <c r="D17" s="275">
        <v>4305.5646000000006</v>
      </c>
      <c r="E17" s="275">
        <v>1880.4600000000005</v>
      </c>
      <c r="F17" s="275">
        <v>7171.0706500000006</v>
      </c>
      <c r="G17" s="275">
        <v>1211.8800000000001</v>
      </c>
      <c r="H17" s="275">
        <v>4484.4546100000007</v>
      </c>
      <c r="I17" s="275">
        <v>1140.21</v>
      </c>
      <c r="J17" s="275">
        <v>4305.5646000000006</v>
      </c>
      <c r="K17" s="311">
        <f t="shared" si="0"/>
        <v>-3.9891140742307583</v>
      </c>
    </row>
    <row r="18" spans="1:11" x14ac:dyDescent="0.2">
      <c r="A18" s="308">
        <f t="shared" si="1"/>
        <v>14</v>
      </c>
      <c r="B18" s="273" t="s">
        <v>1019</v>
      </c>
      <c r="C18" s="275">
        <v>449.07000000000005</v>
      </c>
      <c r="D18" s="275">
        <v>3278.9324299999994</v>
      </c>
      <c r="E18" s="275">
        <v>529.30000000000018</v>
      </c>
      <c r="F18" s="275">
        <v>4109.2774150000005</v>
      </c>
      <c r="G18" s="275">
        <v>415.67</v>
      </c>
      <c r="H18" s="275">
        <v>3084.6171850000001</v>
      </c>
      <c r="I18" s="275">
        <v>449.07000000000005</v>
      </c>
      <c r="J18" s="275">
        <v>3278.9324299999994</v>
      </c>
      <c r="K18" s="311">
        <f t="shared" si="0"/>
        <v>6.2994930438993624</v>
      </c>
    </row>
    <row r="19" spans="1:11" x14ac:dyDescent="0.2">
      <c r="A19" s="308">
        <f t="shared" si="1"/>
        <v>15</v>
      </c>
      <c r="B19" s="273" t="s">
        <v>1020</v>
      </c>
      <c r="C19" s="275">
        <v>144.36500000000001</v>
      </c>
      <c r="D19" s="275">
        <v>942.86901999999998</v>
      </c>
      <c r="E19" s="275">
        <v>122.60499999999999</v>
      </c>
      <c r="F19" s="275">
        <v>826.78532999999993</v>
      </c>
      <c r="G19" s="275">
        <v>57.545000000000009</v>
      </c>
      <c r="H19" s="275">
        <v>358.99447000000009</v>
      </c>
      <c r="I19" s="275">
        <v>144.36500000000001</v>
      </c>
      <c r="J19" s="275">
        <v>942.86901999999998</v>
      </c>
      <c r="K19" s="311">
        <f t="shared" si="0"/>
        <v>162.64165573358267</v>
      </c>
    </row>
    <row r="20" spans="1:11" x14ac:dyDescent="0.2">
      <c r="A20" s="308">
        <f t="shared" si="1"/>
        <v>16</v>
      </c>
      <c r="B20" s="273" t="s">
        <v>1021</v>
      </c>
      <c r="C20" s="275">
        <v>14.210000000000003</v>
      </c>
      <c r="D20" s="275">
        <v>26.513770000000001</v>
      </c>
      <c r="E20" s="275">
        <v>14.349999999999998</v>
      </c>
      <c r="F20" s="275">
        <v>24.273489999999999</v>
      </c>
      <c r="G20" s="275">
        <v>0.82000000000000006</v>
      </c>
      <c r="H20" s="275">
        <v>1.5038799999999999</v>
      </c>
      <c r="I20" s="275">
        <v>14.210000000000003</v>
      </c>
      <c r="J20" s="275">
        <v>26.513770000000001</v>
      </c>
      <c r="K20" s="311">
        <f t="shared" si="0"/>
        <v>1663.0243104503024</v>
      </c>
    </row>
    <row r="21" spans="1:11" x14ac:dyDescent="0.2">
      <c r="A21" s="313"/>
      <c r="B21" s="281" t="s">
        <v>140</v>
      </c>
      <c r="C21" s="282">
        <f t="shared" ref="C21:J21" si="2">SUM(C5:C20)</f>
        <v>9826.4570000000003</v>
      </c>
      <c r="D21" s="282">
        <f t="shared" si="2"/>
        <v>47775.984625000005</v>
      </c>
      <c r="E21" s="282">
        <f t="shared" si="2"/>
        <v>9906.9610000000011</v>
      </c>
      <c r="F21" s="282">
        <f t="shared" si="2"/>
        <v>39618.825600000004</v>
      </c>
      <c r="G21" s="282">
        <f t="shared" si="2"/>
        <v>7237.2669999999989</v>
      </c>
      <c r="H21" s="282">
        <f t="shared" si="2"/>
        <v>32688.928800000002</v>
      </c>
      <c r="I21" s="282">
        <f t="shared" si="2"/>
        <v>9826.4570000000003</v>
      </c>
      <c r="J21" s="282">
        <f t="shared" si="2"/>
        <v>47775.984625000005</v>
      </c>
      <c r="K21" s="310">
        <f t="shared" si="0"/>
        <v>46.153411503040751</v>
      </c>
    </row>
    <row r="22" spans="1:11" x14ac:dyDescent="0.2">
      <c r="A22" s="558" t="s">
        <v>888</v>
      </c>
      <c r="B22" s="558"/>
      <c r="C22" s="558"/>
      <c r="D22" s="558"/>
      <c r="E22" s="558"/>
      <c r="F22" s="558"/>
      <c r="G22" s="558"/>
      <c r="H22" s="558"/>
      <c r="I22" s="558"/>
      <c r="J22" s="558"/>
    </row>
    <row r="23" spans="1:11" x14ac:dyDescent="0.2">
      <c r="A23" s="314">
        <v>1</v>
      </c>
      <c r="B23" s="273" t="s">
        <v>1008</v>
      </c>
      <c r="C23" s="294">
        <v>8</v>
      </c>
      <c r="D23" s="294">
        <v>0.37</v>
      </c>
      <c r="E23" s="294" t="s">
        <v>430</v>
      </c>
      <c r="F23" s="294" t="s">
        <v>430</v>
      </c>
      <c r="G23" s="294">
        <v>0</v>
      </c>
      <c r="H23" s="294">
        <v>0</v>
      </c>
      <c r="I23" s="294">
        <v>8</v>
      </c>
      <c r="J23" s="294">
        <v>0.37</v>
      </c>
    </row>
    <row r="24" spans="1:11" x14ac:dyDescent="0.2">
      <c r="A24" s="314">
        <v>2</v>
      </c>
      <c r="B24" s="273" t="s">
        <v>1012</v>
      </c>
      <c r="C24" s="294">
        <v>0</v>
      </c>
      <c r="D24" s="294">
        <v>0</v>
      </c>
      <c r="E24" s="294" t="s">
        <v>430</v>
      </c>
      <c r="F24" s="294" t="s">
        <v>430</v>
      </c>
      <c r="G24" s="294">
        <v>0</v>
      </c>
      <c r="H24" s="294">
        <v>0</v>
      </c>
      <c r="I24" s="294">
        <v>0</v>
      </c>
      <c r="J24" s="294">
        <v>0</v>
      </c>
    </row>
    <row r="25" spans="1:11" x14ac:dyDescent="0.2">
      <c r="A25" s="314">
        <v>3</v>
      </c>
      <c r="B25" s="273" t="s">
        <v>1022</v>
      </c>
      <c r="C25" s="294">
        <v>9</v>
      </c>
      <c r="D25" s="294">
        <v>0.41</v>
      </c>
      <c r="E25" s="294">
        <v>4.96</v>
      </c>
      <c r="F25" s="294">
        <v>21.26</v>
      </c>
      <c r="G25" s="294">
        <v>1.1599999999999999</v>
      </c>
      <c r="H25" s="294">
        <v>5.13</v>
      </c>
      <c r="I25" s="294">
        <v>9</v>
      </c>
      <c r="J25" s="294">
        <v>0.41</v>
      </c>
    </row>
    <row r="26" spans="1:11" x14ac:dyDescent="0.2">
      <c r="A26" s="314">
        <v>4</v>
      </c>
      <c r="B26" s="273" t="s">
        <v>1023</v>
      </c>
      <c r="C26" s="294">
        <v>0</v>
      </c>
      <c r="D26" s="294">
        <v>0</v>
      </c>
      <c r="E26" s="294" t="s">
        <v>430</v>
      </c>
      <c r="F26" s="294" t="s">
        <v>430</v>
      </c>
      <c r="G26" s="294">
        <v>0</v>
      </c>
      <c r="H26" s="294">
        <v>0</v>
      </c>
      <c r="I26" s="294">
        <v>0</v>
      </c>
      <c r="J26" s="294">
        <v>0</v>
      </c>
    </row>
    <row r="27" spans="1:11" x14ac:dyDescent="0.2">
      <c r="A27" s="314">
        <v>5</v>
      </c>
      <c r="B27" s="273" t="s">
        <v>1024</v>
      </c>
      <c r="C27" s="294">
        <v>0</v>
      </c>
      <c r="D27" s="294">
        <v>0</v>
      </c>
      <c r="E27" s="294" t="s">
        <v>430</v>
      </c>
      <c r="F27" s="294" t="s">
        <v>430</v>
      </c>
      <c r="G27" s="294">
        <v>0</v>
      </c>
      <c r="H27" s="294">
        <v>0</v>
      </c>
      <c r="I27" s="294">
        <v>0</v>
      </c>
      <c r="J27" s="294">
        <v>0</v>
      </c>
    </row>
    <row r="28" spans="1:11" x14ac:dyDescent="0.2">
      <c r="A28" s="273"/>
      <c r="B28" s="281" t="s">
        <v>140</v>
      </c>
      <c r="C28" s="315">
        <f t="shared" ref="C28:J28" si="3">SUM(C23:C27)</f>
        <v>17</v>
      </c>
      <c r="D28" s="315">
        <f t="shared" si="3"/>
        <v>0.78</v>
      </c>
      <c r="E28" s="315">
        <f t="shared" si="3"/>
        <v>4.96</v>
      </c>
      <c r="F28" s="315">
        <f t="shared" si="3"/>
        <v>21.26</v>
      </c>
      <c r="G28" s="315">
        <f t="shared" si="3"/>
        <v>1.1599999999999999</v>
      </c>
      <c r="H28" s="315">
        <f t="shared" si="3"/>
        <v>5.13</v>
      </c>
      <c r="I28" s="315">
        <f t="shared" si="3"/>
        <v>17</v>
      </c>
      <c r="J28" s="315">
        <f t="shared" si="3"/>
        <v>0.78</v>
      </c>
    </row>
    <row r="29" spans="1:11" x14ac:dyDescent="0.2">
      <c r="A29" s="300" t="str">
        <f>'64'!A7</f>
        <v>$ indicates as on April 30, 2019</v>
      </c>
      <c r="B29" s="316"/>
      <c r="G29" s="304" t="s">
        <v>900</v>
      </c>
      <c r="H29" s="304" t="s">
        <v>900</v>
      </c>
      <c r="I29" s="304" t="s">
        <v>900</v>
      </c>
    </row>
    <row r="30" spans="1:11" x14ac:dyDescent="0.2">
      <c r="A30" s="317" t="s">
        <v>1025</v>
      </c>
      <c r="B30" s="316"/>
      <c r="E30" s="304" t="s">
        <v>900</v>
      </c>
      <c r="G30" s="304" t="s">
        <v>900</v>
      </c>
    </row>
    <row r="31" spans="1:11" x14ac:dyDescent="0.2">
      <c r="A31" s="316" t="s">
        <v>941</v>
      </c>
      <c r="I31" s="304" t="s">
        <v>900</v>
      </c>
    </row>
  </sheetData>
  <mergeCells count="9">
    <mergeCell ref="A4:J4"/>
    <mergeCell ref="A22:J22"/>
    <mergeCell ref="A1:J1"/>
    <mergeCell ref="A2:A3"/>
    <mergeCell ref="B2:B3"/>
    <mergeCell ref="C2:D2"/>
    <mergeCell ref="E2:F2"/>
    <mergeCell ref="G2:H2"/>
    <mergeCell ref="I2:J2"/>
  </mergeCells>
  <pageMargins left="0.7" right="0.7" top="0.75" bottom="0.75" header="0.3" footer="0.3"/>
  <pageSetup paperSize="9" scale="82"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0"/>
  <sheetViews>
    <sheetView workbookViewId="0"/>
  </sheetViews>
  <sheetFormatPr defaultRowHeight="12.75" x14ac:dyDescent="0.2"/>
  <cols>
    <col min="1" max="1" width="5.7109375" style="304" bestFit="1" customWidth="1"/>
    <col min="2" max="2" width="20.42578125" style="304" customWidth="1"/>
    <col min="3" max="3" width="11.42578125" style="304" customWidth="1"/>
    <col min="4" max="4" width="13.85546875" style="304" customWidth="1"/>
    <col min="5" max="5" width="16.85546875" style="304" customWidth="1"/>
    <col min="6" max="6" width="13.28515625" style="304" customWidth="1"/>
    <col min="7" max="7" width="11.140625" style="304" customWidth="1"/>
    <col min="8" max="8" width="12.85546875" style="304" customWidth="1"/>
    <col min="9" max="9" width="11.140625" style="304" customWidth="1"/>
    <col min="10" max="10" width="15.42578125" style="304" customWidth="1"/>
    <col min="11" max="16384" width="9.140625" style="304"/>
  </cols>
  <sheetData>
    <row r="1" spans="1:12" ht="15" x14ac:dyDescent="0.2">
      <c r="A1" s="318" t="s">
        <v>1069</v>
      </c>
      <c r="B1" s="318"/>
      <c r="C1" s="318"/>
      <c r="D1" s="318"/>
      <c r="E1" s="318"/>
      <c r="F1" s="318"/>
      <c r="G1" s="318"/>
      <c r="H1" s="318"/>
      <c r="I1" s="318"/>
      <c r="J1" s="318"/>
    </row>
    <row r="2" spans="1:12" x14ac:dyDescent="0.2">
      <c r="A2" s="572" t="s">
        <v>969</v>
      </c>
      <c r="B2" s="572" t="s">
        <v>970</v>
      </c>
      <c r="C2" s="570" t="s">
        <v>62</v>
      </c>
      <c r="D2" s="571"/>
      <c r="E2" s="570">
        <v>43218</v>
      </c>
      <c r="F2" s="571"/>
      <c r="G2" s="570">
        <v>43525</v>
      </c>
      <c r="H2" s="571"/>
      <c r="I2" s="570">
        <v>43556</v>
      </c>
      <c r="J2" s="571"/>
    </row>
    <row r="3" spans="1:12" ht="25.5" x14ac:dyDescent="0.2">
      <c r="A3" s="573"/>
      <c r="B3" s="573"/>
      <c r="C3" s="319" t="s">
        <v>935</v>
      </c>
      <c r="D3" s="320" t="s">
        <v>917</v>
      </c>
      <c r="E3" s="319" t="s">
        <v>935</v>
      </c>
      <c r="F3" s="320" t="s">
        <v>917</v>
      </c>
      <c r="G3" s="319" t="s">
        <v>935</v>
      </c>
      <c r="H3" s="320" t="s">
        <v>917</v>
      </c>
      <c r="I3" s="319" t="s">
        <v>935</v>
      </c>
      <c r="J3" s="320" t="s">
        <v>917</v>
      </c>
    </row>
    <row r="4" spans="1:12" x14ac:dyDescent="0.2">
      <c r="A4" s="321" t="s">
        <v>1026</v>
      </c>
      <c r="B4" s="563" t="s">
        <v>899</v>
      </c>
      <c r="C4" s="564"/>
      <c r="D4" s="564"/>
      <c r="E4" s="564"/>
      <c r="F4" s="564"/>
      <c r="G4" s="564"/>
      <c r="H4" s="564"/>
      <c r="I4" s="564"/>
      <c r="J4" s="565"/>
    </row>
    <row r="5" spans="1:12" x14ac:dyDescent="0.2">
      <c r="A5" s="314">
        <v>1</v>
      </c>
      <c r="B5" s="322" t="s">
        <v>1027</v>
      </c>
      <c r="C5" s="323">
        <v>0</v>
      </c>
      <c r="D5" s="323">
        <v>0</v>
      </c>
      <c r="E5" s="280">
        <v>85.78</v>
      </c>
      <c r="F5" s="280">
        <v>355.19</v>
      </c>
      <c r="G5" s="323">
        <v>0</v>
      </c>
      <c r="H5" s="323">
        <v>0</v>
      </c>
      <c r="I5" s="323">
        <v>0</v>
      </c>
      <c r="J5" s="323">
        <v>0</v>
      </c>
    </row>
    <row r="6" spans="1:12" x14ac:dyDescent="0.2">
      <c r="A6" s="314">
        <v>2</v>
      </c>
      <c r="B6" s="322" t="s">
        <v>1028</v>
      </c>
      <c r="C6" s="323">
        <v>0</v>
      </c>
      <c r="D6" s="323">
        <v>0</v>
      </c>
      <c r="E6" s="280">
        <v>112.065</v>
      </c>
      <c r="F6" s="280">
        <v>462.64</v>
      </c>
      <c r="G6" s="323">
        <v>0</v>
      </c>
      <c r="H6" s="323">
        <v>0</v>
      </c>
      <c r="I6" s="323">
        <v>0</v>
      </c>
      <c r="J6" s="323">
        <v>0</v>
      </c>
    </row>
    <row r="7" spans="1:12" x14ac:dyDescent="0.2">
      <c r="A7" s="314">
        <v>3</v>
      </c>
      <c r="B7" s="322" t="s">
        <v>1029</v>
      </c>
      <c r="C7" s="280">
        <v>22.98</v>
      </c>
      <c r="D7" s="280">
        <v>23.98</v>
      </c>
      <c r="E7" s="280">
        <v>79.390129999999999</v>
      </c>
      <c r="F7" s="280">
        <v>660.88</v>
      </c>
      <c r="G7" s="323">
        <v>0</v>
      </c>
      <c r="H7" s="323">
        <v>0</v>
      </c>
      <c r="I7" s="324">
        <v>22.98</v>
      </c>
      <c r="J7" s="324">
        <v>23.98</v>
      </c>
    </row>
    <row r="8" spans="1:12" x14ac:dyDescent="0.2">
      <c r="A8" s="314">
        <v>4</v>
      </c>
      <c r="B8" s="322" t="s">
        <v>1030</v>
      </c>
      <c r="C8" s="323">
        <v>0</v>
      </c>
      <c r="D8" s="323">
        <v>0</v>
      </c>
      <c r="E8" s="325">
        <v>0.39500000000000002</v>
      </c>
      <c r="F8" s="280">
        <v>1.5113590000000003</v>
      </c>
      <c r="G8" s="323">
        <v>0</v>
      </c>
      <c r="H8" s="323">
        <v>0</v>
      </c>
      <c r="I8" s="323">
        <v>0</v>
      </c>
      <c r="J8" s="323">
        <v>0</v>
      </c>
    </row>
    <row r="9" spans="1:12" x14ac:dyDescent="0.2">
      <c r="A9" s="314">
        <v>5</v>
      </c>
      <c r="B9" s="322" t="s">
        <v>1031</v>
      </c>
      <c r="C9" s="323">
        <v>0</v>
      </c>
      <c r="D9" s="323">
        <v>0</v>
      </c>
      <c r="E9" s="280">
        <v>230.23</v>
      </c>
      <c r="F9" s="280">
        <v>805.10658499999988</v>
      </c>
      <c r="G9" s="323">
        <v>0</v>
      </c>
      <c r="H9" s="323">
        <v>0</v>
      </c>
      <c r="I9" s="323">
        <v>0</v>
      </c>
      <c r="J9" s="323">
        <v>0</v>
      </c>
      <c r="K9" s="304" t="s">
        <v>900</v>
      </c>
    </row>
    <row r="10" spans="1:12" x14ac:dyDescent="0.2">
      <c r="A10" s="314">
        <v>6</v>
      </c>
      <c r="B10" s="322" t="s">
        <v>1032</v>
      </c>
      <c r="C10" s="323">
        <v>0</v>
      </c>
      <c r="D10" s="323">
        <v>0</v>
      </c>
      <c r="E10" s="280">
        <v>170.69</v>
      </c>
      <c r="F10" s="280">
        <v>750.65905500000054</v>
      </c>
      <c r="G10" s="323">
        <v>0</v>
      </c>
      <c r="H10" s="323">
        <v>0</v>
      </c>
      <c r="I10" s="323">
        <v>0</v>
      </c>
      <c r="J10" s="323">
        <v>0</v>
      </c>
    </row>
    <row r="11" spans="1:12" x14ac:dyDescent="0.2">
      <c r="A11" s="314">
        <v>7</v>
      </c>
      <c r="B11" s="322" t="s">
        <v>1033</v>
      </c>
      <c r="C11" s="280">
        <v>165.24</v>
      </c>
      <c r="D11" s="280">
        <v>216.07</v>
      </c>
      <c r="E11" s="280">
        <v>10.627000000000001</v>
      </c>
      <c r="F11" s="280">
        <v>130.01715099999996</v>
      </c>
      <c r="G11" s="280">
        <v>18.309999999999999</v>
      </c>
      <c r="H11" s="280">
        <v>238.73</v>
      </c>
      <c r="I11" s="280">
        <v>165.24</v>
      </c>
      <c r="J11" s="280">
        <v>216.07</v>
      </c>
    </row>
    <row r="12" spans="1:12" x14ac:dyDescent="0.2">
      <c r="A12" s="314">
        <v>8</v>
      </c>
      <c r="B12" s="326" t="s">
        <v>1034</v>
      </c>
      <c r="C12" s="280">
        <v>104815.84</v>
      </c>
      <c r="D12" s="280">
        <v>3648.72</v>
      </c>
      <c r="E12" s="280">
        <v>11766.13</v>
      </c>
      <c r="F12" s="280">
        <v>389.81456600000001</v>
      </c>
      <c r="G12" s="280">
        <v>112666.05</v>
      </c>
      <c r="H12" s="280">
        <v>3921.69</v>
      </c>
      <c r="I12" s="280">
        <v>104815.84</v>
      </c>
      <c r="J12" s="280">
        <v>3648.72</v>
      </c>
      <c r="L12" s="304" t="s">
        <v>900</v>
      </c>
    </row>
    <row r="13" spans="1:12" x14ac:dyDescent="0.2">
      <c r="A13" s="314">
        <v>9</v>
      </c>
      <c r="B13" s="326" t="s">
        <v>1035</v>
      </c>
      <c r="C13" s="280">
        <v>1797.78</v>
      </c>
      <c r="D13" s="280">
        <v>28.64</v>
      </c>
      <c r="E13" s="280">
        <v>5872.77</v>
      </c>
      <c r="F13" s="280">
        <v>89.421199999999999</v>
      </c>
      <c r="G13" s="280">
        <v>8793.58</v>
      </c>
      <c r="H13" s="280">
        <v>140.31</v>
      </c>
      <c r="I13" s="280">
        <v>1797.78</v>
      </c>
      <c r="J13" s="280">
        <v>28.64</v>
      </c>
    </row>
    <row r="14" spans="1:12" x14ac:dyDescent="0.2">
      <c r="A14" s="314">
        <v>10</v>
      </c>
      <c r="B14" s="326" t="s">
        <v>1036</v>
      </c>
      <c r="C14" s="280">
        <v>0.02</v>
      </c>
      <c r="D14" s="280">
        <v>2.0000000000000001E-4</v>
      </c>
      <c r="E14" s="280">
        <v>2.59</v>
      </c>
      <c r="F14" s="286">
        <v>0.25700000000000001</v>
      </c>
      <c r="G14" s="286">
        <v>0.33</v>
      </c>
      <c r="H14" s="327">
        <v>3.6459999999999999E-3</v>
      </c>
      <c r="I14" s="323">
        <v>0.02</v>
      </c>
      <c r="J14" s="324">
        <v>2.0000000000000001E-4</v>
      </c>
    </row>
    <row r="15" spans="1:12" x14ac:dyDescent="0.2">
      <c r="A15" s="314">
        <v>11</v>
      </c>
      <c r="B15" s="326" t="s">
        <v>1037</v>
      </c>
      <c r="C15" s="280">
        <v>157.54</v>
      </c>
      <c r="D15" s="280">
        <v>536.39</v>
      </c>
      <c r="E15" s="323">
        <v>0</v>
      </c>
      <c r="F15" s="323">
        <v>0</v>
      </c>
      <c r="G15" s="280">
        <v>169.07</v>
      </c>
      <c r="H15" s="280">
        <v>577.15</v>
      </c>
      <c r="I15" s="280">
        <v>157.54</v>
      </c>
      <c r="J15" s="280">
        <v>536.39</v>
      </c>
    </row>
    <row r="16" spans="1:12" x14ac:dyDescent="0.2">
      <c r="A16" s="314"/>
      <c r="B16" s="328" t="s">
        <v>1038</v>
      </c>
      <c r="C16" s="329">
        <f>SUM(C5:C15)</f>
        <v>106959.4</v>
      </c>
      <c r="D16" s="329">
        <f>SUM(D5:D15)</f>
        <v>4453.8001999999997</v>
      </c>
      <c r="E16" s="329">
        <f t="shared" ref="E16:J16" si="0">SUM(E5:E15)</f>
        <v>18330.667129999998</v>
      </c>
      <c r="F16" s="329">
        <f t="shared" si="0"/>
        <v>3645.4969160000005</v>
      </c>
      <c r="G16" s="329">
        <f t="shared" si="0"/>
        <v>121647.34000000001</v>
      </c>
      <c r="H16" s="329">
        <f t="shared" si="0"/>
        <v>4877.8836460000002</v>
      </c>
      <c r="I16" s="329">
        <f t="shared" si="0"/>
        <v>106959.4</v>
      </c>
      <c r="J16" s="329">
        <f t="shared" si="0"/>
        <v>4453.8001999999997</v>
      </c>
      <c r="K16" s="330"/>
    </row>
    <row r="17" spans="1:13" x14ac:dyDescent="0.2">
      <c r="A17" s="331" t="s">
        <v>1039</v>
      </c>
      <c r="B17" s="566" t="s">
        <v>227</v>
      </c>
      <c r="C17" s="567"/>
      <c r="D17" s="567"/>
      <c r="E17" s="567"/>
      <c r="F17" s="567"/>
      <c r="G17" s="567"/>
      <c r="H17" s="567"/>
      <c r="I17" s="567"/>
      <c r="J17" s="567"/>
    </row>
    <row r="18" spans="1:13" x14ac:dyDescent="0.2">
      <c r="A18" s="314">
        <v>1</v>
      </c>
      <c r="B18" s="332" t="s">
        <v>971</v>
      </c>
      <c r="C18" s="333">
        <v>5.6100000000000004E-3</v>
      </c>
      <c r="D18" s="334">
        <v>1784.51566</v>
      </c>
      <c r="E18" s="335" t="s">
        <v>430</v>
      </c>
      <c r="F18" s="335" t="s">
        <v>430</v>
      </c>
      <c r="G18" s="335">
        <f>3.97/1000</f>
        <v>3.9700000000000004E-3</v>
      </c>
      <c r="H18" s="335">
        <v>1272.55008</v>
      </c>
      <c r="I18" s="335">
        <f>5.61/1000</f>
        <v>5.6100000000000004E-3</v>
      </c>
      <c r="J18" s="335">
        <v>1784.51566</v>
      </c>
      <c r="K18" s="336"/>
      <c r="L18" s="336"/>
    </row>
    <row r="19" spans="1:13" x14ac:dyDescent="0.2">
      <c r="A19" s="314">
        <v>2</v>
      </c>
      <c r="B19" s="332" t="s">
        <v>972</v>
      </c>
      <c r="C19" s="333">
        <v>0.10404000000000001</v>
      </c>
      <c r="D19" s="334">
        <v>390.436623</v>
      </c>
      <c r="E19" s="335" t="s">
        <v>430</v>
      </c>
      <c r="F19" s="335" t="s">
        <v>430</v>
      </c>
      <c r="G19" s="337">
        <f>61.29/1000</f>
        <v>6.1289999999999997E-2</v>
      </c>
      <c r="H19" s="335">
        <v>235.36856399999999</v>
      </c>
      <c r="I19" s="335">
        <f>104.04/1000</f>
        <v>0.10404000000000001</v>
      </c>
      <c r="J19" s="335">
        <v>390.436623</v>
      </c>
      <c r="K19" s="336"/>
      <c r="L19" s="336"/>
    </row>
    <row r="20" spans="1:13" x14ac:dyDescent="0.2">
      <c r="A20" s="314">
        <v>3</v>
      </c>
      <c r="B20" s="332" t="s">
        <v>1040</v>
      </c>
      <c r="C20" s="338">
        <v>0</v>
      </c>
      <c r="D20" s="338">
        <v>0</v>
      </c>
      <c r="E20" s="335" t="s">
        <v>430</v>
      </c>
      <c r="F20" s="335" t="s">
        <v>430</v>
      </c>
      <c r="G20" s="323">
        <v>0</v>
      </c>
      <c r="H20" s="323">
        <v>0</v>
      </c>
      <c r="I20" s="323">
        <v>0</v>
      </c>
      <c r="J20" s="323">
        <v>0</v>
      </c>
      <c r="K20" s="336"/>
    </row>
    <row r="21" spans="1:13" x14ac:dyDescent="0.2">
      <c r="A21" s="314">
        <v>4</v>
      </c>
      <c r="B21" s="332" t="s">
        <v>977</v>
      </c>
      <c r="C21" s="338">
        <v>7.0000000000000001E-3</v>
      </c>
      <c r="D21" s="339">
        <v>0.32821499999999998</v>
      </c>
      <c r="E21" s="335" t="s">
        <v>430</v>
      </c>
      <c r="F21" s="335" t="s">
        <v>430</v>
      </c>
      <c r="G21" s="323">
        <v>0</v>
      </c>
      <c r="H21" s="323">
        <v>0</v>
      </c>
      <c r="I21" s="323">
        <f>7/1000</f>
        <v>7.0000000000000001E-3</v>
      </c>
      <c r="J21" s="340">
        <v>0.32821499999999998</v>
      </c>
      <c r="K21" s="336"/>
    </row>
    <row r="22" spans="1:13" x14ac:dyDescent="0.2">
      <c r="A22" s="314">
        <v>5</v>
      </c>
      <c r="B22" s="332" t="s">
        <v>1041</v>
      </c>
      <c r="C22" s="338">
        <v>1.4000000000000001E-4</v>
      </c>
      <c r="D22" s="341">
        <v>42.945121999999998</v>
      </c>
      <c r="E22" s="335" t="s">
        <v>430</v>
      </c>
      <c r="F22" s="335" t="s">
        <v>430</v>
      </c>
      <c r="G22" s="342">
        <f>15.8/1000</f>
        <v>1.5800000000000002E-2</v>
      </c>
      <c r="H22" s="324">
        <v>15.824189000000001</v>
      </c>
      <c r="I22" s="335">
        <f>0.14/1000</f>
        <v>1.4000000000000001E-4</v>
      </c>
      <c r="J22" s="324">
        <v>42.945121999999998</v>
      </c>
      <c r="K22" s="336"/>
      <c r="L22" s="336"/>
    </row>
    <row r="23" spans="1:13" x14ac:dyDescent="0.2">
      <c r="A23" s="314">
        <v>6</v>
      </c>
      <c r="B23" s="332" t="s">
        <v>1042</v>
      </c>
      <c r="C23" s="338">
        <v>1.4000000000000001E-4</v>
      </c>
      <c r="D23" s="341">
        <v>0</v>
      </c>
      <c r="E23" s="335" t="s">
        <v>430</v>
      </c>
      <c r="F23" s="335" t="s">
        <v>430</v>
      </c>
      <c r="G23" s="340">
        <f>90/1000</f>
        <v>0.09</v>
      </c>
      <c r="H23" s="324">
        <v>0.77983000000000002</v>
      </c>
      <c r="I23" s="335">
        <v>1.4000000000000001E-4</v>
      </c>
      <c r="J23" s="324">
        <v>0</v>
      </c>
      <c r="K23" s="343"/>
      <c r="L23" s="343"/>
    </row>
    <row r="24" spans="1:13" x14ac:dyDescent="0.2">
      <c r="A24" s="314">
        <v>7</v>
      </c>
      <c r="B24" s="332" t="s">
        <v>1043</v>
      </c>
      <c r="C24" s="338">
        <v>311.66000000000003</v>
      </c>
      <c r="D24" s="344">
        <v>1388.4050649999999</v>
      </c>
      <c r="E24" s="335" t="s">
        <v>430</v>
      </c>
      <c r="F24" s="335" t="s">
        <v>430</v>
      </c>
      <c r="G24" s="324">
        <f>332120/1000</f>
        <v>332.12</v>
      </c>
      <c r="H24" s="345">
        <v>1438.162775</v>
      </c>
      <c r="I24" s="335">
        <f>311660/1000</f>
        <v>311.66000000000003</v>
      </c>
      <c r="J24" s="345">
        <v>1388.4050649999999</v>
      </c>
      <c r="K24" s="336"/>
      <c r="L24" s="336"/>
      <c r="M24" s="336"/>
    </row>
    <row r="25" spans="1:13" x14ac:dyDescent="0.2">
      <c r="A25" s="314">
        <v>8</v>
      </c>
      <c r="B25" s="332" t="s">
        <v>984</v>
      </c>
      <c r="C25" s="338">
        <v>104.958</v>
      </c>
      <c r="D25" s="344">
        <v>1383.4128000000001</v>
      </c>
      <c r="E25" s="335" t="s">
        <v>430</v>
      </c>
      <c r="F25" s="335" t="s">
        <v>430</v>
      </c>
      <c r="G25" s="324">
        <f>117474/1000</f>
        <v>117.474</v>
      </c>
      <c r="H25" s="324">
        <v>1462.3225749999999</v>
      </c>
      <c r="I25" s="335">
        <f>104958/1000</f>
        <v>104.958</v>
      </c>
      <c r="J25" s="345">
        <v>1383.4128000000001</v>
      </c>
      <c r="K25" s="336"/>
      <c r="L25" s="336"/>
    </row>
    <row r="26" spans="1:13" x14ac:dyDescent="0.2">
      <c r="A26" s="314"/>
      <c r="B26" s="346" t="s">
        <v>1044</v>
      </c>
      <c r="C26" s="347">
        <v>416.73493000000008</v>
      </c>
      <c r="D26" s="347">
        <f>SUM(D18:D25)</f>
        <v>4990.0434850000001</v>
      </c>
      <c r="E26" s="347" t="s">
        <v>430</v>
      </c>
      <c r="F26" s="347" t="s">
        <v>430</v>
      </c>
      <c r="G26" s="347">
        <f>SUM(G18:G25)</f>
        <v>449.76506000000001</v>
      </c>
      <c r="H26" s="347">
        <f>SUM(H18:H25)</f>
        <v>4425.0080129999997</v>
      </c>
      <c r="I26" s="347">
        <f>SUM(I18:I25)</f>
        <v>416.73493000000008</v>
      </c>
      <c r="J26" s="347">
        <f>SUM(J18:J25)</f>
        <v>4990.0434850000001</v>
      </c>
    </row>
    <row r="27" spans="1:13" hidden="1" x14ac:dyDescent="0.2">
      <c r="A27" s="331" t="s">
        <v>1045</v>
      </c>
      <c r="B27" s="568" t="s">
        <v>228</v>
      </c>
      <c r="C27" s="568"/>
      <c r="D27" s="568"/>
      <c r="E27" s="568"/>
      <c r="F27" s="568"/>
      <c r="G27" s="568"/>
      <c r="H27" s="568"/>
      <c r="I27" s="568"/>
      <c r="J27" s="568"/>
    </row>
    <row r="28" spans="1:13" hidden="1" x14ac:dyDescent="0.2">
      <c r="A28" s="314">
        <v>1</v>
      </c>
      <c r="B28" s="348" t="s">
        <v>971</v>
      </c>
      <c r="C28" s="348"/>
      <c r="D28" s="348"/>
      <c r="E28" s="340" t="s">
        <v>430</v>
      </c>
      <c r="F28" s="340" t="s">
        <v>430</v>
      </c>
      <c r="G28" s="340" t="s">
        <v>430</v>
      </c>
      <c r="H28" s="340" t="s">
        <v>430</v>
      </c>
      <c r="I28" s="348"/>
      <c r="J28" s="348"/>
    </row>
    <row r="29" spans="1:13" hidden="1" x14ac:dyDescent="0.2">
      <c r="A29" s="314">
        <v>2</v>
      </c>
      <c r="B29" s="348" t="s">
        <v>972</v>
      </c>
      <c r="C29" s="348"/>
      <c r="D29" s="348"/>
      <c r="E29" s="340" t="s">
        <v>430</v>
      </c>
      <c r="F29" s="340" t="s">
        <v>430</v>
      </c>
      <c r="G29" s="340" t="s">
        <v>430</v>
      </c>
      <c r="H29" s="340" t="s">
        <v>430</v>
      </c>
      <c r="I29" s="348"/>
      <c r="J29" s="348"/>
    </row>
    <row r="30" spans="1:13" ht="12.75" hidden="1" customHeight="1" x14ac:dyDescent="0.2">
      <c r="A30" s="349"/>
      <c r="B30" s="350" t="s">
        <v>1046</v>
      </c>
      <c r="C30" s="351"/>
      <c r="D30" s="351">
        <v>696.19</v>
      </c>
      <c r="E30" s="340" t="s">
        <v>430</v>
      </c>
      <c r="F30" s="340" t="s">
        <v>430</v>
      </c>
      <c r="G30" s="340" t="s">
        <v>430</v>
      </c>
      <c r="H30" s="340" t="s">
        <v>430</v>
      </c>
      <c r="I30" s="351"/>
      <c r="J30" s="351">
        <v>696.19</v>
      </c>
    </row>
    <row r="31" spans="1:13" x14ac:dyDescent="0.2">
      <c r="A31" s="331" t="s">
        <v>1045</v>
      </c>
      <c r="B31" s="566" t="s">
        <v>228</v>
      </c>
      <c r="C31" s="567"/>
      <c r="D31" s="567"/>
      <c r="E31" s="567"/>
      <c r="F31" s="567"/>
      <c r="G31" s="567"/>
      <c r="H31" s="567"/>
      <c r="I31" s="567"/>
      <c r="J31" s="567"/>
    </row>
    <row r="32" spans="1:13" x14ac:dyDescent="0.2">
      <c r="A32" s="314">
        <v>1</v>
      </c>
      <c r="B32" s="322" t="s">
        <v>971</v>
      </c>
      <c r="C32" s="335">
        <v>7.3999999999999996E-2</v>
      </c>
      <c r="D32" s="335">
        <v>23.602780000000003</v>
      </c>
      <c r="E32" s="335" t="s">
        <v>430</v>
      </c>
      <c r="F32" s="335" t="s">
        <v>430</v>
      </c>
      <c r="G32" s="337">
        <v>0.15900000000000003</v>
      </c>
      <c r="H32" s="335">
        <v>50.962800000000001</v>
      </c>
      <c r="I32" s="352">
        <v>7.3999999999999996E-2</v>
      </c>
      <c r="J32" s="352">
        <v>23.602780000000003</v>
      </c>
      <c r="K32" s="352">
        <f>SUM(J32:J34)</f>
        <v>431.03876900000006</v>
      </c>
      <c r="L32" s="352">
        <f>SUM(H32:H34)</f>
        <v>360.33586800000012</v>
      </c>
      <c r="M32" s="335">
        <f>(K32-L32)/L32*100</f>
        <v>19.621388620685387</v>
      </c>
    </row>
    <row r="33" spans="1:13" x14ac:dyDescent="0.2">
      <c r="A33" s="314">
        <v>2</v>
      </c>
      <c r="B33" s="322" t="s">
        <v>1047</v>
      </c>
      <c r="C33" s="335">
        <v>1.2229999999999994</v>
      </c>
      <c r="D33" s="335">
        <v>389.01430000000005</v>
      </c>
      <c r="E33" s="335" t="s">
        <v>430</v>
      </c>
      <c r="F33" s="335" t="s">
        <v>430</v>
      </c>
      <c r="G33" s="337">
        <v>0.8262999999999997</v>
      </c>
      <c r="H33" s="335">
        <v>264.79472400000009</v>
      </c>
      <c r="I33" s="352">
        <v>1.2229999999999994</v>
      </c>
      <c r="J33" s="352">
        <v>389.01430000000005</v>
      </c>
    </row>
    <row r="34" spans="1:13" x14ac:dyDescent="0.2">
      <c r="A34" s="314">
        <v>3</v>
      </c>
      <c r="B34" s="322" t="s">
        <v>972</v>
      </c>
      <c r="C34" s="335">
        <v>4.92</v>
      </c>
      <c r="D34" s="335">
        <v>18.421689000000001</v>
      </c>
      <c r="E34" s="335" t="s">
        <v>430</v>
      </c>
      <c r="F34" s="335" t="s">
        <v>430</v>
      </c>
      <c r="G34" s="337">
        <v>11.610000000000003</v>
      </c>
      <c r="H34" s="335">
        <v>44.578344000000008</v>
      </c>
      <c r="I34" s="352">
        <v>4.92</v>
      </c>
      <c r="J34" s="352">
        <v>18.421689000000001</v>
      </c>
    </row>
    <row r="35" spans="1:13" x14ac:dyDescent="0.2">
      <c r="A35" s="314">
        <v>4</v>
      </c>
      <c r="B35" s="353" t="s">
        <v>1048</v>
      </c>
      <c r="C35" s="335">
        <v>370</v>
      </c>
      <c r="D35" s="335">
        <v>18.531720000000004</v>
      </c>
      <c r="E35" s="335" t="s">
        <v>430</v>
      </c>
      <c r="F35" s="335" t="s">
        <v>430</v>
      </c>
      <c r="G35" s="335">
        <v>476</v>
      </c>
      <c r="H35" s="335">
        <v>22.180739999999993</v>
      </c>
      <c r="I35" s="352">
        <v>370</v>
      </c>
      <c r="J35" s="352">
        <v>18.531720000000004</v>
      </c>
      <c r="K35" s="335">
        <f>SUM(J35:J36)</f>
        <v>58.747573000000003</v>
      </c>
      <c r="L35" s="335">
        <f>SUM(H35:H36)</f>
        <v>69.264047999999988</v>
      </c>
      <c r="M35" s="324">
        <f>(K35-L35)/L35*100</f>
        <v>-15.183165442481773</v>
      </c>
    </row>
    <row r="36" spans="1:13" x14ac:dyDescent="0.2">
      <c r="A36" s="314">
        <v>5</v>
      </c>
      <c r="B36" s="353" t="s">
        <v>1049</v>
      </c>
      <c r="C36" s="335">
        <v>8073</v>
      </c>
      <c r="D36" s="335">
        <v>40.215852999999996</v>
      </c>
      <c r="E36" s="335" t="s">
        <v>430</v>
      </c>
      <c r="F36" s="335" t="s">
        <v>430</v>
      </c>
      <c r="G36" s="335">
        <v>10108</v>
      </c>
      <c r="H36" s="335">
        <v>47.083307999999995</v>
      </c>
      <c r="I36" s="337">
        <v>8073</v>
      </c>
      <c r="J36" s="337">
        <v>40.215852999999996</v>
      </c>
    </row>
    <row r="37" spans="1:13" x14ac:dyDescent="0.2">
      <c r="A37" s="314"/>
      <c r="B37" s="346" t="s">
        <v>1046</v>
      </c>
      <c r="C37" s="347">
        <f>SUM(C32:C36)</f>
        <v>8449.2170000000006</v>
      </c>
      <c r="D37" s="347">
        <f>SUM(D32:D36)</f>
        <v>489.78634200000005</v>
      </c>
      <c r="E37" s="347" t="s">
        <v>430</v>
      </c>
      <c r="F37" s="347" t="s">
        <v>430</v>
      </c>
      <c r="G37" s="354">
        <f>SUM(G32:G36)</f>
        <v>10596.595300000001</v>
      </c>
      <c r="H37" s="354">
        <f>SUM(H32:H36)</f>
        <v>429.59991600000012</v>
      </c>
      <c r="I37" s="347">
        <f>SUM(I32:I36)</f>
        <v>8449.2170000000006</v>
      </c>
      <c r="J37" s="347">
        <f>SUM(J32:J36)</f>
        <v>489.78634200000005</v>
      </c>
    </row>
    <row r="38" spans="1:13" x14ac:dyDescent="0.2">
      <c r="A38" s="233" t="str">
        <f>'64'!A7</f>
        <v>$ indicates as on April 30, 2019</v>
      </c>
      <c r="B38" s="252"/>
      <c r="C38" s="252"/>
      <c r="D38" s="252"/>
      <c r="E38" s="252"/>
      <c r="F38" s="355"/>
      <c r="G38" s="355"/>
      <c r="H38" s="355"/>
      <c r="I38" s="355">
        <f>K32/J37*100</f>
        <v>88.005469331768353</v>
      </c>
      <c r="J38" s="355">
        <f>K35/J37*100</f>
        <v>11.994530668231658</v>
      </c>
    </row>
    <row r="39" spans="1:13" ht="26.25" customHeight="1" x14ac:dyDescent="0.2">
      <c r="A39" s="569" t="s">
        <v>1050</v>
      </c>
      <c r="B39" s="569"/>
      <c r="C39" s="569"/>
      <c r="D39" s="569"/>
      <c r="E39" s="569"/>
      <c r="F39" s="569"/>
      <c r="G39" s="569"/>
      <c r="H39" s="569"/>
      <c r="I39" s="569"/>
      <c r="J39" s="569"/>
    </row>
    <row r="40" spans="1:13" x14ac:dyDescent="0.2">
      <c r="A40" s="356"/>
      <c r="B40" s="569" t="s">
        <v>1051</v>
      </c>
      <c r="C40" s="569"/>
      <c r="D40" s="569"/>
      <c r="E40" s="569"/>
      <c r="F40" s="569"/>
      <c r="G40" s="569"/>
      <c r="H40" s="569"/>
      <c r="I40" s="569"/>
      <c r="J40" s="569"/>
    </row>
    <row r="41" spans="1:13" ht="14.25" customHeight="1" x14ac:dyDescent="0.2">
      <c r="A41" s="356"/>
      <c r="B41" s="527" t="s">
        <v>1052</v>
      </c>
      <c r="C41" s="527"/>
      <c r="D41" s="527"/>
      <c r="E41" s="527"/>
      <c r="F41" s="527"/>
      <c r="G41" s="527"/>
      <c r="H41" s="527"/>
      <c r="I41" s="527"/>
      <c r="J41" s="527"/>
    </row>
    <row r="42" spans="1:13" ht="14.25" customHeight="1" x14ac:dyDescent="0.2">
      <c r="A42" s="356"/>
      <c r="B42" s="562" t="s">
        <v>1053</v>
      </c>
      <c r="C42" s="562"/>
      <c r="D42" s="562"/>
      <c r="E42" s="562"/>
      <c r="F42" s="562"/>
      <c r="G42" s="562"/>
      <c r="H42" s="562"/>
      <c r="I42" s="562"/>
      <c r="J42" s="562"/>
      <c r="K42" s="562"/>
      <c r="L42" s="562"/>
    </row>
    <row r="43" spans="1:13" x14ac:dyDescent="0.2">
      <c r="A43" s="316" t="s">
        <v>1054</v>
      </c>
      <c r="E43" s="357"/>
      <c r="F43" s="355"/>
      <c r="G43" s="355"/>
      <c r="H43" s="357"/>
      <c r="I43" s="355"/>
      <c r="J43" s="355"/>
    </row>
    <row r="44" spans="1:13" x14ac:dyDescent="0.2">
      <c r="A44" s="316"/>
      <c r="G44" s="304" t="s">
        <v>900</v>
      </c>
      <c r="H44" s="304" t="s">
        <v>900</v>
      </c>
    </row>
    <row r="46" spans="1:13" x14ac:dyDescent="0.2">
      <c r="C46" s="330"/>
      <c r="G46" s="330"/>
      <c r="I46" s="330"/>
    </row>
    <row r="47" spans="1:13" x14ac:dyDescent="0.2">
      <c r="C47" s="330"/>
      <c r="G47" s="330"/>
      <c r="I47" s="330"/>
    </row>
    <row r="49" spans="8:10" x14ac:dyDescent="0.2">
      <c r="H49" s="358"/>
      <c r="I49" s="359"/>
      <c r="J49" s="358"/>
    </row>
    <row r="50" spans="8:10" x14ac:dyDescent="0.2">
      <c r="I50" s="359"/>
    </row>
  </sheetData>
  <mergeCells count="14">
    <mergeCell ref="I2:J2"/>
    <mergeCell ref="A2:A3"/>
    <mergeCell ref="B2:B3"/>
    <mergeCell ref="C2:D2"/>
    <mergeCell ref="E2:F2"/>
    <mergeCell ref="G2:H2"/>
    <mergeCell ref="B41:J41"/>
    <mergeCell ref="B42:L42"/>
    <mergeCell ref="B4:J4"/>
    <mergeCell ref="B17:J17"/>
    <mergeCell ref="B27:J27"/>
    <mergeCell ref="B31:J31"/>
    <mergeCell ref="A39:J39"/>
    <mergeCell ref="B40:J40"/>
  </mergeCells>
  <pageMargins left="0.7" right="0.7" top="0.75" bottom="0.75" header="0.3" footer="0.3"/>
  <pageSetup paperSize="9" scale="67"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6"/>
  <sheetViews>
    <sheetView workbookViewId="0"/>
  </sheetViews>
  <sheetFormatPr defaultRowHeight="12.75" x14ac:dyDescent="0.2"/>
  <cols>
    <col min="1" max="1" width="55.5703125" style="91" customWidth="1"/>
    <col min="2" max="2" width="15" style="91" customWidth="1"/>
    <col min="3" max="3" width="12.140625" style="91" customWidth="1"/>
    <col min="4" max="4" width="13" style="91" customWidth="1"/>
    <col min="5" max="5" width="10.5703125" style="91" bestFit="1" customWidth="1"/>
    <col min="6" max="6" width="10.7109375" style="91" bestFit="1" customWidth="1"/>
    <col min="7" max="8" width="9.140625" style="91" customWidth="1"/>
    <col min="9" max="9" width="9.28515625" style="91" hidden="1" customWidth="1"/>
    <col min="10" max="12" width="9.140625" style="91" hidden="1" customWidth="1"/>
    <col min="13" max="13" width="10.140625" style="91" hidden="1" customWidth="1"/>
    <col min="14" max="16384" width="9.140625" style="91"/>
  </cols>
  <sheetData>
    <row r="1" spans="1:11" ht="15" customHeight="1" x14ac:dyDescent="0.25">
      <c r="A1" s="86" t="s">
        <v>1070</v>
      </c>
      <c r="B1" s="87"/>
      <c r="C1" s="87"/>
      <c r="D1" s="88"/>
      <c r="E1" s="574"/>
      <c r="F1" s="575"/>
      <c r="G1" s="89"/>
      <c r="H1" s="89"/>
      <c r="I1" s="90"/>
      <c r="K1" s="89"/>
    </row>
    <row r="2" spans="1:11" ht="18" customHeight="1" x14ac:dyDescent="0.25">
      <c r="A2" s="576" t="s">
        <v>768</v>
      </c>
      <c r="B2" s="577"/>
      <c r="C2" s="577"/>
      <c r="D2" s="578"/>
      <c r="E2" s="579">
        <v>14100119</v>
      </c>
      <c r="F2" s="580"/>
      <c r="G2" s="92"/>
      <c r="H2" s="92"/>
      <c r="I2" s="92"/>
      <c r="K2" s="92"/>
    </row>
    <row r="3" spans="1:11" ht="18" customHeight="1" x14ac:dyDescent="0.2">
      <c r="A3" s="576" t="s">
        <v>769</v>
      </c>
      <c r="B3" s="577"/>
      <c r="C3" s="577"/>
      <c r="D3" s="578"/>
      <c r="E3" s="581">
        <v>30.1</v>
      </c>
      <c r="F3" s="582"/>
      <c r="G3" s="92"/>
      <c r="H3" s="92"/>
      <c r="I3" s="92"/>
      <c r="K3" s="92"/>
    </row>
    <row r="4" spans="1:11" ht="18" customHeight="1" x14ac:dyDescent="0.2">
      <c r="A4" s="583" t="s">
        <v>770</v>
      </c>
      <c r="B4" s="584"/>
      <c r="C4" s="584"/>
      <c r="D4" s="578"/>
      <c r="E4" s="581">
        <v>32.299999999999997</v>
      </c>
      <c r="F4" s="582"/>
      <c r="G4" s="92"/>
      <c r="H4" s="92"/>
      <c r="I4" s="92"/>
      <c r="K4" s="92"/>
    </row>
    <row r="5" spans="1:11" ht="18.75" customHeight="1" x14ac:dyDescent="0.2">
      <c r="A5" s="93" t="s">
        <v>771</v>
      </c>
      <c r="B5" s="94">
        <v>43435</v>
      </c>
      <c r="C5" s="94">
        <v>43466</v>
      </c>
      <c r="D5" s="94">
        <v>43497</v>
      </c>
      <c r="E5" s="94">
        <v>43525</v>
      </c>
      <c r="F5" s="94">
        <v>43556</v>
      </c>
      <c r="G5" s="92"/>
      <c r="H5" s="92"/>
      <c r="I5" s="92"/>
      <c r="K5" s="92"/>
    </row>
    <row r="6" spans="1:11" ht="18.75" customHeight="1" x14ac:dyDescent="0.25">
      <c r="A6" s="95" t="s">
        <v>729</v>
      </c>
      <c r="B6" s="96">
        <v>4</v>
      </c>
      <c r="C6" s="96">
        <v>4</v>
      </c>
      <c r="D6" s="96">
        <v>4</v>
      </c>
      <c r="E6" s="96">
        <v>4</v>
      </c>
      <c r="F6" s="96">
        <v>4</v>
      </c>
      <c r="G6" s="92"/>
      <c r="H6" s="92"/>
      <c r="I6" s="92"/>
      <c r="J6" s="91" t="s">
        <v>772</v>
      </c>
      <c r="K6" s="92" t="s">
        <v>773</v>
      </c>
    </row>
    <row r="7" spans="1:11" ht="18.75" customHeight="1" x14ac:dyDescent="0.25">
      <c r="A7" s="97" t="s">
        <v>730</v>
      </c>
      <c r="B7" s="98">
        <v>6.5</v>
      </c>
      <c r="C7" s="98">
        <v>6.5</v>
      </c>
      <c r="D7" s="98">
        <v>6.25</v>
      </c>
      <c r="E7" s="98">
        <v>6.25</v>
      </c>
      <c r="F7" s="98">
        <v>6</v>
      </c>
      <c r="G7" s="92"/>
      <c r="H7" s="92"/>
      <c r="I7" s="92"/>
      <c r="J7" s="91" t="s">
        <v>772</v>
      </c>
      <c r="K7" s="92"/>
    </row>
    <row r="8" spans="1:11" ht="18.75" customHeight="1" x14ac:dyDescent="0.25">
      <c r="A8" s="99" t="s">
        <v>774</v>
      </c>
      <c r="B8" s="100">
        <v>145515.70000000001</v>
      </c>
      <c r="C8" s="100">
        <v>147591.9</v>
      </c>
      <c r="D8" s="100">
        <v>149401</v>
      </c>
      <c r="E8" s="100">
        <v>150859.29999999999</v>
      </c>
      <c r="F8" s="100">
        <v>154301.1</v>
      </c>
      <c r="G8" s="92"/>
      <c r="H8" s="92"/>
      <c r="I8" s="92"/>
      <c r="J8" s="91" t="s">
        <v>775</v>
      </c>
      <c r="K8" s="92"/>
    </row>
    <row r="9" spans="1:11" ht="18.75" customHeight="1" x14ac:dyDescent="0.25">
      <c r="A9" s="97" t="s">
        <v>776</v>
      </c>
      <c r="B9" s="100">
        <v>118182.1</v>
      </c>
      <c r="C9" s="100">
        <v>119864.6</v>
      </c>
      <c r="D9" s="100">
        <v>121211.8</v>
      </c>
      <c r="E9" s="100">
        <v>122262.39999999999</v>
      </c>
      <c r="F9" s="100">
        <v>125309.8</v>
      </c>
      <c r="G9" s="101"/>
      <c r="H9" s="92"/>
      <c r="I9" s="92"/>
      <c r="J9" s="91" t="s">
        <v>777</v>
      </c>
      <c r="K9" s="92"/>
    </row>
    <row r="10" spans="1:11" ht="18.75" customHeight="1" x14ac:dyDescent="0.25">
      <c r="A10" s="102" t="s">
        <v>778</v>
      </c>
      <c r="B10" s="100">
        <v>92877.5</v>
      </c>
      <c r="C10" s="100">
        <v>93316.9</v>
      </c>
      <c r="D10" s="100">
        <v>94034.9</v>
      </c>
      <c r="E10" s="100">
        <v>95537.1</v>
      </c>
      <c r="F10" s="100">
        <v>96450.6</v>
      </c>
      <c r="G10" s="101"/>
      <c r="H10" s="92"/>
      <c r="I10" s="92"/>
      <c r="J10" s="91" t="s">
        <v>777</v>
      </c>
      <c r="K10" s="92"/>
    </row>
    <row r="11" spans="1:11" ht="18.75" customHeight="1" x14ac:dyDescent="0.25">
      <c r="A11" s="103" t="s">
        <v>779</v>
      </c>
      <c r="B11" s="104"/>
      <c r="C11" s="104"/>
      <c r="D11" s="104"/>
      <c r="E11" s="104"/>
      <c r="F11" s="104"/>
      <c r="G11" s="101"/>
      <c r="H11" s="92"/>
      <c r="I11" s="92"/>
      <c r="K11" s="92"/>
    </row>
    <row r="12" spans="1:11" ht="18.75" customHeight="1" x14ac:dyDescent="0.25">
      <c r="A12" s="105" t="s">
        <v>731</v>
      </c>
      <c r="B12" s="106">
        <v>6.57</v>
      </c>
      <c r="C12" s="106">
        <v>6.43</v>
      </c>
      <c r="D12" s="106">
        <v>6.29</v>
      </c>
      <c r="E12" s="106">
        <v>6.35</v>
      </c>
      <c r="F12" s="106">
        <v>6.16</v>
      </c>
      <c r="G12" s="101"/>
      <c r="H12" s="92"/>
      <c r="I12" s="92"/>
      <c r="J12" s="91" t="s">
        <v>772</v>
      </c>
      <c r="K12" s="92"/>
    </row>
    <row r="13" spans="1:11" ht="18.75" customHeight="1" x14ac:dyDescent="0.25">
      <c r="A13" s="105" t="s">
        <v>732</v>
      </c>
      <c r="B13" s="98">
        <v>6.65</v>
      </c>
      <c r="C13" s="98">
        <v>6.6</v>
      </c>
      <c r="D13" s="98">
        <v>6.4</v>
      </c>
      <c r="E13" s="98">
        <v>6.31</v>
      </c>
      <c r="F13" s="98">
        <v>6.4</v>
      </c>
      <c r="G13" s="92"/>
      <c r="H13" s="92"/>
      <c r="I13" s="92"/>
      <c r="J13" s="91" t="s">
        <v>772</v>
      </c>
      <c r="K13" s="92"/>
    </row>
    <row r="14" spans="1:11" ht="18.75" customHeight="1" x14ac:dyDescent="0.25">
      <c r="A14" s="105" t="s">
        <v>733</v>
      </c>
      <c r="B14" s="107" t="s">
        <v>734</v>
      </c>
      <c r="C14" s="107" t="s">
        <v>734</v>
      </c>
      <c r="D14" s="107" t="s">
        <v>734</v>
      </c>
      <c r="E14" s="107" t="s">
        <v>735</v>
      </c>
      <c r="F14" s="107" t="s">
        <v>735</v>
      </c>
      <c r="G14" s="101"/>
      <c r="H14" s="92"/>
      <c r="I14" s="92"/>
      <c r="J14" s="91" t="s">
        <v>772</v>
      </c>
      <c r="K14" s="101"/>
    </row>
    <row r="15" spans="1:11" ht="18.75" customHeight="1" x14ac:dyDescent="0.25">
      <c r="A15" s="108" t="s">
        <v>736</v>
      </c>
      <c r="B15" s="98" t="s">
        <v>737</v>
      </c>
      <c r="C15" s="98" t="s">
        <v>737</v>
      </c>
      <c r="D15" s="98" t="s">
        <v>737</v>
      </c>
      <c r="E15" s="98" t="s">
        <v>737</v>
      </c>
      <c r="F15" s="98" t="s">
        <v>737</v>
      </c>
      <c r="G15" s="101"/>
      <c r="H15" s="92"/>
      <c r="I15" s="92"/>
      <c r="J15" s="91" t="s">
        <v>772</v>
      </c>
      <c r="K15" s="101"/>
    </row>
    <row r="16" spans="1:11" ht="18.75" customHeight="1" x14ac:dyDescent="0.25">
      <c r="A16" s="103" t="s">
        <v>780</v>
      </c>
      <c r="B16" s="104"/>
      <c r="C16" s="104"/>
      <c r="D16" s="104"/>
      <c r="E16" s="104"/>
      <c r="F16" s="104"/>
      <c r="G16" s="101"/>
      <c r="H16" s="92"/>
      <c r="I16" s="92"/>
      <c r="K16" s="92"/>
    </row>
    <row r="17" spans="1:14" ht="15" x14ac:dyDescent="0.25">
      <c r="A17" s="109" t="s">
        <v>781</v>
      </c>
      <c r="B17" s="110">
        <v>650399.91</v>
      </c>
      <c r="C17" s="110">
        <v>727221.33</v>
      </c>
      <c r="D17" s="110">
        <v>689925.69</v>
      </c>
      <c r="E17" s="110">
        <v>778201.06</v>
      </c>
      <c r="F17" s="110">
        <v>695982.81</v>
      </c>
      <c r="G17" s="92"/>
      <c r="I17" s="111"/>
      <c r="K17" s="92" t="s">
        <v>782</v>
      </c>
      <c r="L17" s="112"/>
      <c r="M17" s="113"/>
      <c r="N17" s="114"/>
    </row>
    <row r="18" spans="1:14" ht="15" x14ac:dyDescent="0.25">
      <c r="A18" s="115" t="s">
        <v>738</v>
      </c>
      <c r="B18" s="110">
        <v>14448465.689999999</v>
      </c>
      <c r="C18" s="116">
        <v>14099330.09</v>
      </c>
      <c r="D18" s="110">
        <v>14041530.33</v>
      </c>
      <c r="E18" s="110">
        <v>15108711.01</v>
      </c>
      <c r="F18" s="110">
        <v>15254028.060000001</v>
      </c>
      <c r="G18" s="92"/>
      <c r="I18" s="92"/>
      <c r="K18" s="92"/>
      <c r="L18" s="113"/>
    </row>
    <row r="19" spans="1:14" ht="15" x14ac:dyDescent="0.25">
      <c r="A19" s="115" t="s">
        <v>739</v>
      </c>
      <c r="B19" s="110">
        <v>14279083</v>
      </c>
      <c r="C19" s="110">
        <v>13916643</v>
      </c>
      <c r="D19" s="110">
        <v>13871449</v>
      </c>
      <c r="E19" s="110">
        <v>14934227</v>
      </c>
      <c r="F19" s="110">
        <v>15043275</v>
      </c>
      <c r="G19" s="92"/>
      <c r="H19" s="92"/>
      <c r="I19" s="92"/>
      <c r="K19" s="92" t="s">
        <v>783</v>
      </c>
    </row>
    <row r="20" spans="1:14" ht="15" x14ac:dyDescent="0.25">
      <c r="A20" s="117" t="s">
        <v>740</v>
      </c>
      <c r="B20" s="100">
        <v>-229.91</v>
      </c>
      <c r="C20" s="100">
        <v>-7827.23</v>
      </c>
      <c r="D20" s="100">
        <v>17219.62</v>
      </c>
      <c r="E20" s="100">
        <v>33980.559999999998</v>
      </c>
      <c r="F20" s="100">
        <v>16727.86</v>
      </c>
      <c r="G20" s="92"/>
      <c r="H20" s="92"/>
      <c r="I20" s="92"/>
      <c r="K20" s="92" t="s">
        <v>784</v>
      </c>
    </row>
    <row r="21" spans="1:14" ht="15.75" x14ac:dyDescent="0.25">
      <c r="A21" s="103" t="s">
        <v>741</v>
      </c>
      <c r="B21" s="104"/>
      <c r="C21" s="104"/>
      <c r="D21" s="104"/>
      <c r="E21" s="104"/>
      <c r="F21" s="104"/>
      <c r="G21" s="101"/>
      <c r="H21" s="92"/>
      <c r="I21" s="92"/>
      <c r="K21" s="92"/>
    </row>
    <row r="22" spans="1:14" ht="15" x14ac:dyDescent="0.25">
      <c r="A22" s="109" t="s">
        <v>742</v>
      </c>
      <c r="B22" s="110">
        <v>393404.3</v>
      </c>
      <c r="C22" s="110">
        <v>398178.4</v>
      </c>
      <c r="D22" s="110">
        <v>399217.2</v>
      </c>
      <c r="E22" s="110">
        <v>411905</v>
      </c>
      <c r="F22" s="110">
        <v>418515.3</v>
      </c>
      <c r="G22" s="92"/>
      <c r="H22" s="92"/>
      <c r="I22" s="92"/>
      <c r="J22" s="91" t="s">
        <v>785</v>
      </c>
      <c r="K22" s="92"/>
    </row>
    <row r="23" spans="1:14" ht="15" x14ac:dyDescent="0.25">
      <c r="A23" s="115" t="s">
        <v>743</v>
      </c>
      <c r="B23" s="98">
        <v>69.98</v>
      </c>
      <c r="C23" s="98">
        <v>71.11</v>
      </c>
      <c r="D23" s="98">
        <v>71.22</v>
      </c>
      <c r="E23" s="98">
        <v>69.17</v>
      </c>
      <c r="F23" s="98">
        <v>70.14</v>
      </c>
      <c r="G23" s="92"/>
      <c r="H23" s="92"/>
      <c r="I23" s="92"/>
      <c r="K23" s="92"/>
    </row>
    <row r="24" spans="1:14" ht="15" x14ac:dyDescent="0.25">
      <c r="A24" s="115" t="s">
        <v>744</v>
      </c>
      <c r="B24" s="118">
        <v>80.180000000000007</v>
      </c>
      <c r="C24" s="118">
        <v>80.5</v>
      </c>
      <c r="D24" s="118">
        <v>80.75</v>
      </c>
      <c r="E24" s="107">
        <v>77.7</v>
      </c>
      <c r="F24" s="107">
        <v>78.13</v>
      </c>
      <c r="G24" s="92"/>
      <c r="H24" s="92"/>
      <c r="I24" s="92"/>
      <c r="K24" s="92"/>
    </row>
    <row r="25" spans="1:14" ht="15" x14ac:dyDescent="0.25">
      <c r="A25" s="117" t="s">
        <v>745</v>
      </c>
      <c r="B25" s="118">
        <v>4.09</v>
      </c>
      <c r="C25" s="118">
        <v>4.1100000000000003</v>
      </c>
      <c r="D25" s="118">
        <v>4.16</v>
      </c>
      <c r="E25" s="98">
        <v>4.16</v>
      </c>
      <c r="F25" s="98">
        <v>4.28</v>
      </c>
      <c r="G25" s="92"/>
      <c r="H25" s="92"/>
      <c r="I25" s="92"/>
      <c r="K25" s="92"/>
    </row>
    <row r="26" spans="1:14" ht="15.75" x14ac:dyDescent="0.25">
      <c r="A26" s="103" t="s">
        <v>746</v>
      </c>
      <c r="B26" s="104"/>
      <c r="C26" s="104"/>
      <c r="D26" s="104"/>
      <c r="E26" s="104"/>
      <c r="F26" s="104"/>
      <c r="G26" s="101"/>
      <c r="H26" s="92"/>
      <c r="I26" s="92"/>
      <c r="K26" s="92"/>
    </row>
    <row r="27" spans="1:14" ht="16.5" customHeight="1" x14ac:dyDescent="0.25">
      <c r="A27" s="109" t="s">
        <v>786</v>
      </c>
      <c r="B27" s="119">
        <v>4030</v>
      </c>
      <c r="C27" s="119">
        <v>4510</v>
      </c>
      <c r="D27" s="119">
        <v>4990</v>
      </c>
      <c r="E27" s="119">
        <v>5710</v>
      </c>
      <c r="F27" s="119">
        <v>510</v>
      </c>
      <c r="G27" s="92"/>
      <c r="H27" s="92"/>
      <c r="I27" s="92"/>
      <c r="J27" s="91" t="s">
        <v>785</v>
      </c>
      <c r="K27" s="92"/>
    </row>
    <row r="28" spans="1:14" ht="15" x14ac:dyDescent="0.25">
      <c r="A28" s="115" t="s">
        <v>747</v>
      </c>
      <c r="B28" s="107">
        <v>120.1</v>
      </c>
      <c r="C28" s="107">
        <v>119.2</v>
      </c>
      <c r="D28" s="107">
        <v>119.5</v>
      </c>
      <c r="E28" s="107">
        <v>120</v>
      </c>
      <c r="F28" s="107" t="s">
        <v>748</v>
      </c>
      <c r="G28" s="92"/>
      <c r="H28" s="92"/>
      <c r="I28" s="92"/>
      <c r="K28" s="91" t="s">
        <v>787</v>
      </c>
    </row>
    <row r="29" spans="1:14" ht="15" x14ac:dyDescent="0.25">
      <c r="A29" s="115" t="s">
        <v>749</v>
      </c>
      <c r="B29" s="107">
        <v>140.1</v>
      </c>
      <c r="C29" s="107">
        <v>139.6</v>
      </c>
      <c r="D29" s="107">
        <v>139.9</v>
      </c>
      <c r="E29" s="107">
        <v>140.4</v>
      </c>
      <c r="F29" s="107" t="s">
        <v>748</v>
      </c>
      <c r="G29" s="92"/>
      <c r="H29" s="92"/>
      <c r="I29" s="92"/>
      <c r="K29" s="91" t="s">
        <v>788</v>
      </c>
    </row>
    <row r="30" spans="1:14" ht="15.75" x14ac:dyDescent="0.25">
      <c r="A30" s="103" t="s">
        <v>750</v>
      </c>
      <c r="B30" s="104"/>
      <c r="C30" s="104"/>
      <c r="D30" s="104"/>
      <c r="E30" s="104"/>
      <c r="F30" s="104"/>
      <c r="G30" s="101"/>
      <c r="H30" s="92"/>
      <c r="I30" s="92"/>
    </row>
    <row r="31" spans="1:14" ht="15" x14ac:dyDescent="0.25">
      <c r="A31" s="109" t="s">
        <v>751</v>
      </c>
      <c r="B31" s="107">
        <v>134</v>
      </c>
      <c r="C31" s="107">
        <v>134.19999999999999</v>
      </c>
      <c r="D31" s="107">
        <v>127.5</v>
      </c>
      <c r="E31" s="107" t="s">
        <v>748</v>
      </c>
      <c r="F31" s="107" t="s">
        <v>748</v>
      </c>
      <c r="G31" s="92"/>
      <c r="H31" s="92"/>
      <c r="I31" s="92"/>
      <c r="K31" s="91" t="s">
        <v>788</v>
      </c>
    </row>
    <row r="32" spans="1:14" ht="15" x14ac:dyDescent="0.25">
      <c r="A32" s="115" t="s">
        <v>752</v>
      </c>
      <c r="B32" s="107">
        <v>114.4</v>
      </c>
      <c r="C32" s="107">
        <v>119.2</v>
      </c>
      <c r="D32" s="107">
        <v>112.3</v>
      </c>
      <c r="E32" s="107" t="s">
        <v>748</v>
      </c>
      <c r="F32" s="107" t="s">
        <v>748</v>
      </c>
      <c r="G32" s="92"/>
      <c r="H32" s="92"/>
      <c r="I32" s="92"/>
      <c r="K32" s="120"/>
    </row>
    <row r="33" spans="1:11" ht="18.75" customHeight="1" x14ac:dyDescent="0.25">
      <c r="A33" s="115" t="s">
        <v>753</v>
      </c>
      <c r="B33" s="107">
        <v>135.9</v>
      </c>
      <c r="C33" s="107">
        <v>135.19999999999999</v>
      </c>
      <c r="D33" s="107">
        <v>129.30000000000001</v>
      </c>
      <c r="E33" s="107" t="s">
        <v>748</v>
      </c>
      <c r="F33" s="107" t="s">
        <v>748</v>
      </c>
      <c r="G33" s="92"/>
      <c r="H33" s="92"/>
      <c r="I33" s="92"/>
      <c r="K33" s="120"/>
    </row>
    <row r="34" spans="1:11" ht="18.75" customHeight="1" x14ac:dyDescent="0.25">
      <c r="A34" s="117" t="s">
        <v>754</v>
      </c>
      <c r="B34" s="107">
        <v>150.30000000000001</v>
      </c>
      <c r="C34" s="107">
        <v>150.9</v>
      </c>
      <c r="D34" s="107">
        <v>137.69999999999999</v>
      </c>
      <c r="E34" s="107" t="s">
        <v>748</v>
      </c>
      <c r="F34" s="107" t="s">
        <v>748</v>
      </c>
      <c r="G34" s="92"/>
      <c r="H34" s="92"/>
      <c r="I34" s="92"/>
      <c r="K34" s="120"/>
    </row>
    <row r="35" spans="1:11" ht="18.75" customHeight="1" x14ac:dyDescent="0.25">
      <c r="A35" s="103" t="s">
        <v>755</v>
      </c>
      <c r="B35" s="104"/>
      <c r="C35" s="104"/>
      <c r="D35" s="104"/>
      <c r="E35" s="104"/>
      <c r="F35" s="104"/>
      <c r="G35" s="101"/>
      <c r="H35" s="92"/>
      <c r="I35" s="92"/>
      <c r="K35" s="92"/>
    </row>
    <row r="36" spans="1:11" ht="18.75" customHeight="1" x14ac:dyDescent="0.2">
      <c r="A36" s="121" t="s">
        <v>756</v>
      </c>
      <c r="B36" s="122">
        <v>27927.72</v>
      </c>
      <c r="C36" s="122">
        <v>26360.18</v>
      </c>
      <c r="D36" s="122">
        <v>26667.61</v>
      </c>
      <c r="E36" s="122">
        <v>32547.97</v>
      </c>
      <c r="F36" s="122" t="s">
        <v>748</v>
      </c>
      <c r="G36" s="92"/>
      <c r="H36" s="92"/>
      <c r="I36" s="92"/>
      <c r="K36" s="123" t="s">
        <v>789</v>
      </c>
    </row>
    <row r="37" spans="1:11" ht="18.75" customHeight="1" x14ac:dyDescent="0.2">
      <c r="A37" s="124" t="s">
        <v>757</v>
      </c>
      <c r="B37" s="125">
        <v>41005.01</v>
      </c>
      <c r="C37" s="125">
        <v>41085.81</v>
      </c>
      <c r="D37" s="125">
        <v>36263.019999999997</v>
      </c>
      <c r="E37" s="125">
        <v>43439.86</v>
      </c>
      <c r="F37" s="125" t="s">
        <v>748</v>
      </c>
      <c r="G37" s="126"/>
      <c r="H37" s="126"/>
      <c r="J37" s="126"/>
    </row>
    <row r="38" spans="1:11" ht="18.75" customHeight="1" x14ac:dyDescent="0.2">
      <c r="A38" s="127" t="s">
        <v>758</v>
      </c>
      <c r="B38" s="128">
        <v>-13077.29</v>
      </c>
      <c r="C38" s="128">
        <v>-14725.63</v>
      </c>
      <c r="D38" s="128">
        <v>-9595.41</v>
      </c>
      <c r="E38" s="128">
        <v>-10891.89</v>
      </c>
      <c r="F38" s="128" t="s">
        <v>748</v>
      </c>
      <c r="G38" s="126"/>
      <c r="H38" s="126"/>
      <c r="J38" s="126"/>
    </row>
    <row r="39" spans="1:11" ht="18.75" customHeight="1" x14ac:dyDescent="0.2">
      <c r="A39" s="586" t="s">
        <v>306</v>
      </c>
      <c r="B39" s="586"/>
      <c r="C39" s="586"/>
      <c r="D39" s="586"/>
      <c r="E39" s="126"/>
      <c r="F39" s="126"/>
      <c r="G39" s="126"/>
      <c r="H39" s="126"/>
      <c r="J39" s="126"/>
    </row>
    <row r="40" spans="1:11" ht="18" customHeight="1" x14ac:dyDescent="0.2">
      <c r="A40" s="585" t="s">
        <v>790</v>
      </c>
      <c r="B40" s="585"/>
      <c r="C40" s="585"/>
      <c r="D40" s="585"/>
      <c r="E40" s="585"/>
      <c r="F40" s="585"/>
      <c r="G40" s="126"/>
      <c r="H40" s="126"/>
      <c r="I40" s="126"/>
      <c r="K40" s="126"/>
    </row>
    <row r="41" spans="1:11" ht="18" customHeight="1" x14ac:dyDescent="0.2">
      <c r="A41" s="129" t="s">
        <v>759</v>
      </c>
      <c r="B41" s="130"/>
      <c r="C41" s="130"/>
      <c r="D41" s="130"/>
      <c r="E41" s="130"/>
      <c r="F41" s="130"/>
      <c r="G41" s="126"/>
    </row>
    <row r="42" spans="1:11" ht="18" customHeight="1" x14ac:dyDescent="0.2">
      <c r="A42" s="585" t="s">
        <v>760</v>
      </c>
      <c r="B42" s="585"/>
      <c r="C42" s="585"/>
      <c r="D42" s="585"/>
      <c r="E42" s="585"/>
      <c r="F42" s="585"/>
      <c r="G42" s="126"/>
    </row>
    <row r="43" spans="1:11" ht="18" customHeight="1" x14ac:dyDescent="0.2">
      <c r="A43" s="585" t="s">
        <v>761</v>
      </c>
      <c r="B43" s="585"/>
      <c r="C43" s="585"/>
      <c r="D43" s="585"/>
      <c r="E43" s="585"/>
      <c r="F43" s="585"/>
      <c r="G43" s="126"/>
    </row>
    <row r="44" spans="1:11" ht="18" customHeight="1" x14ac:dyDescent="0.2">
      <c r="A44" s="585" t="s">
        <v>762</v>
      </c>
      <c r="B44" s="585"/>
      <c r="C44" s="585"/>
      <c r="D44" s="585"/>
      <c r="E44" s="585"/>
      <c r="F44" s="585"/>
      <c r="G44" s="126"/>
      <c r="H44" s="126"/>
      <c r="I44" s="126"/>
      <c r="K44" s="126"/>
    </row>
    <row r="45" spans="1:11" ht="18" customHeight="1" x14ac:dyDescent="0.2">
      <c r="A45" s="131" t="s">
        <v>763</v>
      </c>
      <c r="B45" s="131"/>
      <c r="C45" s="131"/>
      <c r="D45" s="92"/>
      <c r="E45" s="92"/>
      <c r="F45" s="92"/>
      <c r="G45" s="132"/>
      <c r="H45" s="132"/>
      <c r="I45" s="132"/>
      <c r="K45" s="132"/>
    </row>
    <row r="46" spans="1:11" ht="28.35" customHeight="1" x14ac:dyDescent="0.2"/>
  </sheetData>
  <mergeCells count="12">
    <mergeCell ref="A4:D4"/>
    <mergeCell ref="E4:F4"/>
    <mergeCell ref="A42:F42"/>
    <mergeCell ref="A43:F43"/>
    <mergeCell ref="A44:F44"/>
    <mergeCell ref="A40:F40"/>
    <mergeCell ref="A39:D39"/>
    <mergeCell ref="E1:F1"/>
    <mergeCell ref="A2:D2"/>
    <mergeCell ref="E2:F2"/>
    <mergeCell ref="A3:D3"/>
    <mergeCell ref="E3:F3"/>
  </mergeCells>
  <hyperlinks>
    <hyperlink ref="A13" location="_edn3" display="_edn3"/>
  </hyperlinks>
  <pageMargins left="0.78431372549019618" right="0.78431372549019618" top="0.98039215686274517" bottom="0.98039215686274517" header="0.50980392156862753" footer="0.50980392156862753"/>
  <pageSetup paperSize="9" orientation="portrait" useFirstPageNumber="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75</vt:i4>
      </vt:variant>
      <vt:variant>
        <vt:lpstr>Named Ranges</vt:lpstr>
      </vt:variant>
      <vt:variant>
        <vt:i4>12</vt:i4>
      </vt:variant>
    </vt:vector>
  </HeadingPairs>
  <TitlesOfParts>
    <vt:vector size="87" baseType="lpstr">
      <vt:lpstr>Data Summary</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lpstr>44</vt:lpstr>
      <vt:lpstr>45</vt:lpstr>
      <vt:lpstr>46</vt:lpstr>
      <vt:lpstr>47</vt:lpstr>
      <vt:lpstr>48</vt:lpstr>
      <vt:lpstr>49</vt:lpstr>
      <vt:lpstr>50</vt:lpstr>
      <vt:lpstr>51</vt:lpstr>
      <vt:lpstr>52</vt:lpstr>
      <vt:lpstr>53</vt:lpstr>
      <vt:lpstr>54</vt:lpstr>
      <vt:lpstr>55</vt:lpstr>
      <vt:lpstr>56</vt:lpstr>
      <vt:lpstr>57</vt:lpstr>
      <vt:lpstr>58</vt:lpstr>
      <vt:lpstr>59</vt:lpstr>
      <vt:lpstr>60</vt:lpstr>
      <vt:lpstr>61</vt:lpstr>
      <vt:lpstr>62</vt:lpstr>
      <vt:lpstr>63</vt:lpstr>
      <vt:lpstr>64</vt:lpstr>
      <vt:lpstr>65</vt:lpstr>
      <vt:lpstr>66</vt:lpstr>
      <vt:lpstr>67</vt:lpstr>
      <vt:lpstr>68</vt:lpstr>
      <vt:lpstr>69</vt:lpstr>
      <vt:lpstr>70</vt:lpstr>
      <vt:lpstr>71</vt:lpstr>
      <vt:lpstr>72</vt:lpstr>
      <vt:lpstr>73</vt:lpstr>
      <vt:lpstr>74</vt:lpstr>
      <vt:lpstr>'57'!Print_Area</vt:lpstr>
      <vt:lpstr>'63'!Print_Area</vt:lpstr>
      <vt:lpstr>'64'!Print_Area</vt:lpstr>
      <vt:lpstr>'65'!Print_Area</vt:lpstr>
      <vt:lpstr>'66'!Print_Area</vt:lpstr>
      <vt:lpstr>'67'!Print_Area</vt:lpstr>
      <vt:lpstr>'68'!Print_Area</vt:lpstr>
      <vt:lpstr>'69'!Print_Area</vt:lpstr>
      <vt:lpstr>'70'!Print_Area</vt:lpstr>
      <vt:lpstr>'71'!Print_Area</vt:lpstr>
      <vt:lpstr>'72'!Print_Area</vt:lpstr>
      <vt:lpstr>'73'!Print_Area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Quadri</dc:creator>
  <cp:lastModifiedBy>Vanessa Quadri</cp:lastModifiedBy>
  <dcterms:created xsi:type="dcterms:W3CDTF">2019-05-16T10:21:30Z</dcterms:created>
  <dcterms:modified xsi:type="dcterms:W3CDTF">2019-06-24T06:28:01Z</dcterms:modified>
</cp:coreProperties>
</file>