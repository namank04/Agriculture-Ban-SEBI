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SUMIT DATA\01. Monthly Bulletin\00. Working\03. Editorial Committee\"/>
    </mc:Choice>
  </mc:AlternateContent>
  <bookViews>
    <workbookView xWindow="0" yWindow="0" windowWidth="19200" windowHeight="10995" activeTab="10"/>
  </bookViews>
  <sheets>
    <sheet name="Data Summary" sheetId="1" r:id="rId1"/>
    <sheet name="1" sheetId="108" r:id="rId2"/>
    <sheet name="2" sheetId="109" r:id="rId3"/>
    <sheet name="3" sheetId="110" r:id="rId4"/>
    <sheet name="4" sheetId="111" r:id="rId5"/>
    <sheet name="5" sheetId="112" r:id="rId6"/>
    <sheet name="6" sheetId="113" r:id="rId7"/>
    <sheet name="7" sheetId="114" r:id="rId8"/>
    <sheet name="8" sheetId="115" r:id="rId9"/>
    <sheet name="9" sheetId="116" r:id="rId10"/>
    <sheet name="10" sheetId="117" r:id="rId11"/>
    <sheet name="11" sheetId="118" r:id="rId12"/>
    <sheet name="12" sheetId="119" r:id="rId13"/>
    <sheet name="13" sheetId="120" r:id="rId14"/>
    <sheet name="14" sheetId="121" r:id="rId15"/>
    <sheet name="15" sheetId="122" r:id="rId16"/>
    <sheet name="16" sheetId="123" r:id="rId17"/>
    <sheet name="17" sheetId="124" r:id="rId18"/>
    <sheet name="18" sheetId="125" r:id="rId19"/>
    <sheet name="19" sheetId="126" r:id="rId20"/>
    <sheet name="20" sheetId="127" r:id="rId21"/>
    <sheet name="21" sheetId="128" r:id="rId22"/>
    <sheet name="22" sheetId="129" r:id="rId23"/>
    <sheet name="23" sheetId="130" r:id="rId24"/>
    <sheet name="24" sheetId="131" r:id="rId25"/>
    <sheet name="25" sheetId="132" r:id="rId26"/>
    <sheet name="26" sheetId="133" r:id="rId27"/>
    <sheet name="27" sheetId="134" r:id="rId28"/>
    <sheet name="28" sheetId="135" r:id="rId29"/>
    <sheet name="29" sheetId="136" r:id="rId30"/>
    <sheet name="30" sheetId="137" r:id="rId31"/>
    <sheet name="31" sheetId="138" r:id="rId32"/>
    <sheet name="32" sheetId="139" r:id="rId33"/>
    <sheet name="33" sheetId="140" r:id="rId34"/>
    <sheet name="34" sheetId="141" r:id="rId35"/>
    <sheet name="35" sheetId="142" r:id="rId36"/>
    <sheet name="36" sheetId="143" r:id="rId37"/>
    <sheet name="37" sheetId="144" r:id="rId38"/>
    <sheet name="38" sheetId="145" r:id="rId39"/>
    <sheet name="39" sheetId="146" r:id="rId40"/>
    <sheet name="40" sheetId="147" r:id="rId41"/>
    <sheet name="41" sheetId="148" r:id="rId42"/>
    <sheet name="42" sheetId="149" r:id="rId43"/>
    <sheet name="43" sheetId="150" r:id="rId44"/>
    <sheet name="44" sheetId="151" r:id="rId45"/>
    <sheet name="45" sheetId="152" r:id="rId46"/>
    <sheet name="46" sheetId="153" r:id="rId47"/>
    <sheet name="47" sheetId="154" r:id="rId48"/>
    <sheet name="48" sheetId="155" r:id="rId49"/>
    <sheet name="49" sheetId="156" r:id="rId50"/>
    <sheet name="50" sheetId="157" r:id="rId51"/>
    <sheet name="51" sheetId="158" r:id="rId52"/>
    <sheet name="52" sheetId="159" r:id="rId53"/>
    <sheet name="53" sheetId="160" r:id="rId54"/>
    <sheet name="54" sheetId="161" r:id="rId55"/>
    <sheet name="55" sheetId="162" r:id="rId56"/>
    <sheet name="56" sheetId="163" r:id="rId57"/>
    <sheet name="57" sheetId="164" r:id="rId58"/>
    <sheet name="58" sheetId="165" r:id="rId59"/>
    <sheet name="59" sheetId="166" r:id="rId60"/>
    <sheet name="60" sheetId="167" r:id="rId61"/>
    <sheet name="61" sheetId="168" r:id="rId62"/>
    <sheet name="62" sheetId="169" r:id="rId63"/>
    <sheet name="63" sheetId="170" r:id="rId64"/>
    <sheet name="64" sheetId="171" r:id="rId65"/>
    <sheet name="65" sheetId="97" r:id="rId66"/>
    <sheet name="66" sheetId="98" r:id="rId67"/>
    <sheet name="67" sheetId="99" r:id="rId68"/>
    <sheet name="68" sheetId="100" r:id="rId69"/>
    <sheet name="69" sheetId="101" r:id="rId70"/>
    <sheet name="70" sheetId="102" r:id="rId71"/>
    <sheet name="71" sheetId="103" r:id="rId72"/>
    <sheet name="72" sheetId="104" r:id="rId73"/>
    <sheet name="73" sheetId="105" r:id="rId74"/>
    <sheet name="74" sheetId="106" r:id="rId75"/>
    <sheet name="75" sheetId="107" r:id="rId76"/>
    <sheet name="76" sheetId="96" r:id="rId77"/>
  </sheets>
  <externalReferences>
    <externalReference r:id="rId78"/>
  </externalReferences>
  <definedNames>
    <definedName name="_xlnm.Print_Area" localSheetId="65">'65'!$A$1:$K$19</definedName>
    <definedName name="_xlnm.Print_Area" localSheetId="66">'66'!$A$1:$I$19</definedName>
    <definedName name="_xlnm.Print_Area" localSheetId="67">'67'!$A$1:$R$39</definedName>
    <definedName name="_xlnm.Print_Area" localSheetId="68">'68'!$A$1:$M$20</definedName>
    <definedName name="_xlnm.Print_Area" localSheetId="69">'69'!$A$1:$O$22</definedName>
    <definedName name="_xlnm.Print_Area" localSheetId="70">'70'!$A$1:$X$13</definedName>
    <definedName name="_xlnm.Print_Area" localSheetId="71">'71'!$A$1:$L$13</definedName>
    <definedName name="_xlnm.Print_Area" localSheetId="72">'72'!$A$1:$P$21</definedName>
    <definedName name="_xlnm.Print_Area" localSheetId="73">'73'!$A$1:$J$45</definedName>
    <definedName name="_xlnm.Print_Area" localSheetId="74">'74'!$A$1:$J$31</definedName>
    <definedName name="_xlnm.Print_Area" localSheetId="75">'75'!$A$1:$J$43</definedName>
  </definedNames>
  <calcPr calcId="152511"/>
</workbook>
</file>

<file path=xl/calcChain.xml><?xml version="1.0" encoding="utf-8"?>
<calcChain xmlns="http://schemas.openxmlformats.org/spreadsheetml/2006/main">
  <c r="K17" i="117" l="1"/>
  <c r="J17" i="117"/>
  <c r="K16" i="117"/>
  <c r="J16" i="117"/>
  <c r="K15" i="117"/>
  <c r="J15" i="117"/>
  <c r="J37" i="107" l="1"/>
  <c r="I37" i="107"/>
  <c r="H37" i="107"/>
  <c r="G37" i="107"/>
  <c r="D37" i="107"/>
  <c r="C37" i="107"/>
  <c r="J26" i="107"/>
  <c r="L24" i="107" s="1"/>
  <c r="I26" i="107"/>
  <c r="H26" i="107"/>
  <c r="K25" i="107" s="1"/>
  <c r="G26" i="107"/>
  <c r="D26" i="107"/>
  <c r="C26" i="107"/>
  <c r="L25" i="107"/>
  <c r="K24" i="107"/>
  <c r="L23" i="107"/>
  <c r="G38" i="107" s="1"/>
  <c r="K22" i="107"/>
  <c r="L19" i="107"/>
  <c r="K18" i="107"/>
  <c r="J16" i="107"/>
  <c r="I16" i="107"/>
  <c r="H16" i="107"/>
  <c r="G16" i="107"/>
  <c r="F16" i="107"/>
  <c r="E16" i="107"/>
  <c r="D16" i="107"/>
  <c r="C16" i="107"/>
  <c r="H30" i="106"/>
  <c r="J28" i="106"/>
  <c r="I28" i="106"/>
  <c r="H28" i="106"/>
  <c r="G28" i="106"/>
  <c r="F28" i="106"/>
  <c r="E28" i="106"/>
  <c r="D28" i="106"/>
  <c r="C28" i="106"/>
  <c r="J21" i="106"/>
  <c r="K21" i="106" s="1"/>
  <c r="I21" i="106"/>
  <c r="H21" i="106"/>
  <c r="G21" i="106"/>
  <c r="F21" i="106"/>
  <c r="E21" i="106"/>
  <c r="D21" i="106"/>
  <c r="C21" i="106"/>
  <c r="K20" i="106"/>
  <c r="K19" i="106"/>
  <c r="K18" i="106"/>
  <c r="K17" i="106"/>
  <c r="K15" i="106"/>
  <c r="K13" i="106"/>
  <c r="K12" i="106"/>
  <c r="K11" i="106"/>
  <c r="K10" i="106"/>
  <c r="K9" i="106"/>
  <c r="A9" i="106"/>
  <c r="A10" i="106" s="1"/>
  <c r="A11" i="106" s="1"/>
  <c r="A12" i="106" s="1"/>
  <c r="A13" i="106" s="1"/>
  <c r="A14" i="106" s="1"/>
  <c r="A15" i="106" s="1"/>
  <c r="A16" i="106" s="1"/>
  <c r="A17" i="106" s="1"/>
  <c r="A18" i="106" s="1"/>
  <c r="A19" i="106" s="1"/>
  <c r="A20" i="106" s="1"/>
  <c r="K8" i="106"/>
  <c r="A8" i="106"/>
  <c r="K7" i="106"/>
  <c r="K6" i="106"/>
  <c r="E40" i="105"/>
  <c r="D40" i="105"/>
  <c r="J37" i="105"/>
  <c r="I37" i="105"/>
  <c r="I40" i="105" s="1"/>
  <c r="H37" i="105"/>
  <c r="H40" i="105" s="1"/>
  <c r="G37" i="105"/>
  <c r="D37" i="105"/>
  <c r="C37" i="105"/>
  <c r="J33" i="105"/>
  <c r="J40" i="105" s="1"/>
  <c r="I33" i="105"/>
  <c r="H33" i="105"/>
  <c r="G33" i="105"/>
  <c r="G40" i="105" s="1"/>
  <c r="F33" i="105"/>
  <c r="F40" i="105" s="1"/>
  <c r="E33" i="105"/>
  <c r="D33" i="105"/>
  <c r="C33" i="105"/>
  <c r="C40" i="105" s="1"/>
  <c r="J27" i="105"/>
  <c r="J28" i="105" s="1"/>
  <c r="I27" i="105"/>
  <c r="I28" i="105" s="1"/>
  <c r="H27" i="105"/>
  <c r="H28" i="105" s="1"/>
  <c r="G27" i="105"/>
  <c r="F27" i="105"/>
  <c r="F28" i="105" s="1"/>
  <c r="E27" i="105"/>
  <c r="E28" i="105" s="1"/>
  <c r="D27" i="105"/>
  <c r="D28" i="105" s="1"/>
  <c r="M47" i="99" s="1"/>
  <c r="C27" i="105"/>
  <c r="C28" i="105" s="1"/>
  <c r="J23" i="105"/>
  <c r="I23" i="105"/>
  <c r="H23" i="105"/>
  <c r="G23" i="105"/>
  <c r="F23" i="105"/>
  <c r="E23" i="105"/>
  <c r="D23" i="105"/>
  <c r="C23" i="105"/>
  <c r="J16" i="105"/>
  <c r="I16" i="105"/>
  <c r="H16" i="105"/>
  <c r="G16" i="105"/>
  <c r="F16" i="105"/>
  <c r="E16" i="105"/>
  <c r="D16" i="105"/>
  <c r="C16" i="105"/>
  <c r="J8" i="105"/>
  <c r="I8" i="105"/>
  <c r="H8" i="105"/>
  <c r="G8" i="105"/>
  <c r="G28" i="105" s="1"/>
  <c r="F8" i="105"/>
  <c r="E8" i="105"/>
  <c r="D8" i="105"/>
  <c r="C8" i="105"/>
  <c r="P6" i="104"/>
  <c r="O6" i="104"/>
  <c r="A11" i="103"/>
  <c r="L4" i="103"/>
  <c r="K4" i="103"/>
  <c r="J4" i="103"/>
  <c r="I4" i="103"/>
  <c r="H4" i="103"/>
  <c r="G4" i="103"/>
  <c r="F4" i="103"/>
  <c r="E4" i="103"/>
  <c r="H53" i="99" s="1"/>
  <c r="J53" i="99" s="1"/>
  <c r="D4" i="103"/>
  <c r="C4" i="103"/>
  <c r="B4" i="103"/>
  <c r="A11" i="102"/>
  <c r="I7" i="102"/>
  <c r="I4" i="102" s="1"/>
  <c r="O6" i="102"/>
  <c r="I6" i="102"/>
  <c r="O5" i="102"/>
  <c r="R4" i="102"/>
  <c r="Q4" i="102"/>
  <c r="P4" i="102"/>
  <c r="O4" i="102"/>
  <c r="N4" i="102"/>
  <c r="M4" i="102"/>
  <c r="L4" i="102"/>
  <c r="K4" i="102"/>
  <c r="J4" i="102"/>
  <c r="H4" i="102"/>
  <c r="G4" i="102"/>
  <c r="F4" i="102"/>
  <c r="E4" i="102"/>
  <c r="D4" i="102"/>
  <c r="C4" i="102"/>
  <c r="B4" i="102"/>
  <c r="M13" i="101"/>
  <c r="M12" i="101"/>
  <c r="M11" i="101"/>
  <c r="M10" i="101"/>
  <c r="M9" i="101"/>
  <c r="M8" i="101"/>
  <c r="M5" i="101" s="1"/>
  <c r="H47" i="99" s="1"/>
  <c r="M7" i="101"/>
  <c r="M6" i="101"/>
  <c r="O5" i="101"/>
  <c r="N5" i="101"/>
  <c r="L5" i="101"/>
  <c r="K5" i="101"/>
  <c r="J5" i="101"/>
  <c r="I5" i="101"/>
  <c r="H5" i="101"/>
  <c r="G5" i="101"/>
  <c r="F5" i="101"/>
  <c r="E5" i="101"/>
  <c r="D5" i="101"/>
  <c r="C5" i="101"/>
  <c r="B5" i="101"/>
  <c r="M4" i="101"/>
  <c r="L4" i="101"/>
  <c r="A19" i="100"/>
  <c r="M6" i="100"/>
  <c r="L6" i="100"/>
  <c r="K6" i="100"/>
  <c r="J6" i="100"/>
  <c r="I6" i="100"/>
  <c r="H6" i="100"/>
  <c r="G6" i="100"/>
  <c r="F6" i="100"/>
  <c r="E6" i="100"/>
  <c r="D6" i="100"/>
  <c r="C6" i="100"/>
  <c r="B6" i="100"/>
  <c r="D55" i="99"/>
  <c r="I54" i="99"/>
  <c r="E54" i="99"/>
  <c r="D54" i="99"/>
  <c r="F54" i="99" s="1"/>
  <c r="K54" i="99" s="1"/>
  <c r="I53" i="99"/>
  <c r="D53" i="99"/>
  <c r="H52" i="99"/>
  <c r="J52" i="99" s="1"/>
  <c r="F52" i="99"/>
  <c r="E52" i="99"/>
  <c r="D52" i="99"/>
  <c r="D51" i="99"/>
  <c r="I50" i="99"/>
  <c r="E50" i="99"/>
  <c r="D50" i="99"/>
  <c r="F50" i="99" s="1"/>
  <c r="I49" i="99"/>
  <c r="H49" i="99"/>
  <c r="J49" i="99" s="1"/>
  <c r="D49" i="99"/>
  <c r="H48" i="99"/>
  <c r="J48" i="99" s="1"/>
  <c r="F48" i="99"/>
  <c r="K48" i="99" s="1"/>
  <c r="E48" i="99"/>
  <c r="D48" i="99"/>
  <c r="A37" i="99"/>
  <c r="P32" i="99"/>
  <c r="E55" i="99" s="1"/>
  <c r="F55" i="99" s="1"/>
  <c r="O32" i="99"/>
  <c r="P31" i="99"/>
  <c r="O31" i="99"/>
  <c r="P30" i="99"/>
  <c r="E53" i="99" s="1"/>
  <c r="O30" i="99"/>
  <c r="P29" i="99"/>
  <c r="I52" i="99" s="1"/>
  <c r="O29" i="99"/>
  <c r="P28" i="99"/>
  <c r="E51" i="99" s="1"/>
  <c r="F51" i="99" s="1"/>
  <c r="O28" i="99"/>
  <c r="P27" i="99"/>
  <c r="O27" i="99"/>
  <c r="P26" i="99"/>
  <c r="P24" i="99" s="1"/>
  <c r="O26" i="99"/>
  <c r="O24" i="99" s="1"/>
  <c r="P25" i="99"/>
  <c r="I48" i="99" s="1"/>
  <c r="R24" i="99"/>
  <c r="Q24" i="99"/>
  <c r="N24" i="99"/>
  <c r="M24" i="99"/>
  <c r="L24" i="99"/>
  <c r="K24" i="99"/>
  <c r="J24" i="99"/>
  <c r="I24" i="99"/>
  <c r="H24" i="99"/>
  <c r="G24" i="99"/>
  <c r="F24" i="99"/>
  <c r="E24" i="99"/>
  <c r="D24" i="99"/>
  <c r="C24" i="99"/>
  <c r="B24" i="99"/>
  <c r="P23" i="99"/>
  <c r="O23" i="99"/>
  <c r="P14" i="99"/>
  <c r="H55" i="99" s="1"/>
  <c r="O14" i="99"/>
  <c r="P13" i="99"/>
  <c r="H54" i="99" s="1"/>
  <c r="J54" i="99" s="1"/>
  <c r="O13" i="99"/>
  <c r="P12" i="99"/>
  <c r="O12" i="99"/>
  <c r="P11" i="99"/>
  <c r="O11" i="99"/>
  <c r="P10" i="99"/>
  <c r="H51" i="99" s="1"/>
  <c r="O10" i="99"/>
  <c r="P9" i="99"/>
  <c r="H50" i="99" s="1"/>
  <c r="J50" i="99" s="1"/>
  <c r="O9" i="99"/>
  <c r="P8" i="99"/>
  <c r="O8" i="99"/>
  <c r="O6" i="99" s="1"/>
  <c r="P7" i="99"/>
  <c r="O7" i="99"/>
  <c r="R6" i="99"/>
  <c r="Q6" i="99"/>
  <c r="P6" i="99"/>
  <c r="N6" i="99"/>
  <c r="M6" i="99"/>
  <c r="L6" i="99"/>
  <c r="K6" i="99"/>
  <c r="J6" i="99"/>
  <c r="I6" i="99"/>
  <c r="H6" i="99"/>
  <c r="G6" i="99"/>
  <c r="F6" i="99"/>
  <c r="E6" i="99"/>
  <c r="D47" i="99" s="1"/>
  <c r="D6" i="99"/>
  <c r="C6" i="99"/>
  <c r="B6" i="99"/>
  <c r="A18" i="98"/>
  <c r="A19" i="104" s="1"/>
  <c r="I5" i="98"/>
  <c r="H5" i="98"/>
  <c r="G5" i="98"/>
  <c r="E5" i="98"/>
  <c r="D5" i="98"/>
  <c r="C5" i="98"/>
  <c r="K50" i="99" l="1"/>
  <c r="F53" i="99"/>
  <c r="K53" i="99" s="1"/>
  <c r="E47" i="99"/>
  <c r="F47" i="99" s="1"/>
  <c r="I47" i="99"/>
  <c r="J47" i="99" s="1"/>
  <c r="J55" i="99"/>
  <c r="K55" i="99" s="1"/>
  <c r="K52" i="99"/>
  <c r="E49" i="99"/>
  <c r="F49" i="99" s="1"/>
  <c r="K49" i="99" s="1"/>
  <c r="L18" i="107"/>
  <c r="L22" i="107"/>
  <c r="A38" i="107"/>
  <c r="I51" i="99"/>
  <c r="J51" i="99" s="1"/>
  <c r="K51" i="99" s="1"/>
  <c r="I55" i="99"/>
  <c r="A18" i="101"/>
  <c r="A41" i="105"/>
  <c r="A29" i="106"/>
  <c r="K19" i="107"/>
  <c r="K23" i="107"/>
  <c r="M24" i="107"/>
  <c r="K47" i="99" l="1"/>
  <c r="F38" i="107"/>
  <c r="J38" i="107" s="1"/>
</calcChain>
</file>

<file path=xl/sharedStrings.xml><?xml version="1.0" encoding="utf-8"?>
<sst xmlns="http://schemas.openxmlformats.org/spreadsheetml/2006/main" count="3085" uniqueCount="1052">
  <si>
    <t>Report Name</t>
  </si>
  <si>
    <t>Data Status</t>
  </si>
  <si>
    <t>Table 1: SEBI Registered Market Intermediaries/Institutions</t>
  </si>
  <si>
    <t>Data Available</t>
  </si>
  <si>
    <t>Table 2: Company-Wise Capital Raised through Public and Rights Issues (Equity)</t>
  </si>
  <si>
    <t>Table 3: Open Offers under SEBI Takeover Code closed</t>
  </si>
  <si>
    <t>Table 4: Substantial Acquisition of Shares and Takeovers</t>
  </si>
  <si>
    <t>Table 5: Capital Raised from the Primary Market through though Public and Rights Issues</t>
  </si>
  <si>
    <t>Table 6: Issues Listed on SME Platform</t>
  </si>
  <si>
    <t>Table 7: Industry-wise Classification of Capital Raised through Public and Rights Issues</t>
  </si>
  <si>
    <t>Table 8: Sector-wise and Region-wise Distribution of Capital Mobilised through Public and Rights Issues</t>
  </si>
  <si>
    <t>Table 9: Size-wise Classification of Capital Raised through Public and Rights Issues</t>
  </si>
  <si>
    <t>Table 10: Capital Raised by Listed Companies from the Primary Market through QIPs</t>
  </si>
  <si>
    <t>Table 11: Preferential Allotments Listed at BSE and NSE</t>
  </si>
  <si>
    <t>Table 12: Private Placement of Corporate Debt Reported to BSE and NSE</t>
  </si>
  <si>
    <t>Table 13: Trading in the Corporate Debt Market</t>
  </si>
  <si>
    <t>Table 14: Ratings Assigned for Long-term Corporate Debt Securities (Maturity = 1 year)</t>
  </si>
  <si>
    <t>Table 15: Ratings Assigned for Long-term Corporate Debt Securities (Maturity = 1 year)</t>
  </si>
  <si>
    <t>Table 16: Distribution of Turnover on Cash Segments of Exchanges (` crore)</t>
  </si>
  <si>
    <t>Table 17: Trends in Cash Segment of BSE</t>
  </si>
  <si>
    <t>Table 18: Trends in Cash Segment of NSE</t>
  </si>
  <si>
    <t>Table 19: Trends in Cash Segment of MSEI</t>
  </si>
  <si>
    <t>Table 20: City-wise Distribution of Turnover on Cash Segments</t>
  </si>
  <si>
    <t>Table 21: Category-wise Share of Turnover in Cash Segment of BSE</t>
  </si>
  <si>
    <t>Table 22: Category-wise Share of Turnover in Cash Segment of NSE</t>
  </si>
  <si>
    <t>Table 23: Category-wise Share of Turnover in Cash Segment of MSEI</t>
  </si>
  <si>
    <t>Table 24: Component Stocks: S&amp;P BSE Sensex</t>
  </si>
  <si>
    <t>Table 25: Component Stocks: Nifty 50 Index</t>
  </si>
  <si>
    <t>Table 26: Component Stock: SX 40 Index</t>
  </si>
  <si>
    <t>Data Not Available</t>
  </si>
  <si>
    <t>Table 27: Advances/Declines in Cash Segment</t>
  </si>
  <si>
    <t>Table 28: Trading Frequency in Cash Segment</t>
  </si>
  <si>
    <t>Table 29: Daily Volatility of Major Indices  (percent)</t>
  </si>
  <si>
    <t>Table 30: Percentage Share of Top ‘N’ Securities/Members in Turnover of Cash Segment  (percent)</t>
  </si>
  <si>
    <t>Table 31: Settlement Statistics for Cash Segment of BSE</t>
  </si>
  <si>
    <t xml:space="preserve">Table 32: Settlement Statistics for Cash Segment of NSE </t>
  </si>
  <si>
    <t xml:space="preserve">Table 33: Settlement Statistics for Cash Segment of MSEI </t>
  </si>
  <si>
    <t xml:space="preserve">Table 34: Trends in Equity Derivatives Segment at BSE (Turnover in Notional Value) </t>
  </si>
  <si>
    <t>Table 35: Trends in Equity Derivatives Segment at NSE</t>
  </si>
  <si>
    <t>Table 36: Settlement Statistics in Equity Derivatives Segment at BSE and NSE ( crore)</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</si>
  <si>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</si>
  <si>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</si>
  <si>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</si>
  <si>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</si>
  <si>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</si>
  <si>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</si>
  <si>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</si>
  <si>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Table 44: Settlement Statistics of Currency Derivatives Segment ( crore)</t>
  </si>
  <si>
    <t>Table 45: Instrument-wise Turnover in Currency Derivative Segment of BSE</t>
  </si>
  <si>
    <t>Table 46: Instrument-wise Turnover in Currency Derivatives of NSE</t>
  </si>
  <si>
    <t>Table 47: Instrument-wise Turnover in Currency Derivative Segment of MSEI</t>
  </si>
  <si>
    <t>Table 48: Maturity-wise Turnover in Currency Derivative Segment of BSE ( crore)</t>
  </si>
  <si>
    <t>Table 49: Maturity-wise Turnover in Currency Derivative Segment of NSE  ( crore)</t>
  </si>
  <si>
    <t>Table 50: Maturity-wise Turnover in Currency Derivative Segment of MSEI ( crore)</t>
  </si>
  <si>
    <t>Table 51: Trading Statistics of Interest Rate Futures at BSE, NSE and MSEI</t>
  </si>
  <si>
    <t>Table 52: Settlement Statistics in Interest Rate Futures at BSE, NSE and MSEI ( crore)</t>
  </si>
  <si>
    <t>Table 53: Trends in Foreign Portfolio Investment</t>
  </si>
  <si>
    <t>Table 54: Notional Value of Offshore Derivative Instruments (ODIs) Vs Assets Under Custody (AUC) of FPIs/Deemed</t>
  </si>
  <si>
    <t>Table 55: Assets under the Custody of Custodians</t>
  </si>
  <si>
    <t>Table 56: Trends in Resource Mobilization by Mutual Funds ( crore)</t>
  </si>
  <si>
    <t>Table 57: Type-wise Resource Mobilisation by Mutual Funds: Open-ended and Close-ended ( crore)</t>
  </si>
  <si>
    <t>Table 58: Scheme-wise Resource Mobilisation and Assets under Management by Mutual Funds ( crore)</t>
  </si>
  <si>
    <t>Table 59: Number of Schemes and Folios by Investment Objective</t>
  </si>
  <si>
    <t>Table 60: Trends in Transactions on Stock Exchanges by Mutual Funds ( crore)</t>
  </si>
  <si>
    <t>Table 61: Asset Under Management by Portfolio Manager</t>
  </si>
  <si>
    <t>Table 62: Progress Report of NSDL &amp; CDSl as on end of Month (Listed Companies)</t>
  </si>
  <si>
    <t>Table 63: Progress of Dematerialisation at NSDL and CDSL (Listed and Unlisted Companies)</t>
  </si>
  <si>
    <t>Table 64: Depository Statistics</t>
  </si>
  <si>
    <t xml:space="preserve">Market Intermediaries </t>
  </si>
  <si>
    <t>2017-18</t>
  </si>
  <si>
    <t>2018-19$</t>
  </si>
  <si>
    <t>Stock Exchanges (Cash Segment)</t>
  </si>
  <si>
    <t>Stock Exchanges (Equity Derivatives Segment)</t>
  </si>
  <si>
    <t>Stock Exchanges (Currency Derivatives Segment)</t>
  </si>
  <si>
    <t>Stock Exchanges (Commodity Derivatives Segment)</t>
  </si>
  <si>
    <t>Brokers (Cash Segment)</t>
  </si>
  <si>
    <t>Brokers (Equity Derivatives Segment)</t>
  </si>
  <si>
    <t>Brokers (Currency Derivatives Segment)</t>
  </si>
  <si>
    <t>Brokers (Debt Segment)</t>
  </si>
  <si>
    <t>Brokers (Commodity Derivatives Segment)</t>
  </si>
  <si>
    <t>Corporate  Brokers(Cash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</si>
  <si>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</si>
  <si>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</si>
  <si>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</si>
  <si>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</si>
  <si>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</si>
  <si>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</si>
  <si>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</si>
  <si>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</si>
  <si>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</si>
  <si>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</si>
  <si>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</si>
  <si>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</si>
  <si>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</si>
  <si>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</si>
  <si>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</si>
  <si>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</si>
  <si>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</si>
  <si>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</si>
  <si>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</si>
  <si>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Infrastructure Investment Trusts (InVIT)</t>
  </si>
  <si>
    <t>Collective Investment Schemes</t>
  </si>
  <si>
    <t>Approved Intermediaries (Stock Lending Schemes)</t>
  </si>
  <si>
    <t>STP (Centralised Hub)</t>
  </si>
  <si>
    <t>STP Service Providers</t>
  </si>
  <si>
    <t>Notes:</t>
  </si>
  <si>
    <t>$ indicates as on March 31,2019</t>
  </si>
  <si>
    <t>Source: SEBI, NSDL.</t>
  </si>
  <si>
    <t>Sl.No.</t>
  </si>
  <si>
    <t>Name of the Issuer/Company</t>
  </si>
  <si>
    <t>Date of Opening</t>
  </si>
  <si>
    <t>Type of Issue</t>
  </si>
  <si>
    <t>Type of Instrument</t>
  </si>
  <si>
    <t>No. of Shares Issued</t>
  </si>
  <si>
    <t>Face Value (`)</t>
  </si>
  <si>
    <t>Premium Value (`)</t>
  </si>
  <si>
    <t>Issue Price (`)</t>
  </si>
  <si>
    <t>Size of Issue  (` Crore)</t>
  </si>
  <si>
    <t>Mahip Industries Limited</t>
  </si>
  <si>
    <t>SME-IPO</t>
  </si>
  <si>
    <t>Equity</t>
  </si>
  <si>
    <t>Krebs Biochemicals and Industries Limited</t>
  </si>
  <si>
    <t>Rights</t>
  </si>
  <si>
    <t>Aartech Solonics Limited</t>
  </si>
  <si>
    <t>Ashapuri Gold Ornament Limited</t>
  </si>
  <si>
    <t>Humming Bird Education Limited</t>
  </si>
  <si>
    <t>Artedz Fabs Limited</t>
  </si>
  <si>
    <t>MSTC Limited</t>
  </si>
  <si>
    <t>IPO</t>
  </si>
  <si>
    <t>ROOPSHRI RESORTS LIMITED</t>
  </si>
  <si>
    <t>NORTHERN SPIRITS LIMITED</t>
  </si>
  <si>
    <t>OSIA Hyper Retail Limited</t>
  </si>
  <si>
    <t>Note: All the issues are compiled from the Prospectus of Issuer Companies filed with SEBI.</t>
  </si>
  <si>
    <t>Source: SEBI.</t>
  </si>
  <si>
    <t>Table 3: Open Offers under SEBI Takeover Code closed during Mar-19</t>
  </si>
  <si>
    <t>Sl.No</t>
  </si>
  <si>
    <t>Target Company</t>
  </si>
  <si>
    <t>Acquirer</t>
  </si>
  <si>
    <t>Offer Opening Date</t>
  </si>
  <si>
    <t>Offer Closing Date</t>
  </si>
  <si>
    <t>Offer Size</t>
  </si>
  <si>
    <t>Offer
 Price 
(`) per share</t>
  </si>
  <si>
    <t>Offer Size (` Crore)</t>
  </si>
  <si>
    <t>No. of 
Shares</t>
  </si>
  <si>
    <t>Percent of Equity 
Capital</t>
  </si>
  <si>
    <t>NEXT MEDIAWORKS LIMITED</t>
  </si>
  <si>
    <t>HT Media Limited</t>
  </si>
  <si>
    <t>Year / Month</t>
  </si>
  <si>
    <t>Open Offers</t>
  </si>
  <si>
    <t>Objectives</t>
  </si>
  <si>
    <t>Total</t>
  </si>
  <si>
    <t>Change in Control 
of Management</t>
  </si>
  <si>
    <t>Consolidation of
 Holdings</t>
  </si>
  <si>
    <t>Substantial 
Acquisition</t>
  </si>
  <si>
    <t>No. of Offers</t>
  </si>
  <si>
    <t>Amount (` crore)</t>
  </si>
  <si>
    <t>Apr-18</t>
  </si>
  <si>
    <t>May-18</t>
  </si>
  <si>
    <t>Jun-18</t>
  </si>
  <si>
    <t>Jul-18</t>
  </si>
  <si>
    <t>Aug-18</t>
  </si>
  <si>
    <t>Sep-18</t>
  </si>
  <si>
    <t>Oct-18</t>
  </si>
  <si>
    <t>Nov-18</t>
  </si>
  <si>
    <t>Dec-18</t>
  </si>
  <si>
    <t>Jan-19</t>
  </si>
  <si>
    <t>Feb-19</t>
  </si>
  <si>
    <t>Mar-19</t>
  </si>
  <si>
    <t xml:space="preserve">Table 5: Capital Raised from the Primary Market through though Public and Rights Issues </t>
  </si>
  <si>
    <t>Category-Wise</t>
  </si>
  <si>
    <t>Issue-Type</t>
  </si>
  <si>
    <t>Instrument-Wise</t>
  </si>
  <si>
    <t>Public</t>
  </si>
  <si>
    <t>Listed</t>
  </si>
  <si>
    <t>IPOs</t>
  </si>
  <si>
    <t>Equities</t>
  </si>
  <si>
    <t>CCPS/FCDs*</t>
  </si>
  <si>
    <t>Debt</t>
  </si>
  <si>
    <t>At Par</t>
  </si>
  <si>
    <t>At Premium</t>
  </si>
  <si>
    <t>No. of issues</t>
  </si>
  <si>
    <t>Notes: 1. The total provides category-wise total of any of the three sub-categories viz. public plus rights or issuer-type(listed plus IPOs) or instrument-wise(equities plus CCPS/FCDs plus debt). 2. Amount for public debt issue for last two months is provisional and may get updated 3. All the Issues are compiled from the Prospectus. of Issuer Companies filed with SEBI. 4. * CCPS: Compulsory Convertible Preference Shares, FCDs: Fully Convertible Debentures.</t>
  </si>
  <si>
    <t>5. Equity public issues also includes issues listed on SME platform.</t>
  </si>
  <si>
    <t>6. Since April 2018, both the equity and debt issues are categorised based on their respective closing dates. Prior to April 2018, the equity issues were classified based on opening date of the issue, while debt issues were classfied based on closing date of the issue.</t>
  </si>
  <si>
    <t>Year/ Month</t>
  </si>
  <si>
    <t>No. of issue</t>
  </si>
  <si>
    <t>Amount  (`crore)</t>
  </si>
  <si>
    <t xml:space="preserve">Apr-18              </t>
  </si>
  <si>
    <t xml:space="preserve">May-18              </t>
  </si>
  <si>
    <t xml:space="preserve">Jun-18              </t>
  </si>
  <si>
    <t xml:space="preserve">Jul-18              </t>
  </si>
  <si>
    <t xml:space="preserve">Aug-18              </t>
  </si>
  <si>
    <t xml:space="preserve">Sep-18              </t>
  </si>
  <si>
    <t xml:space="preserve">Oct-18              </t>
  </si>
  <si>
    <t xml:space="preserve">Nov-18              </t>
  </si>
  <si>
    <t xml:space="preserve">Dec-18              </t>
  </si>
  <si>
    <t xml:space="preserve">Jan-19              </t>
  </si>
  <si>
    <t xml:space="preserve">Feb-19              </t>
  </si>
  <si>
    <t xml:space="preserve">Mar-19              </t>
  </si>
  <si>
    <t>Source: SEBI</t>
  </si>
  <si>
    <t>Industry</t>
  </si>
  <si>
    <t>2018-19</t>
  </si>
  <si>
    <t>Amount (`crore)</t>
  </si>
  <si>
    <t>Airlines</t>
  </si>
  <si>
    <t>Automobiles</t>
  </si>
  <si>
    <t>Banks/FIs</t>
  </si>
  <si>
    <t>Cement/ Constructions</t>
  </si>
  <si>
    <t>Chemical</t>
  </si>
  <si>
    <t>Consumer Services</t>
  </si>
  <si>
    <t>Electronic Equipments/ Products</t>
  </si>
  <si>
    <t>Engineering</t>
  </si>
  <si>
    <t>Entertainment</t>
  </si>
  <si>
    <t>Finance</t>
  </si>
  <si>
    <t>Food processing</t>
  </si>
  <si>
    <t>Healthcare</t>
  </si>
  <si>
    <t>Hotels</t>
  </si>
  <si>
    <t>Info Tech</t>
  </si>
  <si>
    <t>Misc</t>
  </si>
  <si>
    <t>Roads &amp; Highways</t>
  </si>
  <si>
    <t>Telecom</t>
  </si>
  <si>
    <t>Textile</t>
  </si>
  <si>
    <t>Plastic</t>
  </si>
  <si>
    <t>Power</t>
  </si>
  <si>
    <t>Printing</t>
  </si>
  <si>
    <t>Oil &amp; Natural Gas</t>
  </si>
  <si>
    <t>Insurance</t>
  </si>
  <si>
    <t xml:space="preserve">Table 8: Sector-wise and Region-wise Distribution of Capital Mobilised through Public and Rights Issues </t>
  </si>
  <si>
    <t>Sector-wise</t>
  </si>
  <si>
    <t>Region-wise</t>
  </si>
  <si>
    <t>Private</t>
  </si>
  <si>
    <t>Northern</t>
  </si>
  <si>
    <t>Eastern</t>
  </si>
  <si>
    <t>Western</t>
  </si>
  <si>
    <t>Southern</t>
  </si>
  <si>
    <t>Central</t>
  </si>
  <si>
    <t>Foreign</t>
  </si>
  <si>
    <t>No. of Issue</t>
  </si>
  <si>
    <t>Amount (`Crores)</t>
  </si>
  <si>
    <t>Amount (` Crores)</t>
  </si>
  <si>
    <t>&lt; 5 crore</t>
  </si>
  <si>
    <t>≥ 5crore - &lt; 10crore</t>
  </si>
  <si>
    <t xml:space="preserve">  ≥ 10 crore - &lt; 50 crore</t>
  </si>
  <si>
    <t xml:space="preserve">  ≥ 50 crore - &lt; 100 crore</t>
  </si>
  <si>
    <t xml:space="preserve">  ≥ 100 crore</t>
  </si>
  <si>
    <t>Only BSE</t>
  </si>
  <si>
    <t>Only NSE</t>
  </si>
  <si>
    <t>Only MSEI</t>
  </si>
  <si>
    <t>Both NSE and BSE</t>
  </si>
  <si>
    <t>Notes: 1. The above data includes both "no. of issues" and "Amount" raised on conversion of convertible securities issued on QIP basis. 
2. 2017-18, Includes one issue of Institutional Placement Programme (Issue Size of Rs. 873.92 crore).</t>
  </si>
  <si>
    <t>Source: BSE, NSE and MSEI.</t>
  </si>
  <si>
    <t>Year/Month</t>
  </si>
  <si>
    <t>No. of  issues</t>
  </si>
  <si>
    <t>Amount ` Crores)</t>
  </si>
  <si>
    <t>TOTAL</t>
  </si>
  <si>
    <t>No. of Issues</t>
  </si>
  <si>
    <t>$ indicates as on March 31, 2018</t>
  </si>
  <si>
    <t>Source: BSE and NSE</t>
  </si>
  <si>
    <t>BSE</t>
  </si>
  <si>
    <t>NSE</t>
  </si>
  <si>
    <t>MSEI</t>
  </si>
  <si>
    <t>No. of Trades</t>
  </si>
  <si>
    <t>Traded Value (` crore)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</si>
  <si>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</si>
  <si>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</si>
  <si>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</si>
  <si>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</si>
  <si>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</si>
  <si>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</si>
  <si>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</si>
  <si>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</si>
  <si>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</si>
  <si>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Amount  (` crore)</t>
  </si>
  <si>
    <t>Source: Credit Rating Agencies.</t>
  </si>
  <si>
    <t>Table 15: Review of Accepted Ratings of Corporate Debt Securities (Maturity ≥ 1 year)</t>
  </si>
  <si>
    <t>Upgraded</t>
  </si>
  <si>
    <t>Downgraded</t>
  </si>
  <si>
    <t>Reaffirmed</t>
  </si>
  <si>
    <t>Rating Watch</t>
  </si>
  <si>
    <t>Withdrawn/ Suspended</t>
  </si>
  <si>
    <t>Table 16: Distribution of Turnover on Cash Segments of Stock Exchanges (`crore)</t>
  </si>
  <si>
    <t>Stock Exchanges</t>
  </si>
  <si>
    <t xml:space="preserve">Table 17: Trends in Cash Segment of BSE </t>
  </si>
  <si>
    <t xml:space="preserve">No. of Companies Listed </t>
  </si>
  <si>
    <t xml:space="preserve">No. of Companies Permitted* </t>
  </si>
  <si>
    <t xml:space="preserve">No. of companies traded </t>
  </si>
  <si>
    <t>No. of Trading Days</t>
  </si>
  <si>
    <t>No. of Trades (Lakh)</t>
  </si>
  <si>
    <t>Traded Quantity (Lakh)</t>
  </si>
  <si>
    <t>Turnover (` crore)</t>
  </si>
  <si>
    <t>Average Daily Turnover (` crore)</t>
  </si>
  <si>
    <t>Average Trade Size (`)</t>
  </si>
  <si>
    <t>Demat Securities Traded (Lakh)</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</si>
  <si>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</si>
  <si>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</si>
  <si>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</si>
  <si>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</si>
  <si>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</si>
  <si>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</si>
  <si>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</si>
  <si>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</si>
  <si>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</si>
  <si>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Turnover Data compiled for all markets except auction market</t>
  </si>
  <si>
    <t>Source: NSE</t>
  </si>
  <si>
    <t>$ indicates up to March 31,2019</t>
  </si>
  <si>
    <t>No. of Companies Permitted #</t>
  </si>
  <si>
    <t>No. of Companies Traded</t>
  </si>
  <si>
    <t>Turnover (₹ crore)</t>
  </si>
  <si>
    <t>Average Daily Turnover (₹ crore)</t>
  </si>
  <si>
    <t>Demat Turnover (₹ crore)</t>
  </si>
  <si>
    <t xml:space="preserve">Market  Capitalisation (₹ crore) </t>
  </si>
  <si>
    <t xml:space="preserve">SX 50 Index </t>
  </si>
  <si>
    <t>Source: MSEI</t>
  </si>
  <si>
    <t>Table 20: City-wise Distribution of Turnover on Cash Segments of BSE and NSE</t>
  </si>
  <si>
    <t>(Percentage share in Turnover)</t>
  </si>
  <si>
    <t>S.No</t>
  </si>
  <si>
    <t>City</t>
  </si>
  <si>
    <t>Ahmedabad</t>
  </si>
  <si>
    <t>Bengaluru</t>
  </si>
  <si>
    <t>Vadodra</t>
  </si>
  <si>
    <t>Bhubneshwar</t>
  </si>
  <si>
    <t>Chennai</t>
  </si>
  <si>
    <t>Ernakulum</t>
  </si>
  <si>
    <t>Coimbatore</t>
  </si>
  <si>
    <t>New Delhi</t>
  </si>
  <si>
    <t>Guwahati</t>
  </si>
  <si>
    <t>Hyderabad</t>
  </si>
  <si>
    <t>Indore</t>
  </si>
  <si>
    <t>Jaipur</t>
  </si>
  <si>
    <t>Kanpur</t>
  </si>
  <si>
    <t>Kolkata</t>
  </si>
  <si>
    <t>Ludhiana</t>
  </si>
  <si>
    <t>Mangalore</t>
  </si>
  <si>
    <t>Mumbai</t>
  </si>
  <si>
    <t>Patna</t>
  </si>
  <si>
    <t>Pune</t>
  </si>
  <si>
    <t>Rajkot</t>
  </si>
  <si>
    <t>Others</t>
  </si>
  <si>
    <t xml:space="preserve">Notes: </t>
  </si>
  <si>
    <t>1. The city-wise distribution of turnover is based on the cities uploaded in the UCC database of the Exchange for clientele trades and members registered office city for proprietary trades.</t>
  </si>
  <si>
    <t>Percentage Share in Turnover</t>
  </si>
  <si>
    <t>Proprietary</t>
  </si>
  <si>
    <t>FPIs</t>
  </si>
  <si>
    <t>Banks</t>
  </si>
  <si>
    <t xml:space="preserve">Source: BSE. </t>
  </si>
  <si>
    <t>Year /Month</t>
  </si>
  <si>
    <t xml:space="preserve">Source: NSE. </t>
  </si>
  <si>
    <t xml:space="preserve">Source: MSEI. </t>
  </si>
  <si>
    <t>Table 24: Component Stocks: S&amp;P BSE Sensex during Mar-19</t>
  </si>
  <si>
    <t>Name of Security</t>
  </si>
  <si>
    <t>Issued
Capital 
(` crore)</t>
  </si>
  <si>
    <t>Free Float
Market
Capitalisation
(` crore)</t>
  </si>
  <si>
    <t>Weightage (Percent)</t>
  </si>
  <si>
    <t>Beta</t>
  </si>
  <si>
    <t>R 2</t>
  </si>
  <si>
    <t>Daily
Volatility
(Percent)</t>
  </si>
  <si>
    <t>Monthly
Return
(Percent)</t>
  </si>
  <si>
    <t>Impact
Cost
(Percent)</t>
  </si>
  <si>
    <t xml:space="preserve">HDFC BANK   </t>
  </si>
  <si>
    <t xml:space="preserve">RELIANCE    </t>
  </si>
  <si>
    <t xml:space="preserve">HDFC        </t>
  </si>
  <si>
    <t xml:space="preserve">INFOSYS LTD </t>
  </si>
  <si>
    <t xml:space="preserve">ICICI BANK  </t>
  </si>
  <si>
    <t xml:space="preserve">ITC LTD.    </t>
  </si>
  <si>
    <t xml:space="preserve">TCS LTD.    </t>
  </si>
  <si>
    <t>LARSEN &amp; TOU</t>
  </si>
  <si>
    <t>KOTAK MAH.BK</t>
  </si>
  <si>
    <t xml:space="preserve">AXIS BANK   </t>
  </si>
  <si>
    <t xml:space="preserve">HIND UNI LT </t>
  </si>
  <si>
    <t xml:space="preserve">STATE BANK  </t>
  </si>
  <si>
    <t>INDUSIND BNK</t>
  </si>
  <si>
    <t xml:space="preserve">MARUTISUZUK </t>
  </si>
  <si>
    <t xml:space="preserve">BAJFINANCE  </t>
  </si>
  <si>
    <t>ASIAN PAINTS</t>
  </si>
  <si>
    <t xml:space="preserve">MAH &amp; MAH   </t>
  </si>
  <si>
    <t xml:space="preserve">HCL TECHNO  </t>
  </si>
  <si>
    <t xml:space="preserve">SUN PHARMA. </t>
  </si>
  <si>
    <t xml:space="preserve">NTPC LTD    </t>
  </si>
  <si>
    <t xml:space="preserve">YES BANK    </t>
  </si>
  <si>
    <t xml:space="preserve">POWER GRID  </t>
  </si>
  <si>
    <t xml:space="preserve">ONGC CORPN  </t>
  </si>
  <si>
    <t xml:space="preserve">BHARTI ARTL </t>
  </si>
  <si>
    <t xml:space="preserve">TATA STEEL  </t>
  </si>
  <si>
    <t xml:space="preserve">BAJAJ AUTO  </t>
  </si>
  <si>
    <t xml:space="preserve">VEDL        </t>
  </si>
  <si>
    <t xml:space="preserve">HEROMOTOCO  </t>
  </si>
  <si>
    <t xml:space="preserve">COAL INDIA  </t>
  </si>
  <si>
    <t xml:space="preserve">TATA MOTORS </t>
  </si>
  <si>
    <t xml:space="preserve">TATAMTRTDVR </t>
  </si>
  <si>
    <t>Notes: 1. Beta &amp; R2 are calculated for the trailing 12 months. Beta measures the  degree to which any portfolio of stocks is affected as compared to the effect on the market as a whole.</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</si>
  <si>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</si>
  <si>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</si>
  <si>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</si>
  <si>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 5 lakh.  It is calculated for the current month.</t>
  </si>
  <si>
    <t>Source: BSE.</t>
  </si>
  <si>
    <t>Table 25: Component Stocks: Nifty 50 Index during Mar-19</t>
  </si>
  <si>
    <t>Sl. No</t>
  </si>
  <si>
    <t>Issued
Capital 
(`Crore)</t>
  </si>
  <si>
    <t>HDFC Bank Ltd.</t>
  </si>
  <si>
    <t>Reliance Industries Ltd.</t>
  </si>
  <si>
    <t>Housing Development Finance Corporation Ltd.</t>
  </si>
  <si>
    <t>Infosys Ltd.</t>
  </si>
  <si>
    <t>ICICI Bank Ltd.</t>
  </si>
  <si>
    <t>I T C Ltd.</t>
  </si>
  <si>
    <t>Tata Consultancy Services Ltd.</t>
  </si>
  <si>
    <t>Kotak Mahindra Bank Ltd.</t>
  </si>
  <si>
    <t>Larsen &amp; Toubro Ltd.</t>
  </si>
  <si>
    <t>Axis Bank Ltd.</t>
  </si>
  <si>
    <t>Hindustan Unilever Ltd.</t>
  </si>
  <si>
    <t>State Bank of India</t>
  </si>
  <si>
    <t>IndusInd Bank Ltd.</t>
  </si>
  <si>
    <t>Maruti Suzuki India Ltd.</t>
  </si>
  <si>
    <t>Bajaj Finance Ltd.</t>
  </si>
  <si>
    <t>Asian Paints Ltd.</t>
  </si>
  <si>
    <t>Mahindra &amp; Mahindra Ltd.</t>
  </si>
  <si>
    <t>HCL Technologies Ltd.</t>
  </si>
  <si>
    <t>NTPC Ltd.</t>
  </si>
  <si>
    <t>Sun Pharmaceutical Industries Ltd.</t>
  </si>
  <si>
    <t>Yes Bank Ltd.</t>
  </si>
  <si>
    <t>Tech Mahindra Ltd.</t>
  </si>
  <si>
    <t>Oil &amp; Natural Gas Corporation Ltd.</t>
  </si>
  <si>
    <t>Titan Company Ltd.</t>
  </si>
  <si>
    <t>Power Grid Corporation of India Ltd.</t>
  </si>
  <si>
    <t>Bharti Airtel Ltd.</t>
  </si>
  <si>
    <t>Bajaj Finserv Ltd.</t>
  </si>
  <si>
    <t>UltraTech Cement Ltd.</t>
  </si>
  <si>
    <t>Coal India Ltd.</t>
  </si>
  <si>
    <t>Bajaj Auto Ltd.</t>
  </si>
  <si>
    <t>Tata Steel Ltd.</t>
  </si>
  <si>
    <t>Wipro Ltd.</t>
  </si>
  <si>
    <t>Indian Oil Corporation Ltd.</t>
  </si>
  <si>
    <t>Britannia Industries Ltd.</t>
  </si>
  <si>
    <t>UPL Ltd.</t>
  </si>
  <si>
    <t>Grasim Industries Ltd.</t>
  </si>
  <si>
    <t>Dr. Reddy's Laboratories Ltd.</t>
  </si>
  <si>
    <t>Vedanta Ltd.</t>
  </si>
  <si>
    <t>Hero MotoCorp Ltd.</t>
  </si>
  <si>
    <t>Tata Motors Ltd.</t>
  </si>
  <si>
    <t>GAIL (India) Ltd.</t>
  </si>
  <si>
    <t>Bharat Petroleum Corporation Ltd.</t>
  </si>
  <si>
    <t>Hindalco Industries Ltd.</t>
  </si>
  <si>
    <t>Adani Ports and Special Economic Zone Ltd.</t>
  </si>
  <si>
    <t>JSW Steel Ltd.</t>
  </si>
  <si>
    <t>Indiabulls Housing Finance Ltd.</t>
  </si>
  <si>
    <t>Eicher Motors Ltd.</t>
  </si>
  <si>
    <t>Cipla Ltd.</t>
  </si>
  <si>
    <t>Bharti Infratel Ltd.</t>
  </si>
  <si>
    <t>Zee Entertainment Enterprises Ltd.</t>
  </si>
  <si>
    <t>Notes: 1. Beta &amp; R2 are calculated for the the trailing 12 months. Beta measures the  degree to which any portfolio of stocks is affected as compared to the effect on the market as a whole.</t>
  </si>
  <si>
    <t>3. Volatility is the standard deviation of the daily returns for the the trailing 12 months.</t>
  </si>
  <si>
    <t>5. Impact Cost for Nifty 50 is for a portfolio of Rs. 50 Lakhs  and is weightage average impact cost.</t>
  </si>
  <si>
    <t>Source: NSE.</t>
  </si>
  <si>
    <t>Table 26: Component Stocks: SX40 Index</t>
  </si>
  <si>
    <t>S.No.</t>
  </si>
  <si>
    <t>Issued Capital     (₹ crore)</t>
  </si>
  <si>
    <t>Free Float Market Capitalisation (₹ crore)</t>
  </si>
  <si>
    <t xml:space="preserve">Weightage (Percent)   </t>
  </si>
  <si>
    <t>R2</t>
  </si>
  <si>
    <t>Daily Volatility (Percent)</t>
  </si>
  <si>
    <t>Monthly Return (Percent)</t>
  </si>
  <si>
    <t>Impact Cost (Percent) *</t>
  </si>
  <si>
    <t>1. Market Cap, Beta &amp; R2 as on the last day of the month</t>
  </si>
  <si>
    <t>2. Beta &amp; R2 are calculated for the trailing 12 months</t>
  </si>
  <si>
    <t>3. Volatility for the current month</t>
  </si>
  <si>
    <t xml:space="preserve">4. *Since there is no trading in the SX40 constituents, the Impact Cost for the given stocks is NIL. </t>
  </si>
  <si>
    <t>Source: MSEI.</t>
  </si>
  <si>
    <t>Table 27: Advances/Declines in Cash Segment of BSE, NSE and MSEI</t>
  </si>
  <si>
    <t>Advances</t>
  </si>
  <si>
    <t>Declines</t>
  </si>
  <si>
    <t>Advance/Decline Ratio</t>
  </si>
  <si>
    <t xml:space="preserve">Note: Advance/Decline is calculated based on the average price methodology.                                                                           </t>
  </si>
  <si>
    <t>Table 28: Trading Frequency in Cash Segment of BSE, NSE and MSEI</t>
  </si>
  <si>
    <t>Month</t>
  </si>
  <si>
    <t>No. of Companies Listed</t>
  </si>
  <si>
    <t>Percent of Traded to Listed</t>
  </si>
  <si>
    <t>BSE Sensex</t>
  </si>
  <si>
    <t>BSE 100</t>
  </si>
  <si>
    <t>BSE 500</t>
  </si>
  <si>
    <t>Nifty 50</t>
  </si>
  <si>
    <t>Nifty Next 50</t>
  </si>
  <si>
    <t>Nifty 500</t>
  </si>
  <si>
    <t>SX40</t>
  </si>
  <si>
    <t xml:space="preserve">Note: Volatility is calculated as the standard deviation of the natural log of daily returns in indices for the respective period. </t>
  </si>
  <si>
    <t>Source: BSE, MSEI and NSE.</t>
  </si>
  <si>
    <t>Top</t>
  </si>
  <si>
    <t>5</t>
  </si>
  <si>
    <t>10</t>
  </si>
  <si>
    <t>25</t>
  </si>
  <si>
    <t>50</t>
  </si>
  <si>
    <t>100</t>
  </si>
  <si>
    <t>Securities</t>
  </si>
  <si>
    <t>Members</t>
  </si>
  <si>
    <t>Notes: 1. Data for Top N scrips has been compiled for all markets except Auction market &amp; Retail Debt Market and includes series EQ, BE,BT, BL and IL.</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</si>
  <si>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</si>
  <si>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</si>
  <si>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</si>
  <si>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</si>
  <si>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</si>
  <si>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</si>
  <si>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</si>
  <si>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</si>
  <si>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</si>
  <si>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</si>
  <si>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</si>
  <si>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</si>
  <si>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</si>
  <si>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</si>
  <si>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</si>
  <si>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(`crore)</t>
  </si>
  <si>
    <t>Table 32: Settlement Statistics for Cash Segment of NSE</t>
  </si>
  <si>
    <t>Delivered Value      (` crore)</t>
  </si>
  <si>
    <t>Settlement Statistics for settlement type N, excluding CM Series IL &amp; BL</t>
  </si>
  <si>
    <t>Table 33: Settlement Statistics for Cash Segment of MSEI</t>
  </si>
  <si>
    <t>Month Sorting</t>
  </si>
  <si>
    <t>Delivered Value      (₹ crore)</t>
  </si>
  <si>
    <t>Delivered Value in Demat Mode     (₹ crore)</t>
  </si>
  <si>
    <t>Funds Pay-in (₹ crore)</t>
  </si>
  <si>
    <t>Securities Pay-in (₹ crore)</t>
  </si>
  <si>
    <t>Settlement Guarantee Fund(₹ crore)</t>
  </si>
  <si>
    <t>$ indicates as on March 31, 2019</t>
  </si>
  <si>
    <t>Year/     Month</t>
  </si>
  <si>
    <t>Index Futures</t>
  </si>
  <si>
    <t>Stock Futures</t>
  </si>
  <si>
    <t>Index Options</t>
  </si>
  <si>
    <t>Stock Options</t>
  </si>
  <si>
    <t>Open Interest at the end of Month</t>
  </si>
  <si>
    <t>Call</t>
  </si>
  <si>
    <t>Put</t>
  </si>
  <si>
    <t>No. of
Contracts</t>
  </si>
  <si>
    <t>Turnover
(` crore)</t>
  </si>
  <si>
    <t>No. of
contracts</t>
  </si>
  <si>
    <t>Note: 1. Notional Turnover = (Strike Price + Premium) * Quantity.</t>
  </si>
  <si>
    <t xml:space="preserve">Table 35: Trends in Equity Derivatives Segment at NSE (Turnover in Notional Value) </t>
  </si>
  <si>
    <t>Table 36: Settlement Statistics in Equity Derivatives Segment at BSE and NSE (` crore)</t>
  </si>
  <si>
    <t>Index/Stock
Futures</t>
  </si>
  <si>
    <t>Index/Stock
Options</t>
  </si>
  <si>
    <t>Settlement
Gurantee
Fund</t>
  </si>
  <si>
    <t>MTM
Settlement</t>
  </si>
  <si>
    <t>Final
Settlement</t>
  </si>
  <si>
    <t>Premium
Settlement</t>
  </si>
  <si>
    <t>Exercise
Settlement</t>
  </si>
  <si>
    <t>Percentage Share in Open Interest</t>
  </si>
  <si>
    <t>Pro</t>
  </si>
  <si>
    <t>FPI</t>
  </si>
  <si>
    <t>Turnover (in Percentage)</t>
  </si>
  <si>
    <t>BSE 30 SENSEX</t>
  </si>
  <si>
    <t>BSE SENSEX 50</t>
  </si>
  <si>
    <t>BSE BANKEX</t>
  </si>
  <si>
    <t>BSE OIL &amp; GAS INDEX</t>
  </si>
  <si>
    <t>BSE TECK INDEX</t>
  </si>
  <si>
    <t>BSE100</t>
  </si>
  <si>
    <t>HANG SENG Index Futures</t>
  </si>
  <si>
    <t>MICEX Index Futures</t>
  </si>
  <si>
    <t>FTSE/JSE Top 40 Futures</t>
  </si>
  <si>
    <t>IBOVESPA Futures</t>
  </si>
  <si>
    <t>NIFTY</t>
  </si>
  <si>
    <t>NIFTYIT</t>
  </si>
  <si>
    <t>BANKNIFTY</t>
  </si>
  <si>
    <t>NIFTYMID50</t>
  </si>
  <si>
    <t>NIFTYPSE</t>
  </si>
  <si>
    <t>NIFTYINFRA</t>
  </si>
  <si>
    <t>FTSE100</t>
  </si>
  <si>
    <t>S&amp;P500</t>
  </si>
  <si>
    <t>DJIA</t>
  </si>
  <si>
    <t>India VIX</t>
  </si>
  <si>
    <t>NIFTYCPSE</t>
  </si>
  <si>
    <t>Currency Futures</t>
  </si>
  <si>
    <t>Currency  Options</t>
  </si>
  <si>
    <t>Open Interest at the end of  the Month</t>
  </si>
  <si>
    <t>No. of Contracts</t>
  </si>
  <si>
    <t xml:space="preserve">No. of Contracts </t>
  </si>
  <si>
    <t>Value 
(` crore)</t>
  </si>
  <si>
    <t>Source: BSE</t>
  </si>
  <si>
    <t>No. of Trading  Days</t>
  </si>
  <si>
    <t>Currency Options</t>
  </si>
  <si>
    <t>Open Interest at the
end of Month</t>
  </si>
  <si>
    <t>Value
(` crore)</t>
  </si>
  <si>
    <t>Notes: 1. Trading Value :- For Futures, Value of contract = Traded Qty*Traded Price. 2. For Options, Value of contract = Traded Qty*(Strike Price+Traded Premium)</t>
  </si>
  <si>
    <t>Table 44: Settlement Statistics of Currency Derivatives Segment (` crore)</t>
  </si>
  <si>
    <t>Currency
Futures</t>
  </si>
  <si>
    <t>Open Interest as on last day of the month (in lots)</t>
  </si>
  <si>
    <t>USDINR</t>
  </si>
  <si>
    <t>EURINR</t>
  </si>
  <si>
    <t>GBPINR</t>
  </si>
  <si>
    <t>JPYINR</t>
  </si>
  <si>
    <t>EURUSD</t>
  </si>
  <si>
    <t>GBPUSD</t>
  </si>
  <si>
    <t>USDJPY</t>
  </si>
  <si>
    <t>2017-2018</t>
  </si>
  <si>
    <t>1. USDINR includes Futures and options both other currencys have only futures till February 26, 2018.</t>
  </si>
  <si>
    <t>2. All Products include both Futures &amp; options from February 27, 2018 onwards.</t>
  </si>
  <si>
    <t>3. EURUSD, GBPUSD, USDJPY wer launched in Feb 2018</t>
  </si>
  <si>
    <t>Turnover ( ` crore)</t>
  </si>
  <si>
    <t>Open Interest as on last day of the month ( in lots)</t>
  </si>
  <si>
    <t>1. Cross Currency was introduced wef Feb 27, 2018</t>
  </si>
  <si>
    <t>2. Options contracts on EURINR,GBPINR,JPYINR were introduced wef Feb 27, 2018</t>
  </si>
  <si>
    <t>Table 47:  Instrument-wise Turnover in Currency Derivative Segment of MSEI</t>
  </si>
  <si>
    <t>Open Interest as on last day of the month
(in lots)</t>
  </si>
  <si>
    <t>Data includes Notional Value for Options</t>
  </si>
  <si>
    <t>Excludes data of Interest Rate Futures</t>
  </si>
  <si>
    <t>Table 48: Maturity-wise Turnover in Currency Derivative Segment of BSE (` crore)</t>
  </si>
  <si>
    <t>1 Month</t>
  </si>
  <si>
    <t>2 Month</t>
  </si>
  <si>
    <t>3 Month</t>
  </si>
  <si>
    <t>&gt; 3 Months</t>
  </si>
  <si>
    <t>Table 49: Maturity-wise Turnover in Currency Derivative Segment of NSE  (` crore)</t>
  </si>
  <si>
    <t>Currency Future</t>
  </si>
  <si>
    <t xml:space="preserve">2 Month   </t>
  </si>
  <si>
    <t>Table 50: Maturity-wise Turnover in Currency Derivative Segment of MSEI (` crore)</t>
  </si>
  <si>
    <t>Interest Rate Futures</t>
  </si>
  <si>
    <t>Open Interest at
the end of</t>
  </si>
  <si>
    <t>Interest RateFutures</t>
  </si>
  <si>
    <t xml:space="preserve">Open Interest at the end of </t>
  </si>
  <si>
    <t>Traded Value 
(` crore)</t>
  </si>
  <si>
    <t>Source: BSE, NSE and MSEI</t>
  </si>
  <si>
    <t>Table 52: Settlement Statistics in Interest Rate Futures at BSE, NSE and MSEI (` crore)</t>
  </si>
  <si>
    <t>Physical Delivery Settlement</t>
  </si>
  <si>
    <t>MTM Settlement</t>
  </si>
  <si>
    <t>Source: NSE, BSE and MSEI</t>
  </si>
  <si>
    <t>Gross Purchase (` crore)</t>
  </si>
  <si>
    <t>Gross Sales (` crores)</t>
  </si>
  <si>
    <t>Net Investment (` crores)</t>
  </si>
  <si>
    <t>Net Investment (US' $ mn.)</t>
  </si>
  <si>
    <t>Cumulative Net Investment (US $ mn.)</t>
  </si>
  <si>
    <t>2018-2019$</t>
  </si>
  <si>
    <t>Source: NSDL, CDSL</t>
  </si>
  <si>
    <t>Table 54: Notional Value of Offshore Derivative Instruments (ODIs) compared to Assets Under Custody (AUC) of FPIs/Deemed FPIs (` crore)</t>
  </si>
  <si>
    <t xml:space="preserve">Notional value of ODIs on Equity, Debt &amp; Derivatives </t>
  </si>
  <si>
    <t xml:space="preserve">Notional value of ODIs on Equity &amp; Debt  excluding Derivatives </t>
  </si>
  <si>
    <t>Assets Under Custody of FPIs/Deemed FPIs</t>
  </si>
  <si>
    <t>Notional value of ODIs on Equity, Debt &amp; Derivatives as % of  Assets Under Custody of FPIs/Deemed FPIs</t>
  </si>
  <si>
    <t>Notional value of ODIs on Equity &amp; Debt  excluding Derivatives as % of  Assets Under Custody of FPIs/Deemed FPIs</t>
  </si>
  <si>
    <t>Notes: 1. Figures are compiled based on reports submitted by FPIs/deemed FPIs issuing ODIs. 2. Column 4 Figures are compiled on the basis of reports submitted by custodians &amp; does not includes positions taken by FPIs/deemed FPIs in derivatives. 3. The total value of ODIs excludes the unhedged positions &amp; portfolio hedging positions taken by the FPIs/deemed FPIs issuing ODIs.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</si>
  <si>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</si>
  <si>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</si>
  <si>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</si>
  <si>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</si>
  <si>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</si>
  <si>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</si>
  <si>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</si>
  <si>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</si>
  <si>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</si>
  <si>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</si>
  <si>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</si>
  <si>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</si>
  <si>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</si>
  <si>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OCT-18</t>
  </si>
  <si>
    <t>DEC-18</t>
  </si>
  <si>
    <t>MAR-19</t>
  </si>
  <si>
    <t>JAN-19</t>
  </si>
  <si>
    <t>FEB-19</t>
  </si>
  <si>
    <t xml:space="preserve">Notes: 1. With the commencement of FPI Regime from June 1, 2014, the erstwhile FIIs, Sub Accounts and QFIs are merged into a new investor class termed as .Foreign Portfolio Investors (FPIs).. </t>
  </si>
  <si>
    <t>2. "Others" include Portfolio manager, partnership firm, trusts, depository receipts, AIFs, FCCB, HUFs, Brokers etc.</t>
  </si>
  <si>
    <t>Source: Custodians.</t>
  </si>
  <si>
    <t>Table 56: Trends in Resource Mobilization by Mutual Funds (` crore)</t>
  </si>
  <si>
    <t>Gross Mobilisation</t>
  </si>
  <si>
    <t>Redemption</t>
  </si>
  <si>
    <t>Net Inflow/ Outflow</t>
  </si>
  <si>
    <t>Assets at the
End of
Period</t>
  </si>
  <si>
    <t>Pvt. Sector</t>
  </si>
  <si>
    <t>Public Sector</t>
  </si>
  <si>
    <t>Table 57: Type-wise Resource Mobilisation by Mutual Funds: Open-ended and Close-ended (` crore)</t>
  </si>
  <si>
    <t>Scheme</t>
  </si>
  <si>
    <t>Assets at the end of period</t>
  </si>
  <si>
    <t>Sale</t>
  </si>
  <si>
    <t>Purchase</t>
  </si>
  <si>
    <t>Net</t>
  </si>
  <si>
    <t>Open-ended</t>
  </si>
  <si>
    <t>Close-ended</t>
  </si>
  <si>
    <t>Interval</t>
  </si>
  <si>
    <t>Table 58: Scheme-wise Resource Mobilisation and Assets under Management by Mutual Funds (`crore)</t>
  </si>
  <si>
    <t>Type</t>
  </si>
  <si>
    <t xml:space="preserve">2017-2018           </t>
  </si>
  <si>
    <t xml:space="preserve">MAR-19              </t>
  </si>
  <si>
    <t>Assests at the end</t>
  </si>
  <si>
    <t>A. Income/Debt Oriented Schemes(i+ii+iii+iv+v)</t>
  </si>
  <si>
    <t>i. Liquid/Money Market</t>
  </si>
  <si>
    <t>ii. Gilt</t>
  </si>
  <si>
    <t>iii. Debt (other than assured return)</t>
  </si>
  <si>
    <t>iv. Debt (assured return)</t>
  </si>
  <si>
    <t>v. Infrastructure Development</t>
  </si>
  <si>
    <t>B. Growth/Equity Oriented Schemes (i+ii)</t>
  </si>
  <si>
    <t>i. ELSS</t>
  </si>
  <si>
    <t>ii. Others</t>
  </si>
  <si>
    <t>C. Balanced Schemes</t>
  </si>
  <si>
    <t>D. Exchange Traded Fund (i+ii)</t>
  </si>
  <si>
    <t>i. Gold ETFs</t>
  </si>
  <si>
    <t>ii. Other ETFs</t>
  </si>
  <si>
    <t>E. Fund of Funds Investing Overseas</t>
  </si>
  <si>
    <t>Total (A+B+C+D+E)</t>
  </si>
  <si>
    <t xml:space="preserve">Table 59: Number of Schemes and Folios by Investment Objective   </t>
  </si>
  <si>
    <t>No. of Schemes</t>
  </si>
  <si>
    <t>No. of Folios</t>
  </si>
  <si>
    <t>Open</t>
  </si>
  <si>
    <t>Closed</t>
  </si>
  <si>
    <t>D. Exchange Traded Funds (i+ii)</t>
  </si>
  <si>
    <t>Note: Data for No. of Schemes also includes serial plans.</t>
  </si>
  <si>
    <t>Table 60: Trends in Transactions on Stock Exchanges by Mutual Funds (`crore)</t>
  </si>
  <si>
    <t>Year/  Month</t>
  </si>
  <si>
    <t>Gross Purchases</t>
  </si>
  <si>
    <t>Gross Sales</t>
  </si>
  <si>
    <t>Net Purchases /Sales</t>
  </si>
  <si>
    <t>Net purchases /Sale</t>
  </si>
  <si>
    <t>Table 61: Assets Under Management by Portfolio Managers</t>
  </si>
  <si>
    <t>Particulars</t>
  </si>
  <si>
    <t>Discretionary</t>
  </si>
  <si>
    <t>Non-Discretionary</t>
  </si>
  <si>
    <t>Advisory</t>
  </si>
  <si>
    <t>No. of Clients</t>
  </si>
  <si>
    <t>AUM (` crore)</t>
  </si>
  <si>
    <t>Listed Equity</t>
  </si>
  <si>
    <t>Unlisted Equity</t>
  </si>
  <si>
    <t>Plain Debt</t>
  </si>
  <si>
    <t>Structured Debt</t>
  </si>
  <si>
    <t>Equity Derivatives</t>
  </si>
  <si>
    <t>Table 62: Progress Report of NSDL &amp; CDSL as on end of Mar-19 (Listed Companies)</t>
  </si>
  <si>
    <t>Parameter</t>
  </si>
  <si>
    <t>Unit</t>
  </si>
  <si>
    <t>NSDL</t>
  </si>
  <si>
    <t>CDSL</t>
  </si>
  <si>
    <t>Mar-18</t>
  </si>
  <si>
    <t>% Change during the year</t>
  </si>
  <si>
    <t>% Change during the month</t>
  </si>
  <si>
    <t>Number of companies signed up to make their shares available for dematerialization</t>
  </si>
  <si>
    <t>Number</t>
  </si>
  <si>
    <t>Number of Depository Participants (registered)</t>
  </si>
  <si>
    <t>Number of Stock Exchanges (connected)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</si>
  <si>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</si>
  <si>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</si>
  <si>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</si>
  <si>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</si>
  <si>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</si>
  <si>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</si>
  <si>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</si>
  <si>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</si>
  <si>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Average Quantity of shares settled daily (quantity of shares settled during the month (divided by 30))</t>
  </si>
  <si>
    <t>Value of shares settled during the month in dematerialized form</t>
  </si>
  <si>
    <t>Average Value of shares settled daily (value of shares settled during the month (divided by 30))</t>
  </si>
  <si>
    <t>Training Programmes conducted for representatives of Corporates, DPs and Brokers</t>
  </si>
  <si>
    <t>The ratio of dematerialized equity shares to the total outstanding shares market value</t>
  </si>
  <si>
    <t>Percent</t>
  </si>
  <si>
    <t>The ratio of dematerialized equity shares to the total outstanding shares (market value)</t>
  </si>
  <si>
    <t>Notes: 1. Shares includes only equity shares. 2. Securities include common equity shares, preference shares, debenture, MF units, etc. 3. No. of days taken for calculating Daily Average is 30 days instead of Actual settlement days. 4. Quantity and value of shares mentioned are single sided. 5. #Source for listed securities information: Issuer/ NSE/BSE.</t>
  </si>
  <si>
    <t>Source: NSDL and CDSL.</t>
  </si>
  <si>
    <t>Companies Live</t>
  </si>
  <si>
    <t>DPs Live</t>
  </si>
  <si>
    <t>DPs
Locations</t>
  </si>
  <si>
    <t>Demat 
Quantity 
(million securities)</t>
  </si>
  <si>
    <t>Demat Value (` crore)</t>
  </si>
  <si>
    <t>Demat Value  (` crore)</t>
  </si>
  <si>
    <t>Notes : 1. For CDSL, the current and historical data of Companies Live has been revised to exclude MF schemes count. 2. The Companies Live figure  includes only the number of mutual fund companies and not the mutual fund schemes. 3. DPs Locations represents the total live (main DPs and branch DPs as well as non-live (back office connected collection centres).</t>
  </si>
  <si>
    <t>* Includes Nine Participants which are under closure/termination process and SEBI registration is not yet cancelled/suspended</t>
  </si>
  <si>
    <t>Table 64: Depository Statistics as on  Mar-19</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</si>
  <si>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</si>
  <si>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</si>
  <si>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</si>
  <si>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</si>
  <si>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</si>
  <si>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</si>
  <si>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</si>
  <si>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</si>
  <si>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</si>
  <si>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</si>
  <si>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</si>
  <si>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</si>
  <si>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</si>
  <si>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</si>
  <si>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</si>
  <si>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</si>
  <si>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 xml:space="preserve">Note: The categories included in Others are Preference Shares, Mutual Fund Units, Warrants, PTCs, Treasury Bills, CPs, CDs and Government Securities. </t>
  </si>
  <si>
    <t>Exchanges</t>
  </si>
  <si>
    <t>Futures</t>
  </si>
  <si>
    <t>Options</t>
  </si>
  <si>
    <t>Agriculture</t>
  </si>
  <si>
    <t>Metals other than bullion</t>
  </si>
  <si>
    <t xml:space="preserve">Bullion </t>
  </si>
  <si>
    <t>Energy</t>
  </si>
  <si>
    <t>Gems and Stones</t>
  </si>
  <si>
    <t>Bullion</t>
  </si>
  <si>
    <t>NCDEX</t>
  </si>
  <si>
    <t>Permitted for trading</t>
  </si>
  <si>
    <t>Traded</t>
  </si>
  <si>
    <t>MCX</t>
  </si>
  <si>
    <t>NCDEX Dhaanya</t>
  </si>
  <si>
    <t>Source: MCX and NCDEX</t>
  </si>
  <si>
    <t>Metals</t>
  </si>
  <si>
    <t>Volume ('000 tonnes)</t>
  </si>
  <si>
    <t>Source: MCX</t>
  </si>
  <si>
    <t>Source: NCDEX</t>
  </si>
  <si>
    <t>No.of Trading days</t>
  </si>
  <si>
    <t>Volume 
(in cents)</t>
  </si>
  <si>
    <t>No. of contracts traded</t>
  </si>
  <si>
    <t xml:space="preserve">No. of contracts </t>
  </si>
  <si>
    <t>Open interest at the end of the period</t>
  </si>
  <si>
    <t>Hedgers</t>
  </si>
  <si>
    <t>Name of the Commodity</t>
  </si>
  <si>
    <t>Gold</t>
  </si>
  <si>
    <t>Silver</t>
  </si>
  <si>
    <t>Aluminium</t>
  </si>
  <si>
    <t>Brass</t>
  </si>
  <si>
    <t>Copper</t>
  </si>
  <si>
    <t>Lead</t>
  </si>
  <si>
    <t>Nickel</t>
  </si>
  <si>
    <t>Zinc</t>
  </si>
  <si>
    <t>Cardamom</t>
  </si>
  <si>
    <t>Castorseed</t>
  </si>
  <si>
    <t>Cotton</t>
  </si>
  <si>
    <t>CPO</t>
  </si>
  <si>
    <t>Mentha Oil</t>
  </si>
  <si>
    <t>Rubber</t>
  </si>
  <si>
    <t>Crude Oil</t>
  </si>
  <si>
    <t>Natural Gas (trln. Btu)</t>
  </si>
  <si>
    <t>Grand Total (A+B+C+D)</t>
  </si>
  <si>
    <t>Source : MCX</t>
  </si>
  <si>
    <t>Barley</t>
  </si>
  <si>
    <t>Chana</t>
  </si>
  <si>
    <t>Cotton seed oil cake</t>
  </si>
  <si>
    <t>Coriander</t>
  </si>
  <si>
    <t>Guar seed</t>
  </si>
  <si>
    <t>Guargum</t>
  </si>
  <si>
    <t>Jeera</t>
  </si>
  <si>
    <t>Kapas</t>
  </si>
  <si>
    <t>Maize</t>
  </si>
  <si>
    <t>Rmseed</t>
  </si>
  <si>
    <t>Sugar</t>
  </si>
  <si>
    <t>Soya bean</t>
  </si>
  <si>
    <t>Soya oil</t>
  </si>
  <si>
    <t>Turmeric</t>
  </si>
  <si>
    <t>Wheat</t>
  </si>
  <si>
    <t>OPTIONS</t>
  </si>
  <si>
    <t>E</t>
  </si>
  <si>
    <t xml:space="preserve"> Turnover of options contract is notional value. </t>
  </si>
  <si>
    <t>Cash Reserve Ratio (percent)</t>
  </si>
  <si>
    <t>Repo Rate (percent)</t>
  </si>
  <si>
    <t>Call Money Rate (Weighted Average)</t>
  </si>
  <si>
    <t>91-Day-Treasury Bill (Primary Yield)</t>
  </si>
  <si>
    <t>Base rate (percent)</t>
  </si>
  <si>
    <t>8.95/9.45</t>
  </si>
  <si>
    <t>8.95/9.40</t>
  </si>
  <si>
    <t xml:space="preserve">Term Deposit Rate &gt; 1 year (Maximum) </t>
  </si>
  <si>
    <t>6.25/7.50</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</si>
  <si>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</si>
  <si>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</si>
  <si>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</si>
  <si>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</si>
  <si>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</si>
  <si>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</si>
  <si>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</si>
  <si>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</si>
  <si>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t>
  </si>
  <si>
    <t>Wholesale Price Index (2011-12=100)</t>
  </si>
  <si>
    <t>NA</t>
  </si>
  <si>
    <t>Consumer Price Index (2012 =100)</t>
  </si>
  <si>
    <t>IX.  Index of Industrial Production (y-o-y) percent (Base year 2011-12 = 100)</t>
  </si>
  <si>
    <t>General</t>
  </si>
  <si>
    <t>Mining</t>
  </si>
  <si>
    <t>Manufacturing</t>
  </si>
  <si>
    <t>Electricity</t>
  </si>
  <si>
    <t>X. External Sector Indicators (USD million)</t>
  </si>
  <si>
    <t xml:space="preserve">Exports </t>
  </si>
  <si>
    <t>Imports</t>
  </si>
  <si>
    <t>Trade Balance</t>
  </si>
  <si>
    <t>! First revised estimates of national income, consumption expenditure, saving and capital formation for 2017-18 dated, 31.01.2019</t>
  </si>
  <si>
    <t xml:space="preserve">^ cumulative figure value of the respective month for 2018-19 </t>
  </si>
  <si>
    <t>Data for CPI, WPI, IIP and External sector have been complied based on available information.</t>
  </si>
  <si>
    <t>Source :  RBI, FBIL,  MOSPI,  Ministry of Commerce &amp; Industry, Office of the Economic Adviser.</t>
  </si>
  <si>
    <t xml:space="preserve">Bulletin Reports Summary for Feb-19              </t>
  </si>
  <si>
    <t>Table 65: Number of commodities permitted and traded at exchanges</t>
  </si>
  <si>
    <t>Table 66: Trends in commodity indices</t>
  </si>
  <si>
    <t xml:space="preserve">Table 67: Trends in commodity derivatives at MCX </t>
  </si>
  <si>
    <t xml:space="preserve">Table 68: Trends in commodity derivatives at NCDEX </t>
  </si>
  <si>
    <t>Table 69: Trends in commodity derivatives at ICEX</t>
  </si>
  <si>
    <t xml:space="preserve">Table 70: Trends in commodity derivatives at BSE </t>
  </si>
  <si>
    <t>Table 71: Trends in commodity derivatives at NSE</t>
  </si>
  <si>
    <t>Table 72: Participant-wise percentage share of turnover at MCX, NCDEX, ICEX, BSE and NSE</t>
  </si>
  <si>
    <t>Table 73: Commodity-wise monthly turnover and trading volume at MCX</t>
  </si>
  <si>
    <t xml:space="preserve">Table 74: Commodity-wise monthly turnover and trading volume at NCDEX </t>
  </si>
  <si>
    <t>Table 75: Commodity-wise monthly turnover and trading volume at ICEX, BSE and NSE</t>
  </si>
  <si>
    <t>Table 76: Macro Economic Indicators</t>
  </si>
  <si>
    <r>
      <t>I. GDP at constant prices (2011-12 prices) for 2018-19 (</t>
    </r>
    <r>
      <rPr>
        <b/>
        <sz val="11"/>
        <color theme="1"/>
        <rFont val="Rupee Foradian"/>
        <family val="2"/>
      </rPr>
      <t>`</t>
    </r>
    <r>
      <rPr>
        <b/>
        <sz val="11"/>
        <color theme="1"/>
        <rFont val="Garamond"/>
        <family val="1"/>
      </rPr>
      <t xml:space="preserve"> crore)#                         </t>
    </r>
  </si>
  <si>
    <t>II. Gross Saving as a percent of Gross national Disposable Income at current market prices in 2017-18!</t>
  </si>
  <si>
    <t>III. Gross Capital Formation as a per cent of GDP at current market prices in 2017-18!</t>
  </si>
  <si>
    <t xml:space="preserve">IV.  Monetary and Banking Indicators                  </t>
  </si>
  <si>
    <t>https://rbi.org.in/Scripts/BS_ViewWss.aspx</t>
  </si>
  <si>
    <r>
      <t>Money Supply (M3)  (</t>
    </r>
    <r>
      <rPr>
        <sz val="11"/>
        <rFont val="Rupee Foradian"/>
        <family val="2"/>
      </rPr>
      <t xml:space="preserve">₹ </t>
    </r>
    <r>
      <rPr>
        <sz val="11"/>
        <rFont val="Garamond"/>
        <family val="1"/>
      </rPr>
      <t>crore)</t>
    </r>
  </si>
  <si>
    <t>T_6</t>
  </si>
  <si>
    <r>
      <t>Aggregate Deposit (</t>
    </r>
    <r>
      <rPr>
        <sz val="11"/>
        <color theme="1"/>
        <rFont val="Rupee Foradian"/>
        <family val="2"/>
      </rPr>
      <t>₹</t>
    </r>
    <r>
      <rPr>
        <sz val="11"/>
        <color theme="1"/>
        <rFont val="Garamond"/>
        <family val="1"/>
      </rPr>
      <t xml:space="preserve"> crore)</t>
    </r>
  </si>
  <si>
    <t>T_4</t>
  </si>
  <si>
    <r>
      <t>Bank Credit (</t>
    </r>
    <r>
      <rPr>
        <sz val="11"/>
        <color theme="1"/>
        <rFont val="Rupee Foradian"/>
        <family val="2"/>
      </rPr>
      <t>₹</t>
    </r>
    <r>
      <rPr>
        <sz val="11"/>
        <color theme="1"/>
        <rFont val="Garamond"/>
        <family val="1"/>
      </rPr>
      <t xml:space="preserve"> crore)</t>
    </r>
  </si>
  <si>
    <t xml:space="preserve">V. Interest Rate                        </t>
  </si>
  <si>
    <r>
      <t>VI. Capital Market Indicators (</t>
    </r>
    <r>
      <rPr>
        <sz val="11"/>
        <color theme="1"/>
        <rFont val="Rupee Foradian"/>
        <family val="2"/>
      </rPr>
      <t>₹</t>
    </r>
    <r>
      <rPr>
        <b/>
        <sz val="11"/>
        <color theme="1"/>
        <rFont val="Garamond"/>
        <family val="1"/>
      </rPr>
      <t>crore)</t>
    </r>
  </si>
  <si>
    <t xml:space="preserve">Equity Cash Turnover (BSE+NSE) </t>
  </si>
  <si>
    <r>
      <t>bse from bse file (</t>
    </r>
    <r>
      <rPr>
        <b/>
        <sz val="10"/>
        <color theme="1"/>
        <rFont val="Arial"/>
        <family val="2"/>
      </rPr>
      <t>BSE_C_TRD_STAT_TABLE17_</t>
    </r>
    <r>
      <rPr>
        <sz val="10"/>
        <color theme="1"/>
        <rFont val="Arial"/>
        <family val="2"/>
      </rPr>
      <t xml:space="preserve">DDMMYYYY, col H and M respectivly) and nse from website </t>
    </r>
  </si>
  <si>
    <t>https://www.nseindia.com/products/content/equities/equities/historical_equity_businessgrowth.htm</t>
  </si>
  <si>
    <t>https://www.fpi.nsdl.co.in/web/Reports/Archive.aspx</t>
  </si>
  <si>
    <t>T_2</t>
  </si>
  <si>
    <t>Govt. Market Borrowing-Gross (₹ Billion) 2018-19^</t>
  </si>
  <si>
    <t>http://mospi.nic.in/press-release</t>
  </si>
  <si>
    <t>http://commerce.gov.in/InnerContent.aspx?Type=TradeStatisticsmenu&amp;Id=254</t>
  </si>
  <si>
    <t># Second advance Extimates as per MOSPI press release dated 28.02.2019</t>
  </si>
  <si>
    <t>Aggregate Deposit, Bank Credit, Money Supply (M3) and Forex Reserve are updated as per available information on WSS dated 05 Apr 2019</t>
  </si>
  <si>
    <t xml:space="preserve">Energy </t>
  </si>
  <si>
    <t xml:space="preserve">Contracts floated </t>
  </si>
  <si>
    <t>ICEX</t>
  </si>
  <si>
    <t xml:space="preserve"> </t>
  </si>
  <si>
    <t>Source: NCDEX, MCX, ICEX, BSE and NSE</t>
  </si>
  <si>
    <t>MCX Comdex</t>
  </si>
  <si>
    <t>FUTURES</t>
  </si>
  <si>
    <r>
      <t>Turnover 
(</t>
    </r>
    <r>
      <rPr>
        <sz val="10"/>
        <color theme="1"/>
        <rFont val="Rupee Foradian"/>
        <family val="2"/>
      </rPr>
      <t>₹</t>
    </r>
    <r>
      <rPr>
        <b/>
        <sz val="10"/>
        <color theme="1"/>
        <rFont val="Rupee Foradian"/>
        <family val="2"/>
      </rPr>
      <t xml:space="preserve"> </t>
    </r>
    <r>
      <rPr>
        <b/>
        <sz val="10"/>
        <color theme="1"/>
        <rFont val="Garamond"/>
        <family val="1"/>
      </rPr>
      <t>crore)</t>
    </r>
  </si>
  <si>
    <t>Volume ('000 tonnes)*</t>
  </si>
  <si>
    <t>No. of contracts</t>
  </si>
  <si>
    <r>
      <t>Value
(</t>
    </r>
    <r>
      <rPr>
        <sz val="10"/>
        <color theme="1"/>
        <rFont val="Rupee Foradian"/>
        <family val="2"/>
      </rPr>
      <t>₹</t>
    </r>
    <r>
      <rPr>
        <b/>
        <sz val="10"/>
        <color theme="1"/>
        <rFont val="Rupee Foradian"/>
        <family val="2"/>
      </rPr>
      <t xml:space="preserve"> </t>
    </r>
    <r>
      <rPr>
        <b/>
        <sz val="10"/>
        <color theme="1"/>
        <rFont val="Garamond"/>
        <family val="1"/>
      </rPr>
      <t>crore)</t>
    </r>
  </si>
  <si>
    <t>Year / 
Month</t>
  </si>
  <si>
    <t xml:space="preserve">Call Options </t>
  </si>
  <si>
    <t xml:space="preserve">Put Options </t>
  </si>
  <si>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</si>
  <si>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</si>
  <si>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Na</t>
  </si>
  <si>
    <t>Note : Natural Gas volume is in Trillion BTU and is not included in volume ('000 tonnes) of energy contracts.</t>
  </si>
  <si>
    <t xml:space="preserve">following is not for publications (verifications): </t>
  </si>
  <si>
    <t>annual total of TO</t>
  </si>
  <si>
    <t>Agir</t>
  </si>
  <si>
    <t>non-agri</t>
  </si>
  <si>
    <t>futures</t>
  </si>
  <si>
    <t>options</t>
  </si>
  <si>
    <t>total</t>
  </si>
  <si>
    <t>match</t>
  </si>
  <si>
    <t>Monthly totals of TO</t>
  </si>
  <si>
    <t>Volume
('000 tonnes)</t>
  </si>
  <si>
    <r>
      <t>Turnover 
(</t>
    </r>
    <r>
      <rPr>
        <sz val="10"/>
        <color theme="1"/>
        <rFont val="Rupee Foradian"/>
        <family val="2"/>
      </rPr>
      <t xml:space="preserve">₹ </t>
    </r>
    <r>
      <rPr>
        <b/>
        <sz val="10"/>
        <color theme="1"/>
        <rFont val="Garamond"/>
        <family val="1"/>
      </rPr>
      <t>crore)</t>
    </r>
  </si>
  <si>
    <t xml:space="preserve">Call options </t>
  </si>
  <si>
    <t xml:space="preserve">Put options </t>
  </si>
  <si>
    <t>Open interest 
  at the end of the period</t>
  </si>
  <si>
    <r>
      <t>Notional Value
(</t>
    </r>
    <r>
      <rPr>
        <sz val="10"/>
        <rFont val="Garamond"/>
        <family val="1"/>
      </rPr>
      <t xml:space="preserve">₹ </t>
    </r>
    <r>
      <rPr>
        <b/>
        <sz val="10"/>
        <rFont val="Garamond"/>
        <family val="1"/>
      </rPr>
      <t>crore)</t>
    </r>
  </si>
  <si>
    <t>Agriculture Futures</t>
  </si>
  <si>
    <t>Metals Futures</t>
  </si>
  <si>
    <t>Gems and Stones Futures</t>
  </si>
  <si>
    <t xml:space="preserve">Total </t>
  </si>
  <si>
    <t>Volume 
('000 tonnes)</t>
  </si>
  <si>
    <t xml:space="preserve">Notes :  i. Contract size for all diamond futures contract at ICEX is one cent. </t>
  </si>
  <si>
    <t xml:space="preserve">          ii. Futures trading in steel long contracts commenced from 28th Aug. 2018.</t>
  </si>
  <si>
    <t xml:space="preserve">         iii.  Consequent upon merger of NMCE with ICEX, all  contracts of NMCE are transferred to ICEX w.e.f September 24, 2018.  
               The trading data of NMCE is added to agri. segment of ICEX. </t>
  </si>
  <si>
    <t>Source: ICEX</t>
  </si>
  <si>
    <t>Metal Futures</t>
  </si>
  <si>
    <t>Bullion Futures</t>
  </si>
  <si>
    <t>Energy Futures</t>
  </si>
  <si>
    <t>Volume ( tonnes)</t>
  </si>
  <si>
    <t>Volume 
( tonnes)</t>
  </si>
  <si>
    <t>Volume
 ( tonnes)</t>
  </si>
  <si>
    <t>Conversion factors: OMAN  Crude Oil (1 Tonne = 7.33Barrels)</t>
  </si>
  <si>
    <t>Volume for BR Crude and BR Crude Mini is provided in barrels (absolute figure).</t>
  </si>
  <si>
    <t xml:space="preserve">Agriculture </t>
  </si>
  <si>
    <t>Non-Agriculture Segment</t>
  </si>
  <si>
    <t>Non-Agriculture</t>
  </si>
  <si>
    <t xml:space="preserve">Client </t>
  </si>
  <si>
    <t xml:space="preserve">Conserquent to merger of NMCE with ICEX w.e.f. September 24, 2018, data pertaiing to NMCE are merged with ICEX </t>
  </si>
  <si>
    <t>Source: MCX, NCDEX, ICEX, BSE and NSE</t>
  </si>
  <si>
    <t>Sr.No</t>
  </si>
  <si>
    <t>A</t>
  </si>
  <si>
    <t>Total for A</t>
  </si>
  <si>
    <t>B</t>
  </si>
  <si>
    <t>Metals other than Bullion</t>
  </si>
  <si>
    <t>Total for  B</t>
  </si>
  <si>
    <t>C</t>
  </si>
  <si>
    <t>Agricultural commodities</t>
  </si>
  <si>
    <t>Total for C</t>
  </si>
  <si>
    <t>D</t>
  </si>
  <si>
    <t>Total for D*</t>
  </si>
  <si>
    <t>Total  of E</t>
  </si>
  <si>
    <t>F</t>
  </si>
  <si>
    <t xml:space="preserve">Metals </t>
  </si>
  <si>
    <t>Total of F</t>
  </si>
  <si>
    <t>G</t>
  </si>
  <si>
    <t>Grand Total (E+F+G)</t>
  </si>
  <si>
    <t>Note : Natural Gas volume is in trillion BTU and is not included in total volume.</t>
  </si>
  <si>
    <t xml:space="preserve">            Turnover of options contract is notional value. </t>
  </si>
  <si>
    <t xml:space="preserve">           Conversion factors: Cotton (1 Bale=170 kg), Crude Oil (1 Tonne = 7.33Barrels)</t>
  </si>
  <si>
    <t xml:space="preserve">Name of Agri. Commodity </t>
  </si>
  <si>
    <t>Value 
( crore)</t>
  </si>
  <si>
    <t>Guarseed</t>
  </si>
  <si>
    <t>Soybean</t>
  </si>
  <si>
    <t>Ref. Soy Oil</t>
  </si>
  <si>
    <t>A.</t>
  </si>
  <si>
    <t xml:space="preserve">Castorseed </t>
  </si>
  <si>
    <t xml:space="preserve">Guarseed </t>
  </si>
  <si>
    <t xml:space="preserve">Isabgulseed </t>
  </si>
  <si>
    <t>Pepper Mini</t>
  </si>
  <si>
    <t xml:space="preserve">Rape/Mustardseed </t>
  </si>
  <si>
    <t xml:space="preserve">Raw Jute </t>
  </si>
  <si>
    <t xml:space="preserve">Rubber </t>
  </si>
  <si>
    <t>Diamond 1 CT</t>
  </si>
  <si>
    <t>Diamond .5 CT</t>
  </si>
  <si>
    <t>Diamond .3 CT</t>
  </si>
  <si>
    <t>Steel</t>
  </si>
  <si>
    <t>Total (ICEX)</t>
  </si>
  <si>
    <t>B.</t>
  </si>
  <si>
    <t>OMAN CRUDE *</t>
  </si>
  <si>
    <t>Gold M</t>
  </si>
  <si>
    <t>Guar Gum</t>
  </si>
  <si>
    <t>Guar Seed</t>
  </si>
  <si>
    <t>Total (BSE)</t>
  </si>
  <si>
    <t>C.</t>
  </si>
  <si>
    <t>Total (NSE)</t>
  </si>
  <si>
    <t>Gold Mini</t>
  </si>
  <si>
    <t>BR Crude</t>
  </si>
  <si>
    <t>BR Crude Mini</t>
  </si>
  <si>
    <t>Note : i) Consequent to merger of NMCE with ICEX, all the contracts of NMCE are transferred to ICEX w.e.f. September 24, 2018.  Trading data of NMCE
             prior to its merger is added to agri. segment of ICEX.</t>
  </si>
  <si>
    <t>ii) Volume for Diamond 1 CT, 0.5CT &amp; 0.3CT has been given in Carat only (e.g. if volume is 80312.2 i.e. 80312.2 carats) and 1 Carat is equivalent to 100 cents.</t>
  </si>
  <si>
    <t>iii. Conversion factors: OMAN Crude Oil (1 Tonne = 7.33Barrels)</t>
  </si>
  <si>
    <t>iv. Volume for BR Crude and BR Crude Mini for NSE is provided in barrels (absolute figure)</t>
  </si>
  <si>
    <t>Source : ICEX, BSE and NSE</t>
  </si>
  <si>
    <t>HDFCBANK</t>
  </si>
  <si>
    <t>RELIANCE</t>
  </si>
  <si>
    <t>HDFC</t>
  </si>
  <si>
    <t>INFY</t>
  </si>
  <si>
    <t>ITC</t>
  </si>
  <si>
    <t>ICICIBANK</t>
  </si>
  <si>
    <t>TCS</t>
  </si>
  <si>
    <t>LT</t>
  </si>
  <si>
    <t>KOTAKBANK</t>
  </si>
  <si>
    <t>AXISBANK</t>
  </si>
  <si>
    <t>HINDUNILVR</t>
  </si>
  <si>
    <t>SBIN</t>
  </si>
  <si>
    <t>MARUTI</t>
  </si>
  <si>
    <t>INDUSINDBK</t>
  </si>
  <si>
    <t>ASIANPAINT</t>
  </si>
  <si>
    <t>BAJFINANCE</t>
  </si>
  <si>
    <t>HCLTECH</t>
  </si>
  <si>
    <t>M&amp;M</t>
  </si>
  <si>
    <t>TECHM</t>
  </si>
  <si>
    <t>SUNPHARMA</t>
  </si>
  <si>
    <t>NTPC</t>
  </si>
  <si>
    <t>ONGC</t>
  </si>
  <si>
    <t>YESBANK</t>
  </si>
  <si>
    <t>WIPRO</t>
  </si>
  <si>
    <t>POWERGRID</t>
  </si>
  <si>
    <t>BHARTIARTL</t>
  </si>
  <si>
    <t>COALINDIA</t>
  </si>
  <si>
    <t>TATASTEEL</t>
  </si>
  <si>
    <t>BAJAJ-AUTO</t>
  </si>
  <si>
    <t>IOC</t>
  </si>
  <si>
    <t>HEROMOTOCO</t>
  </si>
  <si>
    <t>DRREDDY</t>
  </si>
  <si>
    <t>TATAMOTORS</t>
  </si>
  <si>
    <t>VEDL</t>
  </si>
  <si>
    <t>GRASIM</t>
  </si>
  <si>
    <t>HINDALCO</t>
  </si>
  <si>
    <t>EICHERMOT</t>
  </si>
  <si>
    <t>BPCL</t>
  </si>
  <si>
    <t>ZEEL</t>
  </si>
  <si>
    <t>ADANIPORTS</t>
  </si>
  <si>
    <t>iii. Debt</t>
  </si>
  <si>
    <t>Notes:1. *Value of Assets for which Advisory Services are being given.
2. #Of the above AUM Rs. 1130451.77 Crore is contributed by funds from EPFO/PFs.
3. The above data is based on the monthly reports received from portfolio managers.</t>
  </si>
</sst>
</file>

<file path=xl/styles.xml><?xml version="1.0" encoding="utf-8"?>
<styleSheet xmlns="http://schemas.openxmlformats.org/spreadsheetml/2006/main" xmlns:mc="http://schemas.openxmlformats.org/markup-compatibility/2006" xmlns:x14ac="http://schemas.microsoft.com/office/spreadsheetml/2009/9/ac" mc:Ignorable="x14ac">
  <numFmts count="36">
    <numFmt numFmtId="164" formatCode="#,##0;\-#,##0;0"/>
    <numFmt numFmtId="165" formatCode="0.0"/>
    <numFmt numFmtId="166" formatCode="dd\/mm\/yyyy"/>
    <numFmt numFmtId="167" formatCode="0\,00\,00\,000;\-0\,00\,00\,000;0.0"/>
    <numFmt numFmtId="168" formatCode="0.0;\-0.0;0"/>
    <numFmt numFmtId="169" formatCode="#,##0;\-#,##0;0.0"/>
    <numFmt numFmtId="170" formatCode="0\,00\,000;\-0\,00\,000;0.0"/>
    <numFmt numFmtId="171" formatCode="0\,00\,000;\-0\,00\,000;0"/>
    <numFmt numFmtId="172" formatCode="0;\(0\)"/>
    <numFmt numFmtId="173" formatCode="0\,00\,00\,000;\-0\,00\,00\,000;0"/>
    <numFmt numFmtId="174" formatCode="0.0;\-0.0;0.0"/>
    <numFmt numFmtId="175" formatCode="0.0;0.0;0"/>
    <numFmt numFmtId="176" formatCode="0.0;\(0\);0.0"/>
    <numFmt numFmtId="177" formatCode="0.00;\-0.00;0.0"/>
    <numFmt numFmtId="178" formatCode="#,##0.0;\-#,##0.0;0.0"/>
    <numFmt numFmtId="179" formatCode="#,##0.0"/>
    <numFmt numFmtId="180" formatCode="0;\-0;0"/>
    <numFmt numFmtId="181" formatCode="0\,00\,00\,00\,000;\-0\,00\,00\,00\,000;0"/>
    <numFmt numFmtId="182" formatCode="0.00;\-0.00;0.00"/>
    <numFmt numFmtId="183" formatCode="#,##0.00;\-#,##0.00;0.0"/>
    <numFmt numFmtId="184" formatCode="[$-409]d\-mmm\-yy;@"/>
    <numFmt numFmtId="185" formatCode="[&gt;=10000000]#\,##\,##\,##0;[&gt;=100000]#\,##\,##0;##,##0"/>
    <numFmt numFmtId="186" formatCode="[$-409]mmm\-yy;@"/>
    <numFmt numFmtId="187" formatCode="[&gt;=10000000]#.###\,##\,##0;[&gt;=100000]#.###\,##0;##,##0.0"/>
    <numFmt numFmtId="188" formatCode="[&gt;=10000000]#.00\,##\,##\,##0;[&gt;=100000]#.00\,##\,##0;##,##0.00"/>
    <numFmt numFmtId="189" formatCode="[&gt;9999999]##\,##\,##\,##0;[&gt;99999]##\,##\,##0;##,##0"/>
    <numFmt numFmtId="190" formatCode="#,##0.00000"/>
    <numFmt numFmtId="191" formatCode="_(* #,##0.00_);_(* \(#,##0.00\);_(* &quot;-&quot;??_);_(@_)"/>
    <numFmt numFmtId="192" formatCode="_(* #,##0_);_(* \(#,##0\);_(* &quot;-&quot;??_);_(@_)"/>
    <numFmt numFmtId="193" formatCode="[&gt;=10000000]#.##;[&gt;=100000]#;##,##0"/>
    <numFmt numFmtId="194" formatCode="#,##0.0;\-#,##0.0"/>
    <numFmt numFmtId="195" formatCode="[&gt;=10000000]#.##\,##\,##0;[&gt;=100000]#.##\,##0;##,##0"/>
    <numFmt numFmtId="196" formatCode="[&gt;=10000000]#.0\,##\,##\,##0;[&gt;=100000]#.0\,##\,##0;##,##0.0"/>
    <numFmt numFmtId="197" formatCode="0.0000"/>
    <numFmt numFmtId="198" formatCode="_(* #,##0.0_);_(* \(#,##0.0\);_(* &quot;-&quot;??_);_(@_)"/>
    <numFmt numFmtId="199" formatCode="0.00000"/>
  </numFmts>
  <fonts count="51" x14ac:knownFonts="1">
    <font>
      <sz val="10"/>
      <name val="Arial"/>
    </font>
    <font>
      <sz val="11"/>
      <color theme="1"/>
      <name val="Calibri"/>
      <family val="2"/>
      <scheme val="minor"/>
    </font>
    <font>
      <b/>
      <sz val="10"/>
      <color indexed="8"/>
      <name val="Arial"/>
      <family val="2"/>
    </font>
    <font>
      <b/>
      <sz val="9"/>
      <color indexed="8"/>
      <name val="Arial"/>
      <family val="2"/>
    </font>
    <font>
      <sz val="10"/>
      <color indexed="8"/>
      <name val="Arial"/>
      <family val="2"/>
    </font>
    <font>
      <sz val="6"/>
      <color indexed="8"/>
      <name val="Arial"/>
      <family val="2"/>
    </font>
    <font>
      <sz val="9"/>
      <color indexed="8"/>
      <name val="Arial"/>
      <family val="2"/>
    </font>
    <font>
      <b/>
      <sz val="7"/>
      <color indexed="8"/>
      <name val="Arial"/>
      <family val="2"/>
    </font>
    <font>
      <b/>
      <sz val="10"/>
      <color indexed="8"/>
      <name val="Rupee Foradian"/>
      <family val="2"/>
    </font>
    <font>
      <b/>
      <sz val="9"/>
      <color indexed="8"/>
      <name val="Rupee Foradian"/>
      <family val="2"/>
    </font>
    <font>
      <b/>
      <sz val="12"/>
      <color indexed="8"/>
      <name val="Arial"/>
      <family val="2"/>
    </font>
    <font>
      <b/>
      <sz val="11"/>
      <color indexed="8"/>
      <name val="Arial"/>
      <family val="2"/>
    </font>
    <font>
      <b/>
      <sz val="9"/>
      <color indexed="9"/>
      <name val="Arial"/>
      <family val="2"/>
    </font>
    <font>
      <sz val="9"/>
      <color indexed="9"/>
      <name val="Arial"/>
      <family val="2"/>
    </font>
    <font>
      <b/>
      <i/>
      <sz val="9"/>
      <color indexed="8"/>
      <name val="Arial"/>
      <family val="2"/>
    </font>
    <font>
      <sz val="10"/>
      <name val="Arial"/>
      <family val="2"/>
    </font>
    <font>
      <sz val="10"/>
      <color theme="1"/>
      <name val="Arial"/>
      <family val="2"/>
    </font>
    <font>
      <b/>
      <sz val="10"/>
      <color theme="1"/>
      <name val="Arial"/>
      <family val="2"/>
    </font>
    <font>
      <b/>
      <sz val="12"/>
      <color theme="1"/>
      <name val="Garamond"/>
      <family val="1"/>
    </font>
    <font>
      <sz val="11"/>
      <color theme="1"/>
      <name val="Garamond"/>
      <family val="1"/>
    </font>
    <font>
      <b/>
      <sz val="11"/>
      <color theme="1"/>
      <name val="Garamond"/>
      <family val="1"/>
    </font>
    <font>
      <b/>
      <sz val="11"/>
      <color theme="1"/>
      <name val="Rupee Foradian"/>
      <family val="2"/>
    </font>
    <font>
      <sz val="11"/>
      <name val="Garamond"/>
      <family val="1"/>
    </font>
    <font>
      <sz val="11"/>
      <name val="Rupee Foradian"/>
      <family val="2"/>
    </font>
    <font>
      <sz val="11"/>
      <color theme="1"/>
      <name val="Rupee Foradian"/>
      <family val="2"/>
    </font>
    <font>
      <sz val="10"/>
      <name val="Times New Roman"/>
      <family val="1"/>
    </font>
    <font>
      <sz val="8"/>
      <color rgb="FF000000"/>
      <name val="Trebuchet MS"/>
      <family val="2"/>
    </font>
    <font>
      <sz val="8"/>
      <color rgb="FF000000"/>
      <name val="Arial"/>
      <family val="2"/>
    </font>
    <font>
      <u/>
      <sz val="11"/>
      <color theme="10"/>
      <name val="Calibri"/>
      <family val="2"/>
      <scheme val="minor"/>
    </font>
    <font>
      <sz val="11"/>
      <color rgb="FF009933"/>
      <name val="Arial"/>
      <family val="2"/>
    </font>
    <font>
      <sz val="10"/>
      <color theme="1"/>
      <name val="Garamond"/>
      <family val="1"/>
    </font>
    <font>
      <b/>
      <sz val="10"/>
      <color theme="1"/>
      <name val="Garamond"/>
      <family val="1"/>
    </font>
    <font>
      <sz val="9"/>
      <color theme="1"/>
      <name val="Arial"/>
      <family val="2"/>
    </font>
    <font>
      <b/>
      <sz val="11"/>
      <color rgb="FF000000"/>
      <name val="Garamond"/>
      <family val="1"/>
    </font>
    <font>
      <sz val="10"/>
      <name val="Garamond"/>
      <family val="1"/>
    </font>
    <font>
      <b/>
      <sz val="9"/>
      <color theme="1"/>
      <name val="Garamond"/>
      <family val="1"/>
    </font>
    <font>
      <b/>
      <sz val="10"/>
      <name val="Garamond"/>
      <family val="1"/>
    </font>
    <font>
      <sz val="8"/>
      <color theme="1"/>
      <name val="Arial"/>
      <family val="2"/>
    </font>
    <font>
      <sz val="9"/>
      <color theme="1"/>
      <name val="Garamond"/>
      <family val="1"/>
    </font>
    <font>
      <sz val="9"/>
      <name val="Garamond"/>
      <family val="1"/>
    </font>
    <font>
      <sz val="10"/>
      <color theme="1"/>
      <name val="Rupee Foradian"/>
      <family val="2"/>
    </font>
    <font>
      <b/>
      <sz val="10"/>
      <color theme="1"/>
      <name val="Rupee Foradian"/>
      <family val="2"/>
    </font>
    <font>
      <b/>
      <sz val="9"/>
      <name val="Garamond"/>
      <family val="1"/>
    </font>
    <font>
      <sz val="10"/>
      <color rgb="FFFF0000"/>
      <name val="Garamond"/>
      <family val="1"/>
    </font>
    <font>
      <b/>
      <sz val="10"/>
      <color rgb="FF000000"/>
      <name val="Garamond"/>
      <family val="1"/>
    </font>
    <font>
      <sz val="10"/>
      <color rgb="FF000000"/>
      <name val="Garamond"/>
      <family val="1"/>
    </font>
    <font>
      <sz val="10"/>
      <color theme="1"/>
      <name val="Calibri"/>
      <family val="2"/>
      <scheme val="minor"/>
    </font>
    <font>
      <b/>
      <sz val="12"/>
      <name val="Garamond"/>
      <family val="1"/>
    </font>
    <font>
      <sz val="10"/>
      <color rgb="FFFF0000"/>
      <name val="Calibri"/>
      <family val="2"/>
      <scheme val="minor"/>
    </font>
    <font>
      <sz val="10"/>
      <color rgb="FF0000FF"/>
      <name val="Calibri"/>
      <family val="2"/>
      <scheme val="minor"/>
    </font>
    <font>
      <sz val="10"/>
      <color theme="1"/>
      <name val="Times New Roman"/>
      <family val="1"/>
    </font>
  </fonts>
  <fills count="9">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s>
  <borders count="53">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style="thin">
        <color indexed="31"/>
      </left>
      <right style="thin">
        <color indexed="8"/>
      </right>
      <top style="thin">
        <color indexed="31"/>
      </top>
      <bottom style="thin">
        <color indexed="31"/>
      </bottom>
      <diagonal/>
    </border>
    <border>
      <left style="thin">
        <color indexed="31"/>
      </left>
      <right style="thin">
        <color indexed="8"/>
      </right>
      <top style="thin">
        <color indexed="31"/>
      </top>
      <bottom style="thin">
        <color indexed="8"/>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top/>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style="thin">
        <color indexed="8"/>
      </left>
      <right style="thin">
        <color indexed="31"/>
      </right>
      <top style="thin">
        <color indexed="8"/>
      </top>
      <bottom/>
      <diagonal/>
    </border>
    <border>
      <left style="thin">
        <color indexed="8"/>
      </left>
      <right style="thin">
        <color indexed="31"/>
      </right>
      <top/>
      <bottom style="thin">
        <color indexed="31"/>
      </bottom>
      <diagonal/>
    </border>
    <border>
      <left style="thin">
        <color indexed="31"/>
      </left>
      <right style="thin">
        <color indexed="8"/>
      </right>
      <top style="thin">
        <color indexed="8"/>
      </top>
      <bottom/>
      <diagonal/>
    </border>
    <border>
      <left style="thin">
        <color indexed="31"/>
      </left>
      <right style="thin">
        <color indexed="8"/>
      </right>
      <top/>
      <bottom style="thin">
        <color indexed="3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rgb="FF000000"/>
      </left>
      <right/>
      <top style="thin">
        <color indexed="64"/>
      </top>
      <bottom style="thin">
        <color indexed="64"/>
      </bottom>
      <diagonal/>
    </border>
    <border>
      <left style="thin">
        <color rgb="FF000000"/>
      </left>
      <right/>
      <top/>
      <bottom style="thin">
        <color indexed="64"/>
      </bottom>
      <diagonal/>
    </border>
    <border>
      <left style="thin">
        <color rgb="FF000000"/>
      </left>
      <right/>
      <top/>
      <bottom/>
      <diagonal/>
    </border>
  </borders>
  <cellStyleXfs count="14">
    <xf numFmtId="0" fontId="0" fillId="0" borderId="0" applyNumberFormat="0" applyFont="0" applyFill="0" applyBorder="0" applyAlignment="0" applyProtection="0"/>
    <xf numFmtId="184" fontId="15" fillId="0" borderId="0"/>
    <xf numFmtId="184" fontId="15" fillId="0" borderId="0"/>
    <xf numFmtId="187" fontId="25" fillId="0" borderId="0">
      <alignment horizontal="right"/>
    </xf>
    <xf numFmtId="0" fontId="28" fillId="0" borderId="0" applyNumberFormat="0" applyFill="0" applyBorder="0" applyAlignment="0" applyProtection="0"/>
    <xf numFmtId="184" fontId="1" fillId="0" borderId="0"/>
    <xf numFmtId="184" fontId="15" fillId="0" borderId="0" applyNumberFormat="0" applyFill="0" applyBorder="0" applyAlignment="0" applyProtection="0"/>
    <xf numFmtId="184" fontId="15" fillId="0" borderId="0" applyNumberFormat="0" applyFill="0" applyBorder="0" applyAlignment="0" applyProtection="0"/>
    <xf numFmtId="9" fontId="1" fillId="0" borderId="0" applyFont="0" applyFill="0" applyBorder="0" applyAlignment="0" applyProtection="0"/>
    <xf numFmtId="191" fontId="1" fillId="0" borderId="0" applyFont="0" applyFill="0" applyBorder="0" applyAlignment="0" applyProtection="0"/>
    <xf numFmtId="0" fontId="15" fillId="0" borderId="0"/>
    <xf numFmtId="0" fontId="1" fillId="0" borderId="0"/>
    <xf numFmtId="184" fontId="15" fillId="0" borderId="0" applyNumberFormat="0" applyFill="0" applyBorder="0" applyAlignment="0" applyProtection="0"/>
    <xf numFmtId="0" fontId="15" fillId="0" borderId="0" applyNumberFormat="0" applyFont="0" applyFill="0" applyBorder="0" applyAlignment="0" applyProtection="0"/>
  </cellStyleXfs>
  <cellXfs count="575">
    <xf numFmtId="0" fontId="0" fillId="0" borderId="0" xfId="0" applyNumberFormat="1" applyFont="1" applyFill="1" applyBorder="1" applyAlignment="1"/>
    <xf numFmtId="49" fontId="3" fillId="2" borderId="1" xfId="0" applyNumberFormat="1" applyFont="1" applyFill="1" applyBorder="1" applyAlignment="1">
      <alignment horizontal="center"/>
    </xf>
    <xf numFmtId="49" fontId="4" fillId="2" borderId="1" xfId="0" applyNumberFormat="1" applyFont="1" applyFill="1" applyBorder="1" applyAlignment="1">
      <alignment horizontal="left"/>
    </xf>
    <xf numFmtId="0" fontId="0" fillId="0" borderId="0" xfId="0"/>
    <xf numFmtId="0" fontId="5" fillId="2" borderId="0" xfId="0" applyFont="1" applyFill="1" applyAlignment="1">
      <alignment vertical="center"/>
    </xf>
    <xf numFmtId="49" fontId="2" fillId="2" borderId="0" xfId="0" applyNumberFormat="1" applyFont="1" applyFill="1" applyAlignment="1">
      <alignment horizontal="left" vertical="top"/>
    </xf>
    <xf numFmtId="184" fontId="18" fillId="0" borderId="24" xfId="1" applyFont="1" applyBorder="1"/>
    <xf numFmtId="184" fontId="18" fillId="0" borderId="25" xfId="1" applyFont="1" applyBorder="1"/>
    <xf numFmtId="184" fontId="19" fillId="0" borderId="25" xfId="1" applyFont="1" applyBorder="1"/>
    <xf numFmtId="184" fontId="19" fillId="0" borderId="27" xfId="1" applyFont="1" applyBorder="1"/>
    <xf numFmtId="184" fontId="19" fillId="0" borderId="28" xfId="1" applyFont="1" applyBorder="1"/>
    <xf numFmtId="184" fontId="16" fillId="0" borderId="0" xfId="1" applyFont="1"/>
    <xf numFmtId="0" fontId="20" fillId="4" borderId="29" xfId="0" applyFont="1" applyFill="1" applyBorder="1" applyAlignment="1">
      <alignment vertical="center"/>
    </xf>
    <xf numFmtId="186" fontId="20" fillId="4" borderId="29" xfId="1" applyNumberFormat="1" applyFont="1" applyFill="1" applyBorder="1" applyAlignment="1">
      <alignment horizontal="center" vertical="top" wrapText="1"/>
    </xf>
    <xf numFmtId="184" fontId="19" fillId="0" borderId="30" xfId="1" applyFont="1" applyFill="1" applyBorder="1" applyAlignment="1">
      <alignment horizontal="justify" vertical="top" wrapText="1"/>
    </xf>
    <xf numFmtId="165" fontId="19" fillId="0" borderId="29" xfId="2" applyNumberFormat="1" applyFont="1" applyFill="1" applyBorder="1" applyAlignment="1">
      <alignment horizontal="right" wrapText="1"/>
    </xf>
    <xf numFmtId="184" fontId="19" fillId="0" borderId="31" xfId="1" applyFont="1" applyFill="1" applyBorder="1" applyAlignment="1">
      <alignment horizontal="justify" vertical="top" wrapText="1"/>
    </xf>
    <xf numFmtId="2" fontId="19" fillId="0" borderId="32" xfId="2" applyNumberFormat="1" applyFont="1" applyFill="1" applyBorder="1" applyAlignment="1">
      <alignment horizontal="right" wrapText="1"/>
    </xf>
    <xf numFmtId="184" fontId="22" fillId="0" borderId="32" xfId="1" applyFont="1" applyFill="1" applyBorder="1" applyAlignment="1">
      <alignment horizontal="justify" vertical="top" wrapText="1"/>
    </xf>
    <xf numFmtId="185" fontId="19" fillId="0" borderId="32" xfId="2" applyNumberFormat="1" applyFont="1" applyFill="1" applyBorder="1" applyAlignment="1">
      <alignment horizontal="right" wrapText="1"/>
    </xf>
    <xf numFmtId="185" fontId="19" fillId="0" borderId="0" xfId="2" applyNumberFormat="1" applyFont="1" applyFill="1" applyBorder="1" applyAlignment="1">
      <alignment horizontal="right" wrapText="1"/>
    </xf>
    <xf numFmtId="184" fontId="19" fillId="0" borderId="33" xfId="1" applyFont="1" applyFill="1" applyBorder="1" applyAlignment="1">
      <alignment horizontal="justify" vertical="top" wrapText="1"/>
    </xf>
    <xf numFmtId="0" fontId="18" fillId="5" borderId="24" xfId="0" applyFont="1" applyFill="1" applyBorder="1" applyAlignment="1"/>
    <xf numFmtId="0" fontId="18" fillId="5" borderId="25" xfId="0" applyFont="1" applyFill="1" applyBorder="1" applyAlignment="1"/>
    <xf numFmtId="184" fontId="19" fillId="0" borderId="32" xfId="1" applyFont="1" applyFill="1" applyBorder="1" applyAlignment="1">
      <alignment vertical="center" wrapText="1"/>
    </xf>
    <xf numFmtId="2" fontId="19" fillId="0" borderId="29" xfId="2" applyNumberFormat="1" applyFont="1" applyFill="1" applyBorder="1" applyAlignment="1">
      <alignment horizontal="right" wrapText="1"/>
    </xf>
    <xf numFmtId="165" fontId="19" fillId="0" borderId="32" xfId="2" applyNumberFormat="1" applyFont="1" applyFill="1" applyBorder="1" applyAlignment="1">
      <alignment horizontal="right" wrapText="1"/>
    </xf>
    <xf numFmtId="184" fontId="19" fillId="0" borderId="34" xfId="1" applyFont="1" applyFill="1" applyBorder="1" applyAlignment="1">
      <alignment vertical="center" wrapText="1"/>
    </xf>
    <xf numFmtId="184" fontId="19" fillId="0" borderId="29" xfId="1" applyFont="1" applyFill="1" applyBorder="1" applyAlignment="1">
      <alignment vertical="top" wrapText="1"/>
    </xf>
    <xf numFmtId="185" fontId="19" fillId="0" borderId="32" xfId="3" applyNumberFormat="1" applyFont="1" applyFill="1" applyBorder="1">
      <alignment horizontal="right"/>
    </xf>
    <xf numFmtId="2" fontId="16" fillId="0" borderId="0" xfId="1" applyNumberFormat="1" applyFont="1"/>
    <xf numFmtId="0" fontId="26" fillId="0" borderId="0" xfId="0" applyFont="1"/>
    <xf numFmtId="4" fontId="27" fillId="0" borderId="0" xfId="0" applyNumberFormat="1" applyFont="1"/>
    <xf numFmtId="4" fontId="0" fillId="0" borderId="0" xfId="0" applyNumberFormat="1"/>
    <xf numFmtId="3" fontId="0" fillId="0" borderId="0" xfId="0" applyNumberFormat="1"/>
    <xf numFmtId="184" fontId="19" fillId="0" borderId="32" xfId="1" applyFont="1" applyFill="1" applyBorder="1" applyAlignment="1">
      <alignment vertical="top" wrapText="1"/>
    </xf>
    <xf numFmtId="3" fontId="19" fillId="0" borderId="32" xfId="3" applyNumberFormat="1" applyFont="1" applyFill="1" applyBorder="1">
      <alignment horizontal="right"/>
    </xf>
    <xf numFmtId="184" fontId="19" fillId="0" borderId="34" xfId="1" applyFont="1" applyFill="1" applyBorder="1" applyAlignment="1">
      <alignment vertical="top" wrapText="1"/>
    </xf>
    <xf numFmtId="188" fontId="19" fillId="0" borderId="32" xfId="2" applyNumberFormat="1" applyFont="1" applyFill="1" applyBorder="1" applyAlignment="1">
      <alignment horizontal="right" wrapText="1"/>
    </xf>
    <xf numFmtId="189" fontId="19" fillId="0" borderId="29" xfId="2" applyNumberFormat="1" applyFont="1" applyFill="1" applyBorder="1" applyAlignment="1">
      <alignment horizontal="right" wrapText="1"/>
    </xf>
    <xf numFmtId="0" fontId="28" fillId="0" borderId="0" xfId="4" applyAlignment="1" applyProtection="1"/>
    <xf numFmtId="184" fontId="19" fillId="0" borderId="30" xfId="1" applyFont="1" applyFill="1" applyBorder="1" applyAlignment="1">
      <alignment vertical="top" wrapText="1"/>
    </xf>
    <xf numFmtId="3" fontId="19" fillId="0" borderId="29" xfId="0" applyNumberFormat="1" applyFont="1" applyFill="1" applyBorder="1" applyAlignment="1">
      <alignment horizontal="right" vertical="top" wrapText="1"/>
    </xf>
    <xf numFmtId="0" fontId="29" fillId="0" borderId="0" xfId="0" applyFont="1"/>
    <xf numFmtId="184" fontId="19" fillId="0" borderId="31" xfId="1" applyFont="1" applyFill="1" applyBorder="1" applyAlignment="1">
      <alignment vertical="top" wrapText="1"/>
    </xf>
    <xf numFmtId="3" fontId="19" fillId="0" borderId="32" xfId="0" applyNumberFormat="1" applyFont="1" applyFill="1" applyBorder="1" applyAlignment="1">
      <alignment horizontal="right" vertical="top" wrapText="1"/>
    </xf>
    <xf numFmtId="184" fontId="30" fillId="0" borderId="0" xfId="1" applyFont="1" applyAlignment="1">
      <alignment vertical="center"/>
    </xf>
    <xf numFmtId="184" fontId="19" fillId="0" borderId="33" xfId="1" applyFont="1" applyFill="1" applyBorder="1" applyAlignment="1">
      <alignment vertical="top" wrapText="1"/>
    </xf>
    <xf numFmtId="3" fontId="19" fillId="0" borderId="34" xfId="0" applyNumberFormat="1" applyFont="1" applyFill="1" applyBorder="1" applyAlignment="1">
      <alignment horizontal="right" vertical="top" wrapText="1"/>
    </xf>
    <xf numFmtId="184" fontId="31" fillId="0" borderId="0" xfId="1" applyFont="1" applyFill="1" applyBorder="1" applyAlignment="1">
      <alignment horizontal="left" vertical="center"/>
    </xf>
    <xf numFmtId="184" fontId="31" fillId="0" borderId="0" xfId="1" applyFont="1" applyFill="1" applyBorder="1" applyAlignment="1">
      <alignment horizontal="left" vertical="center" wrapText="1"/>
    </xf>
    <xf numFmtId="184" fontId="31" fillId="0" borderId="0" xfId="1" applyFont="1" applyAlignment="1">
      <alignment vertical="center"/>
    </xf>
    <xf numFmtId="184" fontId="32" fillId="0" borderId="0" xfId="1" applyFont="1"/>
    <xf numFmtId="0" fontId="33" fillId="0" borderId="0" xfId="5" applyNumberFormat="1" applyFont="1" applyFill="1" applyBorder="1" applyAlignment="1">
      <alignment vertical="center"/>
    </xf>
    <xf numFmtId="0" fontId="30" fillId="0" borderId="0" xfId="5" applyNumberFormat="1" applyFont="1" applyFill="1"/>
    <xf numFmtId="0" fontId="31" fillId="0" borderId="39" xfId="5" applyNumberFormat="1" applyFont="1" applyFill="1" applyBorder="1" applyAlignment="1">
      <alignment horizontal="center" vertical="center"/>
    </xf>
    <xf numFmtId="0" fontId="31" fillId="0" borderId="39" xfId="5" applyNumberFormat="1" applyFont="1" applyFill="1" applyBorder="1" applyAlignment="1">
      <alignment horizontal="center" vertical="center" wrapText="1"/>
    </xf>
    <xf numFmtId="0" fontId="31" fillId="0" borderId="40" xfId="5" applyNumberFormat="1" applyFont="1" applyFill="1" applyBorder="1" applyAlignment="1">
      <alignment horizontal="center" vertical="center"/>
    </xf>
    <xf numFmtId="0" fontId="30" fillId="0" borderId="39" xfId="5" applyNumberFormat="1" applyFont="1" applyFill="1" applyBorder="1"/>
    <xf numFmtId="1" fontId="30" fillId="0" borderId="39" xfId="5" applyNumberFormat="1" applyFont="1" applyFill="1" applyBorder="1"/>
    <xf numFmtId="1" fontId="15" fillId="0" borderId="40" xfId="5" applyNumberFormat="1" applyFont="1" applyFill="1" applyBorder="1" applyAlignment="1">
      <alignment horizontal="right" vertical="center"/>
    </xf>
    <xf numFmtId="1" fontId="30" fillId="0" borderId="0" xfId="5" applyNumberFormat="1" applyFont="1" applyFill="1"/>
    <xf numFmtId="1" fontId="34" fillId="0" borderId="39" xfId="5" applyNumberFormat="1" applyFont="1" applyFill="1" applyBorder="1" applyAlignment="1">
      <alignment horizontal="right" vertical="center"/>
    </xf>
    <xf numFmtId="1" fontId="34" fillId="0" borderId="40" xfId="5" applyNumberFormat="1" applyFont="1" applyFill="1" applyBorder="1" applyAlignment="1">
      <alignment horizontal="right" vertical="center"/>
    </xf>
    <xf numFmtId="1" fontId="30" fillId="0" borderId="40" xfId="5" applyNumberFormat="1" applyFont="1" applyFill="1" applyBorder="1"/>
    <xf numFmtId="0" fontId="30" fillId="5" borderId="39" xfId="5" applyNumberFormat="1" applyFont="1" applyFill="1" applyBorder="1"/>
    <xf numFmtId="0" fontId="30" fillId="5" borderId="42" xfId="5" applyNumberFormat="1" applyFont="1" applyFill="1" applyBorder="1"/>
    <xf numFmtId="1" fontId="34" fillId="0" borderId="42" xfId="5" applyNumberFormat="1" applyFont="1" applyFill="1" applyBorder="1" applyAlignment="1">
      <alignment horizontal="right" vertical="center"/>
    </xf>
    <xf numFmtId="1" fontId="34" fillId="0" borderId="43" xfId="5" applyNumberFormat="1" applyFont="1" applyFill="1" applyBorder="1" applyAlignment="1">
      <alignment horizontal="right" vertical="center"/>
    </xf>
    <xf numFmtId="0" fontId="35" fillId="0" borderId="31" xfId="5" applyNumberFormat="1" applyFont="1" applyFill="1" applyBorder="1"/>
    <xf numFmtId="0" fontId="35" fillId="0" borderId="0" xfId="5" applyNumberFormat="1" applyFont="1" applyFill="1"/>
    <xf numFmtId="0" fontId="31" fillId="0" borderId="0" xfId="5" applyNumberFormat="1" applyFont="1" applyFill="1"/>
    <xf numFmtId="0" fontId="19" fillId="0" borderId="0" xfId="5" applyNumberFormat="1" applyFont="1"/>
    <xf numFmtId="0" fontId="30" fillId="0" borderId="0" xfId="5" applyNumberFormat="1" applyFont="1"/>
    <xf numFmtId="184" fontId="36" fillId="3" borderId="38" xfId="6" applyNumberFormat="1" applyFont="1" applyFill="1" applyBorder="1" applyAlignment="1">
      <alignment horizontal="center" vertical="center" wrapText="1"/>
    </xf>
    <xf numFmtId="184" fontId="36" fillId="3" borderId="39" xfId="7" applyNumberFormat="1" applyFont="1" applyFill="1" applyBorder="1" applyAlignment="1">
      <alignment horizontal="center" vertical="top" wrapText="1"/>
    </xf>
    <xf numFmtId="184" fontId="36" fillId="3" borderId="40" xfId="7" applyNumberFormat="1" applyFont="1" applyFill="1" applyBorder="1" applyAlignment="1">
      <alignment horizontal="center" vertical="top" wrapText="1"/>
    </xf>
    <xf numFmtId="186" fontId="36" fillId="2" borderId="39" xfId="5" applyNumberFormat="1" applyFont="1" applyFill="1" applyBorder="1" applyAlignment="1">
      <alignment horizontal="left"/>
    </xf>
    <xf numFmtId="3" fontId="36" fillId="0" borderId="26" xfId="1" applyNumberFormat="1" applyFont="1" applyFill="1" applyBorder="1" applyAlignment="1">
      <alignment horizontal="right" wrapText="1"/>
    </xf>
    <xf numFmtId="10" fontId="31" fillId="0" borderId="0" xfId="8" applyNumberFormat="1" applyFont="1"/>
    <xf numFmtId="190" fontId="31" fillId="0" borderId="0" xfId="5" applyNumberFormat="1" applyFont="1"/>
    <xf numFmtId="0" fontId="31" fillId="0" borderId="0" xfId="5" applyNumberFormat="1" applyFont="1"/>
    <xf numFmtId="186" fontId="34" fillId="2" borderId="39" xfId="5" applyNumberFormat="1" applyFont="1" applyFill="1" applyBorder="1" applyAlignment="1">
      <alignment horizontal="left"/>
    </xf>
    <xf numFmtId="3" fontId="34" fillId="0" borderId="39" xfId="1" applyNumberFormat="1" applyFont="1" applyFill="1" applyBorder="1" applyAlignment="1">
      <alignment horizontal="right" wrapText="1"/>
    </xf>
    <xf numFmtId="184" fontId="37" fillId="0" borderId="0" xfId="5" applyFont="1"/>
    <xf numFmtId="3" fontId="34" fillId="0" borderId="0" xfId="1" applyNumberFormat="1" applyFont="1" applyFill="1" applyBorder="1" applyAlignment="1">
      <alignment horizontal="right" wrapText="1"/>
    </xf>
    <xf numFmtId="0" fontId="35" fillId="0" borderId="0" xfId="5" applyNumberFormat="1" applyFont="1"/>
    <xf numFmtId="0" fontId="38" fillId="0" borderId="0" xfId="5" applyNumberFormat="1" applyFont="1"/>
    <xf numFmtId="3" fontId="39" fillId="0" borderId="0" xfId="1" applyNumberFormat="1" applyFont="1" applyFill="1" applyBorder="1" applyAlignment="1">
      <alignment horizontal="right" wrapText="1"/>
    </xf>
    <xf numFmtId="0" fontId="30" fillId="0" borderId="0" xfId="5" applyNumberFormat="1" applyFont="1" applyAlignment="1">
      <alignment horizontal="center"/>
    </xf>
    <xf numFmtId="0" fontId="31" fillId="7" borderId="39" xfId="5" applyNumberFormat="1" applyFont="1" applyFill="1" applyBorder="1" applyAlignment="1">
      <alignment vertical="center" wrapText="1"/>
    </xf>
    <xf numFmtId="0" fontId="31" fillId="7" borderId="29" xfId="5" applyNumberFormat="1" applyFont="1" applyFill="1" applyBorder="1" applyAlignment="1">
      <alignment vertical="center" wrapText="1"/>
    </xf>
    <xf numFmtId="0" fontId="31" fillId="7" borderId="39" xfId="5" applyNumberFormat="1" applyFont="1" applyFill="1" applyBorder="1" applyAlignment="1">
      <alignment horizontal="center" vertical="center" wrapText="1"/>
    </xf>
    <xf numFmtId="186" fontId="36" fillId="0" borderId="39" xfId="5" applyNumberFormat="1" applyFont="1" applyFill="1" applyBorder="1" applyAlignment="1">
      <alignment horizontal="left"/>
    </xf>
    <xf numFmtId="185" fontId="42" fillId="0" borderId="39" xfId="3" applyNumberFormat="1" applyFont="1" applyFill="1" applyBorder="1" applyAlignment="1">
      <alignment horizontal="right" vertical="top"/>
    </xf>
    <xf numFmtId="186" fontId="34" fillId="0" borderId="39" xfId="5" applyNumberFormat="1" applyFont="1" applyFill="1" applyBorder="1" applyAlignment="1">
      <alignment horizontal="left"/>
    </xf>
    <xf numFmtId="185" fontId="39" fillId="5" borderId="39" xfId="3" applyNumberFormat="1" applyFont="1" applyFill="1" applyBorder="1" applyAlignment="1">
      <alignment horizontal="right" vertical="top"/>
    </xf>
    <xf numFmtId="192" fontId="39" fillId="5" borderId="39" xfId="9" applyNumberFormat="1" applyFont="1" applyFill="1" applyBorder="1" applyAlignment="1">
      <alignment horizontal="right" vertical="top"/>
    </xf>
    <xf numFmtId="0" fontId="36" fillId="7" borderId="39" xfId="10" applyFont="1" applyFill="1" applyBorder="1" applyAlignment="1">
      <alignment horizontal="center" vertical="center" wrapText="1"/>
    </xf>
    <xf numFmtId="2" fontId="30" fillId="0" borderId="0" xfId="5" applyNumberFormat="1" applyFont="1"/>
    <xf numFmtId="185" fontId="30" fillId="0" borderId="0" xfId="5" applyNumberFormat="1" applyFont="1"/>
    <xf numFmtId="1" fontId="30" fillId="0" borderId="0" xfId="5" applyNumberFormat="1" applyFont="1"/>
    <xf numFmtId="192" fontId="30" fillId="0" borderId="0" xfId="5" applyNumberFormat="1" applyFont="1"/>
    <xf numFmtId="192" fontId="43" fillId="0" borderId="0" xfId="5" applyNumberFormat="1" applyFont="1"/>
    <xf numFmtId="193" fontId="43" fillId="0" borderId="0" xfId="5" applyNumberFormat="1" applyFont="1"/>
    <xf numFmtId="1" fontId="43" fillId="8" borderId="0" xfId="5" applyNumberFormat="1" applyFont="1" applyFill="1"/>
    <xf numFmtId="0" fontId="30" fillId="0" borderId="0" xfId="5" quotePrefix="1" applyNumberFormat="1" applyFont="1"/>
    <xf numFmtId="0" fontId="31" fillId="7" borderId="29" xfId="5" applyNumberFormat="1" applyFont="1" applyFill="1" applyBorder="1" applyAlignment="1">
      <alignment horizontal="center" vertical="center" wrapText="1"/>
    </xf>
    <xf numFmtId="0" fontId="36" fillId="7" borderId="34" xfId="10" applyFont="1" applyFill="1" applyBorder="1" applyAlignment="1">
      <alignment horizontal="center" vertical="center" wrapText="1"/>
    </xf>
    <xf numFmtId="0" fontId="31" fillId="0" borderId="39" xfId="5" applyNumberFormat="1" applyFont="1" applyBorder="1" applyAlignment="1">
      <alignment vertical="center" wrapText="1"/>
    </xf>
    <xf numFmtId="185" fontId="36" fillId="5" borderId="39" xfId="3" applyNumberFormat="1" applyFont="1" applyFill="1" applyBorder="1" applyAlignment="1">
      <alignment horizontal="right" vertical="top"/>
    </xf>
    <xf numFmtId="192" fontId="44" fillId="0" borderId="39" xfId="9" applyNumberFormat="1" applyFont="1" applyFill="1" applyBorder="1" applyAlignment="1">
      <alignment horizontal="center" vertical="center"/>
    </xf>
    <xf numFmtId="192" fontId="44" fillId="0" borderId="39" xfId="9" applyNumberFormat="1" applyFont="1" applyFill="1" applyBorder="1" applyAlignment="1">
      <alignment vertical="center"/>
    </xf>
    <xf numFmtId="194" fontId="44" fillId="0" borderId="39" xfId="9" applyNumberFormat="1" applyFont="1" applyFill="1" applyBorder="1" applyAlignment="1">
      <alignment horizontal="right" vertical="center"/>
    </xf>
    <xf numFmtId="192" fontId="36" fillId="5" borderId="39" xfId="9" applyNumberFormat="1" applyFont="1" applyFill="1" applyBorder="1" applyAlignment="1">
      <alignment horizontal="right" vertical="top"/>
    </xf>
    <xf numFmtId="185" fontId="36" fillId="0" borderId="39" xfId="3" applyNumberFormat="1" applyFont="1" applyFill="1" applyBorder="1" applyAlignment="1">
      <alignment horizontal="right" vertical="top"/>
    </xf>
    <xf numFmtId="194" fontId="36" fillId="0" borderId="39" xfId="3" applyNumberFormat="1" applyFont="1" applyFill="1" applyBorder="1" applyAlignment="1">
      <alignment horizontal="right" vertical="top"/>
    </xf>
    <xf numFmtId="185" fontId="34" fillId="0" borderId="39" xfId="3" applyNumberFormat="1" applyFont="1" applyFill="1" applyBorder="1" applyAlignment="1">
      <alignment horizontal="right" vertical="top"/>
    </xf>
    <xf numFmtId="192" fontId="45" fillId="0" borderId="39" xfId="9" applyNumberFormat="1" applyFont="1" applyFill="1" applyBorder="1" applyAlignment="1">
      <alignment horizontal="center" vertical="center"/>
    </xf>
    <xf numFmtId="1" fontId="45" fillId="0" borderId="39" xfId="9" applyNumberFormat="1" applyFont="1" applyFill="1" applyBorder="1" applyAlignment="1">
      <alignment vertical="center"/>
    </xf>
    <xf numFmtId="37" fontId="45" fillId="0" borderId="39" xfId="9" applyNumberFormat="1" applyFont="1" applyFill="1" applyBorder="1" applyAlignment="1">
      <alignment horizontal="right" vertical="center"/>
    </xf>
    <xf numFmtId="195" fontId="34" fillId="0" borderId="39" xfId="3" applyNumberFormat="1" applyFont="1" applyFill="1" applyBorder="1" applyAlignment="1">
      <alignment horizontal="right" vertical="top"/>
    </xf>
    <xf numFmtId="165" fontId="45" fillId="0" borderId="39" xfId="9" applyNumberFormat="1" applyFont="1" applyFill="1" applyBorder="1" applyAlignment="1">
      <alignment vertical="center"/>
    </xf>
    <xf numFmtId="1" fontId="34" fillId="0" borderId="39" xfId="3" applyNumberFormat="1" applyFont="1" applyFill="1" applyBorder="1" applyAlignment="1">
      <alignment horizontal="right" vertical="top"/>
    </xf>
    <xf numFmtId="37" fontId="34" fillId="0" borderId="39" xfId="3" applyNumberFormat="1" applyFont="1" applyFill="1" applyBorder="1" applyAlignment="1">
      <alignment horizontal="right" vertical="top"/>
    </xf>
    <xf numFmtId="196" fontId="34" fillId="0" borderId="39" xfId="3" applyNumberFormat="1" applyFont="1" applyFill="1" applyBorder="1" applyAlignment="1">
      <alignment horizontal="right" vertical="top"/>
    </xf>
    <xf numFmtId="194" fontId="34" fillId="0" borderId="39" xfId="3" applyNumberFormat="1" applyFont="1" applyFill="1" applyBorder="1" applyAlignment="1">
      <alignment horizontal="right" vertical="top"/>
    </xf>
    <xf numFmtId="0" fontId="30" fillId="0" borderId="39" xfId="5" applyNumberFormat="1" applyFont="1" applyBorder="1"/>
    <xf numFmtId="195" fontId="30" fillId="0" borderId="39" xfId="5" applyNumberFormat="1" applyFont="1" applyBorder="1"/>
    <xf numFmtId="1" fontId="30" fillId="0" borderId="39" xfId="5" applyNumberFormat="1" applyFont="1" applyBorder="1"/>
    <xf numFmtId="165" fontId="30" fillId="0" borderId="39" xfId="5" applyNumberFormat="1" applyFont="1" applyBorder="1"/>
    <xf numFmtId="0" fontId="20" fillId="0" borderId="0" xfId="5" applyNumberFormat="1" applyFont="1"/>
    <xf numFmtId="186" fontId="34" fillId="0" borderId="0" xfId="5" applyNumberFormat="1" applyFont="1" applyFill="1" applyBorder="1" applyAlignment="1">
      <alignment horizontal="left"/>
    </xf>
    <xf numFmtId="0" fontId="31" fillId="0" borderId="0" xfId="5" applyNumberFormat="1" applyFont="1" applyBorder="1" applyAlignment="1">
      <alignment vertical="center" wrapText="1"/>
    </xf>
    <xf numFmtId="188" fontId="31" fillId="0" borderId="0" xfId="5" applyNumberFormat="1" applyFont="1"/>
    <xf numFmtId="197" fontId="30" fillId="0" borderId="0" xfId="5" applyNumberFormat="1" applyFont="1"/>
    <xf numFmtId="184" fontId="35" fillId="0" borderId="0" xfId="5" applyFont="1"/>
    <xf numFmtId="184" fontId="1" fillId="0" borderId="0" xfId="5"/>
    <xf numFmtId="0" fontId="33" fillId="0" borderId="29" xfId="5" applyNumberFormat="1" applyFont="1" applyFill="1" applyBorder="1" applyAlignment="1">
      <alignment vertical="center"/>
    </xf>
    <xf numFmtId="0" fontId="33" fillId="0" borderId="30" xfId="5" applyNumberFormat="1" applyFont="1" applyFill="1" applyBorder="1" applyAlignment="1">
      <alignment vertical="center"/>
    </xf>
    <xf numFmtId="184" fontId="35" fillId="0" borderId="39" xfId="5" applyFont="1" applyBorder="1" applyAlignment="1">
      <alignment horizontal="right"/>
    </xf>
    <xf numFmtId="185" fontId="34" fillId="5" borderId="39" xfId="3" applyNumberFormat="1" applyFont="1" applyFill="1" applyBorder="1" applyAlignment="1">
      <alignment horizontal="right" vertical="top"/>
    </xf>
    <xf numFmtId="184" fontId="38" fillId="0" borderId="39" xfId="5" applyFont="1" applyBorder="1" applyAlignment="1">
      <alignment horizontal="right"/>
    </xf>
    <xf numFmtId="195" fontId="34" fillId="5" borderId="39" xfId="3" applyNumberFormat="1" applyFont="1" applyFill="1" applyBorder="1" applyAlignment="1">
      <alignment horizontal="right" vertical="top"/>
    </xf>
    <xf numFmtId="192" fontId="34" fillId="5" borderId="39" xfId="9" applyNumberFormat="1" applyFont="1" applyFill="1" applyBorder="1" applyAlignment="1">
      <alignment horizontal="right" vertical="top"/>
    </xf>
    <xf numFmtId="3" fontId="19" fillId="0" borderId="39" xfId="5" applyNumberFormat="1" applyFont="1" applyBorder="1" applyAlignment="1">
      <alignment vertical="center" wrapText="1"/>
    </xf>
    <xf numFmtId="1" fontId="19" fillId="0" borderId="39" xfId="5" applyNumberFormat="1" applyFont="1" applyBorder="1" applyAlignment="1">
      <alignment vertical="center" wrapText="1"/>
    </xf>
    <xf numFmtId="17" fontId="34" fillId="0" borderId="0" xfId="10" applyNumberFormat="1" applyFont="1" applyBorder="1" applyAlignment="1">
      <alignment horizontal="left"/>
    </xf>
    <xf numFmtId="0" fontId="31" fillId="0" borderId="0" xfId="5" applyNumberFormat="1" applyFont="1" applyBorder="1"/>
    <xf numFmtId="2" fontId="1" fillId="0" borderId="0" xfId="5" applyNumberFormat="1"/>
    <xf numFmtId="3" fontId="20" fillId="0" borderId="0" xfId="5" applyNumberFormat="1" applyFont="1" applyBorder="1" applyAlignment="1">
      <alignment vertical="center" wrapText="1"/>
    </xf>
    <xf numFmtId="17" fontId="36" fillId="0" borderId="0" xfId="10" applyNumberFormat="1" applyFont="1" applyBorder="1" applyAlignment="1">
      <alignment horizontal="left"/>
    </xf>
    <xf numFmtId="184" fontId="19" fillId="0" borderId="0" xfId="5" applyFont="1"/>
    <xf numFmtId="185" fontId="36" fillId="0" borderId="0" xfId="3" applyNumberFormat="1" applyFont="1" applyFill="1" applyBorder="1" applyAlignment="1">
      <alignment horizontal="right" vertical="top"/>
    </xf>
    <xf numFmtId="185" fontId="36" fillId="5" borderId="0" xfId="3" applyNumberFormat="1" applyFont="1" applyFill="1" applyBorder="1" applyAlignment="1">
      <alignment horizontal="right" vertical="top"/>
    </xf>
    <xf numFmtId="185" fontId="34" fillId="5" borderId="0" xfId="3" applyNumberFormat="1" applyFont="1" applyFill="1" applyBorder="1" applyAlignment="1">
      <alignment horizontal="right" vertical="top"/>
    </xf>
    <xf numFmtId="187" fontId="34" fillId="5" borderId="0" xfId="3" applyNumberFormat="1" applyFont="1" applyFill="1" applyBorder="1" applyAlignment="1">
      <alignment horizontal="right" vertical="top"/>
    </xf>
    <xf numFmtId="197" fontId="1" fillId="0" borderId="0" xfId="5" applyNumberFormat="1"/>
    <xf numFmtId="0" fontId="33" fillId="5" borderId="0" xfId="5" applyNumberFormat="1" applyFont="1" applyFill="1" applyBorder="1" applyAlignment="1">
      <alignment horizontal="left" vertical="center"/>
    </xf>
    <xf numFmtId="1" fontId="1" fillId="0" borderId="0" xfId="5" applyNumberFormat="1"/>
    <xf numFmtId="0" fontId="19" fillId="0" borderId="0" xfId="5" applyNumberFormat="1" applyFont="1" applyAlignment="1">
      <alignment horizontal="left"/>
    </xf>
    <xf numFmtId="0" fontId="44" fillId="7" borderId="39" xfId="5" applyNumberFormat="1" applyFont="1" applyFill="1" applyBorder="1" applyAlignment="1">
      <alignment horizontal="center" vertical="center"/>
    </xf>
    <xf numFmtId="1" fontId="31" fillId="0" borderId="39" xfId="5" applyNumberFormat="1" applyFont="1" applyFill="1" applyBorder="1"/>
    <xf numFmtId="1" fontId="36" fillId="5" borderId="39" xfId="3" applyNumberFormat="1" applyFont="1" applyFill="1" applyBorder="1" applyAlignment="1">
      <alignment horizontal="right" vertical="top"/>
    </xf>
    <xf numFmtId="165" fontId="36" fillId="5" borderId="39" xfId="3" applyNumberFormat="1" applyFont="1" applyFill="1" applyBorder="1" applyAlignment="1">
      <alignment horizontal="right" vertical="top"/>
    </xf>
    <xf numFmtId="186" fontId="34" fillId="0" borderId="39" xfId="11" applyNumberFormat="1" applyFont="1" applyFill="1" applyBorder="1" applyAlignment="1">
      <alignment horizontal="left"/>
    </xf>
    <xf numFmtId="1" fontId="30" fillId="5" borderId="39" xfId="5" applyNumberFormat="1" applyFont="1" applyFill="1" applyBorder="1"/>
    <xf numFmtId="1" fontId="34" fillId="5" borderId="39" xfId="3" applyNumberFormat="1" applyFont="1" applyFill="1" applyBorder="1" applyAlignment="1">
      <alignment horizontal="right" vertical="top"/>
    </xf>
    <xf numFmtId="165" fontId="34" fillId="5" borderId="39" xfId="3" applyNumberFormat="1" applyFont="1" applyFill="1" applyBorder="1" applyAlignment="1">
      <alignment horizontal="right" vertical="top"/>
    </xf>
    <xf numFmtId="165" fontId="30" fillId="5" borderId="39" xfId="5" applyNumberFormat="1" applyFont="1" applyFill="1" applyBorder="1"/>
    <xf numFmtId="165" fontId="30" fillId="0" borderId="0" xfId="5" applyNumberFormat="1" applyFont="1" applyBorder="1"/>
    <xf numFmtId="184" fontId="46" fillId="0" borderId="0" xfId="5" applyFont="1"/>
    <xf numFmtId="184" fontId="44" fillId="7" borderId="39" xfId="5" applyFont="1" applyFill="1" applyBorder="1" applyAlignment="1">
      <alignment horizontal="center" vertical="center" wrapText="1"/>
    </xf>
    <xf numFmtId="184" fontId="36" fillId="0" borderId="39" xfId="5" applyFont="1" applyFill="1" applyBorder="1" applyAlignment="1">
      <alignment horizontal="center" vertical="center" wrapText="1"/>
    </xf>
    <xf numFmtId="192" fontId="34" fillId="0" borderId="39" xfId="5" applyNumberFormat="1" applyFont="1" applyFill="1" applyBorder="1" applyAlignment="1">
      <alignment horizontal="center" vertical="center" wrapText="1"/>
    </xf>
    <xf numFmtId="192" fontId="34" fillId="0" borderId="39" xfId="5" applyNumberFormat="1" applyFont="1" applyFill="1" applyBorder="1" applyAlignment="1">
      <alignment horizontal="left" vertical="top" wrapText="1"/>
    </xf>
    <xf numFmtId="192" fontId="30" fillId="0" borderId="39" xfId="9" applyNumberFormat="1" applyFont="1" applyFill="1" applyBorder="1" applyAlignment="1">
      <alignment horizontal="right"/>
    </xf>
    <xf numFmtId="198" fontId="30" fillId="0" borderId="39" xfId="9" applyNumberFormat="1" applyFont="1" applyFill="1" applyBorder="1" applyAlignment="1">
      <alignment horizontal="right"/>
    </xf>
    <xf numFmtId="198" fontId="34" fillId="0" borderId="39" xfId="9" applyNumberFormat="1" applyFont="1" applyFill="1" applyBorder="1" applyAlignment="1">
      <alignment horizontal="right"/>
    </xf>
    <xf numFmtId="192" fontId="34" fillId="0" borderId="39" xfId="9" applyNumberFormat="1" applyFont="1" applyFill="1" applyBorder="1" applyAlignment="1">
      <alignment horizontal="right"/>
    </xf>
    <xf numFmtId="198" fontId="34" fillId="0" borderId="26" xfId="9" applyNumberFormat="1" applyFont="1" applyFill="1" applyBorder="1" applyAlignment="1">
      <alignment horizontal="right" vertical="top"/>
    </xf>
    <xf numFmtId="165" fontId="46" fillId="0" borderId="0" xfId="5" applyNumberFormat="1" applyFont="1"/>
    <xf numFmtId="192" fontId="34" fillId="0" borderId="39" xfId="9" applyNumberFormat="1" applyFont="1" applyFill="1" applyBorder="1" applyAlignment="1">
      <alignment horizontal="right" vertical="top"/>
    </xf>
    <xf numFmtId="192" fontId="36" fillId="0" borderId="39" xfId="5" applyNumberFormat="1" applyFont="1" applyFill="1" applyBorder="1" applyAlignment="1">
      <alignment horizontal="left" vertical="top" wrapText="1"/>
    </xf>
    <xf numFmtId="192" fontId="31" fillId="0" borderId="39" xfId="9" applyNumberFormat="1" applyFont="1" applyFill="1" applyBorder="1" applyAlignment="1">
      <alignment horizontal="right"/>
    </xf>
    <xf numFmtId="192" fontId="36" fillId="0" borderId="39" xfId="5" applyNumberFormat="1" applyFont="1" applyFill="1" applyBorder="1" applyAlignment="1">
      <alignment horizontal="center" vertical="center" wrapText="1"/>
    </xf>
    <xf numFmtId="1" fontId="46" fillId="0" borderId="0" xfId="5" applyNumberFormat="1" applyFont="1"/>
    <xf numFmtId="198" fontId="34" fillId="5" borderId="39" xfId="9" applyNumberFormat="1" applyFont="1" applyFill="1" applyBorder="1" applyAlignment="1">
      <alignment horizontal="right" vertical="top"/>
    </xf>
    <xf numFmtId="198" fontId="34" fillId="0" borderId="39" xfId="9" applyNumberFormat="1" applyFont="1" applyFill="1" applyBorder="1" applyAlignment="1">
      <alignment horizontal="right" vertical="top"/>
    </xf>
    <xf numFmtId="192" fontId="34" fillId="5" borderId="39" xfId="9" applyNumberFormat="1" applyFont="1" applyFill="1" applyBorder="1" applyAlignment="1">
      <alignment vertical="center"/>
    </xf>
    <xf numFmtId="192" fontId="30" fillId="0" borderId="39" xfId="9" applyNumberFormat="1" applyFont="1" applyFill="1" applyBorder="1" applyAlignment="1">
      <alignment vertical="center"/>
    </xf>
    <xf numFmtId="192" fontId="34" fillId="0" borderId="39" xfId="9" applyNumberFormat="1" applyFont="1" applyFill="1" applyBorder="1" applyAlignment="1">
      <alignment vertical="center"/>
    </xf>
    <xf numFmtId="2" fontId="46" fillId="0" borderId="0" xfId="5" applyNumberFormat="1" applyFont="1"/>
    <xf numFmtId="184" fontId="36" fillId="0" borderId="39" xfId="5" applyFont="1" applyFill="1" applyBorder="1" applyAlignment="1">
      <alignment horizontal="center" vertical="top" wrapText="1"/>
    </xf>
    <xf numFmtId="198" fontId="34" fillId="0" borderId="39" xfId="5" applyNumberFormat="1" applyFont="1" applyFill="1" applyBorder="1" applyAlignment="1">
      <alignment horizontal="center" vertical="center" wrapText="1"/>
    </xf>
    <xf numFmtId="198" fontId="25" fillId="0" borderId="39" xfId="5" applyNumberFormat="1" applyFont="1" applyFill="1" applyBorder="1" applyAlignment="1">
      <alignment horizontal="left" vertical="top" wrapText="1"/>
    </xf>
    <xf numFmtId="198" fontId="30" fillId="0" borderId="39" xfId="9" quotePrefix="1" applyNumberFormat="1" applyFont="1" applyFill="1" applyBorder="1" applyAlignment="1">
      <alignment horizontal="right"/>
    </xf>
    <xf numFmtId="165" fontId="30" fillId="0" borderId="39" xfId="9" applyNumberFormat="1" applyFont="1" applyFill="1" applyBorder="1" applyAlignment="1">
      <alignment horizontal="right"/>
    </xf>
    <xf numFmtId="198" fontId="36" fillId="0" borderId="39" xfId="5" applyNumberFormat="1" applyFont="1" applyFill="1" applyBorder="1" applyAlignment="1">
      <alignment horizontal="center" vertical="top" wrapText="1"/>
    </xf>
    <xf numFmtId="198" fontId="36" fillId="0" borderId="39" xfId="5" applyNumberFormat="1" applyFont="1" applyFill="1" applyBorder="1" applyAlignment="1">
      <alignment horizontal="left" vertical="top" wrapText="1"/>
    </xf>
    <xf numFmtId="198" fontId="36" fillId="5" borderId="39" xfId="9" applyNumberFormat="1" applyFont="1" applyFill="1" applyBorder="1" applyAlignment="1">
      <alignment horizontal="right" vertical="top"/>
    </xf>
    <xf numFmtId="198" fontId="34" fillId="0" borderId="39" xfId="5" applyNumberFormat="1" applyFont="1" applyFill="1" applyBorder="1" applyAlignment="1">
      <alignment horizontal="left" vertical="top" wrapText="1"/>
    </xf>
    <xf numFmtId="198" fontId="31" fillId="0" borderId="39" xfId="9" quotePrefix="1" applyNumberFormat="1" applyFont="1" applyFill="1" applyBorder="1" applyAlignment="1">
      <alignment horizontal="right"/>
    </xf>
    <xf numFmtId="184" fontId="30" fillId="0" borderId="0" xfId="5" applyFont="1" applyFill="1"/>
    <xf numFmtId="184" fontId="36" fillId="0" borderId="0" xfId="5" applyFont="1" applyFill="1" applyBorder="1" applyAlignment="1">
      <alignment horizontal="center" vertical="top" wrapText="1"/>
    </xf>
    <xf numFmtId="198" fontId="36" fillId="0" borderId="0" xfId="9" applyNumberFormat="1" applyFont="1" applyFill="1" applyBorder="1" applyAlignment="1">
      <alignment horizontal="right" vertical="top"/>
    </xf>
    <xf numFmtId="184" fontId="46" fillId="0" borderId="0" xfId="5" applyFont="1" applyFill="1"/>
    <xf numFmtId="2" fontId="48" fillId="8" borderId="0" xfId="5" applyNumberFormat="1" applyFont="1" applyFill="1"/>
    <xf numFmtId="2" fontId="49" fillId="0" borderId="0" xfId="5" applyNumberFormat="1" applyFont="1" applyFill="1"/>
    <xf numFmtId="184" fontId="46" fillId="8" borderId="0" xfId="5" applyFont="1" applyFill="1"/>
    <xf numFmtId="192" fontId="34" fillId="0" borderId="39" xfId="5" applyNumberFormat="1" applyFont="1" applyFill="1" applyBorder="1" applyAlignment="1">
      <alignment horizontal="center" vertical="top" wrapText="1"/>
    </xf>
    <xf numFmtId="191" fontId="30" fillId="0" borderId="39" xfId="9" applyNumberFormat="1" applyFont="1" applyFill="1" applyBorder="1" applyAlignment="1">
      <alignment horizontal="right"/>
    </xf>
    <xf numFmtId="165" fontId="30" fillId="0" borderId="39" xfId="8" applyNumberFormat="1" applyFont="1" applyFill="1" applyBorder="1" applyAlignment="1">
      <alignment horizontal="right"/>
    </xf>
    <xf numFmtId="165" fontId="43" fillId="0" borderId="39" xfId="8" applyNumberFormat="1" applyFont="1" applyFill="1" applyBorder="1" applyAlignment="1">
      <alignment horizontal="right"/>
    </xf>
    <xf numFmtId="192" fontId="46" fillId="0" borderId="39" xfId="9" applyNumberFormat="1" applyFont="1" applyFill="1" applyBorder="1" applyAlignment="1">
      <alignment horizontal="right"/>
    </xf>
    <xf numFmtId="192" fontId="46" fillId="0" borderId="39" xfId="5" applyNumberFormat="1" applyFont="1" applyFill="1" applyBorder="1"/>
    <xf numFmtId="192" fontId="34" fillId="0" borderId="39" xfId="5" applyNumberFormat="1" applyFont="1" applyFill="1" applyBorder="1" applyAlignment="1">
      <alignment horizontal="right" vertical="top" wrapText="1"/>
    </xf>
    <xf numFmtId="165" fontId="31" fillId="0" borderId="39" xfId="9" applyNumberFormat="1" applyFont="1" applyFill="1" applyBorder="1" applyAlignment="1">
      <alignment horizontal="right"/>
    </xf>
    <xf numFmtId="184" fontId="31" fillId="0" borderId="0" xfId="5" applyFont="1" applyFill="1"/>
    <xf numFmtId="184" fontId="50" fillId="0" borderId="0" xfId="5" applyFont="1" applyFill="1"/>
    <xf numFmtId="0" fontId="33" fillId="0" borderId="44" xfId="5" applyNumberFormat="1" applyFont="1" applyFill="1" applyBorder="1" applyAlignment="1">
      <alignment vertical="center"/>
    </xf>
    <xf numFmtId="184" fontId="44" fillId="0" borderId="29" xfId="5" applyFont="1" applyFill="1" applyBorder="1" applyAlignment="1">
      <alignment horizontal="center" vertical="center" wrapText="1"/>
    </xf>
    <xf numFmtId="0" fontId="31" fillId="0" borderId="29" xfId="5" applyNumberFormat="1" applyFont="1" applyFill="1" applyBorder="1" applyAlignment="1">
      <alignment horizontal="center" vertical="center" wrapText="1"/>
    </xf>
    <xf numFmtId="184" fontId="44" fillId="0" borderId="24" xfId="5" applyFont="1" applyFill="1" applyBorder="1" applyAlignment="1">
      <alignment horizontal="right" vertical="top"/>
    </xf>
    <xf numFmtId="198" fontId="45" fillId="0" borderId="51" xfId="5" applyNumberFormat="1" applyFont="1" applyFill="1" applyBorder="1" applyAlignment="1">
      <alignment horizontal="left" vertical="top"/>
    </xf>
    <xf numFmtId="0" fontId="45" fillId="0" borderId="51" xfId="5" applyNumberFormat="1" applyFont="1" applyFill="1" applyBorder="1" applyAlignment="1">
      <alignment horizontal="right" vertical="top"/>
    </xf>
    <xf numFmtId="191" fontId="34" fillId="0" borderId="39" xfId="9" applyNumberFormat="1" applyFont="1" applyFill="1" applyBorder="1" applyAlignment="1">
      <alignment horizontal="right" vertical="top"/>
    </xf>
    <xf numFmtId="198" fontId="45" fillId="0" borderId="44" xfId="5" applyNumberFormat="1" applyFont="1" applyFill="1" applyBorder="1" applyAlignment="1">
      <alignment horizontal="left" vertical="top"/>
    </xf>
    <xf numFmtId="1" fontId="45" fillId="0" borderId="51" xfId="5" applyNumberFormat="1" applyFont="1" applyFill="1" applyBorder="1" applyAlignment="1">
      <alignment horizontal="right" vertical="top"/>
    </xf>
    <xf numFmtId="198" fontId="44" fillId="0" borderId="44" xfId="5" applyNumberFormat="1" applyFont="1" applyFill="1" applyBorder="1" applyAlignment="1">
      <alignment horizontal="left" vertical="top"/>
    </xf>
    <xf numFmtId="192" fontId="36" fillId="0" borderId="39" xfId="9" applyNumberFormat="1" applyFont="1" applyFill="1" applyBorder="1" applyAlignment="1">
      <alignment horizontal="right" vertical="top"/>
    </xf>
    <xf numFmtId="0" fontId="46" fillId="0" borderId="0" xfId="5" applyNumberFormat="1" applyFont="1" applyFill="1"/>
    <xf numFmtId="184" fontId="44" fillId="0" borderId="51" xfId="5" applyFont="1" applyFill="1" applyBorder="1" applyAlignment="1">
      <alignment horizontal="right" vertical="top"/>
    </xf>
    <xf numFmtId="198" fontId="45" fillId="0" borderId="39" xfId="5" applyNumberFormat="1" applyFont="1" applyFill="1" applyBorder="1" applyAlignment="1">
      <alignment horizontal="left" vertical="top"/>
    </xf>
    <xf numFmtId="198" fontId="45" fillId="0" borderId="39" xfId="5" applyNumberFormat="1" applyFont="1" applyFill="1" applyBorder="1" applyAlignment="1">
      <alignment horizontal="right" vertical="top"/>
    </xf>
    <xf numFmtId="192" fontId="45" fillId="0" borderId="44" xfId="5" applyNumberFormat="1" applyFont="1" applyFill="1" applyBorder="1" applyAlignment="1">
      <alignment horizontal="right" vertical="top"/>
    </xf>
    <xf numFmtId="192" fontId="45" fillId="0" borderId="51" xfId="5" applyNumberFormat="1" applyFont="1" applyFill="1" applyBorder="1" applyAlignment="1">
      <alignment horizontal="right" vertical="top"/>
    </xf>
    <xf numFmtId="191" fontId="45" fillId="0" borderId="51" xfId="5" applyNumberFormat="1" applyFont="1" applyFill="1" applyBorder="1" applyAlignment="1">
      <alignment horizontal="right" vertical="top"/>
    </xf>
    <xf numFmtId="198" fontId="45" fillId="0" borderId="52" xfId="5" applyNumberFormat="1" applyFont="1" applyFill="1" applyBorder="1" applyAlignment="1">
      <alignment horizontal="right" vertical="top"/>
    </xf>
    <xf numFmtId="192" fontId="45" fillId="0" borderId="39" xfId="5" applyNumberFormat="1" applyFont="1" applyFill="1" applyBorder="1" applyAlignment="1">
      <alignment horizontal="right" vertical="top"/>
    </xf>
    <xf numFmtId="165" fontId="30" fillId="0" borderId="39" xfId="9" quotePrefix="1" applyNumberFormat="1" applyFont="1" applyFill="1" applyBorder="1" applyAlignment="1">
      <alignment horizontal="right"/>
    </xf>
    <xf numFmtId="1" fontId="30" fillId="0" borderId="26" xfId="9" quotePrefix="1" applyNumberFormat="1" applyFont="1" applyFill="1" applyBorder="1" applyAlignment="1">
      <alignment horizontal="right"/>
    </xf>
    <xf numFmtId="1" fontId="30" fillId="0" borderId="44" xfId="9" quotePrefix="1" applyNumberFormat="1" applyFont="1" applyFill="1" applyBorder="1" applyAlignment="1">
      <alignment horizontal="right"/>
    </xf>
    <xf numFmtId="165" fontId="45" fillId="0" borderId="51" xfId="5" applyNumberFormat="1" applyFont="1" applyFill="1" applyBorder="1" applyAlignment="1">
      <alignment horizontal="right" vertical="top"/>
    </xf>
    <xf numFmtId="191" fontId="45" fillId="0" borderId="52" xfId="5" applyNumberFormat="1" applyFont="1" applyFill="1" applyBorder="1" applyAlignment="1">
      <alignment horizontal="right" vertical="top"/>
    </xf>
    <xf numFmtId="1" fontId="30" fillId="0" borderId="39" xfId="9" quotePrefix="1" applyNumberFormat="1" applyFont="1" applyFill="1" applyBorder="1" applyAlignment="1">
      <alignment horizontal="right"/>
    </xf>
    <xf numFmtId="192" fontId="30" fillId="0" borderId="44" xfId="9" quotePrefix="1" applyNumberFormat="1" applyFont="1" applyFill="1" applyBorder="1" applyAlignment="1">
      <alignment horizontal="right"/>
    </xf>
    <xf numFmtId="192" fontId="45" fillId="0" borderId="51" xfId="9" applyNumberFormat="1" applyFont="1" applyFill="1" applyBorder="1" applyAlignment="1">
      <alignment horizontal="right" vertical="top"/>
    </xf>
    <xf numFmtId="198" fontId="44" fillId="0" borderId="51" xfId="5" applyNumberFormat="1" applyFont="1" applyFill="1" applyBorder="1" applyAlignment="1">
      <alignment horizontal="left" vertical="top"/>
    </xf>
    <xf numFmtId="192" fontId="44" fillId="0" borderId="51" xfId="5" applyNumberFormat="1" applyFont="1" applyFill="1" applyBorder="1" applyAlignment="1">
      <alignment horizontal="right" vertical="top"/>
    </xf>
    <xf numFmtId="184" fontId="45" fillId="0" borderId="39" xfId="5" applyFont="1" applyFill="1" applyBorder="1" applyAlignment="1">
      <alignment horizontal="left" vertical="top"/>
    </xf>
    <xf numFmtId="198" fontId="34" fillId="0" borderId="39" xfId="5" applyNumberFormat="1" applyFont="1" applyFill="1" applyBorder="1" applyAlignment="1">
      <alignment horizontal="right" vertical="top" wrapText="1"/>
    </xf>
    <xf numFmtId="198" fontId="36" fillId="0" borderId="39" xfId="12" applyNumberFormat="1" applyFont="1" applyFill="1" applyBorder="1" applyAlignment="1" applyProtection="1"/>
    <xf numFmtId="198" fontId="36" fillId="0" borderId="39" xfId="9" applyNumberFormat="1" applyFont="1" applyFill="1" applyBorder="1" applyAlignment="1">
      <alignment horizontal="right" vertical="top"/>
    </xf>
    <xf numFmtId="198" fontId="45" fillId="0" borderId="51" xfId="5" applyNumberFormat="1" applyFont="1" applyFill="1" applyBorder="1" applyAlignment="1">
      <alignment horizontal="right" vertical="top"/>
    </xf>
    <xf numFmtId="184" fontId="45" fillId="0" borderId="39" xfId="5" applyFont="1" applyBorder="1" applyAlignment="1">
      <alignment horizontal="left" vertical="top"/>
    </xf>
    <xf numFmtId="198" fontId="44" fillId="0" borderId="51" xfId="5" applyNumberFormat="1" applyFont="1" applyFill="1" applyBorder="1" applyAlignment="1">
      <alignment horizontal="right" vertical="top"/>
    </xf>
    <xf numFmtId="0" fontId="30" fillId="0" borderId="0" xfId="5" applyNumberFormat="1" applyFont="1" applyFill="1" applyAlignment="1">
      <alignment horizontal="left" wrapText="1"/>
    </xf>
    <xf numFmtId="192" fontId="45" fillId="0" borderId="0" xfId="5" applyNumberFormat="1" applyFont="1" applyFill="1" applyBorder="1" applyAlignment="1">
      <alignment horizontal="right" vertical="top"/>
    </xf>
    <xf numFmtId="198" fontId="45" fillId="0" borderId="0" xfId="5" applyNumberFormat="1" applyFont="1" applyFill="1" applyBorder="1" applyAlignment="1">
      <alignment horizontal="right" vertical="top"/>
    </xf>
    <xf numFmtId="199" fontId="46" fillId="0" borderId="0" xfId="5" applyNumberFormat="1" applyFont="1" applyFill="1"/>
    <xf numFmtId="197" fontId="46" fillId="0" borderId="0" xfId="5" applyNumberFormat="1" applyFont="1" applyFill="1"/>
    <xf numFmtId="0" fontId="15" fillId="0" borderId="0" xfId="13" applyNumberFormat="1" applyFont="1" applyFill="1" applyBorder="1" applyAlignment="1"/>
    <xf numFmtId="49" fontId="2" fillId="2" borderId="1" xfId="13" applyNumberFormat="1" applyFont="1" applyFill="1" applyBorder="1" applyAlignment="1">
      <alignment horizontal="center" vertical="center"/>
    </xf>
    <xf numFmtId="49" fontId="3" fillId="2" borderId="1" xfId="13" applyNumberFormat="1" applyFont="1" applyFill="1" applyBorder="1" applyAlignment="1">
      <alignment horizontal="center"/>
    </xf>
    <xf numFmtId="0" fontId="5" fillId="2" borderId="0" xfId="13" applyFont="1" applyFill="1" applyAlignment="1">
      <alignment vertical="center"/>
    </xf>
    <xf numFmtId="49" fontId="4" fillId="2" borderId="1" xfId="13" applyNumberFormat="1" applyFont="1" applyFill="1" applyBorder="1" applyAlignment="1">
      <alignment horizontal="left"/>
    </xf>
    <xf numFmtId="164" fontId="6" fillId="2" borderId="1" xfId="13" applyNumberFormat="1" applyFont="1" applyFill="1" applyBorder="1" applyAlignment="1">
      <alignment horizontal="right"/>
    </xf>
    <xf numFmtId="0" fontId="6" fillId="2" borderId="1" xfId="13" applyFont="1" applyFill="1" applyBorder="1" applyAlignment="1">
      <alignment horizontal="right"/>
    </xf>
    <xf numFmtId="49" fontId="2" fillId="2" borderId="1" xfId="13" applyNumberFormat="1" applyFont="1" applyFill="1" applyBorder="1" applyAlignment="1">
      <alignment horizontal="center" vertical="center" wrapText="1"/>
    </xf>
    <xf numFmtId="49" fontId="8" fillId="2" borderId="1" xfId="13" applyNumberFormat="1" applyFont="1" applyFill="1" applyBorder="1" applyAlignment="1">
      <alignment horizontal="center" vertical="center" wrapText="1"/>
    </xf>
    <xf numFmtId="0" fontId="4" fillId="2" borderId="1" xfId="13" applyFont="1" applyFill="1" applyBorder="1" applyAlignment="1">
      <alignment horizontal="right"/>
    </xf>
    <xf numFmtId="49" fontId="4" fillId="2" borderId="1" xfId="13" applyNumberFormat="1" applyFont="1" applyFill="1" applyBorder="1" applyAlignment="1">
      <alignment horizontal="left" wrapText="1"/>
    </xf>
    <xf numFmtId="15" fontId="4" fillId="2" borderId="1" xfId="13" applyNumberFormat="1" applyFont="1" applyFill="1" applyBorder="1" applyAlignment="1">
      <alignment horizontal="center"/>
    </xf>
    <xf numFmtId="49" fontId="4" fillId="2" borderId="1" xfId="13" applyNumberFormat="1" applyFont="1" applyFill="1" applyBorder="1" applyAlignment="1">
      <alignment horizontal="center"/>
    </xf>
    <xf numFmtId="165" fontId="4" fillId="2" borderId="1" xfId="13" applyNumberFormat="1" applyFont="1" applyFill="1" applyBorder="1" applyAlignment="1">
      <alignment horizontal="right"/>
    </xf>
    <xf numFmtId="0" fontId="2" fillId="2" borderId="1" xfId="13" applyFont="1" applyFill="1" applyBorder="1" applyAlignment="1">
      <alignment horizontal="center" vertical="center" wrapText="1"/>
    </xf>
    <xf numFmtId="0" fontId="4" fillId="2" borderId="1" xfId="13" applyFont="1" applyFill="1" applyBorder="1" applyAlignment="1">
      <alignment horizontal="center" vertical="center"/>
    </xf>
    <xf numFmtId="49" fontId="4" fillId="2" borderId="1" xfId="13" applyNumberFormat="1" applyFont="1" applyFill="1" applyBorder="1" applyAlignment="1">
      <alignment horizontal="left" vertical="center" wrapText="1"/>
    </xf>
    <xf numFmtId="166" fontId="4" fillId="2" borderId="1" xfId="13" applyNumberFormat="1" applyFont="1" applyFill="1" applyBorder="1" applyAlignment="1">
      <alignment horizontal="center" vertical="center"/>
    </xf>
    <xf numFmtId="167" fontId="4" fillId="2" borderId="1" xfId="13" applyNumberFormat="1" applyFont="1" applyFill="1" applyBorder="1" applyAlignment="1">
      <alignment horizontal="right" vertical="center"/>
    </xf>
    <xf numFmtId="1" fontId="4" fillId="2" borderId="1" xfId="13" applyNumberFormat="1" applyFont="1" applyFill="1" applyBorder="1" applyAlignment="1">
      <alignment horizontal="right" vertical="center"/>
    </xf>
    <xf numFmtId="168" fontId="4" fillId="2" borderId="1" xfId="13" applyNumberFormat="1" applyFont="1" applyFill="1" applyBorder="1" applyAlignment="1">
      <alignment horizontal="right" vertical="center"/>
    </xf>
    <xf numFmtId="164" fontId="4" fillId="2" borderId="1" xfId="13" applyNumberFormat="1" applyFont="1" applyFill="1" applyBorder="1" applyAlignment="1">
      <alignment horizontal="right"/>
    </xf>
    <xf numFmtId="169" fontId="4" fillId="2" borderId="1" xfId="13" applyNumberFormat="1" applyFont="1" applyFill="1" applyBorder="1" applyAlignment="1">
      <alignment horizontal="right"/>
    </xf>
    <xf numFmtId="170" fontId="4" fillId="2" borderId="1" xfId="13" applyNumberFormat="1" applyFont="1" applyFill="1" applyBorder="1" applyAlignment="1">
      <alignment horizontal="right"/>
    </xf>
    <xf numFmtId="49" fontId="2" fillId="2" borderId="1" xfId="13" applyNumberFormat="1" applyFont="1" applyFill="1" applyBorder="1" applyAlignment="1">
      <alignment horizontal="center" wrapText="1"/>
    </xf>
    <xf numFmtId="49" fontId="8" fillId="2" borderId="1" xfId="13" applyNumberFormat="1" applyFont="1" applyFill="1" applyBorder="1" applyAlignment="1">
      <alignment horizontal="center" wrapText="1"/>
    </xf>
    <xf numFmtId="49" fontId="6" fillId="2" borderId="1" xfId="13" applyNumberFormat="1" applyFont="1" applyFill="1" applyBorder="1" applyAlignment="1">
      <alignment horizontal="left"/>
    </xf>
    <xf numFmtId="169" fontId="6" fillId="2" borderId="1" xfId="13" applyNumberFormat="1" applyFont="1" applyFill="1" applyBorder="1" applyAlignment="1">
      <alignment horizontal="right"/>
    </xf>
    <xf numFmtId="171" fontId="4" fillId="2" borderId="1" xfId="13" applyNumberFormat="1" applyFont="1" applyFill="1" applyBorder="1" applyAlignment="1">
      <alignment horizontal="right"/>
    </xf>
    <xf numFmtId="1" fontId="4" fillId="2" borderId="1" xfId="13" applyNumberFormat="1" applyFont="1" applyFill="1" applyBorder="1" applyAlignment="1">
      <alignment horizontal="right"/>
    </xf>
    <xf numFmtId="3" fontId="4" fillId="2" borderId="1" xfId="13" applyNumberFormat="1" applyFont="1" applyFill="1" applyBorder="1" applyAlignment="1">
      <alignment horizontal="right"/>
    </xf>
    <xf numFmtId="49" fontId="3" fillId="2" borderId="1" xfId="13" applyNumberFormat="1" applyFont="1" applyFill="1" applyBorder="1" applyAlignment="1">
      <alignment horizontal="center" vertical="center"/>
    </xf>
    <xf numFmtId="49" fontId="9" fillId="2" borderId="1" xfId="13" applyNumberFormat="1" applyFont="1" applyFill="1" applyBorder="1" applyAlignment="1">
      <alignment horizontal="center" vertical="center" wrapText="1"/>
    </xf>
    <xf numFmtId="3" fontId="6" fillId="2" borderId="1" xfId="13" applyNumberFormat="1" applyFont="1" applyFill="1" applyBorder="1" applyAlignment="1">
      <alignment horizontal="right"/>
    </xf>
    <xf numFmtId="49" fontId="4" fillId="2" borderId="1" xfId="13" applyNumberFormat="1" applyFont="1" applyFill="1" applyBorder="1" applyAlignment="1">
      <alignment horizontal="left" vertical="center"/>
    </xf>
    <xf numFmtId="172" fontId="4" fillId="2" borderId="1" xfId="13" applyNumberFormat="1" applyFont="1" applyFill="1" applyBorder="1" applyAlignment="1">
      <alignment horizontal="right"/>
    </xf>
    <xf numFmtId="49" fontId="2" fillId="2" borderId="1" xfId="13" applyNumberFormat="1" applyFont="1" applyFill="1" applyBorder="1" applyAlignment="1">
      <alignment horizontal="left"/>
    </xf>
    <xf numFmtId="49" fontId="2" fillId="2" borderId="1" xfId="13" applyNumberFormat="1" applyFont="1" applyFill="1" applyBorder="1" applyAlignment="1">
      <alignment horizontal="center"/>
    </xf>
    <xf numFmtId="49" fontId="2" fillId="2" borderId="1" xfId="13" applyNumberFormat="1" applyFont="1" applyFill="1" applyBorder="1" applyAlignment="1">
      <alignment horizontal="right"/>
    </xf>
    <xf numFmtId="173" fontId="4" fillId="2" borderId="1" xfId="13" applyNumberFormat="1" applyFont="1" applyFill="1" applyBorder="1" applyAlignment="1">
      <alignment horizontal="right"/>
    </xf>
    <xf numFmtId="49" fontId="3" fillId="2" borderId="1" xfId="13" applyNumberFormat="1" applyFont="1" applyFill="1" applyBorder="1" applyAlignment="1">
      <alignment horizontal="left"/>
    </xf>
    <xf numFmtId="171" fontId="6" fillId="2" borderId="1" xfId="13" applyNumberFormat="1" applyFont="1" applyFill="1" applyBorder="1" applyAlignment="1">
      <alignment horizontal="right"/>
    </xf>
    <xf numFmtId="49" fontId="3" fillId="2" borderId="1" xfId="13" applyNumberFormat="1" applyFont="1" applyFill="1" applyBorder="1" applyAlignment="1">
      <alignment horizontal="center" vertical="center" wrapText="1"/>
    </xf>
    <xf numFmtId="173" fontId="6" fillId="2" borderId="1" xfId="13" applyNumberFormat="1" applyFont="1" applyFill="1" applyBorder="1" applyAlignment="1">
      <alignment horizontal="right"/>
    </xf>
    <xf numFmtId="174" fontId="4" fillId="2" borderId="1" xfId="13" applyNumberFormat="1" applyFont="1" applyFill="1" applyBorder="1" applyAlignment="1">
      <alignment horizontal="right"/>
    </xf>
    <xf numFmtId="168" fontId="4" fillId="2" borderId="1" xfId="13" applyNumberFormat="1" applyFont="1" applyFill="1" applyBorder="1" applyAlignment="1">
      <alignment horizontal="right"/>
    </xf>
    <xf numFmtId="0" fontId="3" fillId="2" borderId="1" xfId="13" applyFont="1" applyFill="1" applyBorder="1" applyAlignment="1">
      <alignment horizontal="right"/>
    </xf>
    <xf numFmtId="172" fontId="3" fillId="2" borderId="1" xfId="13" applyNumberFormat="1" applyFont="1" applyFill="1" applyBorder="1" applyAlignment="1">
      <alignment horizontal="right"/>
    </xf>
    <xf numFmtId="1" fontId="3" fillId="2" borderId="1" xfId="13" applyNumberFormat="1" applyFont="1" applyFill="1" applyBorder="1" applyAlignment="1">
      <alignment horizontal="right"/>
    </xf>
    <xf numFmtId="0" fontId="8" fillId="2" borderId="1" xfId="13" applyFont="1" applyFill="1" applyBorder="1" applyAlignment="1">
      <alignment horizontal="center" vertical="center" wrapText="1"/>
    </xf>
    <xf numFmtId="164" fontId="4" fillId="2" borderId="1" xfId="13" applyNumberFormat="1" applyFont="1" applyFill="1" applyBorder="1" applyAlignment="1">
      <alignment horizontal="right" vertical="center"/>
    </xf>
    <xf numFmtId="171" fontId="4" fillId="2" borderId="1" xfId="13" applyNumberFormat="1" applyFont="1" applyFill="1" applyBorder="1" applyAlignment="1">
      <alignment horizontal="right" vertical="center"/>
    </xf>
    <xf numFmtId="174" fontId="4" fillId="2" borderId="1" xfId="13" applyNumberFormat="1" applyFont="1" applyFill="1" applyBorder="1" applyAlignment="1">
      <alignment horizontal="right" vertical="center"/>
    </xf>
    <xf numFmtId="0" fontId="6" fillId="2" borderId="1" xfId="13" applyFont="1" applyFill="1" applyBorder="1" applyAlignment="1">
      <alignment horizontal="center" vertical="center"/>
    </xf>
    <xf numFmtId="49" fontId="6" fillId="2" borderId="1" xfId="13" applyNumberFormat="1" applyFont="1" applyFill="1" applyBorder="1" applyAlignment="1">
      <alignment horizontal="left" vertical="center"/>
    </xf>
    <xf numFmtId="164" fontId="6" fillId="2" borderId="1" xfId="13" applyNumberFormat="1" applyFont="1" applyFill="1" applyBorder="1" applyAlignment="1">
      <alignment horizontal="left" vertical="center"/>
    </xf>
    <xf numFmtId="171" fontId="6" fillId="2" borderId="1" xfId="13" applyNumberFormat="1" applyFont="1" applyFill="1" applyBorder="1" applyAlignment="1">
      <alignment horizontal="left" vertical="center"/>
    </xf>
    <xf numFmtId="0" fontId="6" fillId="2" borderId="1" xfId="13" applyFont="1" applyFill="1" applyBorder="1" applyAlignment="1">
      <alignment horizontal="left" vertical="center"/>
    </xf>
    <xf numFmtId="175" fontId="4" fillId="2" borderId="1" xfId="13" applyNumberFormat="1" applyFont="1" applyFill="1" applyBorder="1" applyAlignment="1">
      <alignment horizontal="right"/>
    </xf>
    <xf numFmtId="176" fontId="4" fillId="2" borderId="1" xfId="13" applyNumberFormat="1" applyFont="1" applyFill="1" applyBorder="1" applyAlignment="1">
      <alignment horizontal="right"/>
    </xf>
    <xf numFmtId="177" fontId="4" fillId="2" borderId="1" xfId="13" applyNumberFormat="1" applyFont="1" applyFill="1" applyBorder="1" applyAlignment="1">
      <alignment horizontal="right"/>
    </xf>
    <xf numFmtId="178" fontId="4" fillId="2" borderId="1" xfId="13" applyNumberFormat="1" applyFont="1" applyFill="1" applyBorder="1" applyAlignment="1">
      <alignment horizontal="right"/>
    </xf>
    <xf numFmtId="179" fontId="4" fillId="2" borderId="1" xfId="13" applyNumberFormat="1" applyFont="1" applyFill="1" applyBorder="1" applyAlignment="1">
      <alignment horizontal="right"/>
    </xf>
    <xf numFmtId="49" fontId="6" fillId="2" borderId="1" xfId="13" applyNumberFormat="1" applyFont="1" applyFill="1" applyBorder="1" applyAlignment="1">
      <alignment horizontal="left" vertical="center" wrapText="1"/>
    </xf>
    <xf numFmtId="165" fontId="6" fillId="2" borderId="1" xfId="13" applyNumberFormat="1" applyFont="1" applyFill="1" applyBorder="1" applyAlignment="1">
      <alignment horizontal="right" vertical="center" wrapText="1"/>
    </xf>
    <xf numFmtId="180" fontId="6" fillId="2" borderId="1" xfId="13" applyNumberFormat="1" applyFont="1" applyFill="1" applyBorder="1" applyAlignment="1">
      <alignment horizontal="right" vertical="center" wrapText="1"/>
    </xf>
    <xf numFmtId="168" fontId="6" fillId="2" borderId="1" xfId="13" applyNumberFormat="1" applyFont="1" applyFill="1" applyBorder="1" applyAlignment="1">
      <alignment horizontal="right" vertical="center" wrapText="1"/>
    </xf>
    <xf numFmtId="181" fontId="4" fillId="2" borderId="1" xfId="13" applyNumberFormat="1" applyFont="1" applyFill="1" applyBorder="1" applyAlignment="1">
      <alignment horizontal="right"/>
    </xf>
    <xf numFmtId="182" fontId="4" fillId="2" borderId="1" xfId="13" applyNumberFormat="1" applyFont="1" applyFill="1" applyBorder="1" applyAlignment="1">
      <alignment horizontal="right"/>
    </xf>
    <xf numFmtId="49" fontId="2" fillId="2" borderId="1" xfId="13" applyNumberFormat="1" applyFont="1" applyFill="1" applyBorder="1" applyAlignment="1">
      <alignment vertical="center"/>
    </xf>
    <xf numFmtId="0" fontId="8" fillId="2" borderId="1" xfId="13" applyFont="1" applyFill="1" applyBorder="1" applyAlignment="1">
      <alignment horizontal="center" wrapText="1"/>
    </xf>
    <xf numFmtId="0" fontId="3" fillId="2" borderId="1" xfId="13" applyFont="1" applyFill="1" applyBorder="1" applyAlignment="1">
      <alignment horizontal="center" vertical="center" wrapText="1"/>
    </xf>
    <xf numFmtId="0" fontId="9" fillId="2" borderId="1" xfId="13" applyFont="1" applyFill="1" applyBorder="1" applyAlignment="1">
      <alignment horizontal="center" vertical="center" wrapText="1"/>
    </xf>
    <xf numFmtId="180" fontId="4" fillId="2" borderId="1" xfId="13" applyNumberFormat="1" applyFont="1" applyFill="1" applyBorder="1" applyAlignment="1">
      <alignment horizontal="right"/>
    </xf>
    <xf numFmtId="183" fontId="4" fillId="2" borderId="1" xfId="13" applyNumberFormat="1" applyFont="1" applyFill="1" applyBorder="1" applyAlignment="1">
      <alignment horizontal="right"/>
    </xf>
    <xf numFmtId="171" fontId="6" fillId="2" borderId="1" xfId="13" applyNumberFormat="1" applyFont="1" applyFill="1" applyBorder="1" applyAlignment="1">
      <alignment horizontal="right" wrapText="1"/>
    </xf>
    <xf numFmtId="49" fontId="13" fillId="2" borderId="4" xfId="13" applyNumberFormat="1" applyFont="1" applyFill="1" applyBorder="1" applyAlignment="1">
      <alignment horizontal="left"/>
    </xf>
    <xf numFmtId="164" fontId="6" fillId="2" borderId="1" xfId="13" applyNumberFormat="1" applyFont="1" applyFill="1" applyBorder="1" applyAlignment="1">
      <alignment horizontal="right" wrapText="1"/>
    </xf>
    <xf numFmtId="49" fontId="13" fillId="2" borderId="5" xfId="13" applyNumberFormat="1" applyFont="1" applyFill="1" applyBorder="1" applyAlignment="1">
      <alignment horizontal="left"/>
    </xf>
    <xf numFmtId="49" fontId="8" fillId="2" borderId="1" xfId="13" applyNumberFormat="1" applyFont="1" applyFill="1" applyBorder="1" applyAlignment="1">
      <alignment horizontal="left"/>
    </xf>
    <xf numFmtId="49" fontId="2" fillId="2" borderId="0" xfId="13" applyNumberFormat="1" applyFont="1" applyFill="1" applyAlignment="1">
      <alignment horizontal="left"/>
    </xf>
    <xf numFmtId="49" fontId="3" fillId="2" borderId="3" xfId="13" applyNumberFormat="1" applyFont="1" applyFill="1" applyBorder="1" applyAlignment="1">
      <alignment horizontal="center" vertical="center"/>
    </xf>
    <xf numFmtId="49" fontId="12" fillId="2" borderId="7" xfId="13" applyNumberFormat="1" applyFont="1" applyFill="1" applyBorder="1" applyAlignment="1">
      <alignment horizontal="center" vertical="center" wrapText="1"/>
    </xf>
    <xf numFmtId="49" fontId="6" fillId="2" borderId="1" xfId="13" applyNumberFormat="1" applyFont="1" applyFill="1" applyBorder="1" applyAlignment="1">
      <alignment horizontal="left" vertical="top"/>
    </xf>
    <xf numFmtId="49" fontId="14" fillId="2" borderId="1" xfId="13" applyNumberFormat="1" applyFont="1" applyFill="1" applyBorder="1" applyAlignment="1">
      <alignment horizontal="center"/>
    </xf>
    <xf numFmtId="177" fontId="6" fillId="2" borderId="1" xfId="13" applyNumberFormat="1" applyFont="1" applyFill="1" applyBorder="1" applyAlignment="1">
      <alignment horizontal="right"/>
    </xf>
    <xf numFmtId="49" fontId="13" fillId="2" borderId="7" xfId="13" applyNumberFormat="1" applyFont="1" applyFill="1" applyBorder="1" applyAlignment="1">
      <alignment horizontal="left"/>
    </xf>
    <xf numFmtId="49" fontId="13" fillId="2" borderId="8" xfId="13" applyNumberFormat="1" applyFont="1" applyFill="1" applyBorder="1" applyAlignment="1">
      <alignment horizontal="left"/>
    </xf>
    <xf numFmtId="164" fontId="5" fillId="2" borderId="0" xfId="13" applyNumberFormat="1" applyFont="1" applyFill="1" applyAlignment="1">
      <alignment vertical="center"/>
    </xf>
    <xf numFmtId="49" fontId="2" fillId="2" borderId="0" xfId="13" applyNumberFormat="1" applyFont="1" applyFill="1" applyAlignment="1">
      <alignment horizontal="left"/>
    </xf>
    <xf numFmtId="49" fontId="7" fillId="2" borderId="0" xfId="13" applyNumberFormat="1" applyFont="1" applyFill="1" applyAlignment="1">
      <alignment horizontal="left"/>
    </xf>
    <xf numFmtId="49" fontId="3" fillId="2" borderId="0" xfId="13" applyNumberFormat="1" applyFont="1" applyFill="1" applyAlignment="1">
      <alignment horizontal="left"/>
    </xf>
    <xf numFmtId="49" fontId="2" fillId="2" borderId="0" xfId="13" applyNumberFormat="1" applyFont="1" applyFill="1" applyAlignment="1">
      <alignment horizontal="left" vertical="center"/>
    </xf>
    <xf numFmtId="49" fontId="2" fillId="2" borderId="9" xfId="13" applyNumberFormat="1" applyFont="1" applyFill="1" applyBorder="1" applyAlignment="1">
      <alignment horizontal="center" vertical="center" wrapText="1"/>
    </xf>
    <xf numFmtId="49" fontId="2" fillId="2" borderId="10" xfId="13" applyNumberFormat="1" applyFont="1" applyFill="1" applyBorder="1" applyAlignment="1">
      <alignment horizontal="center" vertical="center" wrapText="1"/>
    </xf>
    <xf numFmtId="49" fontId="2" fillId="2" borderId="6" xfId="13" applyNumberFormat="1" applyFont="1" applyFill="1" applyBorder="1" applyAlignment="1">
      <alignment horizontal="center" vertical="center" wrapText="1"/>
    </xf>
    <xf numFmtId="49" fontId="2" fillId="2" borderId="11" xfId="13" applyNumberFormat="1" applyFont="1" applyFill="1" applyBorder="1" applyAlignment="1">
      <alignment horizontal="center" vertical="center" wrapText="1"/>
    </xf>
    <xf numFmtId="0" fontId="8" fillId="2" borderId="9" xfId="13" applyFont="1" applyFill="1" applyBorder="1" applyAlignment="1">
      <alignment horizontal="center" vertical="center" wrapText="1"/>
    </xf>
    <xf numFmtId="0" fontId="8" fillId="2" borderId="10" xfId="13" applyFont="1" applyFill="1" applyBorder="1" applyAlignment="1">
      <alignment horizontal="center" vertical="center" wrapText="1"/>
    </xf>
    <xf numFmtId="49" fontId="8" fillId="2" borderId="9" xfId="13" applyNumberFormat="1" applyFont="1" applyFill="1" applyBorder="1" applyAlignment="1">
      <alignment horizontal="center" vertical="center" wrapText="1"/>
    </xf>
    <xf numFmtId="49" fontId="8" fillId="2" borderId="10" xfId="13" applyNumberFormat="1" applyFont="1" applyFill="1" applyBorder="1" applyAlignment="1">
      <alignment horizontal="center" vertical="center" wrapText="1"/>
    </xf>
    <xf numFmtId="49" fontId="2" fillId="2" borderId="9" xfId="13" applyNumberFormat="1" applyFont="1" applyFill="1" applyBorder="1" applyAlignment="1">
      <alignment horizontal="center" vertical="center"/>
    </xf>
    <xf numFmtId="49" fontId="2" fillId="2" borderId="12" xfId="13" applyNumberFormat="1" applyFont="1" applyFill="1" applyBorder="1" applyAlignment="1">
      <alignment horizontal="center" vertical="center"/>
    </xf>
    <xf numFmtId="49" fontId="2" fillId="2" borderId="10" xfId="13" applyNumberFormat="1" applyFont="1" applyFill="1" applyBorder="1" applyAlignment="1">
      <alignment horizontal="center" vertical="center"/>
    </xf>
    <xf numFmtId="49" fontId="2" fillId="2" borderId="6" xfId="13" applyNumberFormat="1" applyFont="1" applyFill="1" applyBorder="1" applyAlignment="1">
      <alignment horizontal="center" wrapText="1"/>
    </xf>
    <xf numFmtId="49" fontId="2" fillId="2" borderId="13" xfId="13" applyNumberFormat="1" applyFont="1" applyFill="1" applyBorder="1" applyAlignment="1">
      <alignment horizontal="center" wrapText="1"/>
    </xf>
    <xf numFmtId="49" fontId="2" fillId="2" borderId="11" xfId="13" applyNumberFormat="1" applyFont="1" applyFill="1" applyBorder="1" applyAlignment="1">
      <alignment horizontal="center" wrapText="1"/>
    </xf>
    <xf numFmtId="49" fontId="2" fillId="2" borderId="6" xfId="13" applyNumberFormat="1" applyFont="1" applyFill="1" applyBorder="1" applyAlignment="1">
      <alignment horizontal="center"/>
    </xf>
    <xf numFmtId="49" fontId="2" fillId="2" borderId="11" xfId="13" applyNumberFormat="1" applyFont="1" applyFill="1" applyBorder="1" applyAlignment="1">
      <alignment horizontal="center"/>
    </xf>
    <xf numFmtId="0" fontId="2" fillId="2" borderId="6" xfId="13" applyFont="1" applyFill="1" applyBorder="1" applyAlignment="1">
      <alignment horizontal="center" vertical="center" wrapText="1"/>
    </xf>
    <xf numFmtId="0" fontId="2" fillId="2" borderId="11" xfId="13" applyFont="1" applyFill="1" applyBorder="1" applyAlignment="1">
      <alignment horizontal="center" vertical="center" wrapText="1"/>
    </xf>
    <xf numFmtId="49" fontId="3" fillId="2" borderId="0" xfId="13" applyNumberFormat="1" applyFont="1" applyFill="1" applyAlignment="1">
      <alignment horizontal="left" wrapText="1"/>
    </xf>
    <xf numFmtId="0" fontId="3" fillId="2" borderId="0" xfId="13" applyFont="1" applyFill="1" applyAlignment="1">
      <alignment horizontal="left" wrapText="1"/>
    </xf>
    <xf numFmtId="49" fontId="2" fillId="2" borderId="6" xfId="13" applyNumberFormat="1" applyFont="1" applyFill="1" applyBorder="1" applyAlignment="1">
      <alignment horizontal="center" vertical="center"/>
    </xf>
    <xf numFmtId="49" fontId="2" fillId="2" borderId="13" xfId="13" applyNumberFormat="1" applyFont="1" applyFill="1" applyBorder="1" applyAlignment="1">
      <alignment horizontal="center" vertical="center"/>
    </xf>
    <xf numFmtId="49" fontId="2" fillId="2" borderId="11" xfId="13" applyNumberFormat="1" applyFont="1" applyFill="1" applyBorder="1" applyAlignment="1">
      <alignment horizontal="center" vertical="center"/>
    </xf>
    <xf numFmtId="49" fontId="2" fillId="2" borderId="14" xfId="13" applyNumberFormat="1" applyFont="1" applyFill="1" applyBorder="1" applyAlignment="1">
      <alignment horizontal="center" vertical="center"/>
    </xf>
    <xf numFmtId="49" fontId="2" fillId="2" borderId="3" xfId="13" applyNumberFormat="1" applyFont="1" applyFill="1" applyBorder="1" applyAlignment="1">
      <alignment horizontal="center" vertical="center"/>
    </xf>
    <xf numFmtId="49" fontId="2" fillId="2" borderId="15" xfId="13" applyNumberFormat="1" applyFont="1" applyFill="1" applyBorder="1" applyAlignment="1">
      <alignment horizontal="center" vertical="center"/>
    </xf>
    <xf numFmtId="49" fontId="2" fillId="2" borderId="8" xfId="13" applyNumberFormat="1" applyFont="1" applyFill="1" applyBorder="1" applyAlignment="1">
      <alignment horizontal="center" vertical="center"/>
    </xf>
    <xf numFmtId="49" fontId="2" fillId="2" borderId="0" xfId="13" applyNumberFormat="1" applyFont="1" applyFill="1" applyAlignment="1">
      <alignment horizontal="left" wrapText="1"/>
    </xf>
    <xf numFmtId="49" fontId="2" fillId="2" borderId="16" xfId="13" applyNumberFormat="1" applyFont="1" applyFill="1" applyBorder="1" applyAlignment="1">
      <alignment horizontal="center" vertical="center"/>
    </xf>
    <xf numFmtId="49" fontId="2" fillId="2" borderId="7" xfId="13" applyNumberFormat="1" applyFont="1" applyFill="1" applyBorder="1" applyAlignment="1">
      <alignment horizontal="center" vertical="center"/>
    </xf>
    <xf numFmtId="49" fontId="2" fillId="2" borderId="0" xfId="13" applyNumberFormat="1" applyFont="1" applyFill="1" applyAlignment="1">
      <alignment horizontal="left" vertical="top"/>
    </xf>
    <xf numFmtId="49" fontId="3" fillId="2" borderId="6" xfId="13" applyNumberFormat="1" applyFont="1" applyFill="1" applyBorder="1" applyAlignment="1">
      <alignment horizontal="center" vertical="center"/>
    </xf>
    <xf numFmtId="49" fontId="3" fillId="2" borderId="11" xfId="13" applyNumberFormat="1" applyFont="1" applyFill="1" applyBorder="1" applyAlignment="1">
      <alignment horizontal="center" vertical="center"/>
    </xf>
    <xf numFmtId="49" fontId="3" fillId="2" borderId="9" xfId="13" applyNumberFormat="1" applyFont="1" applyFill="1" applyBorder="1" applyAlignment="1">
      <alignment horizontal="center" vertical="center"/>
    </xf>
    <xf numFmtId="49" fontId="3" fillId="2" borderId="10" xfId="13" applyNumberFormat="1" applyFont="1" applyFill="1" applyBorder="1" applyAlignment="1">
      <alignment horizontal="center" vertical="center"/>
    </xf>
    <xf numFmtId="49" fontId="2" fillId="2" borderId="0" xfId="13" applyNumberFormat="1" applyFont="1" applyFill="1" applyAlignment="1">
      <alignment horizontal="left" vertical="top" wrapText="1"/>
    </xf>
    <xf numFmtId="49" fontId="2" fillId="2" borderId="9" xfId="13" applyNumberFormat="1" applyFont="1" applyFill="1" applyBorder="1" applyAlignment="1">
      <alignment horizontal="center"/>
    </xf>
    <xf numFmtId="49" fontId="2" fillId="2" borderId="10" xfId="13" applyNumberFormat="1" applyFont="1" applyFill="1" applyBorder="1" applyAlignment="1">
      <alignment horizontal="center"/>
    </xf>
    <xf numFmtId="171" fontId="4" fillId="2" borderId="6" xfId="13" applyNumberFormat="1" applyFont="1" applyFill="1" applyBorder="1" applyAlignment="1">
      <alignment horizontal="right"/>
    </xf>
    <xf numFmtId="171" fontId="4" fillId="2" borderId="11" xfId="13" applyNumberFormat="1" applyFont="1" applyFill="1" applyBorder="1" applyAlignment="1">
      <alignment horizontal="right"/>
    </xf>
    <xf numFmtId="49" fontId="2" fillId="2" borderId="13" xfId="13" applyNumberFormat="1" applyFont="1" applyFill="1" applyBorder="1" applyAlignment="1">
      <alignment horizontal="center"/>
    </xf>
    <xf numFmtId="49" fontId="8" fillId="2" borderId="6" xfId="13" applyNumberFormat="1" applyFont="1" applyFill="1" applyBorder="1" applyAlignment="1">
      <alignment horizontal="center" wrapText="1"/>
    </xf>
    <xf numFmtId="49" fontId="8" fillId="2" borderId="11" xfId="13" applyNumberFormat="1" applyFont="1" applyFill="1" applyBorder="1" applyAlignment="1">
      <alignment horizontal="center" wrapText="1"/>
    </xf>
    <xf numFmtId="49" fontId="2" fillId="2" borderId="9" xfId="13" applyNumberFormat="1" applyFont="1" applyFill="1" applyBorder="1" applyAlignment="1">
      <alignment horizontal="right"/>
    </xf>
    <xf numFmtId="49" fontId="2" fillId="2" borderId="10" xfId="13" applyNumberFormat="1" applyFont="1" applyFill="1" applyBorder="1" applyAlignment="1">
      <alignment horizontal="right"/>
    </xf>
    <xf numFmtId="49" fontId="8" fillId="2" borderId="0" xfId="13" applyNumberFormat="1" applyFont="1" applyFill="1" applyAlignment="1">
      <alignment horizontal="left" vertical="top" wrapText="1"/>
    </xf>
    <xf numFmtId="49" fontId="9" fillId="2" borderId="9" xfId="13" applyNumberFormat="1" applyFont="1" applyFill="1" applyBorder="1" applyAlignment="1">
      <alignment horizontal="center" vertical="center" wrapText="1"/>
    </xf>
    <xf numFmtId="49" fontId="9" fillId="2" borderId="10" xfId="13" applyNumberFormat="1" applyFont="1" applyFill="1" applyBorder="1" applyAlignment="1">
      <alignment horizontal="center" vertical="center" wrapText="1"/>
    </xf>
    <xf numFmtId="49" fontId="3" fillId="2" borderId="9" xfId="13" applyNumberFormat="1" applyFont="1" applyFill="1" applyBorder="1" applyAlignment="1">
      <alignment horizontal="center" vertical="center" wrapText="1"/>
    </xf>
    <xf numFmtId="49" fontId="3" fillId="2" borderId="10" xfId="13" applyNumberFormat="1" applyFont="1" applyFill="1" applyBorder="1" applyAlignment="1">
      <alignment horizontal="center" vertical="center" wrapText="1"/>
    </xf>
    <xf numFmtId="49" fontId="3" fillId="2" borderId="6" xfId="13" applyNumberFormat="1" applyFont="1" applyFill="1" applyBorder="1" applyAlignment="1">
      <alignment horizontal="center" vertical="center" wrapText="1"/>
    </xf>
    <xf numFmtId="49" fontId="3" fillId="2" borderId="13" xfId="13" applyNumberFormat="1" applyFont="1" applyFill="1" applyBorder="1" applyAlignment="1">
      <alignment horizontal="center" vertical="center" wrapText="1"/>
    </xf>
    <xf numFmtId="49" fontId="3" fillId="2" borderId="11" xfId="13" applyNumberFormat="1" applyFont="1" applyFill="1" applyBorder="1" applyAlignment="1">
      <alignment horizontal="center" vertical="center" wrapText="1"/>
    </xf>
    <xf numFmtId="49" fontId="2" fillId="2" borderId="13" xfId="13" applyNumberFormat="1" applyFont="1" applyFill="1" applyBorder="1" applyAlignment="1">
      <alignment horizontal="center" vertical="center" wrapText="1"/>
    </xf>
    <xf numFmtId="49" fontId="3" fillId="2" borderId="17" xfId="13" applyNumberFormat="1" applyFont="1" applyFill="1" applyBorder="1" applyAlignment="1">
      <alignment horizontal="left" wrapText="1"/>
    </xf>
    <xf numFmtId="49" fontId="3" fillId="2" borderId="18" xfId="13" applyNumberFormat="1" applyFont="1" applyFill="1" applyBorder="1" applyAlignment="1">
      <alignment horizontal="left" wrapText="1"/>
    </xf>
    <xf numFmtId="49" fontId="3" fillId="2" borderId="19" xfId="13" applyNumberFormat="1" applyFont="1" applyFill="1" applyBorder="1" applyAlignment="1">
      <alignment horizontal="left" wrapText="1"/>
    </xf>
    <xf numFmtId="49" fontId="3" fillId="2" borderId="9" xfId="13" applyNumberFormat="1" applyFont="1" applyFill="1" applyBorder="1" applyAlignment="1">
      <alignment horizontal="center" vertical="top"/>
    </xf>
    <xf numFmtId="49" fontId="3" fillId="2" borderId="10" xfId="13" applyNumberFormat="1" applyFont="1" applyFill="1" applyBorder="1" applyAlignment="1">
      <alignment horizontal="center" vertical="top"/>
    </xf>
    <xf numFmtId="49" fontId="3" fillId="2" borderId="6" xfId="13" applyNumberFormat="1" applyFont="1" applyFill="1" applyBorder="1" applyAlignment="1">
      <alignment horizontal="center"/>
    </xf>
    <xf numFmtId="49" fontId="3" fillId="2" borderId="13" xfId="13" applyNumberFormat="1" applyFont="1" applyFill="1" applyBorder="1" applyAlignment="1">
      <alignment horizontal="center"/>
    </xf>
    <xf numFmtId="49" fontId="3" fillId="2" borderId="11" xfId="13" applyNumberFormat="1" applyFont="1" applyFill="1" applyBorder="1" applyAlignment="1">
      <alignment horizontal="center"/>
    </xf>
    <xf numFmtId="49" fontId="3" fillId="2" borderId="17" xfId="13" applyNumberFormat="1" applyFont="1" applyFill="1" applyBorder="1" applyAlignment="1">
      <alignment horizontal="left"/>
    </xf>
    <xf numFmtId="49" fontId="3" fillId="2" borderId="18" xfId="13" applyNumberFormat="1" applyFont="1" applyFill="1" applyBorder="1" applyAlignment="1">
      <alignment horizontal="left"/>
    </xf>
    <xf numFmtId="49" fontId="3" fillId="2" borderId="19" xfId="13" applyNumberFormat="1" applyFont="1" applyFill="1" applyBorder="1" applyAlignment="1">
      <alignment horizontal="left"/>
    </xf>
    <xf numFmtId="49" fontId="3" fillId="2" borderId="0" xfId="13" applyNumberFormat="1" applyFont="1" applyFill="1" applyAlignment="1">
      <alignment horizontal="left" vertical="center"/>
    </xf>
    <xf numFmtId="49" fontId="10" fillId="2" borderId="0" xfId="13" applyNumberFormat="1" applyFont="1" applyFill="1" applyAlignment="1">
      <alignment horizontal="left"/>
    </xf>
    <xf numFmtId="49" fontId="3" fillId="2" borderId="0" xfId="13" applyNumberFormat="1" applyFont="1" applyFill="1" applyAlignment="1">
      <alignment horizontal="left" vertical="center" wrapText="1"/>
    </xf>
    <xf numFmtId="49" fontId="2" fillId="2" borderId="12" xfId="13" applyNumberFormat="1" applyFont="1" applyFill="1" applyBorder="1" applyAlignment="1">
      <alignment horizontal="center" vertical="center" wrapText="1"/>
    </xf>
    <xf numFmtId="49" fontId="2" fillId="2" borderId="14" xfId="13" applyNumberFormat="1" applyFont="1" applyFill="1" applyBorder="1" applyAlignment="1">
      <alignment horizontal="center" vertical="center" wrapText="1"/>
    </xf>
    <xf numFmtId="49" fontId="2" fillId="2" borderId="3" xfId="13" applyNumberFormat="1" applyFont="1" applyFill="1" applyBorder="1" applyAlignment="1">
      <alignment horizontal="center" vertical="center" wrapText="1"/>
    </xf>
    <xf numFmtId="49" fontId="2" fillId="2" borderId="15" xfId="13" applyNumberFormat="1" applyFont="1" applyFill="1" applyBorder="1" applyAlignment="1">
      <alignment horizontal="center" vertical="center" wrapText="1"/>
    </xf>
    <xf numFmtId="49" fontId="2" fillId="2" borderId="8" xfId="13" applyNumberFormat="1" applyFont="1" applyFill="1" applyBorder="1" applyAlignment="1">
      <alignment horizontal="center" vertical="center" wrapText="1"/>
    </xf>
    <xf numFmtId="0" fontId="2" fillId="2" borderId="9" xfId="13" applyFont="1" applyFill="1" applyBorder="1" applyAlignment="1">
      <alignment horizontal="center" vertical="center" wrapText="1"/>
    </xf>
    <xf numFmtId="0" fontId="2" fillId="2" borderId="10" xfId="13" applyFont="1" applyFill="1" applyBorder="1" applyAlignment="1">
      <alignment horizontal="center" vertical="center" wrapText="1"/>
    </xf>
    <xf numFmtId="49" fontId="8" fillId="2" borderId="0" xfId="13" applyNumberFormat="1" applyFont="1" applyFill="1" applyAlignment="1">
      <alignment horizontal="left" vertical="top"/>
    </xf>
    <xf numFmtId="49" fontId="11" fillId="2" borderId="0" xfId="13" applyNumberFormat="1" applyFont="1" applyFill="1" applyAlignment="1">
      <alignment horizontal="left" vertical="top"/>
    </xf>
    <xf numFmtId="49" fontId="2" fillId="2" borderId="14" xfId="13" applyNumberFormat="1" applyFont="1" applyFill="1" applyBorder="1" applyAlignment="1">
      <alignment horizontal="center"/>
    </xf>
    <xf numFmtId="49" fontId="2" fillId="2" borderId="3" xfId="13" applyNumberFormat="1" applyFont="1" applyFill="1" applyBorder="1" applyAlignment="1">
      <alignment horizontal="center"/>
    </xf>
    <xf numFmtId="49" fontId="2" fillId="2" borderId="15" xfId="13" applyNumberFormat="1" applyFont="1" applyFill="1" applyBorder="1" applyAlignment="1">
      <alignment horizontal="center"/>
    </xf>
    <xf numFmtId="49" fontId="2" fillId="2" borderId="8" xfId="13" applyNumberFormat="1" applyFont="1" applyFill="1" applyBorder="1" applyAlignment="1">
      <alignment horizontal="center"/>
    </xf>
    <xf numFmtId="49" fontId="2" fillId="2" borderId="14" xfId="13" applyNumberFormat="1" applyFont="1" applyFill="1" applyBorder="1" applyAlignment="1">
      <alignment horizontal="center" wrapText="1"/>
    </xf>
    <xf numFmtId="49" fontId="2" fillId="2" borderId="3" xfId="13" applyNumberFormat="1" applyFont="1" applyFill="1" applyBorder="1" applyAlignment="1">
      <alignment horizontal="center" wrapText="1"/>
    </xf>
    <xf numFmtId="49" fontId="2" fillId="2" borderId="15" xfId="13" applyNumberFormat="1" applyFont="1" applyFill="1" applyBorder="1" applyAlignment="1">
      <alignment horizontal="center" wrapText="1"/>
    </xf>
    <xf numFmtId="49" fontId="2" fillId="2" borderId="8" xfId="13" applyNumberFormat="1" applyFont="1" applyFill="1" applyBorder="1" applyAlignment="1">
      <alignment horizontal="center" wrapText="1"/>
    </xf>
    <xf numFmtId="0" fontId="3" fillId="2" borderId="9" xfId="13" applyFont="1" applyFill="1" applyBorder="1" applyAlignment="1">
      <alignment horizontal="center" vertical="center" wrapText="1"/>
    </xf>
    <xf numFmtId="0" fontId="3" fillId="2" borderId="10" xfId="13" applyFont="1" applyFill="1" applyBorder="1" applyAlignment="1">
      <alignment horizontal="center" vertical="center" wrapText="1"/>
    </xf>
    <xf numFmtId="0" fontId="9" fillId="2" borderId="9" xfId="13" applyFont="1" applyFill="1" applyBorder="1" applyAlignment="1">
      <alignment horizontal="center" vertical="center" wrapText="1"/>
    </xf>
    <xf numFmtId="0" fontId="9" fillId="2" borderId="10" xfId="13" applyFont="1" applyFill="1" applyBorder="1" applyAlignment="1">
      <alignment horizontal="center" vertical="center" wrapText="1"/>
    </xf>
    <xf numFmtId="49" fontId="3" fillId="2" borderId="12" xfId="13" applyNumberFormat="1" applyFont="1" applyFill="1" applyBorder="1" applyAlignment="1">
      <alignment horizontal="center" vertical="center" wrapText="1"/>
    </xf>
    <xf numFmtId="49" fontId="3" fillId="2" borderId="13" xfId="13" applyNumberFormat="1" applyFont="1" applyFill="1" applyBorder="1" applyAlignment="1">
      <alignment horizontal="center" vertical="center"/>
    </xf>
    <xf numFmtId="0" fontId="3" fillId="2" borderId="6" xfId="13" applyFont="1" applyFill="1" applyBorder="1" applyAlignment="1">
      <alignment horizontal="center" vertical="center" wrapText="1"/>
    </xf>
    <xf numFmtId="0" fontId="3" fillId="2" borderId="11" xfId="13" applyFont="1" applyFill="1" applyBorder="1" applyAlignment="1">
      <alignment horizontal="center" vertical="center" wrapText="1"/>
    </xf>
    <xf numFmtId="49" fontId="9" fillId="2" borderId="0" xfId="13" applyNumberFormat="1" applyFont="1" applyFill="1" applyAlignment="1">
      <alignment horizontal="center" vertical="center" wrapText="1"/>
    </xf>
    <xf numFmtId="49" fontId="3" fillId="2" borderId="2" xfId="13" applyNumberFormat="1" applyFont="1" applyFill="1" applyBorder="1" applyAlignment="1">
      <alignment horizontal="center" vertical="center"/>
    </xf>
    <xf numFmtId="0" fontId="3" fillId="2" borderId="2" xfId="13" applyFont="1" applyFill="1" applyBorder="1" applyAlignment="1">
      <alignment horizontal="center" vertical="center" wrapText="1"/>
    </xf>
    <xf numFmtId="0" fontId="3" fillId="2" borderId="3" xfId="13" applyFont="1" applyFill="1" applyBorder="1" applyAlignment="1">
      <alignment horizontal="center" vertical="center" wrapText="1"/>
    </xf>
    <xf numFmtId="49" fontId="8" fillId="2" borderId="6" xfId="13" applyNumberFormat="1" applyFont="1" applyFill="1" applyBorder="1" applyAlignment="1">
      <alignment horizontal="center"/>
    </xf>
    <xf numFmtId="49" fontId="8" fillId="2" borderId="13" xfId="13" applyNumberFormat="1" applyFont="1" applyFill="1" applyBorder="1" applyAlignment="1">
      <alignment horizontal="center"/>
    </xf>
    <xf numFmtId="49" fontId="8" fillId="2" borderId="11" xfId="13" applyNumberFormat="1" applyFont="1" applyFill="1" applyBorder="1" applyAlignment="1">
      <alignment horizontal="center"/>
    </xf>
    <xf numFmtId="0" fontId="2" fillId="2" borderId="6" xfId="13" applyFont="1" applyFill="1" applyBorder="1" applyAlignment="1">
      <alignment horizontal="center" wrapText="1"/>
    </xf>
    <xf numFmtId="0" fontId="2" fillId="2" borderId="13" xfId="13" applyFont="1" applyFill="1" applyBorder="1" applyAlignment="1">
      <alignment horizontal="center" wrapText="1"/>
    </xf>
    <xf numFmtId="0" fontId="2" fillId="2" borderId="11" xfId="13" applyFont="1" applyFill="1" applyBorder="1" applyAlignment="1">
      <alignment horizontal="center" wrapText="1"/>
    </xf>
    <xf numFmtId="49" fontId="8" fillId="2" borderId="0" xfId="13" applyNumberFormat="1" applyFont="1" applyFill="1" applyAlignment="1">
      <alignment horizontal="left"/>
    </xf>
    <xf numFmtId="49" fontId="3" fillId="2" borderId="20" xfId="13" applyNumberFormat="1" applyFont="1" applyFill="1" applyBorder="1" applyAlignment="1">
      <alignment horizontal="center" vertical="center" wrapText="1"/>
    </xf>
    <xf numFmtId="49" fontId="3" fillId="2" borderId="21" xfId="13" applyNumberFormat="1" applyFont="1" applyFill="1" applyBorder="1" applyAlignment="1">
      <alignment horizontal="center" vertical="center" wrapText="1"/>
    </xf>
    <xf numFmtId="49" fontId="12" fillId="2" borderId="22" xfId="13" applyNumberFormat="1" applyFont="1" applyFill="1" applyBorder="1" applyAlignment="1">
      <alignment horizontal="left"/>
    </xf>
    <xf numFmtId="49" fontId="12" fillId="2" borderId="23" xfId="13" applyNumberFormat="1" applyFont="1" applyFill="1" applyBorder="1" applyAlignment="1">
      <alignment horizontal="left"/>
    </xf>
    <xf numFmtId="49" fontId="8" fillId="2" borderId="0" xfId="13" applyNumberFormat="1" applyFont="1" applyFill="1" applyAlignment="1">
      <alignment horizontal="left" vertical="center"/>
    </xf>
    <xf numFmtId="171" fontId="4" fillId="2" borderId="9" xfId="13" applyNumberFormat="1" applyFont="1" applyFill="1" applyBorder="1" applyAlignment="1">
      <alignment horizontal="center" vertical="center"/>
    </xf>
    <xf numFmtId="171" fontId="4" fillId="2" borderId="12" xfId="13" applyNumberFormat="1" applyFont="1" applyFill="1" applyBorder="1" applyAlignment="1">
      <alignment horizontal="center" vertical="center"/>
    </xf>
    <xf numFmtId="171" fontId="4" fillId="2" borderId="10" xfId="13" applyNumberFormat="1" applyFont="1" applyFill="1" applyBorder="1" applyAlignment="1">
      <alignment horizontal="center" vertical="center"/>
    </xf>
    <xf numFmtId="177" fontId="6" fillId="2" borderId="6" xfId="13" applyNumberFormat="1" applyFont="1" applyFill="1" applyBorder="1" applyAlignment="1">
      <alignment horizontal="right"/>
    </xf>
    <xf numFmtId="177" fontId="6" fillId="2" borderId="11" xfId="13" applyNumberFormat="1" applyFont="1" applyFill="1" applyBorder="1" applyAlignment="1">
      <alignment horizontal="right"/>
    </xf>
    <xf numFmtId="49" fontId="3" fillId="2" borderId="14" xfId="13" applyNumberFormat="1" applyFont="1" applyFill="1" applyBorder="1" applyAlignment="1">
      <alignment horizontal="center" vertical="center"/>
    </xf>
    <xf numFmtId="49" fontId="3" fillId="2" borderId="15" xfId="13" applyNumberFormat="1" applyFont="1" applyFill="1" applyBorder="1" applyAlignment="1">
      <alignment horizontal="center" vertical="center"/>
    </xf>
    <xf numFmtId="0" fontId="3" fillId="2" borderId="0" xfId="13" applyFont="1" applyFill="1" applyAlignment="1">
      <alignment horizontal="left"/>
    </xf>
    <xf numFmtId="49" fontId="3" fillId="2" borderId="6" xfId="13" applyNumberFormat="1" applyFont="1" applyFill="1" applyBorder="1" applyAlignment="1">
      <alignment horizontal="left" vertical="center"/>
    </xf>
    <xf numFmtId="49" fontId="3" fillId="2" borderId="13" xfId="13" applyNumberFormat="1" applyFont="1" applyFill="1" applyBorder="1" applyAlignment="1">
      <alignment horizontal="left" vertical="center"/>
    </xf>
    <xf numFmtId="49" fontId="3" fillId="2" borderId="11" xfId="13" applyNumberFormat="1" applyFont="1" applyFill="1" applyBorder="1" applyAlignment="1">
      <alignment horizontal="left" vertical="center"/>
    </xf>
    <xf numFmtId="0" fontId="31" fillId="0" borderId="38" xfId="5" applyNumberFormat="1" applyFont="1" applyFill="1" applyBorder="1" applyAlignment="1">
      <alignment horizontal="left" vertical="center" wrapText="1"/>
    </xf>
    <xf numFmtId="0" fontId="31" fillId="5" borderId="38" xfId="5" applyNumberFormat="1" applyFont="1" applyFill="1" applyBorder="1" applyAlignment="1">
      <alignment horizontal="left" vertical="center" wrapText="1"/>
    </xf>
    <xf numFmtId="0" fontId="31" fillId="5" borderId="41" xfId="5" applyNumberFormat="1" applyFont="1" applyFill="1" applyBorder="1" applyAlignment="1">
      <alignment horizontal="left" vertical="center" wrapText="1"/>
    </xf>
    <xf numFmtId="0" fontId="31" fillId="0" borderId="35" xfId="5" applyNumberFormat="1" applyFont="1" applyFill="1" applyBorder="1" applyAlignment="1">
      <alignment horizontal="center" vertical="center"/>
    </xf>
    <xf numFmtId="0" fontId="31" fillId="0" borderId="38" xfId="5" applyNumberFormat="1" applyFont="1" applyFill="1" applyBorder="1" applyAlignment="1">
      <alignment horizontal="center" vertical="center"/>
    </xf>
    <xf numFmtId="0" fontId="31" fillId="0" borderId="36" xfId="5" applyNumberFormat="1" applyFont="1" applyFill="1" applyBorder="1" applyAlignment="1">
      <alignment horizontal="center" vertical="center"/>
    </xf>
    <xf numFmtId="0" fontId="31" fillId="0" borderId="39" xfId="5" applyNumberFormat="1" applyFont="1" applyFill="1" applyBorder="1" applyAlignment="1">
      <alignment horizontal="center" vertical="center"/>
    </xf>
    <xf numFmtId="0" fontId="33" fillId="0" borderId="36" xfId="5" applyNumberFormat="1" applyFont="1" applyFill="1" applyBorder="1" applyAlignment="1">
      <alignment horizontal="center" vertical="center"/>
    </xf>
    <xf numFmtId="0" fontId="33" fillId="0" borderId="37" xfId="5" applyNumberFormat="1" applyFont="1" applyFill="1" applyBorder="1" applyAlignment="1">
      <alignment horizontal="center" vertical="center"/>
    </xf>
    <xf numFmtId="0" fontId="33" fillId="5" borderId="44" xfId="5" applyNumberFormat="1" applyFont="1" applyFill="1" applyBorder="1" applyAlignment="1">
      <alignment horizontal="left" vertical="center"/>
    </xf>
    <xf numFmtId="0" fontId="31" fillId="6" borderId="45" xfId="5" applyNumberFormat="1" applyFont="1" applyFill="1" applyBorder="1" applyAlignment="1">
      <alignment horizontal="center" vertical="center" wrapText="1"/>
    </xf>
    <xf numFmtId="0" fontId="31" fillId="6" borderId="49" xfId="5" applyNumberFormat="1" applyFont="1" applyFill="1" applyBorder="1" applyAlignment="1">
      <alignment horizontal="center" vertical="center" wrapText="1"/>
    </xf>
    <xf numFmtId="0" fontId="31" fillId="6" borderId="46" xfId="5" applyNumberFormat="1" applyFont="1" applyFill="1" applyBorder="1" applyAlignment="1">
      <alignment horizontal="center" vertical="center"/>
    </xf>
    <xf numFmtId="0" fontId="31" fillId="6" borderId="47" xfId="5" applyNumberFormat="1" applyFont="1" applyFill="1" applyBorder="1" applyAlignment="1">
      <alignment horizontal="center" vertical="center"/>
    </xf>
    <xf numFmtId="0" fontId="31" fillId="6" borderId="48" xfId="5" applyNumberFormat="1" applyFont="1" applyFill="1" applyBorder="1" applyAlignment="1">
      <alignment horizontal="center" vertical="center"/>
    </xf>
    <xf numFmtId="0" fontId="36" fillId="7" borderId="29" xfId="10" applyFont="1" applyFill="1" applyBorder="1" applyAlignment="1">
      <alignment horizontal="center" vertical="center" wrapText="1"/>
    </xf>
    <xf numFmtId="0" fontId="36" fillId="7" borderId="34" xfId="10" applyFont="1" applyFill="1" applyBorder="1" applyAlignment="1">
      <alignment horizontal="center" vertical="center" wrapText="1"/>
    </xf>
    <xf numFmtId="0" fontId="31" fillId="7" borderId="29" xfId="5" applyNumberFormat="1" applyFont="1" applyFill="1" applyBorder="1" applyAlignment="1">
      <alignment horizontal="center" vertical="center" wrapText="1"/>
    </xf>
    <xf numFmtId="0" fontId="31" fillId="7" borderId="34" xfId="5" applyNumberFormat="1" applyFont="1" applyFill="1" applyBorder="1" applyAlignment="1">
      <alignment horizontal="center" vertical="center" wrapText="1"/>
    </xf>
    <xf numFmtId="0" fontId="35" fillId="0" borderId="0" xfId="5" applyNumberFormat="1" applyFont="1" applyBorder="1" applyAlignment="1">
      <alignment horizontal="left" vertical="top"/>
    </xf>
    <xf numFmtId="0" fontId="36" fillId="7" borderId="39" xfId="10" applyFont="1" applyFill="1" applyBorder="1" applyAlignment="1">
      <alignment horizontal="center" vertical="center"/>
    </xf>
    <xf numFmtId="0" fontId="31" fillId="7" borderId="24" xfId="5" applyNumberFormat="1" applyFont="1" applyFill="1" applyBorder="1" applyAlignment="1">
      <alignment horizontal="center" vertical="center" wrapText="1"/>
    </xf>
    <xf numFmtId="0" fontId="31" fillId="7" borderId="26" xfId="5" applyNumberFormat="1" applyFont="1" applyFill="1" applyBorder="1" applyAlignment="1">
      <alignment horizontal="center" vertical="center" wrapText="1"/>
    </xf>
    <xf numFmtId="0" fontId="31" fillId="7" borderId="39" xfId="5" applyNumberFormat="1" applyFont="1" applyFill="1" applyBorder="1" applyAlignment="1">
      <alignment horizontal="center" vertical="center" wrapText="1"/>
    </xf>
    <xf numFmtId="0" fontId="31" fillId="0" borderId="39" xfId="5" applyNumberFormat="1" applyFont="1" applyBorder="1" applyAlignment="1">
      <alignment horizontal="center"/>
    </xf>
    <xf numFmtId="0" fontId="36" fillId="7" borderId="39" xfId="10" applyFont="1" applyFill="1" applyBorder="1" applyAlignment="1">
      <alignment horizontal="center" vertical="center" wrapText="1"/>
    </xf>
    <xf numFmtId="184" fontId="36" fillId="7" borderId="39" xfId="5" applyFont="1" applyFill="1" applyBorder="1" applyAlignment="1">
      <alignment horizontal="center" vertical="center" wrapText="1"/>
    </xf>
    <xf numFmtId="0" fontId="33" fillId="5" borderId="0" xfId="5" applyNumberFormat="1" applyFont="1" applyFill="1" applyBorder="1" applyAlignment="1">
      <alignment horizontal="left" vertical="center"/>
    </xf>
    <xf numFmtId="0" fontId="33" fillId="5" borderId="39" xfId="5" applyNumberFormat="1" applyFont="1" applyFill="1" applyBorder="1" applyAlignment="1">
      <alignment horizontal="center" vertical="center"/>
    </xf>
    <xf numFmtId="0" fontId="31" fillId="7" borderId="30" xfId="5" applyNumberFormat="1" applyFont="1" applyFill="1" applyBorder="1" applyAlignment="1">
      <alignment horizontal="center" vertical="center" wrapText="1"/>
    </xf>
    <xf numFmtId="0" fontId="31" fillId="7" borderId="27" xfId="5" applyNumberFormat="1" applyFont="1" applyFill="1" applyBorder="1" applyAlignment="1">
      <alignment horizontal="center" vertical="center" wrapText="1"/>
    </xf>
    <xf numFmtId="0" fontId="31" fillId="7" borderId="28" xfId="5" applyNumberFormat="1" applyFont="1" applyFill="1" applyBorder="1" applyAlignment="1">
      <alignment horizontal="center" vertical="center" wrapText="1"/>
    </xf>
    <xf numFmtId="0" fontId="36" fillId="7" borderId="24" xfId="10" applyFont="1" applyFill="1" applyBorder="1" applyAlignment="1">
      <alignment horizontal="center" vertical="center"/>
    </xf>
    <xf numFmtId="0" fontId="36" fillId="7" borderId="26" xfId="10" applyFont="1" applyFill="1" applyBorder="1" applyAlignment="1">
      <alignment horizontal="center" vertical="center"/>
    </xf>
    <xf numFmtId="0" fontId="36" fillId="7" borderId="24" xfId="10" applyFont="1" applyFill="1" applyBorder="1" applyAlignment="1">
      <alignment horizontal="center" vertical="center" wrapText="1"/>
    </xf>
    <xf numFmtId="0" fontId="36" fillId="7" borderId="26" xfId="10" applyFont="1" applyFill="1" applyBorder="1" applyAlignment="1">
      <alignment horizontal="center" vertical="center" wrapText="1"/>
    </xf>
    <xf numFmtId="0" fontId="31" fillId="7" borderId="0" xfId="5" applyNumberFormat="1" applyFont="1" applyFill="1" applyBorder="1" applyAlignment="1">
      <alignment horizontal="center" vertical="center" wrapText="1"/>
    </xf>
    <xf numFmtId="0" fontId="31" fillId="7" borderId="44" xfId="5" applyNumberFormat="1" applyFont="1" applyFill="1" applyBorder="1" applyAlignment="1">
      <alignment horizontal="center" vertical="center" wrapText="1"/>
    </xf>
    <xf numFmtId="0" fontId="31" fillId="7" borderId="39" xfId="5" applyNumberFormat="1" applyFont="1" applyFill="1" applyBorder="1" applyAlignment="1">
      <alignment horizontal="center"/>
    </xf>
    <xf numFmtId="184" fontId="19" fillId="0" borderId="0" xfId="5" applyFont="1" applyAlignment="1">
      <alignment horizontal="left" wrapText="1"/>
    </xf>
    <xf numFmtId="0" fontId="31" fillId="7" borderId="25" xfId="5" applyNumberFormat="1" applyFont="1" applyFill="1" applyBorder="1" applyAlignment="1">
      <alignment horizontal="center" vertical="center" wrapText="1"/>
    </xf>
    <xf numFmtId="184" fontId="30" fillId="0" borderId="0" xfId="5" applyFont="1" applyFill="1" applyAlignment="1">
      <alignment horizontal="left"/>
    </xf>
    <xf numFmtId="0" fontId="35" fillId="0" borderId="0" xfId="5" applyNumberFormat="1" applyFont="1" applyFill="1" applyBorder="1" applyAlignment="1">
      <alignment horizontal="left" vertical="top"/>
    </xf>
    <xf numFmtId="0" fontId="31" fillId="7" borderId="24" xfId="5" applyNumberFormat="1" applyFont="1" applyFill="1" applyBorder="1" applyAlignment="1">
      <alignment horizontal="center"/>
    </xf>
    <xf numFmtId="0" fontId="31" fillId="7" borderId="25" xfId="5" applyNumberFormat="1" applyFont="1" applyFill="1" applyBorder="1" applyAlignment="1">
      <alignment horizontal="center"/>
    </xf>
    <xf numFmtId="0" fontId="44" fillId="7" borderId="24" xfId="5" applyNumberFormat="1" applyFont="1" applyFill="1" applyBorder="1" applyAlignment="1">
      <alignment horizontal="center" vertical="center"/>
    </xf>
    <xf numFmtId="0" fontId="44" fillId="7" borderId="26" xfId="5" applyNumberFormat="1" applyFont="1" applyFill="1" applyBorder="1" applyAlignment="1">
      <alignment horizontal="center" vertical="center"/>
    </xf>
    <xf numFmtId="0" fontId="44" fillId="7" borderId="25" xfId="5" applyNumberFormat="1" applyFont="1" applyFill="1" applyBorder="1" applyAlignment="1">
      <alignment horizontal="center" vertical="center"/>
    </xf>
    <xf numFmtId="0" fontId="44" fillId="7" borderId="29" xfId="5" applyNumberFormat="1" applyFont="1" applyFill="1" applyBorder="1" applyAlignment="1">
      <alignment horizontal="center" vertical="center" wrapText="1"/>
    </xf>
    <xf numFmtId="0" fontId="44" fillId="7" borderId="32" xfId="5" applyNumberFormat="1" applyFont="1" applyFill="1" applyBorder="1" applyAlignment="1">
      <alignment horizontal="center" vertical="center" wrapText="1"/>
    </xf>
    <xf numFmtId="0" fontId="44" fillId="7" borderId="34" xfId="5" applyNumberFormat="1" applyFont="1" applyFill="1" applyBorder="1" applyAlignment="1">
      <alignment horizontal="center" vertical="center" wrapText="1"/>
    </xf>
    <xf numFmtId="0" fontId="31" fillId="7" borderId="26" xfId="5" applyNumberFormat="1" applyFont="1" applyFill="1" applyBorder="1" applyAlignment="1">
      <alignment horizontal="center"/>
    </xf>
    <xf numFmtId="184" fontId="47" fillId="0" borderId="39" xfId="5" applyFont="1" applyFill="1" applyBorder="1" applyAlignment="1">
      <alignment horizontal="center" vertical="top" wrapText="1"/>
    </xf>
    <xf numFmtId="184" fontId="36" fillId="0" borderId="24" xfId="5" applyFont="1" applyFill="1" applyBorder="1" applyAlignment="1">
      <alignment horizontal="left" vertical="top" wrapText="1"/>
    </xf>
    <xf numFmtId="184" fontId="36" fillId="0" borderId="25" xfId="5" applyFont="1" applyFill="1" applyBorder="1" applyAlignment="1">
      <alignment horizontal="left" vertical="top" wrapText="1"/>
    </xf>
    <xf numFmtId="184" fontId="36" fillId="0" borderId="26" xfId="5" applyFont="1" applyFill="1" applyBorder="1" applyAlignment="1">
      <alignment horizontal="left" vertical="top" wrapText="1"/>
    </xf>
    <xf numFmtId="198" fontId="36" fillId="0" borderId="24" xfId="5" applyNumberFormat="1" applyFont="1" applyFill="1" applyBorder="1" applyAlignment="1">
      <alignment horizontal="left" vertical="top" wrapText="1"/>
    </xf>
    <xf numFmtId="198" fontId="36" fillId="0" borderId="25" xfId="5" applyNumberFormat="1" applyFont="1" applyFill="1" applyBorder="1" applyAlignment="1">
      <alignment horizontal="left" vertical="top" wrapText="1"/>
    </xf>
    <xf numFmtId="198" fontId="36" fillId="0" borderId="26" xfId="5" applyNumberFormat="1" applyFont="1" applyFill="1" applyBorder="1" applyAlignment="1">
      <alignment horizontal="left" vertical="top" wrapText="1"/>
    </xf>
    <xf numFmtId="198" fontId="36" fillId="0" borderId="39" xfId="5" applyNumberFormat="1" applyFont="1" applyFill="1" applyBorder="1" applyAlignment="1">
      <alignment horizontal="left" vertical="top" wrapText="1"/>
    </xf>
    <xf numFmtId="184" fontId="30" fillId="0" borderId="0" xfId="5" applyFont="1" applyAlignment="1">
      <alignment horizontal="left"/>
    </xf>
    <xf numFmtId="192" fontId="36" fillId="0" borderId="24" xfId="5" applyNumberFormat="1" applyFont="1" applyFill="1" applyBorder="1" applyAlignment="1">
      <alignment horizontal="left" vertical="top" wrapText="1"/>
    </xf>
    <xf numFmtId="192" fontId="36" fillId="0" borderId="25" xfId="5" applyNumberFormat="1" applyFont="1" applyFill="1" applyBorder="1" applyAlignment="1">
      <alignment horizontal="left" vertical="top" wrapText="1"/>
    </xf>
    <xf numFmtId="192" fontId="36" fillId="0" borderId="26" xfId="5" applyNumberFormat="1" applyFont="1" applyFill="1" applyBorder="1" applyAlignment="1">
      <alignment horizontal="left" vertical="top" wrapText="1"/>
    </xf>
    <xf numFmtId="192" fontId="36" fillId="0" borderId="39" xfId="5" applyNumberFormat="1" applyFont="1" applyFill="1" applyBorder="1" applyAlignment="1">
      <alignment horizontal="left" vertical="top" wrapText="1"/>
    </xf>
    <xf numFmtId="184" fontId="36" fillId="7" borderId="39" xfId="5" applyFont="1" applyFill="1" applyBorder="1" applyAlignment="1">
      <alignment horizontal="center" vertical="top" wrapText="1"/>
    </xf>
    <xf numFmtId="17" fontId="36" fillId="7" borderId="39" xfId="9" applyNumberFormat="1" applyFont="1" applyFill="1" applyBorder="1" applyAlignment="1">
      <alignment horizontal="center" vertical="top" wrapText="1"/>
    </xf>
    <xf numFmtId="0" fontId="36" fillId="7" borderId="39" xfId="9" applyNumberFormat="1" applyFont="1" applyFill="1" applyBorder="1" applyAlignment="1">
      <alignment horizontal="center" vertical="top" wrapText="1"/>
    </xf>
    <xf numFmtId="184" fontId="36" fillId="0" borderId="24" xfId="5" applyFont="1" applyFill="1" applyBorder="1" applyAlignment="1">
      <alignment horizontal="center"/>
    </xf>
    <xf numFmtId="184" fontId="36" fillId="0" borderId="25" xfId="5" applyFont="1" applyFill="1" applyBorder="1" applyAlignment="1">
      <alignment horizontal="center"/>
    </xf>
    <xf numFmtId="184" fontId="36" fillId="0" borderId="26" xfId="5" applyFont="1" applyFill="1" applyBorder="1" applyAlignment="1">
      <alignment horizontal="center"/>
    </xf>
    <xf numFmtId="192" fontId="36" fillId="0" borderId="39" xfId="5" applyNumberFormat="1" applyFont="1" applyFill="1" applyBorder="1" applyAlignment="1">
      <alignment horizontal="center" vertical="top" wrapText="1"/>
    </xf>
    <xf numFmtId="184" fontId="20" fillId="0" borderId="0" xfId="5" applyFont="1" applyFill="1" applyBorder="1" applyAlignment="1">
      <alignment horizontal="left"/>
    </xf>
    <xf numFmtId="184" fontId="44" fillId="7" borderId="39" xfId="5" applyFont="1" applyFill="1" applyBorder="1" applyAlignment="1">
      <alignment horizontal="center" vertical="center"/>
    </xf>
    <xf numFmtId="184" fontId="36" fillId="7" borderId="39" xfId="5" applyFont="1" applyFill="1" applyBorder="1"/>
    <xf numFmtId="0" fontId="38" fillId="0" borderId="0" xfId="5" applyNumberFormat="1" applyFont="1" applyFill="1" applyBorder="1" applyAlignment="1">
      <alignment horizontal="left" vertical="top"/>
    </xf>
    <xf numFmtId="184" fontId="44" fillId="0" borderId="50" xfId="5" applyFont="1" applyFill="1" applyBorder="1" applyAlignment="1">
      <alignment horizontal="center" vertical="top"/>
    </xf>
    <xf numFmtId="184" fontId="44" fillId="0" borderId="25" xfId="5" applyFont="1" applyFill="1" applyBorder="1" applyAlignment="1">
      <alignment horizontal="center" vertical="top"/>
    </xf>
    <xf numFmtId="184" fontId="44" fillId="0" borderId="26" xfId="5" applyFont="1" applyFill="1" applyBorder="1" applyAlignment="1">
      <alignment horizontal="center" vertical="top"/>
    </xf>
    <xf numFmtId="198" fontId="44" fillId="0" borderId="24" xfId="5" applyNumberFormat="1" applyFont="1" applyFill="1" applyBorder="1" applyAlignment="1">
      <alignment horizontal="center" vertical="top"/>
    </xf>
    <xf numFmtId="198" fontId="44" fillId="0" borderId="25" xfId="5" applyNumberFormat="1" applyFont="1" applyFill="1" applyBorder="1" applyAlignment="1">
      <alignment horizontal="center" vertical="top"/>
    </xf>
    <xf numFmtId="184" fontId="44" fillId="0" borderId="39" xfId="5" applyFont="1" applyFill="1" applyBorder="1" applyAlignment="1">
      <alignment horizontal="center" vertical="top"/>
    </xf>
    <xf numFmtId="0" fontId="30" fillId="0" borderId="0" xfId="5" applyNumberFormat="1" applyFont="1" applyFill="1" applyAlignment="1">
      <alignment horizontal="left" wrapText="1"/>
    </xf>
    <xf numFmtId="184" fontId="36" fillId="0" borderId="39" xfId="5" applyFont="1" applyFill="1" applyBorder="1" applyAlignment="1">
      <alignment horizontal="center" vertical="center" wrapText="1"/>
    </xf>
    <xf numFmtId="184" fontId="36" fillId="0" borderId="29" xfId="5" applyFont="1" applyFill="1" applyBorder="1" applyAlignment="1">
      <alignment horizontal="center" vertical="center" wrapText="1"/>
    </xf>
    <xf numFmtId="17" fontId="36" fillId="0" borderId="39" xfId="9" applyNumberFormat="1" applyFont="1" applyFill="1" applyBorder="1" applyAlignment="1">
      <alignment horizontal="center" vertical="top" wrapText="1"/>
    </xf>
    <xf numFmtId="0" fontId="36" fillId="0" borderId="39" xfId="9" applyNumberFormat="1" applyFont="1" applyFill="1" applyBorder="1" applyAlignment="1">
      <alignment horizontal="center" vertical="top" wrapText="1"/>
    </xf>
    <xf numFmtId="184" fontId="31" fillId="0" borderId="0" xfId="1" applyFont="1" applyBorder="1" applyAlignment="1">
      <alignment horizontal="left" vertical="center" wrapText="1"/>
    </xf>
    <xf numFmtId="184" fontId="31" fillId="0" borderId="0" xfId="1" applyFont="1" applyFill="1" applyBorder="1" applyAlignment="1">
      <alignment horizontal="left" vertical="center" wrapText="1"/>
    </xf>
    <xf numFmtId="184" fontId="19" fillId="0" borderId="25" xfId="1" applyFont="1" applyBorder="1" applyAlignment="1"/>
    <xf numFmtId="0" fontId="0" fillId="0" borderId="26" xfId="0" applyBorder="1" applyAlignment="1"/>
    <xf numFmtId="184" fontId="20" fillId="4" borderId="24" xfId="1" applyFont="1" applyFill="1" applyBorder="1" applyAlignment="1">
      <alignment horizontal="left" vertical="top" wrapText="1"/>
    </xf>
    <xf numFmtId="184" fontId="20" fillId="4" borderId="25" xfId="1" applyFont="1" applyFill="1" applyBorder="1" applyAlignment="1">
      <alignment horizontal="left" vertical="top" wrapText="1"/>
    </xf>
    <xf numFmtId="0" fontId="0" fillId="0" borderId="25" xfId="0" applyBorder="1"/>
    <xf numFmtId="185" fontId="19" fillId="4" borderId="24" xfId="2" applyNumberFormat="1" applyFont="1" applyFill="1" applyBorder="1" applyAlignment="1">
      <alignment horizontal="center" wrapText="1"/>
    </xf>
    <xf numFmtId="185" fontId="19" fillId="4" borderId="26" xfId="2" applyNumberFormat="1" applyFont="1" applyFill="1" applyBorder="1" applyAlignment="1">
      <alignment horizontal="center" wrapText="1"/>
    </xf>
    <xf numFmtId="165" fontId="19" fillId="4" borderId="24" xfId="1" applyNumberFormat="1" applyFont="1" applyFill="1" applyBorder="1" applyAlignment="1">
      <alignment horizontal="center" vertical="center" wrapText="1"/>
    </xf>
    <xf numFmtId="165" fontId="19" fillId="4" borderId="26" xfId="1" applyNumberFormat="1" applyFont="1" applyFill="1" applyBorder="1" applyAlignment="1">
      <alignment horizontal="center" vertical="center" wrapText="1"/>
    </xf>
    <xf numFmtId="184" fontId="20" fillId="4" borderId="24" xfId="1" applyFont="1" applyFill="1" applyBorder="1" applyAlignment="1">
      <alignment horizontal="left" vertical="top"/>
    </xf>
    <xf numFmtId="184" fontId="20" fillId="4" borderId="25" xfId="1" applyFont="1" applyFill="1" applyBorder="1" applyAlignment="1">
      <alignment horizontal="left" vertical="top"/>
    </xf>
  </cellXfs>
  <cellStyles count="14">
    <cellStyle name="Comma 2" xfId="9"/>
    <cellStyle name="Hyperlink" xfId="4" builtinId="8"/>
    <cellStyle name="Indian Comma" xfId="3"/>
    <cellStyle name="Normal" xfId="0" builtinId="0"/>
    <cellStyle name="Normal 2" xfId="5"/>
    <cellStyle name="Normal 3" xfId="12"/>
    <cellStyle name="Normal 3 144" xfId="10"/>
    <cellStyle name="Normal 4" xfId="13"/>
    <cellStyle name="Normal 5" xfId="7"/>
    <cellStyle name="Normal 6" xfId="2"/>
    <cellStyle name="Normal 60" xfId="11"/>
    <cellStyle name="Normal 8" xfId="6"/>
    <cellStyle name="Normal_tables-oct" xfId="1"/>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externalLink" Target="externalLinks/externalLink1.xml"/><Relationship Id="rId8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rts/DEPA_2/Bulletin%20tables%20-%20Mar.%20%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Index"/>
      <sheetName val="1"/>
      <sheetName val="65"/>
      <sheetName val="66"/>
      <sheetName val="67"/>
      <sheetName val="68"/>
      <sheetName val="69"/>
      <sheetName val="70"/>
      <sheetName val="71"/>
      <sheetName val="72"/>
      <sheetName val="73"/>
      <sheetName val="74"/>
      <sheetName val="75"/>
    </sheetNames>
    <sheetDataSet>
      <sheetData sheetId="0"/>
      <sheetData sheetId="1">
        <row r="8">
          <cell r="A8" t="str">
            <v>$ indicates as on March 29, 2019</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78"/>
  <sheetViews>
    <sheetView workbookViewId="0"/>
  </sheetViews>
  <sheetFormatPr defaultRowHeight="12.75" x14ac:dyDescent="0.2"/>
  <cols>
    <col min="1" max="1" width="102.140625" bestFit="1" customWidth="1"/>
    <col min="2" max="2" width="21.140625" bestFit="1" customWidth="1"/>
    <col min="3" max="3" width="4.7109375" bestFit="1" customWidth="1"/>
  </cols>
  <sheetData>
    <row r="1" spans="1:2" ht="15.75" customHeight="1" x14ac:dyDescent="0.2">
      <c r="A1" s="5" t="s">
        <v>865</v>
      </c>
    </row>
    <row r="2" spans="1:2" s="4" customFormat="1" ht="18.75" customHeight="1" x14ac:dyDescent="0.2">
      <c r="A2" s="1" t="s">
        <v>0</v>
      </c>
      <c r="B2" s="1" t="s">
        <v>1</v>
      </c>
    </row>
    <row r="3" spans="1:2" s="4" customFormat="1" ht="18" customHeight="1" x14ac:dyDescent="0.2">
      <c r="A3" s="2" t="s">
        <v>2</v>
      </c>
      <c r="B3" s="2" t="s">
        <v>3</v>
      </c>
    </row>
    <row r="4" spans="1:2" s="4" customFormat="1" ht="18" customHeight="1" x14ac:dyDescent="0.2">
      <c r="A4" s="2" t="s">
        <v>4</v>
      </c>
      <c r="B4" s="2" t="s">
        <v>3</v>
      </c>
    </row>
    <row r="5" spans="1:2" s="4" customFormat="1" ht="18" customHeight="1" x14ac:dyDescent="0.2">
      <c r="A5" s="2" t="s">
        <v>5</v>
      </c>
      <c r="B5" s="2" t="s">
        <v>3</v>
      </c>
    </row>
    <row r="6" spans="1:2" s="4" customFormat="1" ht="18" customHeight="1" x14ac:dyDescent="0.2">
      <c r="A6" s="2" t="s">
        <v>6</v>
      </c>
      <c r="B6" s="2" t="s">
        <v>3</v>
      </c>
    </row>
    <row r="7" spans="1:2" s="4" customFormat="1" ht="18" customHeight="1" x14ac:dyDescent="0.2">
      <c r="A7" s="2" t="s">
        <v>7</v>
      </c>
      <c r="B7" s="2" t="s">
        <v>3</v>
      </c>
    </row>
    <row r="8" spans="1:2" s="4" customFormat="1" ht="18" customHeight="1" x14ac:dyDescent="0.2">
      <c r="A8" s="2" t="s">
        <v>8</v>
      </c>
      <c r="B8" s="2" t="s">
        <v>3</v>
      </c>
    </row>
    <row r="9" spans="1:2" s="4" customFormat="1" ht="18" customHeight="1" x14ac:dyDescent="0.2">
      <c r="A9" s="2" t="s">
        <v>9</v>
      </c>
      <c r="B9" s="2" t="s">
        <v>3</v>
      </c>
    </row>
    <row r="10" spans="1:2" s="4" customFormat="1" ht="18" customHeight="1" x14ac:dyDescent="0.2">
      <c r="A10" s="2" t="s">
        <v>10</v>
      </c>
      <c r="B10" s="2" t="s">
        <v>3</v>
      </c>
    </row>
    <row r="11" spans="1:2" s="4" customFormat="1" ht="18" customHeight="1" x14ac:dyDescent="0.2">
      <c r="A11" s="2" t="s">
        <v>11</v>
      </c>
      <c r="B11" s="2" t="s">
        <v>3</v>
      </c>
    </row>
    <row r="12" spans="1:2" s="4" customFormat="1" ht="18" customHeight="1" x14ac:dyDescent="0.2">
      <c r="A12" s="2" t="s">
        <v>12</v>
      </c>
      <c r="B12" s="2" t="s">
        <v>3</v>
      </c>
    </row>
    <row r="13" spans="1:2" s="4" customFormat="1" ht="18" customHeight="1" x14ac:dyDescent="0.2">
      <c r="A13" s="2" t="s">
        <v>13</v>
      </c>
      <c r="B13" s="2" t="s">
        <v>3</v>
      </c>
    </row>
    <row r="14" spans="1:2" s="4" customFormat="1" ht="18" customHeight="1" x14ac:dyDescent="0.2">
      <c r="A14" s="2" t="s">
        <v>14</v>
      </c>
      <c r="B14" s="2" t="s">
        <v>3</v>
      </c>
    </row>
    <row r="15" spans="1:2" s="4" customFormat="1" ht="18" customHeight="1" x14ac:dyDescent="0.2">
      <c r="A15" s="2" t="s">
        <v>15</v>
      </c>
      <c r="B15" s="2" t="s">
        <v>3</v>
      </c>
    </row>
    <row r="16" spans="1:2" s="4" customFormat="1" ht="18" customHeight="1" x14ac:dyDescent="0.2">
      <c r="A16" s="2" t="s">
        <v>16</v>
      </c>
      <c r="B16" s="2" t="s">
        <v>3</v>
      </c>
    </row>
    <row r="17" spans="1:2" s="4" customFormat="1" ht="18" customHeight="1" x14ac:dyDescent="0.2">
      <c r="A17" s="2" t="s">
        <v>17</v>
      </c>
      <c r="B17" s="2" t="s">
        <v>3</v>
      </c>
    </row>
    <row r="18" spans="1:2" s="4" customFormat="1" ht="18" customHeight="1" x14ac:dyDescent="0.2">
      <c r="A18" s="2" t="s">
        <v>18</v>
      </c>
      <c r="B18" s="2" t="s">
        <v>3</v>
      </c>
    </row>
    <row r="19" spans="1:2" s="4" customFormat="1" ht="18" customHeight="1" x14ac:dyDescent="0.2">
      <c r="A19" s="2" t="s">
        <v>19</v>
      </c>
      <c r="B19" s="2" t="s">
        <v>3</v>
      </c>
    </row>
    <row r="20" spans="1:2" s="4" customFormat="1" ht="18" customHeight="1" x14ac:dyDescent="0.2">
      <c r="A20" s="2" t="s">
        <v>20</v>
      </c>
      <c r="B20" s="2" t="s">
        <v>3</v>
      </c>
    </row>
    <row r="21" spans="1:2" s="4" customFormat="1" ht="18" customHeight="1" x14ac:dyDescent="0.2">
      <c r="A21" s="2" t="s">
        <v>21</v>
      </c>
      <c r="B21" s="2" t="s">
        <v>3</v>
      </c>
    </row>
    <row r="22" spans="1:2" s="4" customFormat="1" ht="18" customHeight="1" x14ac:dyDescent="0.2">
      <c r="A22" s="2" t="s">
        <v>22</v>
      </c>
      <c r="B22" s="2" t="s">
        <v>3</v>
      </c>
    </row>
    <row r="23" spans="1:2" s="4" customFormat="1" ht="18" customHeight="1" x14ac:dyDescent="0.2">
      <c r="A23" s="2" t="s">
        <v>23</v>
      </c>
      <c r="B23" s="2" t="s">
        <v>3</v>
      </c>
    </row>
    <row r="24" spans="1:2" s="4" customFormat="1" ht="18" customHeight="1" x14ac:dyDescent="0.2">
      <c r="A24" s="2" t="s">
        <v>24</v>
      </c>
      <c r="B24" s="2" t="s">
        <v>3</v>
      </c>
    </row>
    <row r="25" spans="1:2" s="4" customFormat="1" ht="18" customHeight="1" x14ac:dyDescent="0.2">
      <c r="A25" s="2" t="s">
        <v>25</v>
      </c>
      <c r="B25" s="2" t="s">
        <v>3</v>
      </c>
    </row>
    <row r="26" spans="1:2" s="4" customFormat="1" ht="18" customHeight="1" x14ac:dyDescent="0.2">
      <c r="A26" s="2" t="s">
        <v>26</v>
      </c>
      <c r="B26" s="2" t="s">
        <v>3</v>
      </c>
    </row>
    <row r="27" spans="1:2" s="4" customFormat="1" ht="18" customHeight="1" x14ac:dyDescent="0.2">
      <c r="A27" s="2" t="s">
        <v>27</v>
      </c>
      <c r="B27" s="2" t="s">
        <v>3</v>
      </c>
    </row>
    <row r="28" spans="1:2" s="4" customFormat="1" ht="18" customHeight="1" x14ac:dyDescent="0.2">
      <c r="A28" s="2" t="s">
        <v>28</v>
      </c>
      <c r="B28" s="2" t="s">
        <v>3</v>
      </c>
    </row>
    <row r="29" spans="1:2" s="4" customFormat="1" ht="18" customHeight="1" x14ac:dyDescent="0.2">
      <c r="A29" s="2" t="s">
        <v>30</v>
      </c>
      <c r="B29" s="2" t="s">
        <v>3</v>
      </c>
    </row>
    <row r="30" spans="1:2" s="4" customFormat="1" ht="18" customHeight="1" x14ac:dyDescent="0.2">
      <c r="A30" s="2" t="s">
        <v>31</v>
      </c>
      <c r="B30" s="2" t="s">
        <v>3</v>
      </c>
    </row>
    <row r="31" spans="1:2" s="4" customFormat="1" ht="18" customHeight="1" x14ac:dyDescent="0.2">
      <c r="A31" s="2" t="s">
        <v>32</v>
      </c>
      <c r="B31" s="2" t="s">
        <v>3</v>
      </c>
    </row>
    <row r="32" spans="1:2" s="4" customFormat="1" ht="18" customHeight="1" x14ac:dyDescent="0.2">
      <c r="A32" s="2" t="s">
        <v>33</v>
      </c>
      <c r="B32" s="2" t="s">
        <v>3</v>
      </c>
    </row>
    <row r="33" spans="1:2" s="4" customFormat="1" ht="18" customHeight="1" x14ac:dyDescent="0.2">
      <c r="A33" s="2" t="s">
        <v>34</v>
      </c>
      <c r="B33" s="2" t="s">
        <v>3</v>
      </c>
    </row>
    <row r="34" spans="1:2" s="4" customFormat="1" ht="18" customHeight="1" x14ac:dyDescent="0.2">
      <c r="A34" s="2" t="s">
        <v>35</v>
      </c>
      <c r="B34" s="2" t="s">
        <v>3</v>
      </c>
    </row>
    <row r="35" spans="1:2" s="4" customFormat="1" ht="18" customHeight="1" x14ac:dyDescent="0.2">
      <c r="A35" s="2" t="s">
        <v>36</v>
      </c>
      <c r="B35" s="2" t="s">
        <v>3</v>
      </c>
    </row>
    <row r="36" spans="1:2" s="4" customFormat="1" ht="18" customHeight="1" x14ac:dyDescent="0.2">
      <c r="A36" s="2" t="s">
        <v>37</v>
      </c>
      <c r="B36" s="2" t="s">
        <v>3</v>
      </c>
    </row>
    <row r="37" spans="1:2" s="4" customFormat="1" ht="18" customHeight="1" x14ac:dyDescent="0.2">
      <c r="A37" s="2" t="s">
        <v>38</v>
      </c>
      <c r="B37" s="2" t="s">
        <v>3</v>
      </c>
    </row>
    <row r="38" spans="1:2" s="4" customFormat="1" ht="18" customHeight="1" x14ac:dyDescent="0.2">
      <c r="A38" s="2" t="s">
        <v>39</v>
      </c>
      <c r="B38" s="2" t="s">
        <v>3</v>
      </c>
    </row>
    <row r="39" spans="1:2" s="4" customFormat="1" ht="18" customHeight="1" x14ac:dyDescent="0.2">
      <c r="A39" s="2" t="s">
        <v>40</v>
      </c>
      <c r="B39" s="2" t="s">
        <v>3</v>
      </c>
    </row>
    <row r="40" spans="1:2" s="4" customFormat="1" ht="18" customHeight="1" x14ac:dyDescent="0.2">
      <c r="A40" s="2" t="s">
        <v>41</v>
      </c>
      <c r="B40" s="2" t="s">
        <v>3</v>
      </c>
    </row>
    <row r="41" spans="1:2" s="4" customFormat="1" ht="18" customHeight="1" x14ac:dyDescent="0.2">
      <c r="A41" s="2" t="s">
        <v>42</v>
      </c>
      <c r="B41" s="2" t="s">
        <v>3</v>
      </c>
    </row>
    <row r="42" spans="1:2" s="4" customFormat="1" ht="18" customHeight="1" x14ac:dyDescent="0.2">
      <c r="A42" s="2" t="s">
        <v>43</v>
      </c>
      <c r="B42" s="2" t="s">
        <v>3</v>
      </c>
    </row>
    <row r="43" spans="1:2" s="4" customFormat="1" ht="18" customHeight="1" x14ac:dyDescent="0.2">
      <c r="A43" s="2" t="s">
        <v>44</v>
      </c>
      <c r="B43" s="2" t="s">
        <v>3</v>
      </c>
    </row>
    <row r="44" spans="1:2" s="4" customFormat="1" ht="18" customHeight="1" x14ac:dyDescent="0.2">
      <c r="A44" s="2" t="s">
        <v>45</v>
      </c>
      <c r="B44" s="2" t="s">
        <v>3</v>
      </c>
    </row>
    <row r="45" spans="1:2" s="4" customFormat="1" ht="18" customHeight="1" x14ac:dyDescent="0.2">
      <c r="A45" s="2" t="s">
        <v>46</v>
      </c>
      <c r="B45" s="2" t="s">
        <v>3</v>
      </c>
    </row>
    <row r="46" spans="1:2" s="4" customFormat="1" ht="18" customHeight="1" x14ac:dyDescent="0.2">
      <c r="A46" s="2" t="s">
        <v>47</v>
      </c>
      <c r="B46" s="2" t="s">
        <v>3</v>
      </c>
    </row>
    <row r="47" spans="1:2" s="4" customFormat="1" ht="18" customHeight="1" x14ac:dyDescent="0.2">
      <c r="A47" s="2" t="s">
        <v>48</v>
      </c>
      <c r="B47" s="2" t="s">
        <v>3</v>
      </c>
    </row>
    <row r="48" spans="1:2" s="4" customFormat="1" ht="18" customHeight="1" x14ac:dyDescent="0.2">
      <c r="A48" s="2" t="s">
        <v>49</v>
      </c>
      <c r="B48" s="2" t="s">
        <v>3</v>
      </c>
    </row>
    <row r="49" spans="1:2" s="4" customFormat="1" ht="18" customHeight="1" x14ac:dyDescent="0.2">
      <c r="A49" s="2" t="s">
        <v>50</v>
      </c>
      <c r="B49" s="2" t="s">
        <v>3</v>
      </c>
    </row>
    <row r="50" spans="1:2" s="4" customFormat="1" ht="18" customHeight="1" x14ac:dyDescent="0.2">
      <c r="A50" s="2" t="s">
        <v>51</v>
      </c>
      <c r="B50" s="2" t="s">
        <v>3</v>
      </c>
    </row>
    <row r="51" spans="1:2" s="4" customFormat="1" ht="18" customHeight="1" x14ac:dyDescent="0.2">
      <c r="A51" s="2" t="s">
        <v>52</v>
      </c>
      <c r="B51" s="2" t="s">
        <v>3</v>
      </c>
    </row>
    <row r="52" spans="1:2" s="4" customFormat="1" ht="18" customHeight="1" x14ac:dyDescent="0.2">
      <c r="A52" s="2" t="s">
        <v>53</v>
      </c>
      <c r="B52" s="2" t="s">
        <v>3</v>
      </c>
    </row>
    <row r="53" spans="1:2" s="4" customFormat="1" ht="18" customHeight="1" x14ac:dyDescent="0.2">
      <c r="A53" s="2" t="s">
        <v>54</v>
      </c>
      <c r="B53" s="2" t="s">
        <v>3</v>
      </c>
    </row>
    <row r="54" spans="1:2" s="4" customFormat="1" ht="18" customHeight="1" x14ac:dyDescent="0.2">
      <c r="A54" s="2" t="s">
        <v>55</v>
      </c>
      <c r="B54" s="2" t="s">
        <v>3</v>
      </c>
    </row>
    <row r="55" spans="1:2" s="4" customFormat="1" ht="18" customHeight="1" x14ac:dyDescent="0.2">
      <c r="A55" s="2" t="s">
        <v>56</v>
      </c>
      <c r="B55" s="2" t="s">
        <v>3</v>
      </c>
    </row>
    <row r="56" spans="1:2" s="4" customFormat="1" ht="18" customHeight="1" x14ac:dyDescent="0.2">
      <c r="A56" s="2" t="s">
        <v>57</v>
      </c>
      <c r="B56" s="2" t="s">
        <v>29</v>
      </c>
    </row>
    <row r="57" spans="1:2" s="4" customFormat="1" ht="18" customHeight="1" x14ac:dyDescent="0.2">
      <c r="A57" s="2" t="s">
        <v>58</v>
      </c>
      <c r="B57" s="2" t="s">
        <v>3</v>
      </c>
    </row>
    <row r="58" spans="1:2" s="4" customFormat="1" ht="18" customHeight="1" x14ac:dyDescent="0.2">
      <c r="A58" s="2" t="s">
        <v>59</v>
      </c>
      <c r="B58" s="2" t="s">
        <v>3</v>
      </c>
    </row>
    <row r="59" spans="1:2" s="4" customFormat="1" ht="18" customHeight="1" x14ac:dyDescent="0.2">
      <c r="A59" s="2" t="s">
        <v>60</v>
      </c>
      <c r="B59" s="2" t="s">
        <v>3</v>
      </c>
    </row>
    <row r="60" spans="1:2" s="4" customFormat="1" ht="18" customHeight="1" x14ac:dyDescent="0.2">
      <c r="A60" s="2" t="s">
        <v>61</v>
      </c>
      <c r="B60" s="2" t="s">
        <v>3</v>
      </c>
    </row>
    <row r="61" spans="1:2" s="4" customFormat="1" ht="18" customHeight="1" x14ac:dyDescent="0.2">
      <c r="A61" s="2" t="s">
        <v>62</v>
      </c>
      <c r="B61" s="2" t="s">
        <v>3</v>
      </c>
    </row>
    <row r="62" spans="1:2" s="4" customFormat="1" ht="18" customHeight="1" x14ac:dyDescent="0.2">
      <c r="A62" s="2" t="s">
        <v>63</v>
      </c>
      <c r="B62" s="2" t="s">
        <v>3</v>
      </c>
    </row>
    <row r="63" spans="1:2" s="4" customFormat="1" ht="18" customHeight="1" x14ac:dyDescent="0.2">
      <c r="A63" s="2" t="s">
        <v>64</v>
      </c>
      <c r="B63" s="2" t="s">
        <v>3</v>
      </c>
    </row>
    <row r="64" spans="1:2" s="4" customFormat="1" ht="18" customHeight="1" x14ac:dyDescent="0.2">
      <c r="A64" s="2" t="s">
        <v>65</v>
      </c>
      <c r="B64" s="2" t="s">
        <v>3</v>
      </c>
    </row>
    <row r="65" spans="1:2" s="4" customFormat="1" ht="18" customHeight="1" x14ac:dyDescent="0.2">
      <c r="A65" s="2" t="s">
        <v>66</v>
      </c>
      <c r="B65" s="2" t="s">
        <v>3</v>
      </c>
    </row>
    <row r="66" spans="1:2" s="4" customFormat="1" ht="18" customHeight="1" x14ac:dyDescent="0.2">
      <c r="A66" s="2" t="s">
        <v>67</v>
      </c>
      <c r="B66" s="2" t="s">
        <v>3</v>
      </c>
    </row>
    <row r="67" spans="1:2" s="4" customFormat="1" ht="18" customHeight="1" x14ac:dyDescent="0.2">
      <c r="A67" s="2" t="s">
        <v>866</v>
      </c>
      <c r="B67" s="2" t="s">
        <v>3</v>
      </c>
    </row>
    <row r="68" spans="1:2" s="4" customFormat="1" ht="18" customHeight="1" x14ac:dyDescent="0.2">
      <c r="A68" s="2" t="s">
        <v>867</v>
      </c>
      <c r="B68" s="2" t="s">
        <v>3</v>
      </c>
    </row>
    <row r="69" spans="1:2" s="4" customFormat="1" ht="18" customHeight="1" x14ac:dyDescent="0.2">
      <c r="A69" s="2" t="s">
        <v>868</v>
      </c>
      <c r="B69" s="2" t="s">
        <v>3</v>
      </c>
    </row>
    <row r="70" spans="1:2" s="4" customFormat="1" ht="18" customHeight="1" x14ac:dyDescent="0.2">
      <c r="A70" s="2" t="s">
        <v>869</v>
      </c>
      <c r="B70" s="2" t="s">
        <v>3</v>
      </c>
    </row>
    <row r="71" spans="1:2" s="4" customFormat="1" ht="18" customHeight="1" x14ac:dyDescent="0.2">
      <c r="A71" s="2" t="s">
        <v>870</v>
      </c>
      <c r="B71" s="2" t="s">
        <v>3</v>
      </c>
    </row>
    <row r="72" spans="1:2" s="4" customFormat="1" ht="18" customHeight="1" x14ac:dyDescent="0.2">
      <c r="A72" s="2" t="s">
        <v>871</v>
      </c>
      <c r="B72" s="2" t="s">
        <v>3</v>
      </c>
    </row>
    <row r="73" spans="1:2" s="4" customFormat="1" ht="18" customHeight="1" x14ac:dyDescent="0.2">
      <c r="A73" s="2" t="s">
        <v>872</v>
      </c>
      <c r="B73" s="2" t="s">
        <v>3</v>
      </c>
    </row>
    <row r="74" spans="1:2" s="4" customFormat="1" ht="18" customHeight="1" x14ac:dyDescent="0.2">
      <c r="A74" s="2" t="s">
        <v>873</v>
      </c>
      <c r="B74" s="2" t="s">
        <v>3</v>
      </c>
    </row>
    <row r="75" spans="1:2" s="4" customFormat="1" ht="18" customHeight="1" x14ac:dyDescent="0.2">
      <c r="A75" s="2" t="s">
        <v>874</v>
      </c>
      <c r="B75" s="2" t="s">
        <v>3</v>
      </c>
    </row>
    <row r="76" spans="1:2" s="4" customFormat="1" ht="18" customHeight="1" x14ac:dyDescent="0.2">
      <c r="A76" s="2" t="s">
        <v>875</v>
      </c>
      <c r="B76" s="2" t="s">
        <v>3</v>
      </c>
    </row>
    <row r="77" spans="1:2" s="4" customFormat="1" ht="18" customHeight="1" x14ac:dyDescent="0.2">
      <c r="A77" s="2" t="s">
        <v>876</v>
      </c>
      <c r="B77" s="2" t="s">
        <v>3</v>
      </c>
    </row>
    <row r="78" spans="1:2" s="4" customFormat="1" ht="18" customHeight="1" x14ac:dyDescent="0.2">
      <c r="A78" s="2" t="s">
        <v>877</v>
      </c>
      <c r="B78" s="2" t="s">
        <v>3</v>
      </c>
    </row>
  </sheetData>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FF00"/>
    <pageSetUpPr fitToPage="1"/>
  </sheetPr>
  <dimension ref="A1:E40"/>
  <sheetViews>
    <sheetView workbookViewId="0">
      <selection activeCell="A13" sqref="A13:XFD13"/>
    </sheetView>
  </sheetViews>
  <sheetFormatPr defaultRowHeight="12.75" x14ac:dyDescent="0.2"/>
  <cols>
    <col min="1" max="1" width="46.42578125" style="262" bestFit="1" customWidth="1"/>
    <col min="2" max="3" width="14.7109375" style="262" bestFit="1" customWidth="1"/>
    <col min="4" max="4" width="6.85546875" style="262" bestFit="1" customWidth="1"/>
    <col min="5" max="5" width="30.7109375" style="262" bestFit="1" customWidth="1"/>
    <col min="6" max="6" width="4.7109375" style="262" bestFit="1" customWidth="1"/>
    <col min="7" max="256" width="9.140625" style="262"/>
    <col min="257" max="257" width="46.42578125" style="262" bestFit="1" customWidth="1"/>
    <col min="258" max="259" width="14.7109375" style="262" bestFit="1" customWidth="1"/>
    <col min="260" max="260" width="6.85546875" style="262" bestFit="1" customWidth="1"/>
    <col min="261" max="261" width="30.7109375" style="262" bestFit="1" customWidth="1"/>
    <col min="262" max="262" width="4.7109375" style="262" bestFit="1" customWidth="1"/>
    <col min="263" max="512" width="9.140625" style="262"/>
    <col min="513" max="513" width="46.42578125" style="262" bestFit="1" customWidth="1"/>
    <col min="514" max="515" width="14.7109375" style="262" bestFit="1" customWidth="1"/>
    <col min="516" max="516" width="6.85546875" style="262" bestFit="1" customWidth="1"/>
    <col min="517" max="517" width="30.7109375" style="262" bestFit="1" customWidth="1"/>
    <col min="518" max="518" width="4.7109375" style="262" bestFit="1" customWidth="1"/>
    <col min="519" max="768" width="9.140625" style="262"/>
    <col min="769" max="769" width="46.42578125" style="262" bestFit="1" customWidth="1"/>
    <col min="770" max="771" width="14.7109375" style="262" bestFit="1" customWidth="1"/>
    <col min="772" max="772" width="6.85546875" style="262" bestFit="1" customWidth="1"/>
    <col min="773" max="773" width="30.7109375" style="262" bestFit="1" customWidth="1"/>
    <col min="774" max="774" width="4.7109375" style="262" bestFit="1" customWidth="1"/>
    <col min="775" max="1024" width="9.140625" style="262"/>
    <col min="1025" max="1025" width="46.42578125" style="262" bestFit="1" customWidth="1"/>
    <col min="1026" max="1027" width="14.7109375" style="262" bestFit="1" customWidth="1"/>
    <col min="1028" max="1028" width="6.85546875" style="262" bestFit="1" customWidth="1"/>
    <col min="1029" max="1029" width="30.7109375" style="262" bestFit="1" customWidth="1"/>
    <col min="1030" max="1030" width="4.7109375" style="262" bestFit="1" customWidth="1"/>
    <col min="1031" max="1280" width="9.140625" style="262"/>
    <col min="1281" max="1281" width="46.42578125" style="262" bestFit="1" customWidth="1"/>
    <col min="1282" max="1283" width="14.7109375" style="262" bestFit="1" customWidth="1"/>
    <col min="1284" max="1284" width="6.85546875" style="262" bestFit="1" customWidth="1"/>
    <col min="1285" max="1285" width="30.7109375" style="262" bestFit="1" customWidth="1"/>
    <col min="1286" max="1286" width="4.7109375" style="262" bestFit="1" customWidth="1"/>
    <col min="1287" max="1536" width="9.140625" style="262"/>
    <col min="1537" max="1537" width="46.42578125" style="262" bestFit="1" customWidth="1"/>
    <col min="1538" max="1539" width="14.7109375" style="262" bestFit="1" customWidth="1"/>
    <col min="1540" max="1540" width="6.85546875" style="262" bestFit="1" customWidth="1"/>
    <col min="1541" max="1541" width="30.7109375" style="262" bestFit="1" customWidth="1"/>
    <col min="1542" max="1542" width="4.7109375" style="262" bestFit="1" customWidth="1"/>
    <col min="1543" max="1792" width="9.140625" style="262"/>
    <col min="1793" max="1793" width="46.42578125" style="262" bestFit="1" customWidth="1"/>
    <col min="1794" max="1795" width="14.7109375" style="262" bestFit="1" customWidth="1"/>
    <col min="1796" max="1796" width="6.85546875" style="262" bestFit="1" customWidth="1"/>
    <col min="1797" max="1797" width="30.7109375" style="262" bestFit="1" customWidth="1"/>
    <col min="1798" max="1798" width="4.7109375" style="262" bestFit="1" customWidth="1"/>
    <col min="1799" max="2048" width="9.140625" style="262"/>
    <col min="2049" max="2049" width="46.42578125" style="262" bestFit="1" customWidth="1"/>
    <col min="2050" max="2051" width="14.7109375" style="262" bestFit="1" customWidth="1"/>
    <col min="2052" max="2052" width="6.85546875" style="262" bestFit="1" customWidth="1"/>
    <col min="2053" max="2053" width="30.7109375" style="262" bestFit="1" customWidth="1"/>
    <col min="2054" max="2054" width="4.7109375" style="262" bestFit="1" customWidth="1"/>
    <col min="2055" max="2304" width="9.140625" style="262"/>
    <col min="2305" max="2305" width="46.42578125" style="262" bestFit="1" customWidth="1"/>
    <col min="2306" max="2307" width="14.7109375" style="262" bestFit="1" customWidth="1"/>
    <col min="2308" max="2308" width="6.85546875" style="262" bestFit="1" customWidth="1"/>
    <col min="2309" max="2309" width="30.7109375" style="262" bestFit="1" customWidth="1"/>
    <col min="2310" max="2310" width="4.7109375" style="262" bestFit="1" customWidth="1"/>
    <col min="2311" max="2560" width="9.140625" style="262"/>
    <col min="2561" max="2561" width="46.42578125" style="262" bestFit="1" customWidth="1"/>
    <col min="2562" max="2563" width="14.7109375" style="262" bestFit="1" customWidth="1"/>
    <col min="2564" max="2564" width="6.85546875" style="262" bestFit="1" customWidth="1"/>
    <col min="2565" max="2565" width="30.7109375" style="262" bestFit="1" customWidth="1"/>
    <col min="2566" max="2566" width="4.7109375" style="262" bestFit="1" customWidth="1"/>
    <col min="2567" max="2816" width="9.140625" style="262"/>
    <col min="2817" max="2817" width="46.42578125" style="262" bestFit="1" customWidth="1"/>
    <col min="2818" max="2819" width="14.7109375" style="262" bestFit="1" customWidth="1"/>
    <col min="2820" max="2820" width="6.85546875" style="262" bestFit="1" customWidth="1"/>
    <col min="2821" max="2821" width="30.7109375" style="262" bestFit="1" customWidth="1"/>
    <col min="2822" max="2822" width="4.7109375" style="262" bestFit="1" customWidth="1"/>
    <col min="2823" max="3072" width="9.140625" style="262"/>
    <col min="3073" max="3073" width="46.42578125" style="262" bestFit="1" customWidth="1"/>
    <col min="3074" max="3075" width="14.7109375" style="262" bestFit="1" customWidth="1"/>
    <col min="3076" max="3076" width="6.85546875" style="262" bestFit="1" customWidth="1"/>
    <col min="3077" max="3077" width="30.7109375" style="262" bestFit="1" customWidth="1"/>
    <col min="3078" max="3078" width="4.7109375" style="262" bestFit="1" customWidth="1"/>
    <col min="3079" max="3328" width="9.140625" style="262"/>
    <col min="3329" max="3329" width="46.42578125" style="262" bestFit="1" customWidth="1"/>
    <col min="3330" max="3331" width="14.7109375" style="262" bestFit="1" customWidth="1"/>
    <col min="3332" max="3332" width="6.85546875" style="262" bestFit="1" customWidth="1"/>
    <col min="3333" max="3333" width="30.7109375" style="262" bestFit="1" customWidth="1"/>
    <col min="3334" max="3334" width="4.7109375" style="262" bestFit="1" customWidth="1"/>
    <col min="3335" max="3584" width="9.140625" style="262"/>
    <col min="3585" max="3585" width="46.42578125" style="262" bestFit="1" customWidth="1"/>
    <col min="3586" max="3587" width="14.7109375" style="262" bestFit="1" customWidth="1"/>
    <col min="3588" max="3588" width="6.85546875" style="262" bestFit="1" customWidth="1"/>
    <col min="3589" max="3589" width="30.7109375" style="262" bestFit="1" customWidth="1"/>
    <col min="3590" max="3590" width="4.7109375" style="262" bestFit="1" customWidth="1"/>
    <col min="3591" max="3840" width="9.140625" style="262"/>
    <col min="3841" max="3841" width="46.42578125" style="262" bestFit="1" customWidth="1"/>
    <col min="3842" max="3843" width="14.7109375" style="262" bestFit="1" customWidth="1"/>
    <col min="3844" max="3844" width="6.85546875" style="262" bestFit="1" customWidth="1"/>
    <col min="3845" max="3845" width="30.7109375" style="262" bestFit="1" customWidth="1"/>
    <col min="3846" max="3846" width="4.7109375" style="262" bestFit="1" customWidth="1"/>
    <col min="3847" max="4096" width="9.140625" style="262"/>
    <col min="4097" max="4097" width="46.42578125" style="262" bestFit="1" customWidth="1"/>
    <col min="4098" max="4099" width="14.7109375" style="262" bestFit="1" customWidth="1"/>
    <col min="4100" max="4100" width="6.85546875" style="262" bestFit="1" customWidth="1"/>
    <col min="4101" max="4101" width="30.7109375" style="262" bestFit="1" customWidth="1"/>
    <col min="4102" max="4102" width="4.7109375" style="262" bestFit="1" customWidth="1"/>
    <col min="4103" max="4352" width="9.140625" style="262"/>
    <col min="4353" max="4353" width="46.42578125" style="262" bestFit="1" customWidth="1"/>
    <col min="4354" max="4355" width="14.7109375" style="262" bestFit="1" customWidth="1"/>
    <col min="4356" max="4356" width="6.85546875" style="262" bestFit="1" customWidth="1"/>
    <col min="4357" max="4357" width="30.7109375" style="262" bestFit="1" customWidth="1"/>
    <col min="4358" max="4358" width="4.7109375" style="262" bestFit="1" customWidth="1"/>
    <col min="4359" max="4608" width="9.140625" style="262"/>
    <col min="4609" max="4609" width="46.42578125" style="262" bestFit="1" customWidth="1"/>
    <col min="4610" max="4611" width="14.7109375" style="262" bestFit="1" customWidth="1"/>
    <col min="4612" max="4612" width="6.85546875" style="262" bestFit="1" customWidth="1"/>
    <col min="4613" max="4613" width="30.7109375" style="262" bestFit="1" customWidth="1"/>
    <col min="4614" max="4614" width="4.7109375" style="262" bestFit="1" customWidth="1"/>
    <col min="4615" max="4864" width="9.140625" style="262"/>
    <col min="4865" max="4865" width="46.42578125" style="262" bestFit="1" customWidth="1"/>
    <col min="4866" max="4867" width="14.7109375" style="262" bestFit="1" customWidth="1"/>
    <col min="4868" max="4868" width="6.85546875" style="262" bestFit="1" customWidth="1"/>
    <col min="4869" max="4869" width="30.7109375" style="262" bestFit="1" customWidth="1"/>
    <col min="4870" max="4870" width="4.7109375" style="262" bestFit="1" customWidth="1"/>
    <col min="4871" max="5120" width="9.140625" style="262"/>
    <col min="5121" max="5121" width="46.42578125" style="262" bestFit="1" customWidth="1"/>
    <col min="5122" max="5123" width="14.7109375" style="262" bestFit="1" customWidth="1"/>
    <col min="5124" max="5124" width="6.85546875" style="262" bestFit="1" customWidth="1"/>
    <col min="5125" max="5125" width="30.7109375" style="262" bestFit="1" customWidth="1"/>
    <col min="5126" max="5126" width="4.7109375" style="262" bestFit="1" customWidth="1"/>
    <col min="5127" max="5376" width="9.140625" style="262"/>
    <col min="5377" max="5377" width="46.42578125" style="262" bestFit="1" customWidth="1"/>
    <col min="5378" max="5379" width="14.7109375" style="262" bestFit="1" customWidth="1"/>
    <col min="5380" max="5380" width="6.85546875" style="262" bestFit="1" customWidth="1"/>
    <col min="5381" max="5381" width="30.7109375" style="262" bestFit="1" customWidth="1"/>
    <col min="5382" max="5382" width="4.7109375" style="262" bestFit="1" customWidth="1"/>
    <col min="5383" max="5632" width="9.140625" style="262"/>
    <col min="5633" max="5633" width="46.42578125" style="262" bestFit="1" customWidth="1"/>
    <col min="5634" max="5635" width="14.7109375" style="262" bestFit="1" customWidth="1"/>
    <col min="5636" max="5636" width="6.85546875" style="262" bestFit="1" customWidth="1"/>
    <col min="5637" max="5637" width="30.7109375" style="262" bestFit="1" customWidth="1"/>
    <col min="5638" max="5638" width="4.7109375" style="262" bestFit="1" customWidth="1"/>
    <col min="5639" max="5888" width="9.140625" style="262"/>
    <col min="5889" max="5889" width="46.42578125" style="262" bestFit="1" customWidth="1"/>
    <col min="5890" max="5891" width="14.7109375" style="262" bestFit="1" customWidth="1"/>
    <col min="5892" max="5892" width="6.85546875" style="262" bestFit="1" customWidth="1"/>
    <col min="5893" max="5893" width="30.7109375" style="262" bestFit="1" customWidth="1"/>
    <col min="5894" max="5894" width="4.7109375" style="262" bestFit="1" customWidth="1"/>
    <col min="5895" max="6144" width="9.140625" style="262"/>
    <col min="6145" max="6145" width="46.42578125" style="262" bestFit="1" customWidth="1"/>
    <col min="6146" max="6147" width="14.7109375" style="262" bestFit="1" customWidth="1"/>
    <col min="6148" max="6148" width="6.85546875" style="262" bestFit="1" customWidth="1"/>
    <col min="6149" max="6149" width="30.7109375" style="262" bestFit="1" customWidth="1"/>
    <col min="6150" max="6150" width="4.7109375" style="262" bestFit="1" customWidth="1"/>
    <col min="6151" max="6400" width="9.140625" style="262"/>
    <col min="6401" max="6401" width="46.42578125" style="262" bestFit="1" customWidth="1"/>
    <col min="6402" max="6403" width="14.7109375" style="262" bestFit="1" customWidth="1"/>
    <col min="6404" max="6404" width="6.85546875" style="262" bestFit="1" customWidth="1"/>
    <col min="6405" max="6405" width="30.7109375" style="262" bestFit="1" customWidth="1"/>
    <col min="6406" max="6406" width="4.7109375" style="262" bestFit="1" customWidth="1"/>
    <col min="6407" max="6656" width="9.140625" style="262"/>
    <col min="6657" max="6657" width="46.42578125" style="262" bestFit="1" customWidth="1"/>
    <col min="6658" max="6659" width="14.7109375" style="262" bestFit="1" customWidth="1"/>
    <col min="6660" max="6660" width="6.85546875" style="262" bestFit="1" customWidth="1"/>
    <col min="6661" max="6661" width="30.7109375" style="262" bestFit="1" customWidth="1"/>
    <col min="6662" max="6662" width="4.7109375" style="262" bestFit="1" customWidth="1"/>
    <col min="6663" max="6912" width="9.140625" style="262"/>
    <col min="6913" max="6913" width="46.42578125" style="262" bestFit="1" customWidth="1"/>
    <col min="6914" max="6915" width="14.7109375" style="262" bestFit="1" customWidth="1"/>
    <col min="6916" max="6916" width="6.85546875" style="262" bestFit="1" customWidth="1"/>
    <col min="6917" max="6917" width="30.7109375" style="262" bestFit="1" customWidth="1"/>
    <col min="6918" max="6918" width="4.7109375" style="262" bestFit="1" customWidth="1"/>
    <col min="6919" max="7168" width="9.140625" style="262"/>
    <col min="7169" max="7169" width="46.42578125" style="262" bestFit="1" customWidth="1"/>
    <col min="7170" max="7171" width="14.7109375" style="262" bestFit="1" customWidth="1"/>
    <col min="7172" max="7172" width="6.85546875" style="262" bestFit="1" customWidth="1"/>
    <col min="7173" max="7173" width="30.7109375" style="262" bestFit="1" customWidth="1"/>
    <col min="7174" max="7174" width="4.7109375" style="262" bestFit="1" customWidth="1"/>
    <col min="7175" max="7424" width="9.140625" style="262"/>
    <col min="7425" max="7425" width="46.42578125" style="262" bestFit="1" customWidth="1"/>
    <col min="7426" max="7427" width="14.7109375" style="262" bestFit="1" customWidth="1"/>
    <col min="7428" max="7428" width="6.85546875" style="262" bestFit="1" customWidth="1"/>
    <col min="7429" max="7429" width="30.7109375" style="262" bestFit="1" customWidth="1"/>
    <col min="7430" max="7430" width="4.7109375" style="262" bestFit="1" customWidth="1"/>
    <col min="7431" max="7680" width="9.140625" style="262"/>
    <col min="7681" max="7681" width="46.42578125" style="262" bestFit="1" customWidth="1"/>
    <col min="7682" max="7683" width="14.7109375" style="262" bestFit="1" customWidth="1"/>
    <col min="7684" max="7684" width="6.85546875" style="262" bestFit="1" customWidth="1"/>
    <col min="7685" max="7685" width="30.7109375" style="262" bestFit="1" customWidth="1"/>
    <col min="7686" max="7686" width="4.7109375" style="262" bestFit="1" customWidth="1"/>
    <col min="7687" max="7936" width="9.140625" style="262"/>
    <col min="7937" max="7937" width="46.42578125" style="262" bestFit="1" customWidth="1"/>
    <col min="7938" max="7939" width="14.7109375" style="262" bestFit="1" customWidth="1"/>
    <col min="7940" max="7940" width="6.85546875" style="262" bestFit="1" customWidth="1"/>
    <col min="7941" max="7941" width="30.7109375" style="262" bestFit="1" customWidth="1"/>
    <col min="7942" max="7942" width="4.7109375" style="262" bestFit="1" customWidth="1"/>
    <col min="7943" max="8192" width="9.140625" style="262"/>
    <col min="8193" max="8193" width="46.42578125" style="262" bestFit="1" customWidth="1"/>
    <col min="8194" max="8195" width="14.7109375" style="262" bestFit="1" customWidth="1"/>
    <col min="8196" max="8196" width="6.85546875" style="262" bestFit="1" customWidth="1"/>
    <col min="8197" max="8197" width="30.7109375" style="262" bestFit="1" customWidth="1"/>
    <col min="8198" max="8198" width="4.7109375" style="262" bestFit="1" customWidth="1"/>
    <col min="8199" max="8448" width="9.140625" style="262"/>
    <col min="8449" max="8449" width="46.42578125" style="262" bestFit="1" customWidth="1"/>
    <col min="8450" max="8451" width="14.7109375" style="262" bestFit="1" customWidth="1"/>
    <col min="8452" max="8452" width="6.85546875" style="262" bestFit="1" customWidth="1"/>
    <col min="8453" max="8453" width="30.7109375" style="262" bestFit="1" customWidth="1"/>
    <col min="8454" max="8454" width="4.7109375" style="262" bestFit="1" customWidth="1"/>
    <col min="8455" max="8704" width="9.140625" style="262"/>
    <col min="8705" max="8705" width="46.42578125" style="262" bestFit="1" customWidth="1"/>
    <col min="8706" max="8707" width="14.7109375" style="262" bestFit="1" customWidth="1"/>
    <col min="8708" max="8708" width="6.85546875" style="262" bestFit="1" customWidth="1"/>
    <col min="8709" max="8709" width="30.7109375" style="262" bestFit="1" customWidth="1"/>
    <col min="8710" max="8710" width="4.7109375" style="262" bestFit="1" customWidth="1"/>
    <col min="8711" max="8960" width="9.140625" style="262"/>
    <col min="8961" max="8961" width="46.42578125" style="262" bestFit="1" customWidth="1"/>
    <col min="8962" max="8963" width="14.7109375" style="262" bestFit="1" customWidth="1"/>
    <col min="8964" max="8964" width="6.85546875" style="262" bestFit="1" customWidth="1"/>
    <col min="8965" max="8965" width="30.7109375" style="262" bestFit="1" customWidth="1"/>
    <col min="8966" max="8966" width="4.7109375" style="262" bestFit="1" customWidth="1"/>
    <col min="8967" max="9216" width="9.140625" style="262"/>
    <col min="9217" max="9217" width="46.42578125" style="262" bestFit="1" customWidth="1"/>
    <col min="9218" max="9219" width="14.7109375" style="262" bestFit="1" customWidth="1"/>
    <col min="9220" max="9220" width="6.85546875" style="262" bestFit="1" customWidth="1"/>
    <col min="9221" max="9221" width="30.7109375" style="262" bestFit="1" customWidth="1"/>
    <col min="9222" max="9222" width="4.7109375" style="262" bestFit="1" customWidth="1"/>
    <col min="9223" max="9472" width="9.140625" style="262"/>
    <col min="9473" max="9473" width="46.42578125" style="262" bestFit="1" customWidth="1"/>
    <col min="9474" max="9475" width="14.7109375" style="262" bestFit="1" customWidth="1"/>
    <col min="9476" max="9476" width="6.85546875" style="262" bestFit="1" customWidth="1"/>
    <col min="9477" max="9477" width="30.7109375" style="262" bestFit="1" customWidth="1"/>
    <col min="9478" max="9478" width="4.7109375" style="262" bestFit="1" customWidth="1"/>
    <col min="9479" max="9728" width="9.140625" style="262"/>
    <col min="9729" max="9729" width="46.42578125" style="262" bestFit="1" customWidth="1"/>
    <col min="9730" max="9731" width="14.7109375" style="262" bestFit="1" customWidth="1"/>
    <col min="9732" max="9732" width="6.85546875" style="262" bestFit="1" customWidth="1"/>
    <col min="9733" max="9733" width="30.7109375" style="262" bestFit="1" customWidth="1"/>
    <col min="9734" max="9734" width="4.7109375" style="262" bestFit="1" customWidth="1"/>
    <col min="9735" max="9984" width="9.140625" style="262"/>
    <col min="9985" max="9985" width="46.42578125" style="262" bestFit="1" customWidth="1"/>
    <col min="9986" max="9987" width="14.7109375" style="262" bestFit="1" customWidth="1"/>
    <col min="9988" max="9988" width="6.85546875" style="262" bestFit="1" customWidth="1"/>
    <col min="9989" max="9989" width="30.7109375" style="262" bestFit="1" customWidth="1"/>
    <col min="9990" max="9990" width="4.7109375" style="262" bestFit="1" customWidth="1"/>
    <col min="9991" max="10240" width="9.140625" style="262"/>
    <col min="10241" max="10241" width="46.42578125" style="262" bestFit="1" customWidth="1"/>
    <col min="10242" max="10243" width="14.7109375" style="262" bestFit="1" customWidth="1"/>
    <col min="10244" max="10244" width="6.85546875" style="262" bestFit="1" customWidth="1"/>
    <col min="10245" max="10245" width="30.7109375" style="262" bestFit="1" customWidth="1"/>
    <col min="10246" max="10246" width="4.7109375" style="262" bestFit="1" customWidth="1"/>
    <col min="10247" max="10496" width="9.140625" style="262"/>
    <col min="10497" max="10497" width="46.42578125" style="262" bestFit="1" customWidth="1"/>
    <col min="10498" max="10499" width="14.7109375" style="262" bestFit="1" customWidth="1"/>
    <col min="10500" max="10500" width="6.85546875" style="262" bestFit="1" customWidth="1"/>
    <col min="10501" max="10501" width="30.7109375" style="262" bestFit="1" customWidth="1"/>
    <col min="10502" max="10502" width="4.7109375" style="262" bestFit="1" customWidth="1"/>
    <col min="10503" max="10752" width="9.140625" style="262"/>
    <col min="10753" max="10753" width="46.42578125" style="262" bestFit="1" customWidth="1"/>
    <col min="10754" max="10755" width="14.7109375" style="262" bestFit="1" customWidth="1"/>
    <col min="10756" max="10756" width="6.85546875" style="262" bestFit="1" customWidth="1"/>
    <col min="10757" max="10757" width="30.7109375" style="262" bestFit="1" customWidth="1"/>
    <col min="10758" max="10758" width="4.7109375" style="262" bestFit="1" customWidth="1"/>
    <col min="10759" max="11008" width="9.140625" style="262"/>
    <col min="11009" max="11009" width="46.42578125" style="262" bestFit="1" customWidth="1"/>
    <col min="11010" max="11011" width="14.7109375" style="262" bestFit="1" customWidth="1"/>
    <col min="11012" max="11012" width="6.85546875" style="262" bestFit="1" customWidth="1"/>
    <col min="11013" max="11013" width="30.7109375" style="262" bestFit="1" customWidth="1"/>
    <col min="11014" max="11014" width="4.7109375" style="262" bestFit="1" customWidth="1"/>
    <col min="11015" max="11264" width="9.140625" style="262"/>
    <col min="11265" max="11265" width="46.42578125" style="262" bestFit="1" customWidth="1"/>
    <col min="11266" max="11267" width="14.7109375" style="262" bestFit="1" customWidth="1"/>
    <col min="11268" max="11268" width="6.85546875" style="262" bestFit="1" customWidth="1"/>
    <col min="11269" max="11269" width="30.7109375" style="262" bestFit="1" customWidth="1"/>
    <col min="11270" max="11270" width="4.7109375" style="262" bestFit="1" customWidth="1"/>
    <col min="11271" max="11520" width="9.140625" style="262"/>
    <col min="11521" max="11521" width="46.42578125" style="262" bestFit="1" customWidth="1"/>
    <col min="11522" max="11523" width="14.7109375" style="262" bestFit="1" customWidth="1"/>
    <col min="11524" max="11524" width="6.85546875" style="262" bestFit="1" customWidth="1"/>
    <col min="11525" max="11525" width="30.7109375" style="262" bestFit="1" customWidth="1"/>
    <col min="11526" max="11526" width="4.7109375" style="262" bestFit="1" customWidth="1"/>
    <col min="11527" max="11776" width="9.140625" style="262"/>
    <col min="11777" max="11777" width="46.42578125" style="262" bestFit="1" customWidth="1"/>
    <col min="11778" max="11779" width="14.7109375" style="262" bestFit="1" customWidth="1"/>
    <col min="11780" max="11780" width="6.85546875" style="262" bestFit="1" customWidth="1"/>
    <col min="11781" max="11781" width="30.7109375" style="262" bestFit="1" customWidth="1"/>
    <col min="11782" max="11782" width="4.7109375" style="262" bestFit="1" customWidth="1"/>
    <col min="11783" max="12032" width="9.140625" style="262"/>
    <col min="12033" max="12033" width="46.42578125" style="262" bestFit="1" customWidth="1"/>
    <col min="12034" max="12035" width="14.7109375" style="262" bestFit="1" customWidth="1"/>
    <col min="12036" max="12036" width="6.85546875" style="262" bestFit="1" customWidth="1"/>
    <col min="12037" max="12037" width="30.7109375" style="262" bestFit="1" customWidth="1"/>
    <col min="12038" max="12038" width="4.7109375" style="262" bestFit="1" customWidth="1"/>
    <col min="12039" max="12288" width="9.140625" style="262"/>
    <col min="12289" max="12289" width="46.42578125" style="262" bestFit="1" customWidth="1"/>
    <col min="12290" max="12291" width="14.7109375" style="262" bestFit="1" customWidth="1"/>
    <col min="12292" max="12292" width="6.85546875" style="262" bestFit="1" customWidth="1"/>
    <col min="12293" max="12293" width="30.7109375" style="262" bestFit="1" customWidth="1"/>
    <col min="12294" max="12294" width="4.7109375" style="262" bestFit="1" customWidth="1"/>
    <col min="12295" max="12544" width="9.140625" style="262"/>
    <col min="12545" max="12545" width="46.42578125" style="262" bestFit="1" customWidth="1"/>
    <col min="12546" max="12547" width="14.7109375" style="262" bestFit="1" customWidth="1"/>
    <col min="12548" max="12548" width="6.85546875" style="262" bestFit="1" customWidth="1"/>
    <col min="12549" max="12549" width="30.7109375" style="262" bestFit="1" customWidth="1"/>
    <col min="12550" max="12550" width="4.7109375" style="262" bestFit="1" customWidth="1"/>
    <col min="12551" max="12800" width="9.140625" style="262"/>
    <col min="12801" max="12801" width="46.42578125" style="262" bestFit="1" customWidth="1"/>
    <col min="12802" max="12803" width="14.7109375" style="262" bestFit="1" customWidth="1"/>
    <col min="12804" max="12804" width="6.85546875" style="262" bestFit="1" customWidth="1"/>
    <col min="12805" max="12805" width="30.7109375" style="262" bestFit="1" customWidth="1"/>
    <col min="12806" max="12806" width="4.7109375" style="262" bestFit="1" customWidth="1"/>
    <col min="12807" max="13056" width="9.140625" style="262"/>
    <col min="13057" max="13057" width="46.42578125" style="262" bestFit="1" customWidth="1"/>
    <col min="13058" max="13059" width="14.7109375" style="262" bestFit="1" customWidth="1"/>
    <col min="13060" max="13060" width="6.85546875" style="262" bestFit="1" customWidth="1"/>
    <col min="13061" max="13061" width="30.7109375" style="262" bestFit="1" customWidth="1"/>
    <col min="13062" max="13062" width="4.7109375" style="262" bestFit="1" customWidth="1"/>
    <col min="13063" max="13312" width="9.140625" style="262"/>
    <col min="13313" max="13313" width="46.42578125" style="262" bestFit="1" customWidth="1"/>
    <col min="13314" max="13315" width="14.7109375" style="262" bestFit="1" customWidth="1"/>
    <col min="13316" max="13316" width="6.85546875" style="262" bestFit="1" customWidth="1"/>
    <col min="13317" max="13317" width="30.7109375" style="262" bestFit="1" customWidth="1"/>
    <col min="13318" max="13318" width="4.7109375" style="262" bestFit="1" customWidth="1"/>
    <col min="13319" max="13568" width="9.140625" style="262"/>
    <col min="13569" max="13569" width="46.42578125" style="262" bestFit="1" customWidth="1"/>
    <col min="13570" max="13571" width="14.7109375" style="262" bestFit="1" customWidth="1"/>
    <col min="13572" max="13572" width="6.85546875" style="262" bestFit="1" customWidth="1"/>
    <col min="13573" max="13573" width="30.7109375" style="262" bestFit="1" customWidth="1"/>
    <col min="13574" max="13574" width="4.7109375" style="262" bestFit="1" customWidth="1"/>
    <col min="13575" max="13824" width="9.140625" style="262"/>
    <col min="13825" max="13825" width="46.42578125" style="262" bestFit="1" customWidth="1"/>
    <col min="13826" max="13827" width="14.7109375" style="262" bestFit="1" customWidth="1"/>
    <col min="13828" max="13828" width="6.85546875" style="262" bestFit="1" customWidth="1"/>
    <col min="13829" max="13829" width="30.7109375" style="262" bestFit="1" customWidth="1"/>
    <col min="13830" max="13830" width="4.7109375" style="262" bestFit="1" customWidth="1"/>
    <col min="13831" max="14080" width="9.140625" style="262"/>
    <col min="14081" max="14081" width="46.42578125" style="262" bestFit="1" customWidth="1"/>
    <col min="14082" max="14083" width="14.7109375" style="262" bestFit="1" customWidth="1"/>
    <col min="14084" max="14084" width="6.85546875" style="262" bestFit="1" customWidth="1"/>
    <col min="14085" max="14085" width="30.7109375" style="262" bestFit="1" customWidth="1"/>
    <col min="14086" max="14086" width="4.7109375" style="262" bestFit="1" customWidth="1"/>
    <col min="14087" max="14336" width="9.140625" style="262"/>
    <col min="14337" max="14337" width="46.42578125" style="262" bestFit="1" customWidth="1"/>
    <col min="14338" max="14339" width="14.7109375" style="262" bestFit="1" customWidth="1"/>
    <col min="14340" max="14340" width="6.85546875" style="262" bestFit="1" customWidth="1"/>
    <col min="14341" max="14341" width="30.7109375" style="262" bestFit="1" customWidth="1"/>
    <col min="14342" max="14342" width="4.7109375" style="262" bestFit="1" customWidth="1"/>
    <col min="14343" max="14592" width="9.140625" style="262"/>
    <col min="14593" max="14593" width="46.42578125" style="262" bestFit="1" customWidth="1"/>
    <col min="14594" max="14595" width="14.7109375" style="262" bestFit="1" customWidth="1"/>
    <col min="14596" max="14596" width="6.85546875" style="262" bestFit="1" customWidth="1"/>
    <col min="14597" max="14597" width="30.7109375" style="262" bestFit="1" customWidth="1"/>
    <col min="14598" max="14598" width="4.7109375" style="262" bestFit="1" customWidth="1"/>
    <col min="14599" max="14848" width="9.140625" style="262"/>
    <col min="14849" max="14849" width="46.42578125" style="262" bestFit="1" customWidth="1"/>
    <col min="14850" max="14851" width="14.7109375" style="262" bestFit="1" customWidth="1"/>
    <col min="14852" max="14852" width="6.85546875" style="262" bestFit="1" customWidth="1"/>
    <col min="14853" max="14853" width="30.7109375" style="262" bestFit="1" customWidth="1"/>
    <col min="14854" max="14854" width="4.7109375" style="262" bestFit="1" customWidth="1"/>
    <col min="14855" max="15104" width="9.140625" style="262"/>
    <col min="15105" max="15105" width="46.42578125" style="262" bestFit="1" customWidth="1"/>
    <col min="15106" max="15107" width="14.7109375" style="262" bestFit="1" customWidth="1"/>
    <col min="15108" max="15108" width="6.85546875" style="262" bestFit="1" customWidth="1"/>
    <col min="15109" max="15109" width="30.7109375" style="262" bestFit="1" customWidth="1"/>
    <col min="15110" max="15110" width="4.7109375" style="262" bestFit="1" customWidth="1"/>
    <col min="15111" max="15360" width="9.140625" style="262"/>
    <col min="15361" max="15361" width="46.42578125" style="262" bestFit="1" customWidth="1"/>
    <col min="15362" max="15363" width="14.7109375" style="262" bestFit="1" customWidth="1"/>
    <col min="15364" max="15364" width="6.85546875" style="262" bestFit="1" customWidth="1"/>
    <col min="15365" max="15365" width="30.7109375" style="262" bestFit="1" customWidth="1"/>
    <col min="15366" max="15366" width="4.7109375" style="262" bestFit="1" customWidth="1"/>
    <col min="15367" max="15616" width="9.140625" style="262"/>
    <col min="15617" max="15617" width="46.42578125" style="262" bestFit="1" customWidth="1"/>
    <col min="15618" max="15619" width="14.7109375" style="262" bestFit="1" customWidth="1"/>
    <col min="15620" max="15620" width="6.85546875" style="262" bestFit="1" customWidth="1"/>
    <col min="15621" max="15621" width="30.7109375" style="262" bestFit="1" customWidth="1"/>
    <col min="15622" max="15622" width="4.7109375" style="262" bestFit="1" customWidth="1"/>
    <col min="15623" max="15872" width="9.140625" style="262"/>
    <col min="15873" max="15873" width="46.42578125" style="262" bestFit="1" customWidth="1"/>
    <col min="15874" max="15875" width="14.7109375" style="262" bestFit="1" customWidth="1"/>
    <col min="15876" max="15876" width="6.85546875" style="262" bestFit="1" customWidth="1"/>
    <col min="15877" max="15877" width="30.7109375" style="262" bestFit="1" customWidth="1"/>
    <col min="15878" max="15878" width="4.7109375" style="262" bestFit="1" customWidth="1"/>
    <col min="15879" max="16128" width="9.140625" style="262"/>
    <col min="16129" max="16129" width="46.42578125" style="262" bestFit="1" customWidth="1"/>
    <col min="16130" max="16131" width="14.7109375" style="262" bestFit="1" customWidth="1"/>
    <col min="16132" max="16132" width="6.85546875" style="262" bestFit="1" customWidth="1"/>
    <col min="16133" max="16133" width="30.7109375" style="262" bestFit="1" customWidth="1"/>
    <col min="16134" max="16134" width="4.7109375" style="262" bestFit="1" customWidth="1"/>
    <col min="16135" max="16384" width="9.140625" style="262"/>
  </cols>
  <sheetData>
    <row r="1" spans="1:4" ht="15.75" customHeight="1" x14ac:dyDescent="0.2">
      <c r="A1" s="351" t="s">
        <v>2</v>
      </c>
      <c r="B1" s="351"/>
      <c r="C1" s="351"/>
      <c r="D1" s="351"/>
    </row>
    <row r="2" spans="1:4" s="265" customFormat="1" ht="19.5" customHeight="1" x14ac:dyDescent="0.2">
      <c r="A2" s="263" t="s">
        <v>68</v>
      </c>
      <c r="B2" s="264" t="s">
        <v>69</v>
      </c>
      <c r="C2" s="264" t="s">
        <v>70</v>
      </c>
    </row>
    <row r="3" spans="1:4" s="265" customFormat="1" ht="18" customHeight="1" x14ac:dyDescent="0.2">
      <c r="A3" s="266" t="s">
        <v>71</v>
      </c>
      <c r="B3" s="267">
        <v>5</v>
      </c>
      <c r="C3" s="267">
        <v>5</v>
      </c>
    </row>
    <row r="4" spans="1:4" s="265" customFormat="1" ht="18" customHeight="1" x14ac:dyDescent="0.2">
      <c r="A4" s="266" t="s">
        <v>72</v>
      </c>
      <c r="B4" s="267">
        <v>3</v>
      </c>
      <c r="C4" s="267">
        <v>3</v>
      </c>
    </row>
    <row r="5" spans="1:4" s="265" customFormat="1" ht="18" customHeight="1" x14ac:dyDescent="0.2">
      <c r="A5" s="266" t="s">
        <v>73</v>
      </c>
      <c r="B5" s="267">
        <v>3</v>
      </c>
      <c r="C5" s="267">
        <v>3</v>
      </c>
    </row>
    <row r="6" spans="1:4" s="265" customFormat="1" ht="18" customHeight="1" x14ac:dyDescent="0.2">
      <c r="A6" s="266" t="s">
        <v>74</v>
      </c>
      <c r="B6" s="267">
        <v>6</v>
      </c>
      <c r="C6" s="267">
        <v>5</v>
      </c>
    </row>
    <row r="7" spans="1:4" s="265" customFormat="1" ht="18" customHeight="1" x14ac:dyDescent="0.2">
      <c r="A7" s="266" t="s">
        <v>75</v>
      </c>
      <c r="B7" s="267">
        <v>3038</v>
      </c>
      <c r="C7" s="267">
        <v>2315</v>
      </c>
    </row>
    <row r="8" spans="1:4" s="265" customFormat="1" ht="18" customHeight="1" x14ac:dyDescent="0.2">
      <c r="A8" s="266" t="s">
        <v>76</v>
      </c>
      <c r="B8" s="267">
        <v>2549</v>
      </c>
      <c r="C8" s="267">
        <v>2435</v>
      </c>
    </row>
    <row r="9" spans="1:4" s="265" customFormat="1" ht="18" customHeight="1" x14ac:dyDescent="0.2">
      <c r="A9" s="266" t="s">
        <v>77</v>
      </c>
      <c r="B9" s="267">
        <v>2245</v>
      </c>
      <c r="C9" s="267">
        <v>2110</v>
      </c>
    </row>
    <row r="10" spans="1:4" s="265" customFormat="1" ht="18" customHeight="1" x14ac:dyDescent="0.2">
      <c r="A10" s="266" t="s">
        <v>78</v>
      </c>
      <c r="B10" s="267">
        <v>162</v>
      </c>
      <c r="C10" s="267">
        <v>173</v>
      </c>
    </row>
    <row r="11" spans="1:4" s="265" customFormat="1" ht="18" customHeight="1" x14ac:dyDescent="0.2">
      <c r="A11" s="266" t="s">
        <v>79</v>
      </c>
      <c r="B11" s="267">
        <v>1200</v>
      </c>
      <c r="C11" s="267">
        <v>1708</v>
      </c>
    </row>
    <row r="12" spans="1:4" s="265" customFormat="1" ht="18" customHeight="1" x14ac:dyDescent="0.2">
      <c r="A12" s="266" t="s">
        <v>80</v>
      </c>
      <c r="B12" s="267">
        <v>2647</v>
      </c>
      <c r="C12" s="267">
        <v>2004</v>
      </c>
    </row>
    <row r="13" spans="1:4" s="265" customFormat="1" ht="18" customHeight="1" x14ac:dyDescent="0.2">
      <c r="A13" s="266" t="s">
        <v>81</v>
      </c>
      <c r="B13" s="267">
        <v>9227</v>
      </c>
      <c r="C13" s="267">
        <v>9390</v>
      </c>
    </row>
    <row r="14" spans="1:4" s="265" customFormat="1" ht="18" customHeight="1" x14ac:dyDescent="0.2">
      <c r="A14" s="266" t="s">
        <v>82</v>
      </c>
      <c r="B14" s="267">
        <v>19</v>
      </c>
      <c r="C14" s="267">
        <v>20</v>
      </c>
    </row>
    <row r="15" spans="1:4" s="265" customFormat="1" ht="18" customHeight="1" x14ac:dyDescent="0.2">
      <c r="A15" s="266" t="s">
        <v>83</v>
      </c>
      <c r="B15" s="267">
        <v>2</v>
      </c>
      <c r="C15" s="267">
        <v>2</v>
      </c>
    </row>
    <row r="16" spans="1:4" s="265" customFormat="1" ht="18" customHeight="1" x14ac:dyDescent="0.2">
      <c r="A16" s="266" t="s">
        <v>84</v>
      </c>
      <c r="B16" s="267">
        <v>276</v>
      </c>
      <c r="C16" s="267">
        <v>277</v>
      </c>
    </row>
    <row r="17" spans="1:3" s="265" customFormat="1" ht="18" customHeight="1" x14ac:dyDescent="0.2">
      <c r="A17" s="266" t="s">
        <v>85</v>
      </c>
      <c r="B17" s="267">
        <v>594</v>
      </c>
      <c r="C17" s="267">
        <v>598</v>
      </c>
    </row>
    <row r="18" spans="1:3" s="265" customFormat="1" ht="18" customHeight="1" x14ac:dyDescent="0.2">
      <c r="A18" s="266" t="s">
        <v>86</v>
      </c>
      <c r="B18" s="267">
        <v>195</v>
      </c>
      <c r="C18" s="267">
        <v>209</v>
      </c>
    </row>
    <row r="19" spans="1:3" s="265" customFormat="1" ht="18" customHeight="1" x14ac:dyDescent="0.2">
      <c r="A19" s="266" t="s">
        <v>87</v>
      </c>
      <c r="B19" s="267">
        <v>66</v>
      </c>
      <c r="C19" s="267">
        <v>66</v>
      </c>
    </row>
    <row r="20" spans="1:3" s="265" customFormat="1" ht="18" customHeight="1" x14ac:dyDescent="0.2">
      <c r="A20" s="266" t="s">
        <v>88</v>
      </c>
      <c r="B20" s="267">
        <v>1</v>
      </c>
      <c r="C20" s="267">
        <v>2</v>
      </c>
    </row>
    <row r="21" spans="1:3" s="265" customFormat="1" ht="18" customHeight="1" x14ac:dyDescent="0.2">
      <c r="A21" s="266" t="s">
        <v>89</v>
      </c>
      <c r="B21" s="267">
        <v>32</v>
      </c>
      <c r="C21" s="267">
        <v>32</v>
      </c>
    </row>
    <row r="22" spans="1:3" s="265" customFormat="1" ht="18" customHeight="1" x14ac:dyDescent="0.2">
      <c r="A22" s="266" t="s">
        <v>90</v>
      </c>
      <c r="B22" s="267">
        <v>7</v>
      </c>
      <c r="C22" s="267">
        <v>7</v>
      </c>
    </row>
    <row r="23" spans="1:3" s="265" customFormat="1" ht="18" customHeight="1" x14ac:dyDescent="0.2">
      <c r="A23" s="266" t="s">
        <v>91</v>
      </c>
      <c r="B23" s="267">
        <v>5</v>
      </c>
      <c r="C23" s="267">
        <v>5</v>
      </c>
    </row>
    <row r="24" spans="1:3" s="265" customFormat="1" ht="18" customHeight="1" x14ac:dyDescent="0.2">
      <c r="A24" s="266" t="s">
        <v>92</v>
      </c>
      <c r="B24" s="267">
        <v>73</v>
      </c>
      <c r="C24" s="267">
        <v>77</v>
      </c>
    </row>
    <row r="25" spans="1:3" s="265" customFormat="1" ht="18" customHeight="1" x14ac:dyDescent="0.2">
      <c r="A25" s="266" t="s">
        <v>93</v>
      </c>
      <c r="B25" s="267">
        <v>195</v>
      </c>
      <c r="C25" s="267">
        <v>190</v>
      </c>
    </row>
    <row r="26" spans="1:3" s="265" customFormat="1" ht="18" customHeight="1" x14ac:dyDescent="0.2">
      <c r="A26" s="266" t="s">
        <v>94</v>
      </c>
      <c r="B26" s="267">
        <v>232</v>
      </c>
      <c r="C26" s="267">
        <v>248</v>
      </c>
    </row>
    <row r="27" spans="1:3" s="265" customFormat="1" ht="18" customHeight="1" x14ac:dyDescent="0.2">
      <c r="A27" s="266" t="s">
        <v>95</v>
      </c>
      <c r="B27" s="267">
        <v>395</v>
      </c>
      <c r="C27" s="267">
        <v>532</v>
      </c>
    </row>
    <row r="28" spans="1:3" s="265" customFormat="1" ht="18" customHeight="1" x14ac:dyDescent="0.2">
      <c r="A28" s="266" t="s">
        <v>96</v>
      </c>
      <c r="B28" s="267">
        <v>270</v>
      </c>
      <c r="C28" s="267">
        <v>315</v>
      </c>
    </row>
    <row r="29" spans="1:3" s="265" customFormat="1" ht="18" customHeight="1" x14ac:dyDescent="0.2">
      <c r="A29" s="266" t="s">
        <v>97</v>
      </c>
      <c r="B29" s="267">
        <v>45</v>
      </c>
      <c r="C29" s="267">
        <v>47</v>
      </c>
    </row>
    <row r="30" spans="1:3" s="265" customFormat="1" ht="18" customHeight="1" x14ac:dyDescent="0.2">
      <c r="A30" s="266" t="s">
        <v>98</v>
      </c>
      <c r="B30" s="267">
        <v>887</v>
      </c>
      <c r="C30" s="267">
        <v>1131</v>
      </c>
    </row>
    <row r="31" spans="1:3" s="265" customFormat="1" ht="18" customHeight="1" x14ac:dyDescent="0.2">
      <c r="A31" s="266" t="s">
        <v>99</v>
      </c>
      <c r="B31" s="267">
        <v>481</v>
      </c>
      <c r="C31" s="267">
        <v>620</v>
      </c>
    </row>
    <row r="32" spans="1:3" s="265" customFormat="1" ht="18" customHeight="1" x14ac:dyDescent="0.2">
      <c r="A32" s="266" t="s">
        <v>100</v>
      </c>
      <c r="B32" s="267">
        <v>6</v>
      </c>
      <c r="C32" s="267">
        <v>11</v>
      </c>
    </row>
    <row r="33" spans="1:5" s="265" customFormat="1" ht="18" customHeight="1" x14ac:dyDescent="0.2">
      <c r="A33" s="266" t="s">
        <v>101</v>
      </c>
      <c r="B33" s="267">
        <v>1</v>
      </c>
      <c r="C33" s="267">
        <v>1</v>
      </c>
    </row>
    <row r="34" spans="1:5" s="265" customFormat="1" ht="18" customHeight="1" x14ac:dyDescent="0.2">
      <c r="A34" s="266" t="s">
        <v>102</v>
      </c>
      <c r="B34" s="267">
        <v>2</v>
      </c>
      <c r="C34" s="267">
        <v>2</v>
      </c>
    </row>
    <row r="35" spans="1:5" s="265" customFormat="1" ht="18" customHeight="1" x14ac:dyDescent="0.2">
      <c r="A35" s="266" t="s">
        <v>103</v>
      </c>
      <c r="B35" s="267">
        <v>1</v>
      </c>
      <c r="C35" s="267">
        <v>1</v>
      </c>
    </row>
    <row r="36" spans="1:5" s="265" customFormat="1" ht="18" customHeight="1" x14ac:dyDescent="0.2">
      <c r="A36" s="266" t="s">
        <v>104</v>
      </c>
      <c r="B36" s="267">
        <v>2</v>
      </c>
      <c r="C36" s="267">
        <v>2</v>
      </c>
    </row>
    <row r="37" spans="1:5" s="265" customFormat="1" ht="12" customHeight="1" x14ac:dyDescent="0.15">
      <c r="A37" s="352" t="s">
        <v>105</v>
      </c>
      <c r="B37" s="352"/>
      <c r="C37" s="352"/>
      <c r="D37" s="352"/>
      <c r="E37" s="352"/>
    </row>
    <row r="38" spans="1:5" s="265" customFormat="1" ht="11.25" customHeight="1" x14ac:dyDescent="0.15">
      <c r="A38" s="352" t="s">
        <v>106</v>
      </c>
      <c r="B38" s="352"/>
      <c r="C38" s="352"/>
      <c r="D38" s="352"/>
      <c r="E38" s="352"/>
    </row>
    <row r="39" spans="1:5" s="265" customFormat="1" ht="11.25" customHeight="1" x14ac:dyDescent="0.15">
      <c r="A39" s="352" t="s">
        <v>107</v>
      </c>
      <c r="B39" s="352"/>
      <c r="C39" s="352"/>
      <c r="D39" s="352"/>
      <c r="E39" s="352"/>
    </row>
    <row r="40" spans="1:5" s="265" customFormat="1" ht="28.35" customHeight="1" x14ac:dyDescent="0.2"/>
  </sheetData>
  <mergeCells count="4">
    <mergeCell ref="A1:D1"/>
    <mergeCell ref="A37:E37"/>
    <mergeCell ref="A38:E38"/>
    <mergeCell ref="A39:E39"/>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15"/>
  <sheetViews>
    <sheetView workbookViewId="0">
      <selection sqref="A1:J1"/>
    </sheetView>
  </sheetViews>
  <sheetFormatPr defaultRowHeight="12.75" x14ac:dyDescent="0.2"/>
  <cols>
    <col min="1" max="1" width="7" style="262" bestFit="1" customWidth="1"/>
    <col min="2" max="2" width="35.140625" style="262" bestFit="1" customWidth="1"/>
    <col min="3" max="9" width="14.7109375" style="262" bestFit="1" customWidth="1"/>
    <col min="10" max="10" width="11.7109375" style="262" bestFit="1" customWidth="1"/>
    <col min="11" max="11" width="7.7109375" style="262" bestFit="1" customWidth="1"/>
    <col min="12" max="256" width="9.140625" style="262"/>
    <col min="257" max="257" width="7" style="262" bestFit="1" customWidth="1"/>
    <col min="258" max="258" width="35.140625" style="262" bestFit="1" customWidth="1"/>
    <col min="259" max="265" width="14.7109375" style="262" bestFit="1" customWidth="1"/>
    <col min="266" max="266" width="11.7109375" style="262" bestFit="1" customWidth="1"/>
    <col min="267" max="267" width="7.7109375" style="262" bestFit="1" customWidth="1"/>
    <col min="268" max="512" width="9.140625" style="262"/>
    <col min="513" max="513" width="7" style="262" bestFit="1" customWidth="1"/>
    <col min="514" max="514" width="35.140625" style="262" bestFit="1" customWidth="1"/>
    <col min="515" max="521" width="14.7109375" style="262" bestFit="1" customWidth="1"/>
    <col min="522" max="522" width="11.7109375" style="262" bestFit="1" customWidth="1"/>
    <col min="523" max="523" width="7.7109375" style="262" bestFit="1" customWidth="1"/>
    <col min="524" max="768" width="9.140625" style="262"/>
    <col min="769" max="769" width="7" style="262" bestFit="1" customWidth="1"/>
    <col min="770" max="770" width="35.140625" style="262" bestFit="1" customWidth="1"/>
    <col min="771" max="777" width="14.7109375" style="262" bestFit="1" customWidth="1"/>
    <col min="778" max="778" width="11.7109375" style="262" bestFit="1" customWidth="1"/>
    <col min="779" max="779" width="7.7109375" style="262" bestFit="1" customWidth="1"/>
    <col min="780" max="1024" width="9.140625" style="262"/>
    <col min="1025" max="1025" width="7" style="262" bestFit="1" customWidth="1"/>
    <col min="1026" max="1026" width="35.140625" style="262" bestFit="1" customWidth="1"/>
    <col min="1027" max="1033" width="14.7109375" style="262" bestFit="1" customWidth="1"/>
    <col min="1034" max="1034" width="11.7109375" style="262" bestFit="1" customWidth="1"/>
    <col min="1035" max="1035" width="7.7109375" style="262" bestFit="1" customWidth="1"/>
    <col min="1036" max="1280" width="9.140625" style="262"/>
    <col min="1281" max="1281" width="7" style="262" bestFit="1" customWidth="1"/>
    <col min="1282" max="1282" width="35.140625" style="262" bestFit="1" customWidth="1"/>
    <col min="1283" max="1289" width="14.7109375" style="262" bestFit="1" customWidth="1"/>
    <col min="1290" max="1290" width="11.7109375" style="262" bestFit="1" customWidth="1"/>
    <col min="1291" max="1291" width="7.7109375" style="262" bestFit="1" customWidth="1"/>
    <col min="1292" max="1536" width="9.140625" style="262"/>
    <col min="1537" max="1537" width="7" style="262" bestFit="1" customWidth="1"/>
    <col min="1538" max="1538" width="35.140625" style="262" bestFit="1" customWidth="1"/>
    <col min="1539" max="1545" width="14.7109375" style="262" bestFit="1" customWidth="1"/>
    <col min="1546" max="1546" width="11.7109375" style="262" bestFit="1" customWidth="1"/>
    <col min="1547" max="1547" width="7.7109375" style="262" bestFit="1" customWidth="1"/>
    <col min="1548" max="1792" width="9.140625" style="262"/>
    <col min="1793" max="1793" width="7" style="262" bestFit="1" customWidth="1"/>
    <col min="1794" max="1794" width="35.140625" style="262" bestFit="1" customWidth="1"/>
    <col min="1795" max="1801" width="14.7109375" style="262" bestFit="1" customWidth="1"/>
    <col min="1802" max="1802" width="11.7109375" style="262" bestFit="1" customWidth="1"/>
    <col min="1803" max="1803" width="7.7109375" style="262" bestFit="1" customWidth="1"/>
    <col min="1804" max="2048" width="9.140625" style="262"/>
    <col min="2049" max="2049" width="7" style="262" bestFit="1" customWidth="1"/>
    <col min="2050" max="2050" width="35.140625" style="262" bestFit="1" customWidth="1"/>
    <col min="2051" max="2057" width="14.7109375" style="262" bestFit="1" customWidth="1"/>
    <col min="2058" max="2058" width="11.7109375" style="262" bestFit="1" customWidth="1"/>
    <col min="2059" max="2059" width="7.7109375" style="262" bestFit="1" customWidth="1"/>
    <col min="2060" max="2304" width="9.140625" style="262"/>
    <col min="2305" max="2305" width="7" style="262" bestFit="1" customWidth="1"/>
    <col min="2306" max="2306" width="35.140625" style="262" bestFit="1" customWidth="1"/>
    <col min="2307" max="2313" width="14.7109375" style="262" bestFit="1" customWidth="1"/>
    <col min="2314" max="2314" width="11.7109375" style="262" bestFit="1" customWidth="1"/>
    <col min="2315" max="2315" width="7.7109375" style="262" bestFit="1" customWidth="1"/>
    <col min="2316" max="2560" width="9.140625" style="262"/>
    <col min="2561" max="2561" width="7" style="262" bestFit="1" customWidth="1"/>
    <col min="2562" max="2562" width="35.140625" style="262" bestFit="1" customWidth="1"/>
    <col min="2563" max="2569" width="14.7109375" style="262" bestFit="1" customWidth="1"/>
    <col min="2570" max="2570" width="11.7109375" style="262" bestFit="1" customWidth="1"/>
    <col min="2571" max="2571" width="7.7109375" style="262" bestFit="1" customWidth="1"/>
    <col min="2572" max="2816" width="9.140625" style="262"/>
    <col min="2817" max="2817" width="7" style="262" bestFit="1" customWidth="1"/>
    <col min="2818" max="2818" width="35.140625" style="262" bestFit="1" customWidth="1"/>
    <col min="2819" max="2825" width="14.7109375" style="262" bestFit="1" customWidth="1"/>
    <col min="2826" max="2826" width="11.7109375" style="262" bestFit="1" customWidth="1"/>
    <col min="2827" max="2827" width="7.7109375" style="262" bestFit="1" customWidth="1"/>
    <col min="2828" max="3072" width="9.140625" style="262"/>
    <col min="3073" max="3073" width="7" style="262" bestFit="1" customWidth="1"/>
    <col min="3074" max="3074" width="35.140625" style="262" bestFit="1" customWidth="1"/>
    <col min="3075" max="3081" width="14.7109375" style="262" bestFit="1" customWidth="1"/>
    <col min="3082" max="3082" width="11.7109375" style="262" bestFit="1" customWidth="1"/>
    <col min="3083" max="3083" width="7.7109375" style="262" bestFit="1" customWidth="1"/>
    <col min="3084" max="3328" width="9.140625" style="262"/>
    <col min="3329" max="3329" width="7" style="262" bestFit="1" customWidth="1"/>
    <col min="3330" max="3330" width="35.140625" style="262" bestFit="1" customWidth="1"/>
    <col min="3331" max="3337" width="14.7109375" style="262" bestFit="1" customWidth="1"/>
    <col min="3338" max="3338" width="11.7109375" style="262" bestFit="1" customWidth="1"/>
    <col min="3339" max="3339" width="7.7109375" style="262" bestFit="1" customWidth="1"/>
    <col min="3340" max="3584" width="9.140625" style="262"/>
    <col min="3585" max="3585" width="7" style="262" bestFit="1" customWidth="1"/>
    <col min="3586" max="3586" width="35.140625" style="262" bestFit="1" customWidth="1"/>
    <col min="3587" max="3593" width="14.7109375" style="262" bestFit="1" customWidth="1"/>
    <col min="3594" max="3594" width="11.7109375" style="262" bestFit="1" customWidth="1"/>
    <col min="3595" max="3595" width="7.7109375" style="262" bestFit="1" customWidth="1"/>
    <col min="3596" max="3840" width="9.140625" style="262"/>
    <col min="3841" max="3841" width="7" style="262" bestFit="1" customWidth="1"/>
    <col min="3842" max="3842" width="35.140625" style="262" bestFit="1" customWidth="1"/>
    <col min="3843" max="3849" width="14.7109375" style="262" bestFit="1" customWidth="1"/>
    <col min="3850" max="3850" width="11.7109375" style="262" bestFit="1" customWidth="1"/>
    <col min="3851" max="3851" width="7.7109375" style="262" bestFit="1" customWidth="1"/>
    <col min="3852" max="4096" width="9.140625" style="262"/>
    <col min="4097" max="4097" width="7" style="262" bestFit="1" customWidth="1"/>
    <col min="4098" max="4098" width="35.140625" style="262" bestFit="1" customWidth="1"/>
    <col min="4099" max="4105" width="14.7109375" style="262" bestFit="1" customWidth="1"/>
    <col min="4106" max="4106" width="11.7109375" style="262" bestFit="1" customWidth="1"/>
    <col min="4107" max="4107" width="7.7109375" style="262" bestFit="1" customWidth="1"/>
    <col min="4108" max="4352" width="9.140625" style="262"/>
    <col min="4353" max="4353" width="7" style="262" bestFit="1" customWidth="1"/>
    <col min="4354" max="4354" width="35.140625" style="262" bestFit="1" customWidth="1"/>
    <col min="4355" max="4361" width="14.7109375" style="262" bestFit="1" customWidth="1"/>
    <col min="4362" max="4362" width="11.7109375" style="262" bestFit="1" customWidth="1"/>
    <col min="4363" max="4363" width="7.7109375" style="262" bestFit="1" customWidth="1"/>
    <col min="4364" max="4608" width="9.140625" style="262"/>
    <col min="4609" max="4609" width="7" style="262" bestFit="1" customWidth="1"/>
    <col min="4610" max="4610" width="35.140625" style="262" bestFit="1" customWidth="1"/>
    <col min="4611" max="4617" width="14.7109375" style="262" bestFit="1" customWidth="1"/>
    <col min="4618" max="4618" width="11.7109375" style="262" bestFit="1" customWidth="1"/>
    <col min="4619" max="4619" width="7.7109375" style="262" bestFit="1" customWidth="1"/>
    <col min="4620" max="4864" width="9.140625" style="262"/>
    <col min="4865" max="4865" width="7" style="262" bestFit="1" customWidth="1"/>
    <col min="4866" max="4866" width="35.140625" style="262" bestFit="1" customWidth="1"/>
    <col min="4867" max="4873" width="14.7109375" style="262" bestFit="1" customWidth="1"/>
    <col min="4874" max="4874" width="11.7109375" style="262" bestFit="1" customWidth="1"/>
    <col min="4875" max="4875" width="7.7109375" style="262" bestFit="1" customWidth="1"/>
    <col min="4876" max="5120" width="9.140625" style="262"/>
    <col min="5121" max="5121" width="7" style="262" bestFit="1" customWidth="1"/>
    <col min="5122" max="5122" width="35.140625" style="262" bestFit="1" customWidth="1"/>
    <col min="5123" max="5129" width="14.7109375" style="262" bestFit="1" customWidth="1"/>
    <col min="5130" max="5130" width="11.7109375" style="262" bestFit="1" customWidth="1"/>
    <col min="5131" max="5131" width="7.7109375" style="262" bestFit="1" customWidth="1"/>
    <col min="5132" max="5376" width="9.140625" style="262"/>
    <col min="5377" max="5377" width="7" style="262" bestFit="1" customWidth="1"/>
    <col min="5378" max="5378" width="35.140625" style="262" bestFit="1" customWidth="1"/>
    <col min="5379" max="5385" width="14.7109375" style="262" bestFit="1" customWidth="1"/>
    <col min="5386" max="5386" width="11.7109375" style="262" bestFit="1" customWidth="1"/>
    <col min="5387" max="5387" width="7.7109375" style="262" bestFit="1" customWidth="1"/>
    <col min="5388" max="5632" width="9.140625" style="262"/>
    <col min="5633" max="5633" width="7" style="262" bestFit="1" customWidth="1"/>
    <col min="5634" max="5634" width="35.140625" style="262" bestFit="1" customWidth="1"/>
    <col min="5635" max="5641" width="14.7109375" style="262" bestFit="1" customWidth="1"/>
    <col min="5642" max="5642" width="11.7109375" style="262" bestFit="1" customWidth="1"/>
    <col min="5643" max="5643" width="7.7109375" style="262" bestFit="1" customWidth="1"/>
    <col min="5644" max="5888" width="9.140625" style="262"/>
    <col min="5889" max="5889" width="7" style="262" bestFit="1" customWidth="1"/>
    <col min="5890" max="5890" width="35.140625" style="262" bestFit="1" customWidth="1"/>
    <col min="5891" max="5897" width="14.7109375" style="262" bestFit="1" customWidth="1"/>
    <col min="5898" max="5898" width="11.7109375" style="262" bestFit="1" customWidth="1"/>
    <col min="5899" max="5899" width="7.7109375" style="262" bestFit="1" customWidth="1"/>
    <col min="5900" max="6144" width="9.140625" style="262"/>
    <col min="6145" max="6145" width="7" style="262" bestFit="1" customWidth="1"/>
    <col min="6146" max="6146" width="35.140625" style="262" bestFit="1" customWidth="1"/>
    <col min="6147" max="6153" width="14.7109375" style="262" bestFit="1" customWidth="1"/>
    <col min="6154" max="6154" width="11.7109375" style="262" bestFit="1" customWidth="1"/>
    <col min="6155" max="6155" width="7.7109375" style="262" bestFit="1" customWidth="1"/>
    <col min="6156" max="6400" width="9.140625" style="262"/>
    <col min="6401" max="6401" width="7" style="262" bestFit="1" customWidth="1"/>
    <col min="6402" max="6402" width="35.140625" style="262" bestFit="1" customWidth="1"/>
    <col min="6403" max="6409" width="14.7109375" style="262" bestFit="1" customWidth="1"/>
    <col min="6410" max="6410" width="11.7109375" style="262" bestFit="1" customWidth="1"/>
    <col min="6411" max="6411" width="7.7109375" style="262" bestFit="1" customWidth="1"/>
    <col min="6412" max="6656" width="9.140625" style="262"/>
    <col min="6657" max="6657" width="7" style="262" bestFit="1" customWidth="1"/>
    <col min="6658" max="6658" width="35.140625" style="262" bestFit="1" customWidth="1"/>
    <col min="6659" max="6665" width="14.7109375" style="262" bestFit="1" customWidth="1"/>
    <col min="6666" max="6666" width="11.7109375" style="262" bestFit="1" customWidth="1"/>
    <col min="6667" max="6667" width="7.7109375" style="262" bestFit="1" customWidth="1"/>
    <col min="6668" max="6912" width="9.140625" style="262"/>
    <col min="6913" max="6913" width="7" style="262" bestFit="1" customWidth="1"/>
    <col min="6914" max="6914" width="35.140625" style="262" bestFit="1" customWidth="1"/>
    <col min="6915" max="6921" width="14.7109375" style="262" bestFit="1" customWidth="1"/>
    <col min="6922" max="6922" width="11.7109375" style="262" bestFit="1" customWidth="1"/>
    <col min="6923" max="6923" width="7.7109375" style="262" bestFit="1" customWidth="1"/>
    <col min="6924" max="7168" width="9.140625" style="262"/>
    <col min="7169" max="7169" width="7" style="262" bestFit="1" customWidth="1"/>
    <col min="7170" max="7170" width="35.140625" style="262" bestFit="1" customWidth="1"/>
    <col min="7171" max="7177" width="14.7109375" style="262" bestFit="1" customWidth="1"/>
    <col min="7178" max="7178" width="11.7109375" style="262" bestFit="1" customWidth="1"/>
    <col min="7179" max="7179" width="7.7109375" style="262" bestFit="1" customWidth="1"/>
    <col min="7180" max="7424" width="9.140625" style="262"/>
    <col min="7425" max="7425" width="7" style="262" bestFit="1" customWidth="1"/>
    <col min="7426" max="7426" width="35.140625" style="262" bestFit="1" customWidth="1"/>
    <col min="7427" max="7433" width="14.7109375" style="262" bestFit="1" customWidth="1"/>
    <col min="7434" max="7434" width="11.7109375" style="262" bestFit="1" customWidth="1"/>
    <col min="7435" max="7435" width="7.7109375" style="262" bestFit="1" customWidth="1"/>
    <col min="7436" max="7680" width="9.140625" style="262"/>
    <col min="7681" max="7681" width="7" style="262" bestFit="1" customWidth="1"/>
    <col min="7682" max="7682" width="35.140625" style="262" bestFit="1" customWidth="1"/>
    <col min="7683" max="7689" width="14.7109375" style="262" bestFit="1" customWidth="1"/>
    <col min="7690" max="7690" width="11.7109375" style="262" bestFit="1" customWidth="1"/>
    <col min="7691" max="7691" width="7.7109375" style="262" bestFit="1" customWidth="1"/>
    <col min="7692" max="7936" width="9.140625" style="262"/>
    <col min="7937" max="7937" width="7" style="262" bestFit="1" customWidth="1"/>
    <col min="7938" max="7938" width="35.140625" style="262" bestFit="1" customWidth="1"/>
    <col min="7939" max="7945" width="14.7109375" style="262" bestFit="1" customWidth="1"/>
    <col min="7946" max="7946" width="11.7109375" style="262" bestFit="1" customWidth="1"/>
    <col min="7947" max="7947" width="7.7109375" style="262" bestFit="1" customWidth="1"/>
    <col min="7948" max="8192" width="9.140625" style="262"/>
    <col min="8193" max="8193" width="7" style="262" bestFit="1" customWidth="1"/>
    <col min="8194" max="8194" width="35.140625" style="262" bestFit="1" customWidth="1"/>
    <col min="8195" max="8201" width="14.7109375" style="262" bestFit="1" customWidth="1"/>
    <col min="8202" max="8202" width="11.7109375" style="262" bestFit="1" customWidth="1"/>
    <col min="8203" max="8203" width="7.7109375" style="262" bestFit="1" customWidth="1"/>
    <col min="8204" max="8448" width="9.140625" style="262"/>
    <col min="8449" max="8449" width="7" style="262" bestFit="1" customWidth="1"/>
    <col min="8450" max="8450" width="35.140625" style="262" bestFit="1" customWidth="1"/>
    <col min="8451" max="8457" width="14.7109375" style="262" bestFit="1" customWidth="1"/>
    <col min="8458" max="8458" width="11.7109375" style="262" bestFit="1" customWidth="1"/>
    <col min="8459" max="8459" width="7.7109375" style="262" bestFit="1" customWidth="1"/>
    <col min="8460" max="8704" width="9.140625" style="262"/>
    <col min="8705" max="8705" width="7" style="262" bestFit="1" customWidth="1"/>
    <col min="8706" max="8706" width="35.140625" style="262" bestFit="1" customWidth="1"/>
    <col min="8707" max="8713" width="14.7109375" style="262" bestFit="1" customWidth="1"/>
    <col min="8714" max="8714" width="11.7109375" style="262" bestFit="1" customWidth="1"/>
    <col min="8715" max="8715" width="7.7109375" style="262" bestFit="1" customWidth="1"/>
    <col min="8716" max="8960" width="9.140625" style="262"/>
    <col min="8961" max="8961" width="7" style="262" bestFit="1" customWidth="1"/>
    <col min="8962" max="8962" width="35.140625" style="262" bestFit="1" customWidth="1"/>
    <col min="8963" max="8969" width="14.7109375" style="262" bestFit="1" customWidth="1"/>
    <col min="8970" max="8970" width="11.7109375" style="262" bestFit="1" customWidth="1"/>
    <col min="8971" max="8971" width="7.7109375" style="262" bestFit="1" customWidth="1"/>
    <col min="8972" max="9216" width="9.140625" style="262"/>
    <col min="9217" max="9217" width="7" style="262" bestFit="1" customWidth="1"/>
    <col min="9218" max="9218" width="35.140625" style="262" bestFit="1" customWidth="1"/>
    <col min="9219" max="9225" width="14.7109375" style="262" bestFit="1" customWidth="1"/>
    <col min="9226" max="9226" width="11.7109375" style="262" bestFit="1" customWidth="1"/>
    <col min="9227" max="9227" width="7.7109375" style="262" bestFit="1" customWidth="1"/>
    <col min="9228" max="9472" width="9.140625" style="262"/>
    <col min="9473" max="9473" width="7" style="262" bestFit="1" customWidth="1"/>
    <col min="9474" max="9474" width="35.140625" style="262" bestFit="1" customWidth="1"/>
    <col min="9475" max="9481" width="14.7109375" style="262" bestFit="1" customWidth="1"/>
    <col min="9482" max="9482" width="11.7109375" style="262" bestFit="1" customWidth="1"/>
    <col min="9483" max="9483" width="7.7109375" style="262" bestFit="1" customWidth="1"/>
    <col min="9484" max="9728" width="9.140625" style="262"/>
    <col min="9729" max="9729" width="7" style="262" bestFit="1" customWidth="1"/>
    <col min="9730" max="9730" width="35.140625" style="262" bestFit="1" customWidth="1"/>
    <col min="9731" max="9737" width="14.7109375" style="262" bestFit="1" customWidth="1"/>
    <col min="9738" max="9738" width="11.7109375" style="262" bestFit="1" customWidth="1"/>
    <col min="9739" max="9739" width="7.7109375" style="262" bestFit="1" customWidth="1"/>
    <col min="9740" max="9984" width="9.140625" style="262"/>
    <col min="9985" max="9985" width="7" style="262" bestFit="1" customWidth="1"/>
    <col min="9986" max="9986" width="35.140625" style="262" bestFit="1" customWidth="1"/>
    <col min="9987" max="9993" width="14.7109375" style="262" bestFit="1" customWidth="1"/>
    <col min="9994" max="9994" width="11.7109375" style="262" bestFit="1" customWidth="1"/>
    <col min="9995" max="9995" width="7.7109375" style="262" bestFit="1" customWidth="1"/>
    <col min="9996" max="10240" width="9.140625" style="262"/>
    <col min="10241" max="10241" width="7" style="262" bestFit="1" customWidth="1"/>
    <col min="10242" max="10242" width="35.140625" style="262" bestFit="1" customWidth="1"/>
    <col min="10243" max="10249" width="14.7109375" style="262" bestFit="1" customWidth="1"/>
    <col min="10250" max="10250" width="11.7109375" style="262" bestFit="1" customWidth="1"/>
    <col min="10251" max="10251" width="7.7109375" style="262" bestFit="1" customWidth="1"/>
    <col min="10252" max="10496" width="9.140625" style="262"/>
    <col min="10497" max="10497" width="7" style="262" bestFit="1" customWidth="1"/>
    <col min="10498" max="10498" width="35.140625" style="262" bestFit="1" customWidth="1"/>
    <col min="10499" max="10505" width="14.7109375" style="262" bestFit="1" customWidth="1"/>
    <col min="10506" max="10506" width="11.7109375" style="262" bestFit="1" customWidth="1"/>
    <col min="10507" max="10507" width="7.7109375" style="262" bestFit="1" customWidth="1"/>
    <col min="10508" max="10752" width="9.140625" style="262"/>
    <col min="10753" max="10753" width="7" style="262" bestFit="1" customWidth="1"/>
    <col min="10754" max="10754" width="35.140625" style="262" bestFit="1" customWidth="1"/>
    <col min="10755" max="10761" width="14.7109375" style="262" bestFit="1" customWidth="1"/>
    <col min="10762" max="10762" width="11.7109375" style="262" bestFit="1" customWidth="1"/>
    <col min="10763" max="10763" width="7.7109375" style="262" bestFit="1" customWidth="1"/>
    <col min="10764" max="11008" width="9.140625" style="262"/>
    <col min="11009" max="11009" width="7" style="262" bestFit="1" customWidth="1"/>
    <col min="11010" max="11010" width="35.140625" style="262" bestFit="1" customWidth="1"/>
    <col min="11011" max="11017" width="14.7109375" style="262" bestFit="1" customWidth="1"/>
    <col min="11018" max="11018" width="11.7109375" style="262" bestFit="1" customWidth="1"/>
    <col min="11019" max="11019" width="7.7109375" style="262" bestFit="1" customWidth="1"/>
    <col min="11020" max="11264" width="9.140625" style="262"/>
    <col min="11265" max="11265" width="7" style="262" bestFit="1" customWidth="1"/>
    <col min="11266" max="11266" width="35.140625" style="262" bestFit="1" customWidth="1"/>
    <col min="11267" max="11273" width="14.7109375" style="262" bestFit="1" customWidth="1"/>
    <col min="11274" max="11274" width="11.7109375" style="262" bestFit="1" customWidth="1"/>
    <col min="11275" max="11275" width="7.7109375" style="262" bestFit="1" customWidth="1"/>
    <col min="11276" max="11520" width="9.140625" style="262"/>
    <col min="11521" max="11521" width="7" style="262" bestFit="1" customWidth="1"/>
    <col min="11522" max="11522" width="35.140625" style="262" bestFit="1" customWidth="1"/>
    <col min="11523" max="11529" width="14.7109375" style="262" bestFit="1" customWidth="1"/>
    <col min="11530" max="11530" width="11.7109375" style="262" bestFit="1" customWidth="1"/>
    <col min="11531" max="11531" width="7.7109375" style="262" bestFit="1" customWidth="1"/>
    <col min="11532" max="11776" width="9.140625" style="262"/>
    <col min="11777" max="11777" width="7" style="262" bestFit="1" customWidth="1"/>
    <col min="11778" max="11778" width="35.140625" style="262" bestFit="1" customWidth="1"/>
    <col min="11779" max="11785" width="14.7109375" style="262" bestFit="1" customWidth="1"/>
    <col min="11786" max="11786" width="11.7109375" style="262" bestFit="1" customWidth="1"/>
    <col min="11787" max="11787" width="7.7109375" style="262" bestFit="1" customWidth="1"/>
    <col min="11788" max="12032" width="9.140625" style="262"/>
    <col min="12033" max="12033" width="7" style="262" bestFit="1" customWidth="1"/>
    <col min="12034" max="12034" width="35.140625" style="262" bestFit="1" customWidth="1"/>
    <col min="12035" max="12041" width="14.7109375" style="262" bestFit="1" customWidth="1"/>
    <col min="12042" max="12042" width="11.7109375" style="262" bestFit="1" customWidth="1"/>
    <col min="12043" max="12043" width="7.7109375" style="262" bestFit="1" customWidth="1"/>
    <col min="12044" max="12288" width="9.140625" style="262"/>
    <col min="12289" max="12289" width="7" style="262" bestFit="1" customWidth="1"/>
    <col min="12290" max="12290" width="35.140625" style="262" bestFit="1" customWidth="1"/>
    <col min="12291" max="12297" width="14.7109375" style="262" bestFit="1" customWidth="1"/>
    <col min="12298" max="12298" width="11.7109375" style="262" bestFit="1" customWidth="1"/>
    <col min="12299" max="12299" width="7.7109375" style="262" bestFit="1" customWidth="1"/>
    <col min="12300" max="12544" width="9.140625" style="262"/>
    <col min="12545" max="12545" width="7" style="262" bestFit="1" customWidth="1"/>
    <col min="12546" max="12546" width="35.140625" style="262" bestFit="1" customWidth="1"/>
    <col min="12547" max="12553" width="14.7109375" style="262" bestFit="1" customWidth="1"/>
    <col min="12554" max="12554" width="11.7109375" style="262" bestFit="1" customWidth="1"/>
    <col min="12555" max="12555" width="7.7109375" style="262" bestFit="1" customWidth="1"/>
    <col min="12556" max="12800" width="9.140625" style="262"/>
    <col min="12801" max="12801" width="7" style="262" bestFit="1" customWidth="1"/>
    <col min="12802" max="12802" width="35.140625" style="262" bestFit="1" customWidth="1"/>
    <col min="12803" max="12809" width="14.7109375" style="262" bestFit="1" customWidth="1"/>
    <col min="12810" max="12810" width="11.7109375" style="262" bestFit="1" customWidth="1"/>
    <col min="12811" max="12811" width="7.7109375" style="262" bestFit="1" customWidth="1"/>
    <col min="12812" max="13056" width="9.140625" style="262"/>
    <col min="13057" max="13057" width="7" style="262" bestFit="1" customWidth="1"/>
    <col min="13058" max="13058" width="35.140625" style="262" bestFit="1" customWidth="1"/>
    <col min="13059" max="13065" width="14.7109375" style="262" bestFit="1" customWidth="1"/>
    <col min="13066" max="13066" width="11.7109375" style="262" bestFit="1" customWidth="1"/>
    <col min="13067" max="13067" width="7.7109375" style="262" bestFit="1" customWidth="1"/>
    <col min="13068" max="13312" width="9.140625" style="262"/>
    <col min="13313" max="13313" width="7" style="262" bestFit="1" customWidth="1"/>
    <col min="13314" max="13314" width="35.140625" style="262" bestFit="1" customWidth="1"/>
    <col min="13315" max="13321" width="14.7109375" style="262" bestFit="1" customWidth="1"/>
    <col min="13322" max="13322" width="11.7109375" style="262" bestFit="1" customWidth="1"/>
    <col min="13323" max="13323" width="7.7109375" style="262" bestFit="1" customWidth="1"/>
    <col min="13324" max="13568" width="9.140625" style="262"/>
    <col min="13569" max="13569" width="7" style="262" bestFit="1" customWidth="1"/>
    <col min="13570" max="13570" width="35.140625" style="262" bestFit="1" customWidth="1"/>
    <col min="13571" max="13577" width="14.7109375" style="262" bestFit="1" customWidth="1"/>
    <col min="13578" max="13578" width="11.7109375" style="262" bestFit="1" customWidth="1"/>
    <col min="13579" max="13579" width="7.7109375" style="262" bestFit="1" customWidth="1"/>
    <col min="13580" max="13824" width="9.140625" style="262"/>
    <col min="13825" max="13825" width="7" style="262" bestFit="1" customWidth="1"/>
    <col min="13826" max="13826" width="35.140625" style="262" bestFit="1" customWidth="1"/>
    <col min="13827" max="13833" width="14.7109375" style="262" bestFit="1" customWidth="1"/>
    <col min="13834" max="13834" width="11.7109375" style="262" bestFit="1" customWidth="1"/>
    <col min="13835" max="13835" width="7.7109375" style="262" bestFit="1" customWidth="1"/>
    <col min="13836" max="14080" width="9.140625" style="262"/>
    <col min="14081" max="14081" width="7" style="262" bestFit="1" customWidth="1"/>
    <col min="14082" max="14082" width="35.140625" style="262" bestFit="1" customWidth="1"/>
    <col min="14083" max="14089" width="14.7109375" style="262" bestFit="1" customWidth="1"/>
    <col min="14090" max="14090" width="11.7109375" style="262" bestFit="1" customWidth="1"/>
    <col min="14091" max="14091" width="7.7109375" style="262" bestFit="1" customWidth="1"/>
    <col min="14092" max="14336" width="9.140625" style="262"/>
    <col min="14337" max="14337" width="7" style="262" bestFit="1" customWidth="1"/>
    <col min="14338" max="14338" width="35.140625" style="262" bestFit="1" customWidth="1"/>
    <col min="14339" max="14345" width="14.7109375" style="262" bestFit="1" customWidth="1"/>
    <col min="14346" max="14346" width="11.7109375" style="262" bestFit="1" customWidth="1"/>
    <col min="14347" max="14347" width="7.7109375" style="262" bestFit="1" customWidth="1"/>
    <col min="14348" max="14592" width="9.140625" style="262"/>
    <col min="14593" max="14593" width="7" style="262" bestFit="1" customWidth="1"/>
    <col min="14594" max="14594" width="35.140625" style="262" bestFit="1" customWidth="1"/>
    <col min="14595" max="14601" width="14.7109375" style="262" bestFit="1" customWidth="1"/>
    <col min="14602" max="14602" width="11.7109375" style="262" bestFit="1" customWidth="1"/>
    <col min="14603" max="14603" width="7.7109375" style="262" bestFit="1" customWidth="1"/>
    <col min="14604" max="14848" width="9.140625" style="262"/>
    <col min="14849" max="14849" width="7" style="262" bestFit="1" customWidth="1"/>
    <col min="14850" max="14850" width="35.140625" style="262" bestFit="1" customWidth="1"/>
    <col min="14851" max="14857" width="14.7109375" style="262" bestFit="1" customWidth="1"/>
    <col min="14858" max="14858" width="11.7109375" style="262" bestFit="1" customWidth="1"/>
    <col min="14859" max="14859" width="7.7109375" style="262" bestFit="1" customWidth="1"/>
    <col min="14860" max="15104" width="9.140625" style="262"/>
    <col min="15105" max="15105" width="7" style="262" bestFit="1" customWidth="1"/>
    <col min="15106" max="15106" width="35.140625" style="262" bestFit="1" customWidth="1"/>
    <col min="15107" max="15113" width="14.7109375" style="262" bestFit="1" customWidth="1"/>
    <col min="15114" max="15114" width="11.7109375" style="262" bestFit="1" customWidth="1"/>
    <col min="15115" max="15115" width="7.7109375" style="262" bestFit="1" customWidth="1"/>
    <col min="15116" max="15360" width="9.140625" style="262"/>
    <col min="15361" max="15361" width="7" style="262" bestFit="1" customWidth="1"/>
    <col min="15362" max="15362" width="35.140625" style="262" bestFit="1" customWidth="1"/>
    <col min="15363" max="15369" width="14.7109375" style="262" bestFit="1" customWidth="1"/>
    <col min="15370" max="15370" width="11.7109375" style="262" bestFit="1" customWidth="1"/>
    <col min="15371" max="15371" width="7.7109375" style="262" bestFit="1" customWidth="1"/>
    <col min="15372" max="15616" width="9.140625" style="262"/>
    <col min="15617" max="15617" width="7" style="262" bestFit="1" customWidth="1"/>
    <col min="15618" max="15618" width="35.140625" style="262" bestFit="1" customWidth="1"/>
    <col min="15619" max="15625" width="14.7109375" style="262" bestFit="1" customWidth="1"/>
    <col min="15626" max="15626" width="11.7109375" style="262" bestFit="1" customWidth="1"/>
    <col min="15627" max="15627" width="7.7109375" style="262" bestFit="1" customWidth="1"/>
    <col min="15628" max="15872" width="9.140625" style="262"/>
    <col min="15873" max="15873" width="7" style="262" bestFit="1" customWidth="1"/>
    <col min="15874" max="15874" width="35.140625" style="262" bestFit="1" customWidth="1"/>
    <col min="15875" max="15881" width="14.7109375" style="262" bestFit="1" customWidth="1"/>
    <col min="15882" max="15882" width="11.7109375" style="262" bestFit="1" customWidth="1"/>
    <col min="15883" max="15883" width="7.7109375" style="262" bestFit="1" customWidth="1"/>
    <col min="15884" max="16128" width="9.140625" style="262"/>
    <col min="16129" max="16129" width="7" style="262" bestFit="1" customWidth="1"/>
    <col min="16130" max="16130" width="35.140625" style="262" bestFit="1" customWidth="1"/>
    <col min="16131" max="16137" width="14.7109375" style="262" bestFit="1" customWidth="1"/>
    <col min="16138" max="16138" width="11.7109375" style="262" bestFit="1" customWidth="1"/>
    <col min="16139" max="16139" width="7.7109375" style="262" bestFit="1" customWidth="1"/>
    <col min="16140" max="16384" width="9.140625" style="262"/>
  </cols>
  <sheetData>
    <row r="1" spans="1:10" ht="13.5" customHeight="1" x14ac:dyDescent="0.2">
      <c r="A1" s="351" t="s">
        <v>4</v>
      </c>
      <c r="B1" s="351"/>
      <c r="C1" s="351"/>
      <c r="D1" s="351"/>
      <c r="E1" s="351"/>
      <c r="F1" s="351"/>
      <c r="G1" s="351"/>
      <c r="H1" s="351"/>
      <c r="I1" s="351"/>
      <c r="J1" s="351"/>
    </row>
    <row r="2" spans="1:10" s="265" customFormat="1" ht="35.25" customHeight="1" x14ac:dyDescent="0.2">
      <c r="A2" s="269" t="s">
        <v>108</v>
      </c>
      <c r="B2" s="269" t="s">
        <v>109</v>
      </c>
      <c r="C2" s="269" t="s">
        <v>110</v>
      </c>
      <c r="D2" s="269" t="s">
        <v>111</v>
      </c>
      <c r="E2" s="269" t="s">
        <v>112</v>
      </c>
      <c r="F2" s="269" t="s">
        <v>113</v>
      </c>
      <c r="G2" s="270" t="s">
        <v>114</v>
      </c>
      <c r="H2" s="270" t="s">
        <v>115</v>
      </c>
      <c r="I2" s="270" t="s">
        <v>116</v>
      </c>
      <c r="J2" s="270" t="s">
        <v>117</v>
      </c>
    </row>
    <row r="3" spans="1:10" s="265" customFormat="1" ht="33.75" customHeight="1" x14ac:dyDescent="0.2">
      <c r="A3" s="271">
        <v>1</v>
      </c>
      <c r="B3" s="272" t="s">
        <v>118</v>
      </c>
      <c r="C3" s="273">
        <v>43525</v>
      </c>
      <c r="D3" s="274" t="s">
        <v>119</v>
      </c>
      <c r="E3" s="274" t="s">
        <v>120</v>
      </c>
      <c r="F3" s="271">
        <v>5196000</v>
      </c>
      <c r="G3" s="271">
        <v>10</v>
      </c>
      <c r="H3" s="271">
        <v>22</v>
      </c>
      <c r="I3" s="271">
        <v>32</v>
      </c>
      <c r="J3" s="275">
        <v>16.62</v>
      </c>
    </row>
    <row r="4" spans="1:10" s="265" customFormat="1" ht="33.75" customHeight="1" x14ac:dyDescent="0.2">
      <c r="A4" s="271">
        <v>2</v>
      </c>
      <c r="B4" s="272" t="s">
        <v>121</v>
      </c>
      <c r="C4" s="273">
        <v>43539</v>
      </c>
      <c r="D4" s="274" t="s">
        <v>122</v>
      </c>
      <c r="E4" s="274" t="s">
        <v>120</v>
      </c>
      <c r="F4" s="271">
        <v>2886300</v>
      </c>
      <c r="G4" s="271">
        <v>10</v>
      </c>
      <c r="H4" s="271">
        <v>76</v>
      </c>
      <c r="I4" s="271">
        <v>86</v>
      </c>
      <c r="J4" s="275">
        <v>24.822179999999999</v>
      </c>
    </row>
    <row r="5" spans="1:10" s="265" customFormat="1" ht="33.75" customHeight="1" x14ac:dyDescent="0.2">
      <c r="A5" s="271">
        <v>3</v>
      </c>
      <c r="B5" s="272" t="s">
        <v>123</v>
      </c>
      <c r="C5" s="273">
        <v>43542</v>
      </c>
      <c r="D5" s="274" t="s">
        <v>119</v>
      </c>
      <c r="E5" s="274" t="s">
        <v>120</v>
      </c>
      <c r="F5" s="271">
        <v>2120000</v>
      </c>
      <c r="G5" s="271">
        <v>10</v>
      </c>
      <c r="H5" s="271">
        <v>24</v>
      </c>
      <c r="I5" s="271">
        <v>34</v>
      </c>
      <c r="J5" s="275">
        <v>7.21</v>
      </c>
    </row>
    <row r="6" spans="1:10" s="265" customFormat="1" ht="33.75" customHeight="1" x14ac:dyDescent="0.2">
      <c r="A6" s="271">
        <v>4</v>
      </c>
      <c r="B6" s="272" t="s">
        <v>124</v>
      </c>
      <c r="C6" s="273">
        <v>43542</v>
      </c>
      <c r="D6" s="274" t="s">
        <v>119</v>
      </c>
      <c r="E6" s="274" t="s">
        <v>120</v>
      </c>
      <c r="F6" s="271">
        <v>5750000</v>
      </c>
      <c r="G6" s="271">
        <v>10</v>
      </c>
      <c r="H6" s="271">
        <v>41</v>
      </c>
      <c r="I6" s="271">
        <v>51</v>
      </c>
      <c r="J6" s="275">
        <v>29.33</v>
      </c>
    </row>
    <row r="7" spans="1:10" s="265" customFormat="1" ht="33.75" customHeight="1" x14ac:dyDescent="0.2">
      <c r="A7" s="271">
        <v>5</v>
      </c>
      <c r="B7" s="272" t="s">
        <v>125</v>
      </c>
      <c r="C7" s="273">
        <v>43543</v>
      </c>
      <c r="D7" s="274" t="s">
        <v>119</v>
      </c>
      <c r="E7" s="274" t="s">
        <v>120</v>
      </c>
      <c r="F7" s="271">
        <v>163000</v>
      </c>
      <c r="G7" s="271">
        <v>10</v>
      </c>
      <c r="H7" s="271">
        <v>122</v>
      </c>
      <c r="I7" s="271">
        <v>132</v>
      </c>
      <c r="J7" s="275">
        <v>2.15</v>
      </c>
    </row>
    <row r="8" spans="1:10" s="265" customFormat="1" ht="33.75" customHeight="1" x14ac:dyDescent="0.2">
      <c r="A8" s="271">
        <v>6</v>
      </c>
      <c r="B8" s="272" t="s">
        <v>126</v>
      </c>
      <c r="C8" s="273">
        <v>43544</v>
      </c>
      <c r="D8" s="274" t="s">
        <v>119</v>
      </c>
      <c r="E8" s="274" t="s">
        <v>120</v>
      </c>
      <c r="F8" s="271">
        <v>2310000</v>
      </c>
      <c r="G8" s="271">
        <v>10</v>
      </c>
      <c r="H8" s="271">
        <v>26</v>
      </c>
      <c r="I8" s="271">
        <v>36</v>
      </c>
      <c r="J8" s="275">
        <v>8.3160000000000007</v>
      </c>
    </row>
    <row r="9" spans="1:10" s="265" customFormat="1" ht="33.75" customHeight="1" x14ac:dyDescent="0.2">
      <c r="A9" s="271">
        <v>7</v>
      </c>
      <c r="B9" s="272" t="s">
        <v>127</v>
      </c>
      <c r="C9" s="273">
        <v>43544</v>
      </c>
      <c r="D9" s="274" t="s">
        <v>128</v>
      </c>
      <c r="E9" s="274" t="s">
        <v>120</v>
      </c>
      <c r="F9" s="271">
        <v>17670400</v>
      </c>
      <c r="G9" s="271">
        <v>10</v>
      </c>
      <c r="H9" s="271">
        <v>110</v>
      </c>
      <c r="I9" s="271">
        <v>120</v>
      </c>
      <c r="J9" s="275">
        <v>211.04</v>
      </c>
    </row>
    <row r="10" spans="1:10" s="265" customFormat="1" ht="33.75" customHeight="1" x14ac:dyDescent="0.2">
      <c r="A10" s="271">
        <v>8</v>
      </c>
      <c r="B10" s="272" t="s">
        <v>129</v>
      </c>
      <c r="C10" s="273">
        <v>43546</v>
      </c>
      <c r="D10" s="274" t="s">
        <v>119</v>
      </c>
      <c r="E10" s="274" t="s">
        <v>120</v>
      </c>
      <c r="F10" s="271">
        <v>1800000</v>
      </c>
      <c r="G10" s="271">
        <v>10</v>
      </c>
      <c r="H10" s="271">
        <v>10</v>
      </c>
      <c r="I10" s="271">
        <v>20</v>
      </c>
      <c r="J10" s="275">
        <v>3.6</v>
      </c>
    </row>
    <row r="11" spans="1:10" s="265" customFormat="1" ht="33.75" customHeight="1" x14ac:dyDescent="0.2">
      <c r="A11" s="271">
        <v>9</v>
      </c>
      <c r="B11" s="272" t="s">
        <v>130</v>
      </c>
      <c r="C11" s="273">
        <v>43551</v>
      </c>
      <c r="D11" s="274" t="s">
        <v>119</v>
      </c>
      <c r="E11" s="274" t="s">
        <v>120</v>
      </c>
      <c r="F11" s="271">
        <v>4302000</v>
      </c>
      <c r="G11" s="271">
        <v>10</v>
      </c>
      <c r="H11" s="271">
        <v>33</v>
      </c>
      <c r="I11" s="271">
        <v>43</v>
      </c>
      <c r="J11" s="275">
        <v>18.5</v>
      </c>
    </row>
    <row r="12" spans="1:10" s="265" customFormat="1" ht="33.75" customHeight="1" x14ac:dyDescent="0.2">
      <c r="A12" s="271">
        <v>10</v>
      </c>
      <c r="B12" s="272" t="s">
        <v>131</v>
      </c>
      <c r="C12" s="273">
        <v>43552</v>
      </c>
      <c r="D12" s="274" t="s">
        <v>119</v>
      </c>
      <c r="E12" s="274" t="s">
        <v>120</v>
      </c>
      <c r="F12" s="271">
        <v>1578400</v>
      </c>
      <c r="G12" s="271">
        <v>10</v>
      </c>
      <c r="H12" s="271">
        <v>242</v>
      </c>
      <c r="I12" s="271">
        <v>252</v>
      </c>
      <c r="J12" s="275">
        <v>39.775680000000001</v>
      </c>
    </row>
    <row r="13" spans="1:10" s="265" customFormat="1" ht="19.5" customHeight="1" x14ac:dyDescent="0.2">
      <c r="A13" s="353" t="s">
        <v>132</v>
      </c>
      <c r="B13" s="353"/>
      <c r="C13" s="353"/>
      <c r="D13" s="353"/>
      <c r="E13" s="353"/>
      <c r="F13" s="353"/>
    </row>
    <row r="14" spans="1:10" s="265" customFormat="1" ht="18" customHeight="1" x14ac:dyDescent="0.2">
      <c r="A14" s="353" t="s">
        <v>133</v>
      </c>
      <c r="B14" s="353"/>
      <c r="C14" s="353"/>
      <c r="D14" s="353"/>
      <c r="E14" s="353"/>
      <c r="F14" s="353"/>
    </row>
    <row r="15" spans="1:10" s="265" customFormat="1" ht="28.35" customHeight="1" x14ac:dyDescent="0.2"/>
  </sheetData>
  <mergeCells count="3">
    <mergeCell ref="A1:J1"/>
    <mergeCell ref="A13:F13"/>
    <mergeCell ref="A14:F14"/>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J6"/>
  <sheetViews>
    <sheetView workbookViewId="0">
      <selection sqref="A1:J1"/>
    </sheetView>
  </sheetViews>
  <sheetFormatPr defaultRowHeight="12.75" x14ac:dyDescent="0.2"/>
  <cols>
    <col min="1" max="1" width="8.140625" style="262" bestFit="1" customWidth="1"/>
    <col min="2" max="2" width="14.7109375" style="262" bestFit="1" customWidth="1"/>
    <col min="3" max="3" width="20.7109375" style="262" bestFit="1" customWidth="1"/>
    <col min="4" max="4" width="11.140625" style="262" bestFit="1" customWidth="1"/>
    <col min="5" max="5" width="11.7109375" style="262" bestFit="1" customWidth="1"/>
    <col min="6" max="6" width="12.42578125" style="262" bestFit="1" customWidth="1"/>
    <col min="7" max="7" width="12.5703125" style="262" bestFit="1" customWidth="1"/>
    <col min="8" max="8" width="9.28515625" style="262" bestFit="1" customWidth="1"/>
    <col min="9" max="9" width="8.7109375" style="262" bestFit="1" customWidth="1"/>
    <col min="10" max="10" width="7.28515625" style="262" bestFit="1" customWidth="1"/>
    <col min="11" max="11" width="4.7109375" style="262" bestFit="1" customWidth="1"/>
    <col min="12" max="256" width="9.140625" style="262"/>
    <col min="257" max="257" width="8.140625" style="262" bestFit="1" customWidth="1"/>
    <col min="258" max="258" width="14.7109375" style="262" bestFit="1" customWidth="1"/>
    <col min="259" max="259" width="20.7109375" style="262" bestFit="1" customWidth="1"/>
    <col min="260" max="260" width="11.140625" style="262" bestFit="1" customWidth="1"/>
    <col min="261" max="261" width="11.7109375" style="262" bestFit="1" customWidth="1"/>
    <col min="262" max="262" width="12.42578125" style="262" bestFit="1" customWidth="1"/>
    <col min="263" max="263" width="12.5703125" style="262" bestFit="1" customWidth="1"/>
    <col min="264" max="264" width="9.28515625" style="262" bestFit="1" customWidth="1"/>
    <col min="265" max="265" width="8.7109375" style="262" bestFit="1" customWidth="1"/>
    <col min="266" max="266" width="7.28515625" style="262" bestFit="1" customWidth="1"/>
    <col min="267" max="267" width="4.7109375" style="262" bestFit="1" customWidth="1"/>
    <col min="268" max="512" width="9.140625" style="262"/>
    <col min="513" max="513" width="8.140625" style="262" bestFit="1" customWidth="1"/>
    <col min="514" max="514" width="14.7109375" style="262" bestFit="1" customWidth="1"/>
    <col min="515" max="515" width="20.7109375" style="262" bestFit="1" customWidth="1"/>
    <col min="516" max="516" width="11.140625" style="262" bestFit="1" customWidth="1"/>
    <col min="517" max="517" width="11.7109375" style="262" bestFit="1" customWidth="1"/>
    <col min="518" max="518" width="12.42578125" style="262" bestFit="1" customWidth="1"/>
    <col min="519" max="519" width="12.5703125" style="262" bestFit="1" customWidth="1"/>
    <col min="520" max="520" width="9.28515625" style="262" bestFit="1" customWidth="1"/>
    <col min="521" max="521" width="8.7109375" style="262" bestFit="1" customWidth="1"/>
    <col min="522" max="522" width="7.28515625" style="262" bestFit="1" customWidth="1"/>
    <col min="523" max="523" width="4.7109375" style="262" bestFit="1" customWidth="1"/>
    <col min="524" max="768" width="9.140625" style="262"/>
    <col min="769" max="769" width="8.140625" style="262" bestFit="1" customWidth="1"/>
    <col min="770" max="770" width="14.7109375" style="262" bestFit="1" customWidth="1"/>
    <col min="771" max="771" width="20.7109375" style="262" bestFit="1" customWidth="1"/>
    <col min="772" max="772" width="11.140625" style="262" bestFit="1" customWidth="1"/>
    <col min="773" max="773" width="11.7109375" style="262" bestFit="1" customWidth="1"/>
    <col min="774" max="774" width="12.42578125" style="262" bestFit="1" customWidth="1"/>
    <col min="775" max="775" width="12.5703125" style="262" bestFit="1" customWidth="1"/>
    <col min="776" max="776" width="9.28515625" style="262" bestFit="1" customWidth="1"/>
    <col min="777" max="777" width="8.7109375" style="262" bestFit="1" customWidth="1"/>
    <col min="778" max="778" width="7.28515625" style="262" bestFit="1" customWidth="1"/>
    <col min="779" max="779" width="4.7109375" style="262" bestFit="1" customWidth="1"/>
    <col min="780" max="1024" width="9.140625" style="262"/>
    <col min="1025" max="1025" width="8.140625" style="262" bestFit="1" customWidth="1"/>
    <col min="1026" max="1026" width="14.7109375" style="262" bestFit="1" customWidth="1"/>
    <col min="1027" max="1027" width="20.7109375" style="262" bestFit="1" customWidth="1"/>
    <col min="1028" max="1028" width="11.140625" style="262" bestFit="1" customWidth="1"/>
    <col min="1029" max="1029" width="11.7109375" style="262" bestFit="1" customWidth="1"/>
    <col min="1030" max="1030" width="12.42578125" style="262" bestFit="1" customWidth="1"/>
    <col min="1031" max="1031" width="12.5703125" style="262" bestFit="1" customWidth="1"/>
    <col min="1032" max="1032" width="9.28515625" style="262" bestFit="1" customWidth="1"/>
    <col min="1033" max="1033" width="8.7109375" style="262" bestFit="1" customWidth="1"/>
    <col min="1034" max="1034" width="7.28515625" style="262" bestFit="1" customWidth="1"/>
    <col min="1035" max="1035" width="4.7109375" style="262" bestFit="1" customWidth="1"/>
    <col min="1036" max="1280" width="9.140625" style="262"/>
    <col min="1281" max="1281" width="8.140625" style="262" bestFit="1" customWidth="1"/>
    <col min="1282" max="1282" width="14.7109375" style="262" bestFit="1" customWidth="1"/>
    <col min="1283" max="1283" width="20.7109375" style="262" bestFit="1" customWidth="1"/>
    <col min="1284" max="1284" width="11.140625" style="262" bestFit="1" customWidth="1"/>
    <col min="1285" max="1285" width="11.7109375" style="262" bestFit="1" customWidth="1"/>
    <col min="1286" max="1286" width="12.42578125" style="262" bestFit="1" customWidth="1"/>
    <col min="1287" max="1287" width="12.5703125" style="262" bestFit="1" customWidth="1"/>
    <col min="1288" max="1288" width="9.28515625" style="262" bestFit="1" customWidth="1"/>
    <col min="1289" max="1289" width="8.7109375" style="262" bestFit="1" customWidth="1"/>
    <col min="1290" max="1290" width="7.28515625" style="262" bestFit="1" customWidth="1"/>
    <col min="1291" max="1291" width="4.7109375" style="262" bestFit="1" customWidth="1"/>
    <col min="1292" max="1536" width="9.140625" style="262"/>
    <col min="1537" max="1537" width="8.140625" style="262" bestFit="1" customWidth="1"/>
    <col min="1538" max="1538" width="14.7109375" style="262" bestFit="1" customWidth="1"/>
    <col min="1539" max="1539" width="20.7109375" style="262" bestFit="1" customWidth="1"/>
    <col min="1540" max="1540" width="11.140625" style="262" bestFit="1" customWidth="1"/>
    <col min="1541" max="1541" width="11.7109375" style="262" bestFit="1" customWidth="1"/>
    <col min="1542" max="1542" width="12.42578125" style="262" bestFit="1" customWidth="1"/>
    <col min="1543" max="1543" width="12.5703125" style="262" bestFit="1" customWidth="1"/>
    <col min="1544" max="1544" width="9.28515625" style="262" bestFit="1" customWidth="1"/>
    <col min="1545" max="1545" width="8.7109375" style="262" bestFit="1" customWidth="1"/>
    <col min="1546" max="1546" width="7.28515625" style="262" bestFit="1" customWidth="1"/>
    <col min="1547" max="1547" width="4.7109375" style="262" bestFit="1" customWidth="1"/>
    <col min="1548" max="1792" width="9.140625" style="262"/>
    <col min="1793" max="1793" width="8.140625" style="262" bestFit="1" customWidth="1"/>
    <col min="1794" max="1794" width="14.7109375" style="262" bestFit="1" customWidth="1"/>
    <col min="1795" max="1795" width="20.7109375" style="262" bestFit="1" customWidth="1"/>
    <col min="1796" max="1796" width="11.140625" style="262" bestFit="1" customWidth="1"/>
    <col min="1797" max="1797" width="11.7109375" style="262" bestFit="1" customWidth="1"/>
    <col min="1798" max="1798" width="12.42578125" style="262" bestFit="1" customWidth="1"/>
    <col min="1799" max="1799" width="12.5703125" style="262" bestFit="1" customWidth="1"/>
    <col min="1800" max="1800" width="9.28515625" style="262" bestFit="1" customWidth="1"/>
    <col min="1801" max="1801" width="8.7109375" style="262" bestFit="1" customWidth="1"/>
    <col min="1802" max="1802" width="7.28515625" style="262" bestFit="1" customWidth="1"/>
    <col min="1803" max="1803" width="4.7109375" style="262" bestFit="1" customWidth="1"/>
    <col min="1804" max="2048" width="9.140625" style="262"/>
    <col min="2049" max="2049" width="8.140625" style="262" bestFit="1" customWidth="1"/>
    <col min="2050" max="2050" width="14.7109375" style="262" bestFit="1" customWidth="1"/>
    <col min="2051" max="2051" width="20.7109375" style="262" bestFit="1" customWidth="1"/>
    <col min="2052" max="2052" width="11.140625" style="262" bestFit="1" customWidth="1"/>
    <col min="2053" max="2053" width="11.7109375" style="262" bestFit="1" customWidth="1"/>
    <col min="2054" max="2054" width="12.42578125" style="262" bestFit="1" customWidth="1"/>
    <col min="2055" max="2055" width="12.5703125" style="262" bestFit="1" customWidth="1"/>
    <col min="2056" max="2056" width="9.28515625" style="262" bestFit="1" customWidth="1"/>
    <col min="2057" max="2057" width="8.7109375" style="262" bestFit="1" customWidth="1"/>
    <col min="2058" max="2058" width="7.28515625" style="262" bestFit="1" customWidth="1"/>
    <col min="2059" max="2059" width="4.7109375" style="262" bestFit="1" customWidth="1"/>
    <col min="2060" max="2304" width="9.140625" style="262"/>
    <col min="2305" max="2305" width="8.140625" style="262" bestFit="1" customWidth="1"/>
    <col min="2306" max="2306" width="14.7109375" style="262" bestFit="1" customWidth="1"/>
    <col min="2307" max="2307" width="20.7109375" style="262" bestFit="1" customWidth="1"/>
    <col min="2308" max="2308" width="11.140625" style="262" bestFit="1" customWidth="1"/>
    <col min="2309" max="2309" width="11.7109375" style="262" bestFit="1" customWidth="1"/>
    <col min="2310" max="2310" width="12.42578125" style="262" bestFit="1" customWidth="1"/>
    <col min="2311" max="2311" width="12.5703125" style="262" bestFit="1" customWidth="1"/>
    <col min="2312" max="2312" width="9.28515625" style="262" bestFit="1" customWidth="1"/>
    <col min="2313" max="2313" width="8.7109375" style="262" bestFit="1" customWidth="1"/>
    <col min="2314" max="2314" width="7.28515625" style="262" bestFit="1" customWidth="1"/>
    <col min="2315" max="2315" width="4.7109375" style="262" bestFit="1" customWidth="1"/>
    <col min="2316" max="2560" width="9.140625" style="262"/>
    <col min="2561" max="2561" width="8.140625" style="262" bestFit="1" customWidth="1"/>
    <col min="2562" max="2562" width="14.7109375" style="262" bestFit="1" customWidth="1"/>
    <col min="2563" max="2563" width="20.7109375" style="262" bestFit="1" customWidth="1"/>
    <col min="2564" max="2564" width="11.140625" style="262" bestFit="1" customWidth="1"/>
    <col min="2565" max="2565" width="11.7109375" style="262" bestFit="1" customWidth="1"/>
    <col min="2566" max="2566" width="12.42578125" style="262" bestFit="1" customWidth="1"/>
    <col min="2567" max="2567" width="12.5703125" style="262" bestFit="1" customWidth="1"/>
    <col min="2568" max="2568" width="9.28515625" style="262" bestFit="1" customWidth="1"/>
    <col min="2569" max="2569" width="8.7109375" style="262" bestFit="1" customWidth="1"/>
    <col min="2570" max="2570" width="7.28515625" style="262" bestFit="1" customWidth="1"/>
    <col min="2571" max="2571" width="4.7109375" style="262" bestFit="1" customWidth="1"/>
    <col min="2572" max="2816" width="9.140625" style="262"/>
    <col min="2817" max="2817" width="8.140625" style="262" bestFit="1" customWidth="1"/>
    <col min="2818" max="2818" width="14.7109375" style="262" bestFit="1" customWidth="1"/>
    <col min="2819" max="2819" width="20.7109375" style="262" bestFit="1" customWidth="1"/>
    <col min="2820" max="2820" width="11.140625" style="262" bestFit="1" customWidth="1"/>
    <col min="2821" max="2821" width="11.7109375" style="262" bestFit="1" customWidth="1"/>
    <col min="2822" max="2822" width="12.42578125" style="262" bestFit="1" customWidth="1"/>
    <col min="2823" max="2823" width="12.5703125" style="262" bestFit="1" customWidth="1"/>
    <col min="2824" max="2824" width="9.28515625" style="262" bestFit="1" customWidth="1"/>
    <col min="2825" max="2825" width="8.7109375" style="262" bestFit="1" customWidth="1"/>
    <col min="2826" max="2826" width="7.28515625" style="262" bestFit="1" customWidth="1"/>
    <col min="2827" max="2827" width="4.7109375" style="262" bestFit="1" customWidth="1"/>
    <col min="2828" max="3072" width="9.140625" style="262"/>
    <col min="3073" max="3073" width="8.140625" style="262" bestFit="1" customWidth="1"/>
    <col min="3074" max="3074" width="14.7109375" style="262" bestFit="1" customWidth="1"/>
    <col min="3075" max="3075" width="20.7109375" style="262" bestFit="1" customWidth="1"/>
    <col min="3076" max="3076" width="11.140625" style="262" bestFit="1" customWidth="1"/>
    <col min="3077" max="3077" width="11.7109375" style="262" bestFit="1" customWidth="1"/>
    <col min="3078" max="3078" width="12.42578125" style="262" bestFit="1" customWidth="1"/>
    <col min="3079" max="3079" width="12.5703125" style="262" bestFit="1" customWidth="1"/>
    <col min="3080" max="3080" width="9.28515625" style="262" bestFit="1" customWidth="1"/>
    <col min="3081" max="3081" width="8.7109375" style="262" bestFit="1" customWidth="1"/>
    <col min="3082" max="3082" width="7.28515625" style="262" bestFit="1" customWidth="1"/>
    <col min="3083" max="3083" width="4.7109375" style="262" bestFit="1" customWidth="1"/>
    <col min="3084" max="3328" width="9.140625" style="262"/>
    <col min="3329" max="3329" width="8.140625" style="262" bestFit="1" customWidth="1"/>
    <col min="3330" max="3330" width="14.7109375" style="262" bestFit="1" customWidth="1"/>
    <col min="3331" max="3331" width="20.7109375" style="262" bestFit="1" customWidth="1"/>
    <col min="3332" max="3332" width="11.140625" style="262" bestFit="1" customWidth="1"/>
    <col min="3333" max="3333" width="11.7109375" style="262" bestFit="1" customWidth="1"/>
    <col min="3334" max="3334" width="12.42578125" style="262" bestFit="1" customWidth="1"/>
    <col min="3335" max="3335" width="12.5703125" style="262" bestFit="1" customWidth="1"/>
    <col min="3336" max="3336" width="9.28515625" style="262" bestFit="1" customWidth="1"/>
    <col min="3337" max="3337" width="8.7109375" style="262" bestFit="1" customWidth="1"/>
    <col min="3338" max="3338" width="7.28515625" style="262" bestFit="1" customWidth="1"/>
    <col min="3339" max="3339" width="4.7109375" style="262" bestFit="1" customWidth="1"/>
    <col min="3340" max="3584" width="9.140625" style="262"/>
    <col min="3585" max="3585" width="8.140625" style="262" bestFit="1" customWidth="1"/>
    <col min="3586" max="3586" width="14.7109375" style="262" bestFit="1" customWidth="1"/>
    <col min="3587" max="3587" width="20.7109375" style="262" bestFit="1" customWidth="1"/>
    <col min="3588" max="3588" width="11.140625" style="262" bestFit="1" customWidth="1"/>
    <col min="3589" max="3589" width="11.7109375" style="262" bestFit="1" customWidth="1"/>
    <col min="3590" max="3590" width="12.42578125" style="262" bestFit="1" customWidth="1"/>
    <col min="3591" max="3591" width="12.5703125" style="262" bestFit="1" customWidth="1"/>
    <col min="3592" max="3592" width="9.28515625" style="262" bestFit="1" customWidth="1"/>
    <col min="3593" max="3593" width="8.7109375" style="262" bestFit="1" customWidth="1"/>
    <col min="3594" max="3594" width="7.28515625" style="262" bestFit="1" customWidth="1"/>
    <col min="3595" max="3595" width="4.7109375" style="262" bestFit="1" customWidth="1"/>
    <col min="3596" max="3840" width="9.140625" style="262"/>
    <col min="3841" max="3841" width="8.140625" style="262" bestFit="1" customWidth="1"/>
    <col min="3842" max="3842" width="14.7109375" style="262" bestFit="1" customWidth="1"/>
    <col min="3843" max="3843" width="20.7109375" style="262" bestFit="1" customWidth="1"/>
    <col min="3844" max="3844" width="11.140625" style="262" bestFit="1" customWidth="1"/>
    <col min="3845" max="3845" width="11.7109375" style="262" bestFit="1" customWidth="1"/>
    <col min="3846" max="3846" width="12.42578125" style="262" bestFit="1" customWidth="1"/>
    <col min="3847" max="3847" width="12.5703125" style="262" bestFit="1" customWidth="1"/>
    <col min="3848" max="3848" width="9.28515625" style="262" bestFit="1" customWidth="1"/>
    <col min="3849" max="3849" width="8.7109375" style="262" bestFit="1" customWidth="1"/>
    <col min="3850" max="3850" width="7.28515625" style="262" bestFit="1" customWidth="1"/>
    <col min="3851" max="3851" width="4.7109375" style="262" bestFit="1" customWidth="1"/>
    <col min="3852" max="4096" width="9.140625" style="262"/>
    <col min="4097" max="4097" width="8.140625" style="262" bestFit="1" customWidth="1"/>
    <col min="4098" max="4098" width="14.7109375" style="262" bestFit="1" customWidth="1"/>
    <col min="4099" max="4099" width="20.7109375" style="262" bestFit="1" customWidth="1"/>
    <col min="4100" max="4100" width="11.140625" style="262" bestFit="1" customWidth="1"/>
    <col min="4101" max="4101" width="11.7109375" style="262" bestFit="1" customWidth="1"/>
    <col min="4102" max="4102" width="12.42578125" style="262" bestFit="1" customWidth="1"/>
    <col min="4103" max="4103" width="12.5703125" style="262" bestFit="1" customWidth="1"/>
    <col min="4104" max="4104" width="9.28515625" style="262" bestFit="1" customWidth="1"/>
    <col min="4105" max="4105" width="8.7109375" style="262" bestFit="1" customWidth="1"/>
    <col min="4106" max="4106" width="7.28515625" style="262" bestFit="1" customWidth="1"/>
    <col min="4107" max="4107" width="4.7109375" style="262" bestFit="1" customWidth="1"/>
    <col min="4108" max="4352" width="9.140625" style="262"/>
    <col min="4353" max="4353" width="8.140625" style="262" bestFit="1" customWidth="1"/>
    <col min="4354" max="4354" width="14.7109375" style="262" bestFit="1" customWidth="1"/>
    <col min="4355" max="4355" width="20.7109375" style="262" bestFit="1" customWidth="1"/>
    <col min="4356" max="4356" width="11.140625" style="262" bestFit="1" customWidth="1"/>
    <col min="4357" max="4357" width="11.7109375" style="262" bestFit="1" customWidth="1"/>
    <col min="4358" max="4358" width="12.42578125" style="262" bestFit="1" customWidth="1"/>
    <col min="4359" max="4359" width="12.5703125" style="262" bestFit="1" customWidth="1"/>
    <col min="4360" max="4360" width="9.28515625" style="262" bestFit="1" customWidth="1"/>
    <col min="4361" max="4361" width="8.7109375" style="262" bestFit="1" customWidth="1"/>
    <col min="4362" max="4362" width="7.28515625" style="262" bestFit="1" customWidth="1"/>
    <col min="4363" max="4363" width="4.7109375" style="262" bestFit="1" customWidth="1"/>
    <col min="4364" max="4608" width="9.140625" style="262"/>
    <col min="4609" max="4609" width="8.140625" style="262" bestFit="1" customWidth="1"/>
    <col min="4610" max="4610" width="14.7109375" style="262" bestFit="1" customWidth="1"/>
    <col min="4611" max="4611" width="20.7109375" style="262" bestFit="1" customWidth="1"/>
    <col min="4612" max="4612" width="11.140625" style="262" bestFit="1" customWidth="1"/>
    <col min="4613" max="4613" width="11.7109375" style="262" bestFit="1" customWidth="1"/>
    <col min="4614" max="4614" width="12.42578125" style="262" bestFit="1" customWidth="1"/>
    <col min="4615" max="4615" width="12.5703125" style="262" bestFit="1" customWidth="1"/>
    <col min="4616" max="4616" width="9.28515625" style="262" bestFit="1" customWidth="1"/>
    <col min="4617" max="4617" width="8.7109375" style="262" bestFit="1" customWidth="1"/>
    <col min="4618" max="4618" width="7.28515625" style="262" bestFit="1" customWidth="1"/>
    <col min="4619" max="4619" width="4.7109375" style="262" bestFit="1" customWidth="1"/>
    <col min="4620" max="4864" width="9.140625" style="262"/>
    <col min="4865" max="4865" width="8.140625" style="262" bestFit="1" customWidth="1"/>
    <col min="4866" max="4866" width="14.7109375" style="262" bestFit="1" customWidth="1"/>
    <col min="4867" max="4867" width="20.7109375" style="262" bestFit="1" customWidth="1"/>
    <col min="4868" max="4868" width="11.140625" style="262" bestFit="1" customWidth="1"/>
    <col min="4869" max="4869" width="11.7109375" style="262" bestFit="1" customWidth="1"/>
    <col min="4870" max="4870" width="12.42578125" style="262" bestFit="1" customWidth="1"/>
    <col min="4871" max="4871" width="12.5703125" style="262" bestFit="1" customWidth="1"/>
    <col min="4872" max="4872" width="9.28515625" style="262" bestFit="1" customWidth="1"/>
    <col min="4873" max="4873" width="8.7109375" style="262" bestFit="1" customWidth="1"/>
    <col min="4874" max="4874" width="7.28515625" style="262" bestFit="1" customWidth="1"/>
    <col min="4875" max="4875" width="4.7109375" style="262" bestFit="1" customWidth="1"/>
    <col min="4876" max="5120" width="9.140625" style="262"/>
    <col min="5121" max="5121" width="8.140625" style="262" bestFit="1" customWidth="1"/>
    <col min="5122" max="5122" width="14.7109375" style="262" bestFit="1" customWidth="1"/>
    <col min="5123" max="5123" width="20.7109375" style="262" bestFit="1" customWidth="1"/>
    <col min="5124" max="5124" width="11.140625" style="262" bestFit="1" customWidth="1"/>
    <col min="5125" max="5125" width="11.7109375" style="262" bestFit="1" customWidth="1"/>
    <col min="5126" max="5126" width="12.42578125" style="262" bestFit="1" customWidth="1"/>
    <col min="5127" max="5127" width="12.5703125" style="262" bestFit="1" customWidth="1"/>
    <col min="5128" max="5128" width="9.28515625" style="262" bestFit="1" customWidth="1"/>
    <col min="5129" max="5129" width="8.7109375" style="262" bestFit="1" customWidth="1"/>
    <col min="5130" max="5130" width="7.28515625" style="262" bestFit="1" customWidth="1"/>
    <col min="5131" max="5131" width="4.7109375" style="262" bestFit="1" customWidth="1"/>
    <col min="5132" max="5376" width="9.140625" style="262"/>
    <col min="5377" max="5377" width="8.140625" style="262" bestFit="1" customWidth="1"/>
    <col min="5378" max="5378" width="14.7109375" style="262" bestFit="1" customWidth="1"/>
    <col min="5379" max="5379" width="20.7109375" style="262" bestFit="1" customWidth="1"/>
    <col min="5380" max="5380" width="11.140625" style="262" bestFit="1" customWidth="1"/>
    <col min="5381" max="5381" width="11.7109375" style="262" bestFit="1" customWidth="1"/>
    <col min="5382" max="5382" width="12.42578125" style="262" bestFit="1" customWidth="1"/>
    <col min="5383" max="5383" width="12.5703125" style="262" bestFit="1" customWidth="1"/>
    <col min="5384" max="5384" width="9.28515625" style="262" bestFit="1" customWidth="1"/>
    <col min="5385" max="5385" width="8.7109375" style="262" bestFit="1" customWidth="1"/>
    <col min="5386" max="5386" width="7.28515625" style="262" bestFit="1" customWidth="1"/>
    <col min="5387" max="5387" width="4.7109375" style="262" bestFit="1" customWidth="1"/>
    <col min="5388" max="5632" width="9.140625" style="262"/>
    <col min="5633" max="5633" width="8.140625" style="262" bestFit="1" customWidth="1"/>
    <col min="5634" max="5634" width="14.7109375" style="262" bestFit="1" customWidth="1"/>
    <col min="5635" max="5635" width="20.7109375" style="262" bestFit="1" customWidth="1"/>
    <col min="5636" max="5636" width="11.140625" style="262" bestFit="1" customWidth="1"/>
    <col min="5637" max="5637" width="11.7109375" style="262" bestFit="1" customWidth="1"/>
    <col min="5638" max="5638" width="12.42578125" style="262" bestFit="1" customWidth="1"/>
    <col min="5639" max="5639" width="12.5703125" style="262" bestFit="1" customWidth="1"/>
    <col min="5640" max="5640" width="9.28515625" style="262" bestFit="1" customWidth="1"/>
    <col min="5641" max="5641" width="8.7109375" style="262" bestFit="1" customWidth="1"/>
    <col min="5642" max="5642" width="7.28515625" style="262" bestFit="1" customWidth="1"/>
    <col min="5643" max="5643" width="4.7109375" style="262" bestFit="1" customWidth="1"/>
    <col min="5644" max="5888" width="9.140625" style="262"/>
    <col min="5889" max="5889" width="8.140625" style="262" bestFit="1" customWidth="1"/>
    <col min="5890" max="5890" width="14.7109375" style="262" bestFit="1" customWidth="1"/>
    <col min="5891" max="5891" width="20.7109375" style="262" bestFit="1" customWidth="1"/>
    <col min="5892" max="5892" width="11.140625" style="262" bestFit="1" customWidth="1"/>
    <col min="5893" max="5893" width="11.7109375" style="262" bestFit="1" customWidth="1"/>
    <col min="5894" max="5894" width="12.42578125" style="262" bestFit="1" customWidth="1"/>
    <col min="5895" max="5895" width="12.5703125" style="262" bestFit="1" customWidth="1"/>
    <col min="5896" max="5896" width="9.28515625" style="262" bestFit="1" customWidth="1"/>
    <col min="5897" max="5897" width="8.7109375" style="262" bestFit="1" customWidth="1"/>
    <col min="5898" max="5898" width="7.28515625" style="262" bestFit="1" customWidth="1"/>
    <col min="5899" max="5899" width="4.7109375" style="262" bestFit="1" customWidth="1"/>
    <col min="5900" max="6144" width="9.140625" style="262"/>
    <col min="6145" max="6145" width="8.140625" style="262" bestFit="1" customWidth="1"/>
    <col min="6146" max="6146" width="14.7109375" style="262" bestFit="1" customWidth="1"/>
    <col min="6147" max="6147" width="20.7109375" style="262" bestFit="1" customWidth="1"/>
    <col min="6148" max="6148" width="11.140625" style="262" bestFit="1" customWidth="1"/>
    <col min="6149" max="6149" width="11.7109375" style="262" bestFit="1" customWidth="1"/>
    <col min="6150" max="6150" width="12.42578125" style="262" bestFit="1" customWidth="1"/>
    <col min="6151" max="6151" width="12.5703125" style="262" bestFit="1" customWidth="1"/>
    <col min="6152" max="6152" width="9.28515625" style="262" bestFit="1" customWidth="1"/>
    <col min="6153" max="6153" width="8.7109375" style="262" bestFit="1" customWidth="1"/>
    <col min="6154" max="6154" width="7.28515625" style="262" bestFit="1" customWidth="1"/>
    <col min="6155" max="6155" width="4.7109375" style="262" bestFit="1" customWidth="1"/>
    <col min="6156" max="6400" width="9.140625" style="262"/>
    <col min="6401" max="6401" width="8.140625" style="262" bestFit="1" customWidth="1"/>
    <col min="6402" max="6402" width="14.7109375" style="262" bestFit="1" customWidth="1"/>
    <col min="6403" max="6403" width="20.7109375" style="262" bestFit="1" customWidth="1"/>
    <col min="6404" max="6404" width="11.140625" style="262" bestFit="1" customWidth="1"/>
    <col min="6405" max="6405" width="11.7109375" style="262" bestFit="1" customWidth="1"/>
    <col min="6406" max="6406" width="12.42578125" style="262" bestFit="1" customWidth="1"/>
    <col min="6407" max="6407" width="12.5703125" style="262" bestFit="1" customWidth="1"/>
    <col min="6408" max="6408" width="9.28515625" style="262" bestFit="1" customWidth="1"/>
    <col min="6409" max="6409" width="8.7109375" style="262" bestFit="1" customWidth="1"/>
    <col min="6410" max="6410" width="7.28515625" style="262" bestFit="1" customWidth="1"/>
    <col min="6411" max="6411" width="4.7109375" style="262" bestFit="1" customWidth="1"/>
    <col min="6412" max="6656" width="9.140625" style="262"/>
    <col min="6657" max="6657" width="8.140625" style="262" bestFit="1" customWidth="1"/>
    <col min="6658" max="6658" width="14.7109375" style="262" bestFit="1" customWidth="1"/>
    <col min="6659" max="6659" width="20.7109375" style="262" bestFit="1" customWidth="1"/>
    <col min="6660" max="6660" width="11.140625" style="262" bestFit="1" customWidth="1"/>
    <col min="6661" max="6661" width="11.7109375" style="262" bestFit="1" customWidth="1"/>
    <col min="6662" max="6662" width="12.42578125" style="262" bestFit="1" customWidth="1"/>
    <col min="6663" max="6663" width="12.5703125" style="262" bestFit="1" customWidth="1"/>
    <col min="6664" max="6664" width="9.28515625" style="262" bestFit="1" customWidth="1"/>
    <col min="6665" max="6665" width="8.7109375" style="262" bestFit="1" customWidth="1"/>
    <col min="6666" max="6666" width="7.28515625" style="262" bestFit="1" customWidth="1"/>
    <col min="6667" max="6667" width="4.7109375" style="262" bestFit="1" customWidth="1"/>
    <col min="6668" max="6912" width="9.140625" style="262"/>
    <col min="6913" max="6913" width="8.140625" style="262" bestFit="1" customWidth="1"/>
    <col min="6914" max="6914" width="14.7109375" style="262" bestFit="1" customWidth="1"/>
    <col min="6915" max="6915" width="20.7109375" style="262" bestFit="1" customWidth="1"/>
    <col min="6916" max="6916" width="11.140625" style="262" bestFit="1" customWidth="1"/>
    <col min="6917" max="6917" width="11.7109375" style="262" bestFit="1" customWidth="1"/>
    <col min="6918" max="6918" width="12.42578125" style="262" bestFit="1" customWidth="1"/>
    <col min="6919" max="6919" width="12.5703125" style="262" bestFit="1" customWidth="1"/>
    <col min="6920" max="6920" width="9.28515625" style="262" bestFit="1" customWidth="1"/>
    <col min="6921" max="6921" width="8.7109375" style="262" bestFit="1" customWidth="1"/>
    <col min="6922" max="6922" width="7.28515625" style="262" bestFit="1" customWidth="1"/>
    <col min="6923" max="6923" width="4.7109375" style="262" bestFit="1" customWidth="1"/>
    <col min="6924" max="7168" width="9.140625" style="262"/>
    <col min="7169" max="7169" width="8.140625" style="262" bestFit="1" customWidth="1"/>
    <col min="7170" max="7170" width="14.7109375" style="262" bestFit="1" customWidth="1"/>
    <col min="7171" max="7171" width="20.7109375" style="262" bestFit="1" customWidth="1"/>
    <col min="7172" max="7172" width="11.140625" style="262" bestFit="1" customWidth="1"/>
    <col min="7173" max="7173" width="11.7109375" style="262" bestFit="1" customWidth="1"/>
    <col min="7174" max="7174" width="12.42578125" style="262" bestFit="1" customWidth="1"/>
    <col min="7175" max="7175" width="12.5703125" style="262" bestFit="1" customWidth="1"/>
    <col min="7176" max="7176" width="9.28515625" style="262" bestFit="1" customWidth="1"/>
    <col min="7177" max="7177" width="8.7109375" style="262" bestFit="1" customWidth="1"/>
    <col min="7178" max="7178" width="7.28515625" style="262" bestFit="1" customWidth="1"/>
    <col min="7179" max="7179" width="4.7109375" style="262" bestFit="1" customWidth="1"/>
    <col min="7180" max="7424" width="9.140625" style="262"/>
    <col min="7425" max="7425" width="8.140625" style="262" bestFit="1" customWidth="1"/>
    <col min="7426" max="7426" width="14.7109375" style="262" bestFit="1" customWidth="1"/>
    <col min="7427" max="7427" width="20.7109375" style="262" bestFit="1" customWidth="1"/>
    <col min="7428" max="7428" width="11.140625" style="262" bestFit="1" customWidth="1"/>
    <col min="7429" max="7429" width="11.7109375" style="262" bestFit="1" customWidth="1"/>
    <col min="7430" max="7430" width="12.42578125" style="262" bestFit="1" customWidth="1"/>
    <col min="7431" max="7431" width="12.5703125" style="262" bestFit="1" customWidth="1"/>
    <col min="7432" max="7432" width="9.28515625" style="262" bestFit="1" customWidth="1"/>
    <col min="7433" max="7433" width="8.7109375" style="262" bestFit="1" customWidth="1"/>
    <col min="7434" max="7434" width="7.28515625" style="262" bestFit="1" customWidth="1"/>
    <col min="7435" max="7435" width="4.7109375" style="262" bestFit="1" customWidth="1"/>
    <col min="7436" max="7680" width="9.140625" style="262"/>
    <col min="7681" max="7681" width="8.140625" style="262" bestFit="1" customWidth="1"/>
    <col min="7682" max="7682" width="14.7109375" style="262" bestFit="1" customWidth="1"/>
    <col min="7683" max="7683" width="20.7109375" style="262" bestFit="1" customWidth="1"/>
    <col min="7684" max="7684" width="11.140625" style="262" bestFit="1" customWidth="1"/>
    <col min="7685" max="7685" width="11.7109375" style="262" bestFit="1" customWidth="1"/>
    <col min="7686" max="7686" width="12.42578125" style="262" bestFit="1" customWidth="1"/>
    <col min="7687" max="7687" width="12.5703125" style="262" bestFit="1" customWidth="1"/>
    <col min="7688" max="7688" width="9.28515625" style="262" bestFit="1" customWidth="1"/>
    <col min="7689" max="7689" width="8.7109375" style="262" bestFit="1" customWidth="1"/>
    <col min="7690" max="7690" width="7.28515625" style="262" bestFit="1" customWidth="1"/>
    <col min="7691" max="7691" width="4.7109375" style="262" bestFit="1" customWidth="1"/>
    <col min="7692" max="7936" width="9.140625" style="262"/>
    <col min="7937" max="7937" width="8.140625" style="262" bestFit="1" customWidth="1"/>
    <col min="7938" max="7938" width="14.7109375" style="262" bestFit="1" customWidth="1"/>
    <col min="7939" max="7939" width="20.7109375" style="262" bestFit="1" customWidth="1"/>
    <col min="7940" max="7940" width="11.140625" style="262" bestFit="1" customWidth="1"/>
    <col min="7941" max="7941" width="11.7109375" style="262" bestFit="1" customWidth="1"/>
    <col min="7942" max="7942" width="12.42578125" style="262" bestFit="1" customWidth="1"/>
    <col min="7943" max="7943" width="12.5703125" style="262" bestFit="1" customWidth="1"/>
    <col min="7944" max="7944" width="9.28515625" style="262" bestFit="1" customWidth="1"/>
    <col min="7945" max="7945" width="8.7109375" style="262" bestFit="1" customWidth="1"/>
    <col min="7946" max="7946" width="7.28515625" style="262" bestFit="1" customWidth="1"/>
    <col min="7947" max="7947" width="4.7109375" style="262" bestFit="1" customWidth="1"/>
    <col min="7948" max="8192" width="9.140625" style="262"/>
    <col min="8193" max="8193" width="8.140625" style="262" bestFit="1" customWidth="1"/>
    <col min="8194" max="8194" width="14.7109375" style="262" bestFit="1" customWidth="1"/>
    <col min="8195" max="8195" width="20.7109375" style="262" bestFit="1" customWidth="1"/>
    <col min="8196" max="8196" width="11.140625" style="262" bestFit="1" customWidth="1"/>
    <col min="8197" max="8197" width="11.7109375" style="262" bestFit="1" customWidth="1"/>
    <col min="8198" max="8198" width="12.42578125" style="262" bestFit="1" customWidth="1"/>
    <col min="8199" max="8199" width="12.5703125" style="262" bestFit="1" customWidth="1"/>
    <col min="8200" max="8200" width="9.28515625" style="262" bestFit="1" customWidth="1"/>
    <col min="8201" max="8201" width="8.7109375" style="262" bestFit="1" customWidth="1"/>
    <col min="8202" max="8202" width="7.28515625" style="262" bestFit="1" customWidth="1"/>
    <col min="8203" max="8203" width="4.7109375" style="262" bestFit="1" customWidth="1"/>
    <col min="8204" max="8448" width="9.140625" style="262"/>
    <col min="8449" max="8449" width="8.140625" style="262" bestFit="1" customWidth="1"/>
    <col min="8450" max="8450" width="14.7109375" style="262" bestFit="1" customWidth="1"/>
    <col min="8451" max="8451" width="20.7109375" style="262" bestFit="1" customWidth="1"/>
    <col min="8452" max="8452" width="11.140625" style="262" bestFit="1" customWidth="1"/>
    <col min="8453" max="8453" width="11.7109375" style="262" bestFit="1" customWidth="1"/>
    <col min="8454" max="8454" width="12.42578125" style="262" bestFit="1" customWidth="1"/>
    <col min="8455" max="8455" width="12.5703125" style="262" bestFit="1" customWidth="1"/>
    <col min="8456" max="8456" width="9.28515625" style="262" bestFit="1" customWidth="1"/>
    <col min="8457" max="8457" width="8.7109375" style="262" bestFit="1" customWidth="1"/>
    <col min="8458" max="8458" width="7.28515625" style="262" bestFit="1" customWidth="1"/>
    <col min="8459" max="8459" width="4.7109375" style="262" bestFit="1" customWidth="1"/>
    <col min="8460" max="8704" width="9.140625" style="262"/>
    <col min="8705" max="8705" width="8.140625" style="262" bestFit="1" customWidth="1"/>
    <col min="8706" max="8706" width="14.7109375" style="262" bestFit="1" customWidth="1"/>
    <col min="8707" max="8707" width="20.7109375" style="262" bestFit="1" customWidth="1"/>
    <col min="8708" max="8708" width="11.140625" style="262" bestFit="1" customWidth="1"/>
    <col min="8709" max="8709" width="11.7109375" style="262" bestFit="1" customWidth="1"/>
    <col min="8710" max="8710" width="12.42578125" style="262" bestFit="1" customWidth="1"/>
    <col min="8711" max="8711" width="12.5703125" style="262" bestFit="1" customWidth="1"/>
    <col min="8712" max="8712" width="9.28515625" style="262" bestFit="1" customWidth="1"/>
    <col min="8713" max="8713" width="8.7109375" style="262" bestFit="1" customWidth="1"/>
    <col min="8714" max="8714" width="7.28515625" style="262" bestFit="1" customWidth="1"/>
    <col min="8715" max="8715" width="4.7109375" style="262" bestFit="1" customWidth="1"/>
    <col min="8716" max="8960" width="9.140625" style="262"/>
    <col min="8961" max="8961" width="8.140625" style="262" bestFit="1" customWidth="1"/>
    <col min="8962" max="8962" width="14.7109375" style="262" bestFit="1" customWidth="1"/>
    <col min="8963" max="8963" width="20.7109375" style="262" bestFit="1" customWidth="1"/>
    <col min="8964" max="8964" width="11.140625" style="262" bestFit="1" customWidth="1"/>
    <col min="8965" max="8965" width="11.7109375" style="262" bestFit="1" customWidth="1"/>
    <col min="8966" max="8966" width="12.42578125" style="262" bestFit="1" customWidth="1"/>
    <col min="8967" max="8967" width="12.5703125" style="262" bestFit="1" customWidth="1"/>
    <col min="8968" max="8968" width="9.28515625" style="262" bestFit="1" customWidth="1"/>
    <col min="8969" max="8969" width="8.7109375" style="262" bestFit="1" customWidth="1"/>
    <col min="8970" max="8970" width="7.28515625" style="262" bestFit="1" customWidth="1"/>
    <col min="8971" max="8971" width="4.7109375" style="262" bestFit="1" customWidth="1"/>
    <col min="8972" max="9216" width="9.140625" style="262"/>
    <col min="9217" max="9217" width="8.140625" style="262" bestFit="1" customWidth="1"/>
    <col min="9218" max="9218" width="14.7109375" style="262" bestFit="1" customWidth="1"/>
    <col min="9219" max="9219" width="20.7109375" style="262" bestFit="1" customWidth="1"/>
    <col min="9220" max="9220" width="11.140625" style="262" bestFit="1" customWidth="1"/>
    <col min="9221" max="9221" width="11.7109375" style="262" bestFit="1" customWidth="1"/>
    <col min="9222" max="9222" width="12.42578125" style="262" bestFit="1" customWidth="1"/>
    <col min="9223" max="9223" width="12.5703125" style="262" bestFit="1" customWidth="1"/>
    <col min="9224" max="9224" width="9.28515625" style="262" bestFit="1" customWidth="1"/>
    <col min="9225" max="9225" width="8.7109375" style="262" bestFit="1" customWidth="1"/>
    <col min="9226" max="9226" width="7.28515625" style="262" bestFit="1" customWidth="1"/>
    <col min="9227" max="9227" width="4.7109375" style="262" bestFit="1" customWidth="1"/>
    <col min="9228" max="9472" width="9.140625" style="262"/>
    <col min="9473" max="9473" width="8.140625" style="262" bestFit="1" customWidth="1"/>
    <col min="9474" max="9474" width="14.7109375" style="262" bestFit="1" customWidth="1"/>
    <col min="9475" max="9475" width="20.7109375" style="262" bestFit="1" customWidth="1"/>
    <col min="9476" max="9476" width="11.140625" style="262" bestFit="1" customWidth="1"/>
    <col min="9477" max="9477" width="11.7109375" style="262" bestFit="1" customWidth="1"/>
    <col min="9478" max="9478" width="12.42578125" style="262" bestFit="1" customWidth="1"/>
    <col min="9479" max="9479" width="12.5703125" style="262" bestFit="1" customWidth="1"/>
    <col min="9480" max="9480" width="9.28515625" style="262" bestFit="1" customWidth="1"/>
    <col min="9481" max="9481" width="8.7109375" style="262" bestFit="1" customWidth="1"/>
    <col min="9482" max="9482" width="7.28515625" style="262" bestFit="1" customWidth="1"/>
    <col min="9483" max="9483" width="4.7109375" style="262" bestFit="1" customWidth="1"/>
    <col min="9484" max="9728" width="9.140625" style="262"/>
    <col min="9729" max="9729" width="8.140625" style="262" bestFit="1" customWidth="1"/>
    <col min="9730" max="9730" width="14.7109375" style="262" bestFit="1" customWidth="1"/>
    <col min="9731" max="9731" width="20.7109375" style="262" bestFit="1" customWidth="1"/>
    <col min="9732" max="9732" width="11.140625" style="262" bestFit="1" customWidth="1"/>
    <col min="9733" max="9733" width="11.7109375" style="262" bestFit="1" customWidth="1"/>
    <col min="9734" max="9734" width="12.42578125" style="262" bestFit="1" customWidth="1"/>
    <col min="9735" max="9735" width="12.5703125" style="262" bestFit="1" customWidth="1"/>
    <col min="9736" max="9736" width="9.28515625" style="262" bestFit="1" customWidth="1"/>
    <col min="9737" max="9737" width="8.7109375" style="262" bestFit="1" customWidth="1"/>
    <col min="9738" max="9738" width="7.28515625" style="262" bestFit="1" customWidth="1"/>
    <col min="9739" max="9739" width="4.7109375" style="262" bestFit="1" customWidth="1"/>
    <col min="9740" max="9984" width="9.140625" style="262"/>
    <col min="9985" max="9985" width="8.140625" style="262" bestFit="1" customWidth="1"/>
    <col min="9986" max="9986" width="14.7109375" style="262" bestFit="1" customWidth="1"/>
    <col min="9987" max="9987" width="20.7109375" style="262" bestFit="1" customWidth="1"/>
    <col min="9988" max="9988" width="11.140625" style="262" bestFit="1" customWidth="1"/>
    <col min="9989" max="9989" width="11.7109375" style="262" bestFit="1" customWidth="1"/>
    <col min="9990" max="9990" width="12.42578125" style="262" bestFit="1" customWidth="1"/>
    <col min="9991" max="9991" width="12.5703125" style="262" bestFit="1" customWidth="1"/>
    <col min="9992" max="9992" width="9.28515625" style="262" bestFit="1" customWidth="1"/>
    <col min="9993" max="9993" width="8.7109375" style="262" bestFit="1" customWidth="1"/>
    <col min="9994" max="9994" width="7.28515625" style="262" bestFit="1" customWidth="1"/>
    <col min="9995" max="9995" width="4.7109375" style="262" bestFit="1" customWidth="1"/>
    <col min="9996" max="10240" width="9.140625" style="262"/>
    <col min="10241" max="10241" width="8.140625" style="262" bestFit="1" customWidth="1"/>
    <col min="10242" max="10242" width="14.7109375" style="262" bestFit="1" customWidth="1"/>
    <col min="10243" max="10243" width="20.7109375" style="262" bestFit="1" customWidth="1"/>
    <col min="10244" max="10244" width="11.140625" style="262" bestFit="1" customWidth="1"/>
    <col min="10245" max="10245" width="11.7109375" style="262" bestFit="1" customWidth="1"/>
    <col min="10246" max="10246" width="12.42578125" style="262" bestFit="1" customWidth="1"/>
    <col min="10247" max="10247" width="12.5703125" style="262" bestFit="1" customWidth="1"/>
    <col min="10248" max="10248" width="9.28515625" style="262" bestFit="1" customWidth="1"/>
    <col min="10249" max="10249" width="8.7109375" style="262" bestFit="1" customWidth="1"/>
    <col min="10250" max="10250" width="7.28515625" style="262" bestFit="1" customWidth="1"/>
    <col min="10251" max="10251" width="4.7109375" style="262" bestFit="1" customWidth="1"/>
    <col min="10252" max="10496" width="9.140625" style="262"/>
    <col min="10497" max="10497" width="8.140625" style="262" bestFit="1" customWidth="1"/>
    <col min="10498" max="10498" width="14.7109375" style="262" bestFit="1" customWidth="1"/>
    <col min="10499" max="10499" width="20.7109375" style="262" bestFit="1" customWidth="1"/>
    <col min="10500" max="10500" width="11.140625" style="262" bestFit="1" customWidth="1"/>
    <col min="10501" max="10501" width="11.7109375" style="262" bestFit="1" customWidth="1"/>
    <col min="10502" max="10502" width="12.42578125" style="262" bestFit="1" customWidth="1"/>
    <col min="10503" max="10503" width="12.5703125" style="262" bestFit="1" customWidth="1"/>
    <col min="10504" max="10504" width="9.28515625" style="262" bestFit="1" customWidth="1"/>
    <col min="10505" max="10505" width="8.7109375" style="262" bestFit="1" customWidth="1"/>
    <col min="10506" max="10506" width="7.28515625" style="262" bestFit="1" customWidth="1"/>
    <col min="10507" max="10507" width="4.7109375" style="262" bestFit="1" customWidth="1"/>
    <col min="10508" max="10752" width="9.140625" style="262"/>
    <col min="10753" max="10753" width="8.140625" style="262" bestFit="1" customWidth="1"/>
    <col min="10754" max="10754" width="14.7109375" style="262" bestFit="1" customWidth="1"/>
    <col min="10755" max="10755" width="20.7109375" style="262" bestFit="1" customWidth="1"/>
    <col min="10756" max="10756" width="11.140625" style="262" bestFit="1" customWidth="1"/>
    <col min="10757" max="10757" width="11.7109375" style="262" bestFit="1" customWidth="1"/>
    <col min="10758" max="10758" width="12.42578125" style="262" bestFit="1" customWidth="1"/>
    <col min="10759" max="10759" width="12.5703125" style="262" bestFit="1" customWidth="1"/>
    <col min="10760" max="10760" width="9.28515625" style="262" bestFit="1" customWidth="1"/>
    <col min="10761" max="10761" width="8.7109375" style="262" bestFit="1" customWidth="1"/>
    <col min="10762" max="10762" width="7.28515625" style="262" bestFit="1" customWidth="1"/>
    <col min="10763" max="10763" width="4.7109375" style="262" bestFit="1" customWidth="1"/>
    <col min="10764" max="11008" width="9.140625" style="262"/>
    <col min="11009" max="11009" width="8.140625" style="262" bestFit="1" customWidth="1"/>
    <col min="11010" max="11010" width="14.7109375" style="262" bestFit="1" customWidth="1"/>
    <col min="11011" max="11011" width="20.7109375" style="262" bestFit="1" customWidth="1"/>
    <col min="11012" max="11012" width="11.140625" style="262" bestFit="1" customWidth="1"/>
    <col min="11013" max="11013" width="11.7109375" style="262" bestFit="1" customWidth="1"/>
    <col min="11014" max="11014" width="12.42578125" style="262" bestFit="1" customWidth="1"/>
    <col min="11015" max="11015" width="12.5703125" style="262" bestFit="1" customWidth="1"/>
    <col min="11016" max="11016" width="9.28515625" style="262" bestFit="1" customWidth="1"/>
    <col min="11017" max="11017" width="8.7109375" style="262" bestFit="1" customWidth="1"/>
    <col min="11018" max="11018" width="7.28515625" style="262" bestFit="1" customWidth="1"/>
    <col min="11019" max="11019" width="4.7109375" style="262" bestFit="1" customWidth="1"/>
    <col min="11020" max="11264" width="9.140625" style="262"/>
    <col min="11265" max="11265" width="8.140625" style="262" bestFit="1" customWidth="1"/>
    <col min="11266" max="11266" width="14.7109375" style="262" bestFit="1" customWidth="1"/>
    <col min="11267" max="11267" width="20.7109375" style="262" bestFit="1" customWidth="1"/>
    <col min="11268" max="11268" width="11.140625" style="262" bestFit="1" customWidth="1"/>
    <col min="11269" max="11269" width="11.7109375" style="262" bestFit="1" customWidth="1"/>
    <col min="11270" max="11270" width="12.42578125" style="262" bestFit="1" customWidth="1"/>
    <col min="11271" max="11271" width="12.5703125" style="262" bestFit="1" customWidth="1"/>
    <col min="11272" max="11272" width="9.28515625" style="262" bestFit="1" customWidth="1"/>
    <col min="11273" max="11273" width="8.7109375" style="262" bestFit="1" customWidth="1"/>
    <col min="11274" max="11274" width="7.28515625" style="262" bestFit="1" customWidth="1"/>
    <col min="11275" max="11275" width="4.7109375" style="262" bestFit="1" customWidth="1"/>
    <col min="11276" max="11520" width="9.140625" style="262"/>
    <col min="11521" max="11521" width="8.140625" style="262" bestFit="1" customWidth="1"/>
    <col min="11522" max="11522" width="14.7109375" style="262" bestFit="1" customWidth="1"/>
    <col min="11523" max="11523" width="20.7109375" style="262" bestFit="1" customWidth="1"/>
    <col min="11524" max="11524" width="11.140625" style="262" bestFit="1" customWidth="1"/>
    <col min="11525" max="11525" width="11.7109375" style="262" bestFit="1" customWidth="1"/>
    <col min="11526" max="11526" width="12.42578125" style="262" bestFit="1" customWidth="1"/>
    <col min="11527" max="11527" width="12.5703125" style="262" bestFit="1" customWidth="1"/>
    <col min="11528" max="11528" width="9.28515625" style="262" bestFit="1" customWidth="1"/>
    <col min="11529" max="11529" width="8.7109375" style="262" bestFit="1" customWidth="1"/>
    <col min="11530" max="11530" width="7.28515625" style="262" bestFit="1" customWidth="1"/>
    <col min="11531" max="11531" width="4.7109375" style="262" bestFit="1" customWidth="1"/>
    <col min="11532" max="11776" width="9.140625" style="262"/>
    <col min="11777" max="11777" width="8.140625" style="262" bestFit="1" customWidth="1"/>
    <col min="11778" max="11778" width="14.7109375" style="262" bestFit="1" customWidth="1"/>
    <col min="11779" max="11779" width="20.7109375" style="262" bestFit="1" customWidth="1"/>
    <col min="11780" max="11780" width="11.140625" style="262" bestFit="1" customWidth="1"/>
    <col min="11781" max="11781" width="11.7109375" style="262" bestFit="1" customWidth="1"/>
    <col min="11782" max="11782" width="12.42578125" style="262" bestFit="1" customWidth="1"/>
    <col min="11783" max="11783" width="12.5703125" style="262" bestFit="1" customWidth="1"/>
    <col min="11784" max="11784" width="9.28515625" style="262" bestFit="1" customWidth="1"/>
    <col min="11785" max="11785" width="8.7109375" style="262" bestFit="1" customWidth="1"/>
    <col min="11786" max="11786" width="7.28515625" style="262" bestFit="1" customWidth="1"/>
    <col min="11787" max="11787" width="4.7109375" style="262" bestFit="1" customWidth="1"/>
    <col min="11788" max="12032" width="9.140625" style="262"/>
    <col min="12033" max="12033" width="8.140625" style="262" bestFit="1" customWidth="1"/>
    <col min="12034" max="12034" width="14.7109375" style="262" bestFit="1" customWidth="1"/>
    <col min="12035" max="12035" width="20.7109375" style="262" bestFit="1" customWidth="1"/>
    <col min="12036" max="12036" width="11.140625" style="262" bestFit="1" customWidth="1"/>
    <col min="12037" max="12037" width="11.7109375" style="262" bestFit="1" customWidth="1"/>
    <col min="12038" max="12038" width="12.42578125" style="262" bestFit="1" customWidth="1"/>
    <col min="12039" max="12039" width="12.5703125" style="262" bestFit="1" customWidth="1"/>
    <col min="12040" max="12040" width="9.28515625" style="262" bestFit="1" customWidth="1"/>
    <col min="12041" max="12041" width="8.7109375" style="262" bestFit="1" customWidth="1"/>
    <col min="12042" max="12042" width="7.28515625" style="262" bestFit="1" customWidth="1"/>
    <col min="12043" max="12043" width="4.7109375" style="262" bestFit="1" customWidth="1"/>
    <col min="12044" max="12288" width="9.140625" style="262"/>
    <col min="12289" max="12289" width="8.140625" style="262" bestFit="1" customWidth="1"/>
    <col min="12290" max="12290" width="14.7109375" style="262" bestFit="1" customWidth="1"/>
    <col min="12291" max="12291" width="20.7109375" style="262" bestFit="1" customWidth="1"/>
    <col min="12292" max="12292" width="11.140625" style="262" bestFit="1" customWidth="1"/>
    <col min="12293" max="12293" width="11.7109375" style="262" bestFit="1" customWidth="1"/>
    <col min="12294" max="12294" width="12.42578125" style="262" bestFit="1" customWidth="1"/>
    <col min="12295" max="12295" width="12.5703125" style="262" bestFit="1" customWidth="1"/>
    <col min="12296" max="12296" width="9.28515625" style="262" bestFit="1" customWidth="1"/>
    <col min="12297" max="12297" width="8.7109375" style="262" bestFit="1" customWidth="1"/>
    <col min="12298" max="12298" width="7.28515625" style="262" bestFit="1" customWidth="1"/>
    <col min="12299" max="12299" width="4.7109375" style="262" bestFit="1" customWidth="1"/>
    <col min="12300" max="12544" width="9.140625" style="262"/>
    <col min="12545" max="12545" width="8.140625" style="262" bestFit="1" customWidth="1"/>
    <col min="12546" max="12546" width="14.7109375" style="262" bestFit="1" customWidth="1"/>
    <col min="12547" max="12547" width="20.7109375" style="262" bestFit="1" customWidth="1"/>
    <col min="12548" max="12548" width="11.140625" style="262" bestFit="1" customWidth="1"/>
    <col min="12549" max="12549" width="11.7109375" style="262" bestFit="1" customWidth="1"/>
    <col min="12550" max="12550" width="12.42578125" style="262" bestFit="1" customWidth="1"/>
    <col min="12551" max="12551" width="12.5703125" style="262" bestFit="1" customWidth="1"/>
    <col min="12552" max="12552" width="9.28515625" style="262" bestFit="1" customWidth="1"/>
    <col min="12553" max="12553" width="8.7109375" style="262" bestFit="1" customWidth="1"/>
    <col min="12554" max="12554" width="7.28515625" style="262" bestFit="1" customWidth="1"/>
    <col min="12555" max="12555" width="4.7109375" style="262" bestFit="1" customWidth="1"/>
    <col min="12556" max="12800" width="9.140625" style="262"/>
    <col min="12801" max="12801" width="8.140625" style="262" bestFit="1" customWidth="1"/>
    <col min="12802" max="12802" width="14.7109375" style="262" bestFit="1" customWidth="1"/>
    <col min="12803" max="12803" width="20.7109375" style="262" bestFit="1" customWidth="1"/>
    <col min="12804" max="12804" width="11.140625" style="262" bestFit="1" customWidth="1"/>
    <col min="12805" max="12805" width="11.7109375" style="262" bestFit="1" customWidth="1"/>
    <col min="12806" max="12806" width="12.42578125" style="262" bestFit="1" customWidth="1"/>
    <col min="12807" max="12807" width="12.5703125" style="262" bestFit="1" customWidth="1"/>
    <col min="12808" max="12808" width="9.28515625" style="262" bestFit="1" customWidth="1"/>
    <col min="12809" max="12809" width="8.7109375" style="262" bestFit="1" customWidth="1"/>
    <col min="12810" max="12810" width="7.28515625" style="262" bestFit="1" customWidth="1"/>
    <col min="12811" max="12811" width="4.7109375" style="262" bestFit="1" customWidth="1"/>
    <col min="12812" max="13056" width="9.140625" style="262"/>
    <col min="13057" max="13057" width="8.140625" style="262" bestFit="1" customWidth="1"/>
    <col min="13058" max="13058" width="14.7109375" style="262" bestFit="1" customWidth="1"/>
    <col min="13059" max="13059" width="20.7109375" style="262" bestFit="1" customWidth="1"/>
    <col min="13060" max="13060" width="11.140625" style="262" bestFit="1" customWidth="1"/>
    <col min="13061" max="13061" width="11.7109375" style="262" bestFit="1" customWidth="1"/>
    <col min="13062" max="13062" width="12.42578125" style="262" bestFit="1" customWidth="1"/>
    <col min="13063" max="13063" width="12.5703125" style="262" bestFit="1" customWidth="1"/>
    <col min="13064" max="13064" width="9.28515625" style="262" bestFit="1" customWidth="1"/>
    <col min="13065" max="13065" width="8.7109375" style="262" bestFit="1" customWidth="1"/>
    <col min="13066" max="13066" width="7.28515625" style="262" bestFit="1" customWidth="1"/>
    <col min="13067" max="13067" width="4.7109375" style="262" bestFit="1" customWidth="1"/>
    <col min="13068" max="13312" width="9.140625" style="262"/>
    <col min="13313" max="13313" width="8.140625" style="262" bestFit="1" customWidth="1"/>
    <col min="13314" max="13314" width="14.7109375" style="262" bestFit="1" customWidth="1"/>
    <col min="13315" max="13315" width="20.7109375" style="262" bestFit="1" customWidth="1"/>
    <col min="13316" max="13316" width="11.140625" style="262" bestFit="1" customWidth="1"/>
    <col min="13317" max="13317" width="11.7109375" style="262" bestFit="1" customWidth="1"/>
    <col min="13318" max="13318" width="12.42578125" style="262" bestFit="1" customWidth="1"/>
    <col min="13319" max="13319" width="12.5703125" style="262" bestFit="1" customWidth="1"/>
    <col min="13320" max="13320" width="9.28515625" style="262" bestFit="1" customWidth="1"/>
    <col min="13321" max="13321" width="8.7109375" style="262" bestFit="1" customWidth="1"/>
    <col min="13322" max="13322" width="7.28515625" style="262" bestFit="1" customWidth="1"/>
    <col min="13323" max="13323" width="4.7109375" style="262" bestFit="1" customWidth="1"/>
    <col min="13324" max="13568" width="9.140625" style="262"/>
    <col min="13569" max="13569" width="8.140625" style="262" bestFit="1" customWidth="1"/>
    <col min="13570" max="13570" width="14.7109375" style="262" bestFit="1" customWidth="1"/>
    <col min="13571" max="13571" width="20.7109375" style="262" bestFit="1" customWidth="1"/>
    <col min="13572" max="13572" width="11.140625" style="262" bestFit="1" customWidth="1"/>
    <col min="13573" max="13573" width="11.7109375" style="262" bestFit="1" customWidth="1"/>
    <col min="13574" max="13574" width="12.42578125" style="262" bestFit="1" customWidth="1"/>
    <col min="13575" max="13575" width="12.5703125" style="262" bestFit="1" customWidth="1"/>
    <col min="13576" max="13576" width="9.28515625" style="262" bestFit="1" customWidth="1"/>
    <col min="13577" max="13577" width="8.7109375" style="262" bestFit="1" customWidth="1"/>
    <col min="13578" max="13578" width="7.28515625" style="262" bestFit="1" customWidth="1"/>
    <col min="13579" max="13579" width="4.7109375" style="262" bestFit="1" customWidth="1"/>
    <col min="13580" max="13824" width="9.140625" style="262"/>
    <col min="13825" max="13825" width="8.140625" style="262" bestFit="1" customWidth="1"/>
    <col min="13826" max="13826" width="14.7109375" style="262" bestFit="1" customWidth="1"/>
    <col min="13827" max="13827" width="20.7109375" style="262" bestFit="1" customWidth="1"/>
    <col min="13828" max="13828" width="11.140625" style="262" bestFit="1" customWidth="1"/>
    <col min="13829" max="13829" width="11.7109375" style="262" bestFit="1" customWidth="1"/>
    <col min="13830" max="13830" width="12.42578125" style="262" bestFit="1" customWidth="1"/>
    <col min="13831" max="13831" width="12.5703125" style="262" bestFit="1" customWidth="1"/>
    <col min="13832" max="13832" width="9.28515625" style="262" bestFit="1" customWidth="1"/>
    <col min="13833" max="13833" width="8.7109375" style="262" bestFit="1" customWidth="1"/>
    <col min="13834" max="13834" width="7.28515625" style="262" bestFit="1" customWidth="1"/>
    <col min="13835" max="13835" width="4.7109375" style="262" bestFit="1" customWidth="1"/>
    <col min="13836" max="14080" width="9.140625" style="262"/>
    <col min="14081" max="14081" width="8.140625" style="262" bestFit="1" customWidth="1"/>
    <col min="14082" max="14082" width="14.7109375" style="262" bestFit="1" customWidth="1"/>
    <col min="14083" max="14083" width="20.7109375" style="262" bestFit="1" customWidth="1"/>
    <col min="14084" max="14084" width="11.140625" style="262" bestFit="1" customWidth="1"/>
    <col min="14085" max="14085" width="11.7109375" style="262" bestFit="1" customWidth="1"/>
    <col min="14086" max="14086" width="12.42578125" style="262" bestFit="1" customWidth="1"/>
    <col min="14087" max="14087" width="12.5703125" style="262" bestFit="1" customWidth="1"/>
    <col min="14088" max="14088" width="9.28515625" style="262" bestFit="1" customWidth="1"/>
    <col min="14089" max="14089" width="8.7109375" style="262" bestFit="1" customWidth="1"/>
    <col min="14090" max="14090" width="7.28515625" style="262" bestFit="1" customWidth="1"/>
    <col min="14091" max="14091" width="4.7109375" style="262" bestFit="1" customWidth="1"/>
    <col min="14092" max="14336" width="9.140625" style="262"/>
    <col min="14337" max="14337" width="8.140625" style="262" bestFit="1" customWidth="1"/>
    <col min="14338" max="14338" width="14.7109375" style="262" bestFit="1" customWidth="1"/>
    <col min="14339" max="14339" width="20.7109375" style="262" bestFit="1" customWidth="1"/>
    <col min="14340" max="14340" width="11.140625" style="262" bestFit="1" customWidth="1"/>
    <col min="14341" max="14341" width="11.7109375" style="262" bestFit="1" customWidth="1"/>
    <col min="14342" max="14342" width="12.42578125" style="262" bestFit="1" customWidth="1"/>
    <col min="14343" max="14343" width="12.5703125" style="262" bestFit="1" customWidth="1"/>
    <col min="14344" max="14344" width="9.28515625" style="262" bestFit="1" customWidth="1"/>
    <col min="14345" max="14345" width="8.7109375" style="262" bestFit="1" customWidth="1"/>
    <col min="14346" max="14346" width="7.28515625" style="262" bestFit="1" customWidth="1"/>
    <col min="14347" max="14347" width="4.7109375" style="262" bestFit="1" customWidth="1"/>
    <col min="14348" max="14592" width="9.140625" style="262"/>
    <col min="14593" max="14593" width="8.140625" style="262" bestFit="1" customWidth="1"/>
    <col min="14594" max="14594" width="14.7109375" style="262" bestFit="1" customWidth="1"/>
    <col min="14595" max="14595" width="20.7109375" style="262" bestFit="1" customWidth="1"/>
    <col min="14596" max="14596" width="11.140625" style="262" bestFit="1" customWidth="1"/>
    <col min="14597" max="14597" width="11.7109375" style="262" bestFit="1" customWidth="1"/>
    <col min="14598" max="14598" width="12.42578125" style="262" bestFit="1" customWidth="1"/>
    <col min="14599" max="14599" width="12.5703125" style="262" bestFit="1" customWidth="1"/>
    <col min="14600" max="14600" width="9.28515625" style="262" bestFit="1" customWidth="1"/>
    <col min="14601" max="14601" width="8.7109375" style="262" bestFit="1" customWidth="1"/>
    <col min="14602" max="14602" width="7.28515625" style="262" bestFit="1" customWidth="1"/>
    <col min="14603" max="14603" width="4.7109375" style="262" bestFit="1" customWidth="1"/>
    <col min="14604" max="14848" width="9.140625" style="262"/>
    <col min="14849" max="14849" width="8.140625" style="262" bestFit="1" customWidth="1"/>
    <col min="14850" max="14850" width="14.7109375" style="262" bestFit="1" customWidth="1"/>
    <col min="14851" max="14851" width="20.7109375" style="262" bestFit="1" customWidth="1"/>
    <col min="14852" max="14852" width="11.140625" style="262" bestFit="1" customWidth="1"/>
    <col min="14853" max="14853" width="11.7109375" style="262" bestFit="1" customWidth="1"/>
    <col min="14854" max="14854" width="12.42578125" style="262" bestFit="1" customWidth="1"/>
    <col min="14855" max="14855" width="12.5703125" style="262" bestFit="1" customWidth="1"/>
    <col min="14856" max="14856" width="9.28515625" style="262" bestFit="1" customWidth="1"/>
    <col min="14857" max="14857" width="8.7109375" style="262" bestFit="1" customWidth="1"/>
    <col min="14858" max="14858" width="7.28515625" style="262" bestFit="1" customWidth="1"/>
    <col min="14859" max="14859" width="4.7109375" style="262" bestFit="1" customWidth="1"/>
    <col min="14860" max="15104" width="9.140625" style="262"/>
    <col min="15105" max="15105" width="8.140625" style="262" bestFit="1" customWidth="1"/>
    <col min="15106" max="15106" width="14.7109375" style="262" bestFit="1" customWidth="1"/>
    <col min="15107" max="15107" width="20.7109375" style="262" bestFit="1" customWidth="1"/>
    <col min="15108" max="15108" width="11.140625" style="262" bestFit="1" customWidth="1"/>
    <col min="15109" max="15109" width="11.7109375" style="262" bestFit="1" customWidth="1"/>
    <col min="15110" max="15110" width="12.42578125" style="262" bestFit="1" customWidth="1"/>
    <col min="15111" max="15111" width="12.5703125" style="262" bestFit="1" customWidth="1"/>
    <col min="15112" max="15112" width="9.28515625" style="262" bestFit="1" customWidth="1"/>
    <col min="15113" max="15113" width="8.7109375" style="262" bestFit="1" customWidth="1"/>
    <col min="15114" max="15114" width="7.28515625" style="262" bestFit="1" customWidth="1"/>
    <col min="15115" max="15115" width="4.7109375" style="262" bestFit="1" customWidth="1"/>
    <col min="15116" max="15360" width="9.140625" style="262"/>
    <col min="15361" max="15361" width="8.140625" style="262" bestFit="1" customWidth="1"/>
    <col min="15362" max="15362" width="14.7109375" style="262" bestFit="1" customWidth="1"/>
    <col min="15363" max="15363" width="20.7109375" style="262" bestFit="1" customWidth="1"/>
    <col min="15364" max="15364" width="11.140625" style="262" bestFit="1" customWidth="1"/>
    <col min="15365" max="15365" width="11.7109375" style="262" bestFit="1" customWidth="1"/>
    <col min="15366" max="15366" width="12.42578125" style="262" bestFit="1" customWidth="1"/>
    <col min="15367" max="15367" width="12.5703125" style="262" bestFit="1" customWidth="1"/>
    <col min="15368" max="15368" width="9.28515625" style="262" bestFit="1" customWidth="1"/>
    <col min="15369" max="15369" width="8.7109375" style="262" bestFit="1" customWidth="1"/>
    <col min="15370" max="15370" width="7.28515625" style="262" bestFit="1" customWidth="1"/>
    <col min="15371" max="15371" width="4.7109375" style="262" bestFit="1" customWidth="1"/>
    <col min="15372" max="15616" width="9.140625" style="262"/>
    <col min="15617" max="15617" width="8.140625" style="262" bestFit="1" customWidth="1"/>
    <col min="15618" max="15618" width="14.7109375" style="262" bestFit="1" customWidth="1"/>
    <col min="15619" max="15619" width="20.7109375" style="262" bestFit="1" customWidth="1"/>
    <col min="15620" max="15620" width="11.140625" style="262" bestFit="1" customWidth="1"/>
    <col min="15621" max="15621" width="11.7109375" style="262" bestFit="1" customWidth="1"/>
    <col min="15622" max="15622" width="12.42578125" style="262" bestFit="1" customWidth="1"/>
    <col min="15623" max="15623" width="12.5703125" style="262" bestFit="1" customWidth="1"/>
    <col min="15624" max="15624" width="9.28515625" style="262" bestFit="1" customWidth="1"/>
    <col min="15625" max="15625" width="8.7109375" style="262" bestFit="1" customWidth="1"/>
    <col min="15626" max="15626" width="7.28515625" style="262" bestFit="1" customWidth="1"/>
    <col min="15627" max="15627" width="4.7109375" style="262" bestFit="1" customWidth="1"/>
    <col min="15628" max="15872" width="9.140625" style="262"/>
    <col min="15873" max="15873" width="8.140625" style="262" bestFit="1" customWidth="1"/>
    <col min="15874" max="15874" width="14.7109375" style="262" bestFit="1" customWidth="1"/>
    <col min="15875" max="15875" width="20.7109375" style="262" bestFit="1" customWidth="1"/>
    <col min="15876" max="15876" width="11.140625" style="262" bestFit="1" customWidth="1"/>
    <col min="15877" max="15877" width="11.7109375" style="262" bestFit="1" customWidth="1"/>
    <col min="15878" max="15878" width="12.42578125" style="262" bestFit="1" customWidth="1"/>
    <col min="15879" max="15879" width="12.5703125" style="262" bestFit="1" customWidth="1"/>
    <col min="15880" max="15880" width="9.28515625" style="262" bestFit="1" customWidth="1"/>
    <col min="15881" max="15881" width="8.7109375" style="262" bestFit="1" customWidth="1"/>
    <col min="15882" max="15882" width="7.28515625" style="262" bestFit="1" customWidth="1"/>
    <col min="15883" max="15883" width="4.7109375" style="262" bestFit="1" customWidth="1"/>
    <col min="15884" max="16128" width="9.140625" style="262"/>
    <col min="16129" max="16129" width="8.140625" style="262" bestFit="1" customWidth="1"/>
    <col min="16130" max="16130" width="14.7109375" style="262" bestFit="1" customWidth="1"/>
    <col min="16131" max="16131" width="20.7109375" style="262" bestFit="1" customWidth="1"/>
    <col min="16132" max="16132" width="11.140625" style="262" bestFit="1" customWidth="1"/>
    <col min="16133" max="16133" width="11.7109375" style="262" bestFit="1" customWidth="1"/>
    <col min="16134" max="16134" width="12.42578125" style="262" bestFit="1" customWidth="1"/>
    <col min="16135" max="16135" width="12.5703125" style="262" bestFit="1" customWidth="1"/>
    <col min="16136" max="16136" width="9.28515625" style="262" bestFit="1" customWidth="1"/>
    <col min="16137" max="16137" width="8.7109375" style="262" bestFit="1" customWidth="1"/>
    <col min="16138" max="16138" width="7.28515625" style="262" bestFit="1" customWidth="1"/>
    <col min="16139" max="16139" width="4.7109375" style="262" bestFit="1" customWidth="1"/>
    <col min="16140" max="16384" width="9.140625" style="262"/>
  </cols>
  <sheetData>
    <row r="1" spans="1:10" ht="15.75" customHeight="1" x14ac:dyDescent="0.2">
      <c r="A1" s="354" t="s">
        <v>134</v>
      </c>
      <c r="B1" s="354"/>
      <c r="C1" s="354"/>
      <c r="D1" s="354"/>
      <c r="E1" s="354"/>
      <c r="F1" s="354"/>
      <c r="G1" s="354"/>
      <c r="H1" s="354"/>
      <c r="I1" s="354"/>
      <c r="J1" s="354"/>
    </row>
    <row r="2" spans="1:10" s="265" customFormat="1" ht="15" customHeight="1" x14ac:dyDescent="0.2">
      <c r="A2" s="355" t="s">
        <v>135</v>
      </c>
      <c r="B2" s="355" t="s">
        <v>136</v>
      </c>
      <c r="C2" s="355" t="s">
        <v>137</v>
      </c>
      <c r="D2" s="355" t="s">
        <v>138</v>
      </c>
      <c r="E2" s="355" t="s">
        <v>139</v>
      </c>
      <c r="F2" s="357" t="s">
        <v>140</v>
      </c>
      <c r="G2" s="358"/>
      <c r="H2" s="359" t="s">
        <v>141</v>
      </c>
      <c r="I2" s="361" t="s">
        <v>142</v>
      </c>
    </row>
    <row r="3" spans="1:10" s="265" customFormat="1" ht="37.5" customHeight="1" x14ac:dyDescent="0.2">
      <c r="A3" s="356"/>
      <c r="B3" s="356"/>
      <c r="C3" s="356"/>
      <c r="D3" s="356"/>
      <c r="E3" s="356"/>
      <c r="F3" s="276" t="s">
        <v>143</v>
      </c>
      <c r="G3" s="276" t="s">
        <v>144</v>
      </c>
      <c r="H3" s="360"/>
      <c r="I3" s="362"/>
    </row>
    <row r="4" spans="1:10" s="265" customFormat="1" ht="39" customHeight="1" x14ac:dyDescent="0.2">
      <c r="A4" s="277">
        <v>1</v>
      </c>
      <c r="B4" s="278" t="s">
        <v>145</v>
      </c>
      <c r="C4" s="278" t="s">
        <v>146</v>
      </c>
      <c r="D4" s="279">
        <v>43539</v>
      </c>
      <c r="E4" s="279">
        <v>43553</v>
      </c>
      <c r="F4" s="280">
        <v>17392157</v>
      </c>
      <c r="G4" s="281">
        <v>26</v>
      </c>
      <c r="H4" s="281">
        <v>27</v>
      </c>
      <c r="I4" s="282">
        <v>46.96</v>
      </c>
    </row>
    <row r="5" spans="1:10" s="265" customFormat="1" ht="19.5" customHeight="1" x14ac:dyDescent="0.2">
      <c r="A5" s="353" t="s">
        <v>133</v>
      </c>
      <c r="B5" s="353"/>
    </row>
    <row r="6" spans="1:10" s="265" customFormat="1" ht="27.6" customHeight="1" x14ac:dyDescent="0.2"/>
  </sheetData>
  <mergeCells count="10">
    <mergeCell ref="A5:B5"/>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I22"/>
  <sheetViews>
    <sheetView workbookViewId="0">
      <selection sqref="A1:I1"/>
    </sheetView>
  </sheetViews>
  <sheetFormatPr defaultRowHeight="12.75" x14ac:dyDescent="0.2"/>
  <cols>
    <col min="1" max="1" width="14.7109375" style="262" bestFit="1" customWidth="1"/>
    <col min="2" max="2" width="11.5703125" style="262" bestFit="1" customWidth="1"/>
    <col min="3" max="3" width="12.140625" style="262" bestFit="1" customWidth="1"/>
    <col min="4" max="4" width="12" style="262" bestFit="1" customWidth="1"/>
    <col min="5" max="5" width="12.140625" style="262" bestFit="1" customWidth="1"/>
    <col min="6" max="6" width="11.28515625" style="262" bestFit="1" customWidth="1"/>
    <col min="7" max="7" width="12.140625" style="262" bestFit="1" customWidth="1"/>
    <col min="8" max="8" width="9" style="262" bestFit="1" customWidth="1"/>
    <col min="9" max="9" width="11.7109375" style="262" bestFit="1" customWidth="1"/>
    <col min="10" max="10" width="4.7109375" style="262" bestFit="1" customWidth="1"/>
    <col min="11" max="256" width="9.140625" style="262"/>
    <col min="257" max="257" width="14.7109375" style="262" bestFit="1" customWidth="1"/>
    <col min="258" max="258" width="11.5703125" style="262" bestFit="1" customWidth="1"/>
    <col min="259" max="259" width="12.140625" style="262" bestFit="1" customWidth="1"/>
    <col min="260" max="260" width="12" style="262" bestFit="1" customWidth="1"/>
    <col min="261" max="261" width="12.140625" style="262" bestFit="1" customWidth="1"/>
    <col min="262" max="262" width="11.28515625" style="262" bestFit="1" customWidth="1"/>
    <col min="263" max="263" width="12.140625" style="262" bestFit="1" customWidth="1"/>
    <col min="264" max="264" width="9" style="262" bestFit="1" customWidth="1"/>
    <col min="265" max="265" width="11.7109375" style="262" bestFit="1" customWidth="1"/>
    <col min="266" max="266" width="4.7109375" style="262" bestFit="1" customWidth="1"/>
    <col min="267" max="512" width="9.140625" style="262"/>
    <col min="513" max="513" width="14.7109375" style="262" bestFit="1" customWidth="1"/>
    <col min="514" max="514" width="11.5703125" style="262" bestFit="1" customWidth="1"/>
    <col min="515" max="515" width="12.140625" style="262" bestFit="1" customWidth="1"/>
    <col min="516" max="516" width="12" style="262" bestFit="1" customWidth="1"/>
    <col min="517" max="517" width="12.140625" style="262" bestFit="1" customWidth="1"/>
    <col min="518" max="518" width="11.28515625" style="262" bestFit="1" customWidth="1"/>
    <col min="519" max="519" width="12.140625" style="262" bestFit="1" customWidth="1"/>
    <col min="520" max="520" width="9" style="262" bestFit="1" customWidth="1"/>
    <col min="521" max="521" width="11.7109375" style="262" bestFit="1" customWidth="1"/>
    <col min="522" max="522" width="4.7109375" style="262" bestFit="1" customWidth="1"/>
    <col min="523" max="768" width="9.140625" style="262"/>
    <col min="769" max="769" width="14.7109375" style="262" bestFit="1" customWidth="1"/>
    <col min="770" max="770" width="11.5703125" style="262" bestFit="1" customWidth="1"/>
    <col min="771" max="771" width="12.140625" style="262" bestFit="1" customWidth="1"/>
    <col min="772" max="772" width="12" style="262" bestFit="1" customWidth="1"/>
    <col min="773" max="773" width="12.140625" style="262" bestFit="1" customWidth="1"/>
    <col min="774" max="774" width="11.28515625" style="262" bestFit="1" customWidth="1"/>
    <col min="775" max="775" width="12.140625" style="262" bestFit="1" customWidth="1"/>
    <col min="776" max="776" width="9" style="262" bestFit="1" customWidth="1"/>
    <col min="777" max="777" width="11.7109375" style="262" bestFit="1" customWidth="1"/>
    <col min="778" max="778" width="4.7109375" style="262" bestFit="1" customWidth="1"/>
    <col min="779" max="1024" width="9.140625" style="262"/>
    <col min="1025" max="1025" width="14.7109375" style="262" bestFit="1" customWidth="1"/>
    <col min="1026" max="1026" width="11.5703125" style="262" bestFit="1" customWidth="1"/>
    <col min="1027" max="1027" width="12.140625" style="262" bestFit="1" customWidth="1"/>
    <col min="1028" max="1028" width="12" style="262" bestFit="1" customWidth="1"/>
    <col min="1029" max="1029" width="12.140625" style="262" bestFit="1" customWidth="1"/>
    <col min="1030" max="1030" width="11.28515625" style="262" bestFit="1" customWidth="1"/>
    <col min="1031" max="1031" width="12.140625" style="262" bestFit="1" customWidth="1"/>
    <col min="1032" max="1032" width="9" style="262" bestFit="1" customWidth="1"/>
    <col min="1033" max="1033" width="11.7109375" style="262" bestFit="1" customWidth="1"/>
    <col min="1034" max="1034" width="4.7109375" style="262" bestFit="1" customWidth="1"/>
    <col min="1035" max="1280" width="9.140625" style="262"/>
    <col min="1281" max="1281" width="14.7109375" style="262" bestFit="1" customWidth="1"/>
    <col min="1282" max="1282" width="11.5703125" style="262" bestFit="1" customWidth="1"/>
    <col min="1283" max="1283" width="12.140625" style="262" bestFit="1" customWidth="1"/>
    <col min="1284" max="1284" width="12" style="262" bestFit="1" customWidth="1"/>
    <col min="1285" max="1285" width="12.140625" style="262" bestFit="1" customWidth="1"/>
    <col min="1286" max="1286" width="11.28515625" style="262" bestFit="1" customWidth="1"/>
    <col min="1287" max="1287" width="12.140625" style="262" bestFit="1" customWidth="1"/>
    <col min="1288" max="1288" width="9" style="262" bestFit="1" customWidth="1"/>
    <col min="1289" max="1289" width="11.7109375" style="262" bestFit="1" customWidth="1"/>
    <col min="1290" max="1290" width="4.7109375" style="262" bestFit="1" customWidth="1"/>
    <col min="1291" max="1536" width="9.140625" style="262"/>
    <col min="1537" max="1537" width="14.7109375" style="262" bestFit="1" customWidth="1"/>
    <col min="1538" max="1538" width="11.5703125" style="262" bestFit="1" customWidth="1"/>
    <col min="1539" max="1539" width="12.140625" style="262" bestFit="1" customWidth="1"/>
    <col min="1540" max="1540" width="12" style="262" bestFit="1" customWidth="1"/>
    <col min="1541" max="1541" width="12.140625" style="262" bestFit="1" customWidth="1"/>
    <col min="1542" max="1542" width="11.28515625" style="262" bestFit="1" customWidth="1"/>
    <col min="1543" max="1543" width="12.140625" style="262" bestFit="1" customWidth="1"/>
    <col min="1544" max="1544" width="9" style="262" bestFit="1" customWidth="1"/>
    <col min="1545" max="1545" width="11.7109375" style="262" bestFit="1" customWidth="1"/>
    <col min="1546" max="1546" width="4.7109375" style="262" bestFit="1" customWidth="1"/>
    <col min="1547" max="1792" width="9.140625" style="262"/>
    <col min="1793" max="1793" width="14.7109375" style="262" bestFit="1" customWidth="1"/>
    <col min="1794" max="1794" width="11.5703125" style="262" bestFit="1" customWidth="1"/>
    <col min="1795" max="1795" width="12.140625" style="262" bestFit="1" customWidth="1"/>
    <col min="1796" max="1796" width="12" style="262" bestFit="1" customWidth="1"/>
    <col min="1797" max="1797" width="12.140625" style="262" bestFit="1" customWidth="1"/>
    <col min="1798" max="1798" width="11.28515625" style="262" bestFit="1" customWidth="1"/>
    <col min="1799" max="1799" width="12.140625" style="262" bestFit="1" customWidth="1"/>
    <col min="1800" max="1800" width="9" style="262" bestFit="1" customWidth="1"/>
    <col min="1801" max="1801" width="11.7109375" style="262" bestFit="1" customWidth="1"/>
    <col min="1802" max="1802" width="4.7109375" style="262" bestFit="1" customWidth="1"/>
    <col min="1803" max="2048" width="9.140625" style="262"/>
    <col min="2049" max="2049" width="14.7109375" style="262" bestFit="1" customWidth="1"/>
    <col min="2050" max="2050" width="11.5703125" style="262" bestFit="1" customWidth="1"/>
    <col min="2051" max="2051" width="12.140625" style="262" bestFit="1" customWidth="1"/>
    <col min="2052" max="2052" width="12" style="262" bestFit="1" customWidth="1"/>
    <col min="2053" max="2053" width="12.140625" style="262" bestFit="1" customWidth="1"/>
    <col min="2054" max="2054" width="11.28515625" style="262" bestFit="1" customWidth="1"/>
    <col min="2055" max="2055" width="12.140625" style="262" bestFit="1" customWidth="1"/>
    <col min="2056" max="2056" width="9" style="262" bestFit="1" customWidth="1"/>
    <col min="2057" max="2057" width="11.7109375" style="262" bestFit="1" customWidth="1"/>
    <col min="2058" max="2058" width="4.7109375" style="262" bestFit="1" customWidth="1"/>
    <col min="2059" max="2304" width="9.140625" style="262"/>
    <col min="2305" max="2305" width="14.7109375" style="262" bestFit="1" customWidth="1"/>
    <col min="2306" max="2306" width="11.5703125" style="262" bestFit="1" customWidth="1"/>
    <col min="2307" max="2307" width="12.140625" style="262" bestFit="1" customWidth="1"/>
    <col min="2308" max="2308" width="12" style="262" bestFit="1" customWidth="1"/>
    <col min="2309" max="2309" width="12.140625" style="262" bestFit="1" customWidth="1"/>
    <col min="2310" max="2310" width="11.28515625" style="262" bestFit="1" customWidth="1"/>
    <col min="2311" max="2311" width="12.140625" style="262" bestFit="1" customWidth="1"/>
    <col min="2312" max="2312" width="9" style="262" bestFit="1" customWidth="1"/>
    <col min="2313" max="2313" width="11.7109375" style="262" bestFit="1" customWidth="1"/>
    <col min="2314" max="2314" width="4.7109375" style="262" bestFit="1" customWidth="1"/>
    <col min="2315" max="2560" width="9.140625" style="262"/>
    <col min="2561" max="2561" width="14.7109375" style="262" bestFit="1" customWidth="1"/>
    <col min="2562" max="2562" width="11.5703125" style="262" bestFit="1" customWidth="1"/>
    <col min="2563" max="2563" width="12.140625" style="262" bestFit="1" customWidth="1"/>
    <col min="2564" max="2564" width="12" style="262" bestFit="1" customWidth="1"/>
    <col min="2565" max="2565" width="12.140625" style="262" bestFit="1" customWidth="1"/>
    <col min="2566" max="2566" width="11.28515625" style="262" bestFit="1" customWidth="1"/>
    <col min="2567" max="2567" width="12.140625" style="262" bestFit="1" customWidth="1"/>
    <col min="2568" max="2568" width="9" style="262" bestFit="1" customWidth="1"/>
    <col min="2569" max="2569" width="11.7109375" style="262" bestFit="1" customWidth="1"/>
    <col min="2570" max="2570" width="4.7109375" style="262" bestFit="1" customWidth="1"/>
    <col min="2571" max="2816" width="9.140625" style="262"/>
    <col min="2817" max="2817" width="14.7109375" style="262" bestFit="1" customWidth="1"/>
    <col min="2818" max="2818" width="11.5703125" style="262" bestFit="1" customWidth="1"/>
    <col min="2819" max="2819" width="12.140625" style="262" bestFit="1" customWidth="1"/>
    <col min="2820" max="2820" width="12" style="262" bestFit="1" customWidth="1"/>
    <col min="2821" max="2821" width="12.140625" style="262" bestFit="1" customWidth="1"/>
    <col min="2822" max="2822" width="11.28515625" style="262" bestFit="1" customWidth="1"/>
    <col min="2823" max="2823" width="12.140625" style="262" bestFit="1" customWidth="1"/>
    <col min="2824" max="2824" width="9" style="262" bestFit="1" customWidth="1"/>
    <col min="2825" max="2825" width="11.7109375" style="262" bestFit="1" customWidth="1"/>
    <col min="2826" max="2826" width="4.7109375" style="262" bestFit="1" customWidth="1"/>
    <col min="2827" max="3072" width="9.140625" style="262"/>
    <col min="3073" max="3073" width="14.7109375" style="262" bestFit="1" customWidth="1"/>
    <col min="3074" max="3074" width="11.5703125" style="262" bestFit="1" customWidth="1"/>
    <col min="3075" max="3075" width="12.140625" style="262" bestFit="1" customWidth="1"/>
    <col min="3076" max="3076" width="12" style="262" bestFit="1" customWidth="1"/>
    <col min="3077" max="3077" width="12.140625" style="262" bestFit="1" customWidth="1"/>
    <col min="3078" max="3078" width="11.28515625" style="262" bestFit="1" customWidth="1"/>
    <col min="3079" max="3079" width="12.140625" style="262" bestFit="1" customWidth="1"/>
    <col min="3080" max="3080" width="9" style="262" bestFit="1" customWidth="1"/>
    <col min="3081" max="3081" width="11.7109375" style="262" bestFit="1" customWidth="1"/>
    <col min="3082" max="3082" width="4.7109375" style="262" bestFit="1" customWidth="1"/>
    <col min="3083" max="3328" width="9.140625" style="262"/>
    <col min="3329" max="3329" width="14.7109375" style="262" bestFit="1" customWidth="1"/>
    <col min="3330" max="3330" width="11.5703125" style="262" bestFit="1" customWidth="1"/>
    <col min="3331" max="3331" width="12.140625" style="262" bestFit="1" customWidth="1"/>
    <col min="3332" max="3332" width="12" style="262" bestFit="1" customWidth="1"/>
    <col min="3333" max="3333" width="12.140625" style="262" bestFit="1" customWidth="1"/>
    <col min="3334" max="3334" width="11.28515625" style="262" bestFit="1" customWidth="1"/>
    <col min="3335" max="3335" width="12.140625" style="262" bestFit="1" customWidth="1"/>
    <col min="3336" max="3336" width="9" style="262" bestFit="1" customWidth="1"/>
    <col min="3337" max="3337" width="11.7109375" style="262" bestFit="1" customWidth="1"/>
    <col min="3338" max="3338" width="4.7109375" style="262" bestFit="1" customWidth="1"/>
    <col min="3339" max="3584" width="9.140625" style="262"/>
    <col min="3585" max="3585" width="14.7109375" style="262" bestFit="1" customWidth="1"/>
    <col min="3586" max="3586" width="11.5703125" style="262" bestFit="1" customWidth="1"/>
    <col min="3587" max="3587" width="12.140625" style="262" bestFit="1" customWidth="1"/>
    <col min="3588" max="3588" width="12" style="262" bestFit="1" customWidth="1"/>
    <col min="3589" max="3589" width="12.140625" style="262" bestFit="1" customWidth="1"/>
    <col min="3590" max="3590" width="11.28515625" style="262" bestFit="1" customWidth="1"/>
    <col min="3591" max="3591" width="12.140625" style="262" bestFit="1" customWidth="1"/>
    <col min="3592" max="3592" width="9" style="262" bestFit="1" customWidth="1"/>
    <col min="3593" max="3593" width="11.7109375" style="262" bestFit="1" customWidth="1"/>
    <col min="3594" max="3594" width="4.7109375" style="262" bestFit="1" customWidth="1"/>
    <col min="3595" max="3840" width="9.140625" style="262"/>
    <col min="3841" max="3841" width="14.7109375" style="262" bestFit="1" customWidth="1"/>
    <col min="3842" max="3842" width="11.5703125" style="262" bestFit="1" customWidth="1"/>
    <col min="3843" max="3843" width="12.140625" style="262" bestFit="1" customWidth="1"/>
    <col min="3844" max="3844" width="12" style="262" bestFit="1" customWidth="1"/>
    <col min="3845" max="3845" width="12.140625" style="262" bestFit="1" customWidth="1"/>
    <col min="3846" max="3846" width="11.28515625" style="262" bestFit="1" customWidth="1"/>
    <col min="3847" max="3847" width="12.140625" style="262" bestFit="1" customWidth="1"/>
    <col min="3848" max="3848" width="9" style="262" bestFit="1" customWidth="1"/>
    <col min="3849" max="3849" width="11.7109375" style="262" bestFit="1" customWidth="1"/>
    <col min="3850" max="3850" width="4.7109375" style="262" bestFit="1" customWidth="1"/>
    <col min="3851" max="4096" width="9.140625" style="262"/>
    <col min="4097" max="4097" width="14.7109375" style="262" bestFit="1" customWidth="1"/>
    <col min="4098" max="4098" width="11.5703125" style="262" bestFit="1" customWidth="1"/>
    <col min="4099" max="4099" width="12.140625" style="262" bestFit="1" customWidth="1"/>
    <col min="4100" max="4100" width="12" style="262" bestFit="1" customWidth="1"/>
    <col min="4101" max="4101" width="12.140625" style="262" bestFit="1" customWidth="1"/>
    <col min="4102" max="4102" width="11.28515625" style="262" bestFit="1" customWidth="1"/>
    <col min="4103" max="4103" width="12.140625" style="262" bestFit="1" customWidth="1"/>
    <col min="4104" max="4104" width="9" style="262" bestFit="1" customWidth="1"/>
    <col min="4105" max="4105" width="11.7109375" style="262" bestFit="1" customWidth="1"/>
    <col min="4106" max="4106" width="4.7109375" style="262" bestFit="1" customWidth="1"/>
    <col min="4107" max="4352" width="9.140625" style="262"/>
    <col min="4353" max="4353" width="14.7109375" style="262" bestFit="1" customWidth="1"/>
    <col min="4354" max="4354" width="11.5703125" style="262" bestFit="1" customWidth="1"/>
    <col min="4355" max="4355" width="12.140625" style="262" bestFit="1" customWidth="1"/>
    <col min="4356" max="4356" width="12" style="262" bestFit="1" customWidth="1"/>
    <col min="4357" max="4357" width="12.140625" style="262" bestFit="1" customWidth="1"/>
    <col min="4358" max="4358" width="11.28515625" style="262" bestFit="1" customWidth="1"/>
    <col min="4359" max="4359" width="12.140625" style="262" bestFit="1" customWidth="1"/>
    <col min="4360" max="4360" width="9" style="262" bestFit="1" customWidth="1"/>
    <col min="4361" max="4361" width="11.7109375" style="262" bestFit="1" customWidth="1"/>
    <col min="4362" max="4362" width="4.7109375" style="262" bestFit="1" customWidth="1"/>
    <col min="4363" max="4608" width="9.140625" style="262"/>
    <col min="4609" max="4609" width="14.7109375" style="262" bestFit="1" customWidth="1"/>
    <col min="4610" max="4610" width="11.5703125" style="262" bestFit="1" customWidth="1"/>
    <col min="4611" max="4611" width="12.140625" style="262" bestFit="1" customWidth="1"/>
    <col min="4612" max="4612" width="12" style="262" bestFit="1" customWidth="1"/>
    <col min="4613" max="4613" width="12.140625" style="262" bestFit="1" customWidth="1"/>
    <col min="4614" max="4614" width="11.28515625" style="262" bestFit="1" customWidth="1"/>
    <col min="4615" max="4615" width="12.140625" style="262" bestFit="1" customWidth="1"/>
    <col min="4616" max="4616" width="9" style="262" bestFit="1" customWidth="1"/>
    <col min="4617" max="4617" width="11.7109375" style="262" bestFit="1" customWidth="1"/>
    <col min="4618" max="4618" width="4.7109375" style="262" bestFit="1" customWidth="1"/>
    <col min="4619" max="4864" width="9.140625" style="262"/>
    <col min="4865" max="4865" width="14.7109375" style="262" bestFit="1" customWidth="1"/>
    <col min="4866" max="4866" width="11.5703125" style="262" bestFit="1" customWidth="1"/>
    <col min="4867" max="4867" width="12.140625" style="262" bestFit="1" customWidth="1"/>
    <col min="4868" max="4868" width="12" style="262" bestFit="1" customWidth="1"/>
    <col min="4869" max="4869" width="12.140625" style="262" bestFit="1" customWidth="1"/>
    <col min="4870" max="4870" width="11.28515625" style="262" bestFit="1" customWidth="1"/>
    <col min="4871" max="4871" width="12.140625" style="262" bestFit="1" customWidth="1"/>
    <col min="4872" max="4872" width="9" style="262" bestFit="1" customWidth="1"/>
    <col min="4873" max="4873" width="11.7109375" style="262" bestFit="1" customWidth="1"/>
    <col min="4874" max="4874" width="4.7109375" style="262" bestFit="1" customWidth="1"/>
    <col min="4875" max="5120" width="9.140625" style="262"/>
    <col min="5121" max="5121" width="14.7109375" style="262" bestFit="1" customWidth="1"/>
    <col min="5122" max="5122" width="11.5703125" style="262" bestFit="1" customWidth="1"/>
    <col min="5123" max="5123" width="12.140625" style="262" bestFit="1" customWidth="1"/>
    <col min="5124" max="5124" width="12" style="262" bestFit="1" customWidth="1"/>
    <col min="5125" max="5125" width="12.140625" style="262" bestFit="1" customWidth="1"/>
    <col min="5126" max="5126" width="11.28515625" style="262" bestFit="1" customWidth="1"/>
    <col min="5127" max="5127" width="12.140625" style="262" bestFit="1" customWidth="1"/>
    <col min="5128" max="5128" width="9" style="262" bestFit="1" customWidth="1"/>
    <col min="5129" max="5129" width="11.7109375" style="262" bestFit="1" customWidth="1"/>
    <col min="5130" max="5130" width="4.7109375" style="262" bestFit="1" customWidth="1"/>
    <col min="5131" max="5376" width="9.140625" style="262"/>
    <col min="5377" max="5377" width="14.7109375" style="262" bestFit="1" customWidth="1"/>
    <col min="5378" max="5378" width="11.5703125" style="262" bestFit="1" customWidth="1"/>
    <col min="5379" max="5379" width="12.140625" style="262" bestFit="1" customWidth="1"/>
    <col min="5380" max="5380" width="12" style="262" bestFit="1" customWidth="1"/>
    <col min="5381" max="5381" width="12.140625" style="262" bestFit="1" customWidth="1"/>
    <col min="5382" max="5382" width="11.28515625" style="262" bestFit="1" customWidth="1"/>
    <col min="5383" max="5383" width="12.140625" style="262" bestFit="1" customWidth="1"/>
    <col min="5384" max="5384" width="9" style="262" bestFit="1" customWidth="1"/>
    <col min="5385" max="5385" width="11.7109375" style="262" bestFit="1" customWidth="1"/>
    <col min="5386" max="5386" width="4.7109375" style="262" bestFit="1" customWidth="1"/>
    <col min="5387" max="5632" width="9.140625" style="262"/>
    <col min="5633" max="5633" width="14.7109375" style="262" bestFit="1" customWidth="1"/>
    <col min="5634" max="5634" width="11.5703125" style="262" bestFit="1" customWidth="1"/>
    <col min="5635" max="5635" width="12.140625" style="262" bestFit="1" customWidth="1"/>
    <col min="5636" max="5636" width="12" style="262" bestFit="1" customWidth="1"/>
    <col min="5637" max="5637" width="12.140625" style="262" bestFit="1" customWidth="1"/>
    <col min="5638" max="5638" width="11.28515625" style="262" bestFit="1" customWidth="1"/>
    <col min="5639" max="5639" width="12.140625" style="262" bestFit="1" customWidth="1"/>
    <col min="5640" max="5640" width="9" style="262" bestFit="1" customWidth="1"/>
    <col min="5641" max="5641" width="11.7109375" style="262" bestFit="1" customWidth="1"/>
    <col min="5642" max="5642" width="4.7109375" style="262" bestFit="1" customWidth="1"/>
    <col min="5643" max="5888" width="9.140625" style="262"/>
    <col min="5889" max="5889" width="14.7109375" style="262" bestFit="1" customWidth="1"/>
    <col min="5890" max="5890" width="11.5703125" style="262" bestFit="1" customWidth="1"/>
    <col min="5891" max="5891" width="12.140625" style="262" bestFit="1" customWidth="1"/>
    <col min="5892" max="5892" width="12" style="262" bestFit="1" customWidth="1"/>
    <col min="5893" max="5893" width="12.140625" style="262" bestFit="1" customWidth="1"/>
    <col min="5894" max="5894" width="11.28515625" style="262" bestFit="1" customWidth="1"/>
    <col min="5895" max="5895" width="12.140625" style="262" bestFit="1" customWidth="1"/>
    <col min="5896" max="5896" width="9" style="262" bestFit="1" customWidth="1"/>
    <col min="5897" max="5897" width="11.7109375" style="262" bestFit="1" customWidth="1"/>
    <col min="5898" max="5898" width="4.7109375" style="262" bestFit="1" customWidth="1"/>
    <col min="5899" max="6144" width="9.140625" style="262"/>
    <col min="6145" max="6145" width="14.7109375" style="262" bestFit="1" customWidth="1"/>
    <col min="6146" max="6146" width="11.5703125" style="262" bestFit="1" customWidth="1"/>
    <col min="6147" max="6147" width="12.140625" style="262" bestFit="1" customWidth="1"/>
    <col min="6148" max="6148" width="12" style="262" bestFit="1" customWidth="1"/>
    <col min="6149" max="6149" width="12.140625" style="262" bestFit="1" customWidth="1"/>
    <col min="6150" max="6150" width="11.28515625" style="262" bestFit="1" customWidth="1"/>
    <col min="6151" max="6151" width="12.140625" style="262" bestFit="1" customWidth="1"/>
    <col min="6152" max="6152" width="9" style="262" bestFit="1" customWidth="1"/>
    <col min="6153" max="6153" width="11.7109375" style="262" bestFit="1" customWidth="1"/>
    <col min="6154" max="6154" width="4.7109375" style="262" bestFit="1" customWidth="1"/>
    <col min="6155" max="6400" width="9.140625" style="262"/>
    <col min="6401" max="6401" width="14.7109375" style="262" bestFit="1" customWidth="1"/>
    <col min="6402" max="6402" width="11.5703125" style="262" bestFit="1" customWidth="1"/>
    <col min="6403" max="6403" width="12.140625" style="262" bestFit="1" customWidth="1"/>
    <col min="6404" max="6404" width="12" style="262" bestFit="1" customWidth="1"/>
    <col min="6405" max="6405" width="12.140625" style="262" bestFit="1" customWidth="1"/>
    <col min="6406" max="6406" width="11.28515625" style="262" bestFit="1" customWidth="1"/>
    <col min="6407" max="6407" width="12.140625" style="262" bestFit="1" customWidth="1"/>
    <col min="6408" max="6408" width="9" style="262" bestFit="1" customWidth="1"/>
    <col min="6409" max="6409" width="11.7109375" style="262" bestFit="1" customWidth="1"/>
    <col min="6410" max="6410" width="4.7109375" style="262" bestFit="1" customWidth="1"/>
    <col min="6411" max="6656" width="9.140625" style="262"/>
    <col min="6657" max="6657" width="14.7109375" style="262" bestFit="1" customWidth="1"/>
    <col min="6658" max="6658" width="11.5703125" style="262" bestFit="1" customWidth="1"/>
    <col min="6659" max="6659" width="12.140625" style="262" bestFit="1" customWidth="1"/>
    <col min="6660" max="6660" width="12" style="262" bestFit="1" customWidth="1"/>
    <col min="6661" max="6661" width="12.140625" style="262" bestFit="1" customWidth="1"/>
    <col min="6662" max="6662" width="11.28515625" style="262" bestFit="1" customWidth="1"/>
    <col min="6663" max="6663" width="12.140625" style="262" bestFit="1" customWidth="1"/>
    <col min="6664" max="6664" width="9" style="262" bestFit="1" customWidth="1"/>
    <col min="6665" max="6665" width="11.7109375" style="262" bestFit="1" customWidth="1"/>
    <col min="6666" max="6666" width="4.7109375" style="262" bestFit="1" customWidth="1"/>
    <col min="6667" max="6912" width="9.140625" style="262"/>
    <col min="6913" max="6913" width="14.7109375" style="262" bestFit="1" customWidth="1"/>
    <col min="6914" max="6914" width="11.5703125" style="262" bestFit="1" customWidth="1"/>
    <col min="6915" max="6915" width="12.140625" style="262" bestFit="1" customWidth="1"/>
    <col min="6916" max="6916" width="12" style="262" bestFit="1" customWidth="1"/>
    <col min="6917" max="6917" width="12.140625" style="262" bestFit="1" customWidth="1"/>
    <col min="6918" max="6918" width="11.28515625" style="262" bestFit="1" customWidth="1"/>
    <col min="6919" max="6919" width="12.140625" style="262" bestFit="1" customWidth="1"/>
    <col min="6920" max="6920" width="9" style="262" bestFit="1" customWidth="1"/>
    <col min="6921" max="6921" width="11.7109375" style="262" bestFit="1" customWidth="1"/>
    <col min="6922" max="6922" width="4.7109375" style="262" bestFit="1" customWidth="1"/>
    <col min="6923" max="7168" width="9.140625" style="262"/>
    <col min="7169" max="7169" width="14.7109375" style="262" bestFit="1" customWidth="1"/>
    <col min="7170" max="7170" width="11.5703125" style="262" bestFit="1" customWidth="1"/>
    <col min="7171" max="7171" width="12.140625" style="262" bestFit="1" customWidth="1"/>
    <col min="7172" max="7172" width="12" style="262" bestFit="1" customWidth="1"/>
    <col min="7173" max="7173" width="12.140625" style="262" bestFit="1" customWidth="1"/>
    <col min="7174" max="7174" width="11.28515625" style="262" bestFit="1" customWidth="1"/>
    <col min="7175" max="7175" width="12.140625" style="262" bestFit="1" customWidth="1"/>
    <col min="7176" max="7176" width="9" style="262" bestFit="1" customWidth="1"/>
    <col min="7177" max="7177" width="11.7109375" style="262" bestFit="1" customWidth="1"/>
    <col min="7178" max="7178" width="4.7109375" style="262" bestFit="1" customWidth="1"/>
    <col min="7179" max="7424" width="9.140625" style="262"/>
    <col min="7425" max="7425" width="14.7109375" style="262" bestFit="1" customWidth="1"/>
    <col min="7426" max="7426" width="11.5703125" style="262" bestFit="1" customWidth="1"/>
    <col min="7427" max="7427" width="12.140625" style="262" bestFit="1" customWidth="1"/>
    <col min="7428" max="7428" width="12" style="262" bestFit="1" customWidth="1"/>
    <col min="7429" max="7429" width="12.140625" style="262" bestFit="1" customWidth="1"/>
    <col min="7430" max="7430" width="11.28515625" style="262" bestFit="1" customWidth="1"/>
    <col min="7431" max="7431" width="12.140625" style="262" bestFit="1" customWidth="1"/>
    <col min="7432" max="7432" width="9" style="262" bestFit="1" customWidth="1"/>
    <col min="7433" max="7433" width="11.7109375" style="262" bestFit="1" customWidth="1"/>
    <col min="7434" max="7434" width="4.7109375" style="262" bestFit="1" customWidth="1"/>
    <col min="7435" max="7680" width="9.140625" style="262"/>
    <col min="7681" max="7681" width="14.7109375" style="262" bestFit="1" customWidth="1"/>
    <col min="7682" max="7682" width="11.5703125" style="262" bestFit="1" customWidth="1"/>
    <col min="7683" max="7683" width="12.140625" style="262" bestFit="1" customWidth="1"/>
    <col min="7684" max="7684" width="12" style="262" bestFit="1" customWidth="1"/>
    <col min="7685" max="7685" width="12.140625" style="262" bestFit="1" customWidth="1"/>
    <col min="7686" max="7686" width="11.28515625" style="262" bestFit="1" customWidth="1"/>
    <col min="7687" max="7687" width="12.140625" style="262" bestFit="1" customWidth="1"/>
    <col min="7688" max="7688" width="9" style="262" bestFit="1" customWidth="1"/>
    <col min="7689" max="7689" width="11.7109375" style="262" bestFit="1" customWidth="1"/>
    <col min="7690" max="7690" width="4.7109375" style="262" bestFit="1" customWidth="1"/>
    <col min="7691" max="7936" width="9.140625" style="262"/>
    <col min="7937" max="7937" width="14.7109375" style="262" bestFit="1" customWidth="1"/>
    <col min="7938" max="7938" width="11.5703125" style="262" bestFit="1" customWidth="1"/>
    <col min="7939" max="7939" width="12.140625" style="262" bestFit="1" customWidth="1"/>
    <col min="7940" max="7940" width="12" style="262" bestFit="1" customWidth="1"/>
    <col min="7941" max="7941" width="12.140625" style="262" bestFit="1" customWidth="1"/>
    <col min="7942" max="7942" width="11.28515625" style="262" bestFit="1" customWidth="1"/>
    <col min="7943" max="7943" width="12.140625" style="262" bestFit="1" customWidth="1"/>
    <col min="7944" max="7944" width="9" style="262" bestFit="1" customWidth="1"/>
    <col min="7945" max="7945" width="11.7109375" style="262" bestFit="1" customWidth="1"/>
    <col min="7946" max="7946" width="4.7109375" style="262" bestFit="1" customWidth="1"/>
    <col min="7947" max="8192" width="9.140625" style="262"/>
    <col min="8193" max="8193" width="14.7109375" style="262" bestFit="1" customWidth="1"/>
    <col min="8194" max="8194" width="11.5703125" style="262" bestFit="1" customWidth="1"/>
    <col min="8195" max="8195" width="12.140625" style="262" bestFit="1" customWidth="1"/>
    <col min="8196" max="8196" width="12" style="262" bestFit="1" customWidth="1"/>
    <col min="8197" max="8197" width="12.140625" style="262" bestFit="1" customWidth="1"/>
    <col min="8198" max="8198" width="11.28515625" style="262" bestFit="1" customWidth="1"/>
    <col min="8199" max="8199" width="12.140625" style="262" bestFit="1" customWidth="1"/>
    <col min="8200" max="8200" width="9" style="262" bestFit="1" customWidth="1"/>
    <col min="8201" max="8201" width="11.7109375" style="262" bestFit="1" customWidth="1"/>
    <col min="8202" max="8202" width="4.7109375" style="262" bestFit="1" customWidth="1"/>
    <col min="8203" max="8448" width="9.140625" style="262"/>
    <col min="8449" max="8449" width="14.7109375" style="262" bestFit="1" customWidth="1"/>
    <col min="8450" max="8450" width="11.5703125" style="262" bestFit="1" customWidth="1"/>
    <col min="8451" max="8451" width="12.140625" style="262" bestFit="1" customWidth="1"/>
    <col min="8452" max="8452" width="12" style="262" bestFit="1" customWidth="1"/>
    <col min="8453" max="8453" width="12.140625" style="262" bestFit="1" customWidth="1"/>
    <col min="8454" max="8454" width="11.28515625" style="262" bestFit="1" customWidth="1"/>
    <col min="8455" max="8455" width="12.140625" style="262" bestFit="1" customWidth="1"/>
    <col min="8456" max="8456" width="9" style="262" bestFit="1" customWidth="1"/>
    <col min="8457" max="8457" width="11.7109375" style="262" bestFit="1" customWidth="1"/>
    <col min="8458" max="8458" width="4.7109375" style="262" bestFit="1" customWidth="1"/>
    <col min="8459" max="8704" width="9.140625" style="262"/>
    <col min="8705" max="8705" width="14.7109375" style="262" bestFit="1" customWidth="1"/>
    <col min="8706" max="8706" width="11.5703125" style="262" bestFit="1" customWidth="1"/>
    <col min="8707" max="8707" width="12.140625" style="262" bestFit="1" customWidth="1"/>
    <col min="8708" max="8708" width="12" style="262" bestFit="1" customWidth="1"/>
    <col min="8709" max="8709" width="12.140625" style="262" bestFit="1" customWidth="1"/>
    <col min="8710" max="8710" width="11.28515625" style="262" bestFit="1" customWidth="1"/>
    <col min="8711" max="8711" width="12.140625" style="262" bestFit="1" customWidth="1"/>
    <col min="8712" max="8712" width="9" style="262" bestFit="1" customWidth="1"/>
    <col min="8713" max="8713" width="11.7109375" style="262" bestFit="1" customWidth="1"/>
    <col min="8714" max="8714" width="4.7109375" style="262" bestFit="1" customWidth="1"/>
    <col min="8715" max="8960" width="9.140625" style="262"/>
    <col min="8961" max="8961" width="14.7109375" style="262" bestFit="1" customWidth="1"/>
    <col min="8962" max="8962" width="11.5703125" style="262" bestFit="1" customWidth="1"/>
    <col min="8963" max="8963" width="12.140625" style="262" bestFit="1" customWidth="1"/>
    <col min="8964" max="8964" width="12" style="262" bestFit="1" customWidth="1"/>
    <col min="8965" max="8965" width="12.140625" style="262" bestFit="1" customWidth="1"/>
    <col min="8966" max="8966" width="11.28515625" style="262" bestFit="1" customWidth="1"/>
    <col min="8967" max="8967" width="12.140625" style="262" bestFit="1" customWidth="1"/>
    <col min="8968" max="8968" width="9" style="262" bestFit="1" customWidth="1"/>
    <col min="8969" max="8969" width="11.7109375" style="262" bestFit="1" customWidth="1"/>
    <col min="8970" max="8970" width="4.7109375" style="262" bestFit="1" customWidth="1"/>
    <col min="8971" max="9216" width="9.140625" style="262"/>
    <col min="9217" max="9217" width="14.7109375" style="262" bestFit="1" customWidth="1"/>
    <col min="9218" max="9218" width="11.5703125" style="262" bestFit="1" customWidth="1"/>
    <col min="9219" max="9219" width="12.140625" style="262" bestFit="1" customWidth="1"/>
    <col min="9220" max="9220" width="12" style="262" bestFit="1" customWidth="1"/>
    <col min="9221" max="9221" width="12.140625" style="262" bestFit="1" customWidth="1"/>
    <col min="9222" max="9222" width="11.28515625" style="262" bestFit="1" customWidth="1"/>
    <col min="9223" max="9223" width="12.140625" style="262" bestFit="1" customWidth="1"/>
    <col min="9224" max="9224" width="9" style="262" bestFit="1" customWidth="1"/>
    <col min="9225" max="9225" width="11.7109375" style="262" bestFit="1" customWidth="1"/>
    <col min="9226" max="9226" width="4.7109375" style="262" bestFit="1" customWidth="1"/>
    <col min="9227" max="9472" width="9.140625" style="262"/>
    <col min="9473" max="9473" width="14.7109375" style="262" bestFit="1" customWidth="1"/>
    <col min="9474" max="9474" width="11.5703125" style="262" bestFit="1" customWidth="1"/>
    <col min="9475" max="9475" width="12.140625" style="262" bestFit="1" customWidth="1"/>
    <col min="9476" max="9476" width="12" style="262" bestFit="1" customWidth="1"/>
    <col min="9477" max="9477" width="12.140625" style="262" bestFit="1" customWidth="1"/>
    <col min="9478" max="9478" width="11.28515625" style="262" bestFit="1" customWidth="1"/>
    <col min="9479" max="9479" width="12.140625" style="262" bestFit="1" customWidth="1"/>
    <col min="9480" max="9480" width="9" style="262" bestFit="1" customWidth="1"/>
    <col min="9481" max="9481" width="11.7109375" style="262" bestFit="1" customWidth="1"/>
    <col min="9482" max="9482" width="4.7109375" style="262" bestFit="1" customWidth="1"/>
    <col min="9483" max="9728" width="9.140625" style="262"/>
    <col min="9729" max="9729" width="14.7109375" style="262" bestFit="1" customWidth="1"/>
    <col min="9730" max="9730" width="11.5703125" style="262" bestFit="1" customWidth="1"/>
    <col min="9731" max="9731" width="12.140625" style="262" bestFit="1" customWidth="1"/>
    <col min="9732" max="9732" width="12" style="262" bestFit="1" customWidth="1"/>
    <col min="9733" max="9733" width="12.140625" style="262" bestFit="1" customWidth="1"/>
    <col min="9734" max="9734" width="11.28515625" style="262" bestFit="1" customWidth="1"/>
    <col min="9735" max="9735" width="12.140625" style="262" bestFit="1" customWidth="1"/>
    <col min="9736" max="9736" width="9" style="262" bestFit="1" customWidth="1"/>
    <col min="9737" max="9737" width="11.7109375" style="262" bestFit="1" customWidth="1"/>
    <col min="9738" max="9738" width="4.7109375" style="262" bestFit="1" customWidth="1"/>
    <col min="9739" max="9984" width="9.140625" style="262"/>
    <col min="9985" max="9985" width="14.7109375" style="262" bestFit="1" customWidth="1"/>
    <col min="9986" max="9986" width="11.5703125" style="262" bestFit="1" customWidth="1"/>
    <col min="9987" max="9987" width="12.140625" style="262" bestFit="1" customWidth="1"/>
    <col min="9988" max="9988" width="12" style="262" bestFit="1" customWidth="1"/>
    <col min="9989" max="9989" width="12.140625" style="262" bestFit="1" customWidth="1"/>
    <col min="9990" max="9990" width="11.28515625" style="262" bestFit="1" customWidth="1"/>
    <col min="9991" max="9991" width="12.140625" style="262" bestFit="1" customWidth="1"/>
    <col min="9992" max="9992" width="9" style="262" bestFit="1" customWidth="1"/>
    <col min="9993" max="9993" width="11.7109375" style="262" bestFit="1" customWidth="1"/>
    <col min="9994" max="9994" width="4.7109375" style="262" bestFit="1" customWidth="1"/>
    <col min="9995" max="10240" width="9.140625" style="262"/>
    <col min="10241" max="10241" width="14.7109375" style="262" bestFit="1" customWidth="1"/>
    <col min="10242" max="10242" width="11.5703125" style="262" bestFit="1" customWidth="1"/>
    <col min="10243" max="10243" width="12.140625" style="262" bestFit="1" customWidth="1"/>
    <col min="10244" max="10244" width="12" style="262" bestFit="1" customWidth="1"/>
    <col min="10245" max="10245" width="12.140625" style="262" bestFit="1" customWidth="1"/>
    <col min="10246" max="10246" width="11.28515625" style="262" bestFit="1" customWidth="1"/>
    <col min="10247" max="10247" width="12.140625" style="262" bestFit="1" customWidth="1"/>
    <col min="10248" max="10248" width="9" style="262" bestFit="1" customWidth="1"/>
    <col min="10249" max="10249" width="11.7109375" style="262" bestFit="1" customWidth="1"/>
    <col min="10250" max="10250" width="4.7109375" style="262" bestFit="1" customWidth="1"/>
    <col min="10251" max="10496" width="9.140625" style="262"/>
    <col min="10497" max="10497" width="14.7109375" style="262" bestFit="1" customWidth="1"/>
    <col min="10498" max="10498" width="11.5703125" style="262" bestFit="1" customWidth="1"/>
    <col min="10499" max="10499" width="12.140625" style="262" bestFit="1" customWidth="1"/>
    <col min="10500" max="10500" width="12" style="262" bestFit="1" customWidth="1"/>
    <col min="10501" max="10501" width="12.140625" style="262" bestFit="1" customWidth="1"/>
    <col min="10502" max="10502" width="11.28515625" style="262" bestFit="1" customWidth="1"/>
    <col min="10503" max="10503" width="12.140625" style="262" bestFit="1" customWidth="1"/>
    <col min="10504" max="10504" width="9" style="262" bestFit="1" customWidth="1"/>
    <col min="10505" max="10505" width="11.7109375" style="262" bestFit="1" customWidth="1"/>
    <col min="10506" max="10506" width="4.7109375" style="262" bestFit="1" customWidth="1"/>
    <col min="10507" max="10752" width="9.140625" style="262"/>
    <col min="10753" max="10753" width="14.7109375" style="262" bestFit="1" customWidth="1"/>
    <col min="10754" max="10754" width="11.5703125" style="262" bestFit="1" customWidth="1"/>
    <col min="10755" max="10755" width="12.140625" style="262" bestFit="1" customWidth="1"/>
    <col min="10756" max="10756" width="12" style="262" bestFit="1" customWidth="1"/>
    <col min="10757" max="10757" width="12.140625" style="262" bestFit="1" customWidth="1"/>
    <col min="10758" max="10758" width="11.28515625" style="262" bestFit="1" customWidth="1"/>
    <col min="10759" max="10759" width="12.140625" style="262" bestFit="1" customWidth="1"/>
    <col min="10760" max="10760" width="9" style="262" bestFit="1" customWidth="1"/>
    <col min="10761" max="10761" width="11.7109375" style="262" bestFit="1" customWidth="1"/>
    <col min="10762" max="10762" width="4.7109375" style="262" bestFit="1" customWidth="1"/>
    <col min="10763" max="11008" width="9.140625" style="262"/>
    <col min="11009" max="11009" width="14.7109375" style="262" bestFit="1" customWidth="1"/>
    <col min="11010" max="11010" width="11.5703125" style="262" bestFit="1" customWidth="1"/>
    <col min="11011" max="11011" width="12.140625" style="262" bestFit="1" customWidth="1"/>
    <col min="11012" max="11012" width="12" style="262" bestFit="1" customWidth="1"/>
    <col min="11013" max="11013" width="12.140625" style="262" bestFit="1" customWidth="1"/>
    <col min="11014" max="11014" width="11.28515625" style="262" bestFit="1" customWidth="1"/>
    <col min="11015" max="11015" width="12.140625" style="262" bestFit="1" customWidth="1"/>
    <col min="11016" max="11016" width="9" style="262" bestFit="1" customWidth="1"/>
    <col min="11017" max="11017" width="11.7109375" style="262" bestFit="1" customWidth="1"/>
    <col min="11018" max="11018" width="4.7109375" style="262" bestFit="1" customWidth="1"/>
    <col min="11019" max="11264" width="9.140625" style="262"/>
    <col min="11265" max="11265" width="14.7109375" style="262" bestFit="1" customWidth="1"/>
    <col min="11266" max="11266" width="11.5703125" style="262" bestFit="1" customWidth="1"/>
    <col min="11267" max="11267" width="12.140625" style="262" bestFit="1" customWidth="1"/>
    <col min="11268" max="11268" width="12" style="262" bestFit="1" customWidth="1"/>
    <col min="11269" max="11269" width="12.140625" style="262" bestFit="1" customWidth="1"/>
    <col min="11270" max="11270" width="11.28515625" style="262" bestFit="1" customWidth="1"/>
    <col min="11271" max="11271" width="12.140625" style="262" bestFit="1" customWidth="1"/>
    <col min="11272" max="11272" width="9" style="262" bestFit="1" customWidth="1"/>
    <col min="11273" max="11273" width="11.7109375" style="262" bestFit="1" customWidth="1"/>
    <col min="11274" max="11274" width="4.7109375" style="262" bestFit="1" customWidth="1"/>
    <col min="11275" max="11520" width="9.140625" style="262"/>
    <col min="11521" max="11521" width="14.7109375" style="262" bestFit="1" customWidth="1"/>
    <col min="11522" max="11522" width="11.5703125" style="262" bestFit="1" customWidth="1"/>
    <col min="11523" max="11523" width="12.140625" style="262" bestFit="1" customWidth="1"/>
    <col min="11524" max="11524" width="12" style="262" bestFit="1" customWidth="1"/>
    <col min="11525" max="11525" width="12.140625" style="262" bestFit="1" customWidth="1"/>
    <col min="11526" max="11526" width="11.28515625" style="262" bestFit="1" customWidth="1"/>
    <col min="11527" max="11527" width="12.140625" style="262" bestFit="1" customWidth="1"/>
    <col min="11528" max="11528" width="9" style="262" bestFit="1" customWidth="1"/>
    <col min="11529" max="11529" width="11.7109375" style="262" bestFit="1" customWidth="1"/>
    <col min="11530" max="11530" width="4.7109375" style="262" bestFit="1" customWidth="1"/>
    <col min="11531" max="11776" width="9.140625" style="262"/>
    <col min="11777" max="11777" width="14.7109375" style="262" bestFit="1" customWidth="1"/>
    <col min="11778" max="11778" width="11.5703125" style="262" bestFit="1" customWidth="1"/>
    <col min="11779" max="11779" width="12.140625" style="262" bestFit="1" customWidth="1"/>
    <col min="11780" max="11780" width="12" style="262" bestFit="1" customWidth="1"/>
    <col min="11781" max="11781" width="12.140625" style="262" bestFit="1" customWidth="1"/>
    <col min="11782" max="11782" width="11.28515625" style="262" bestFit="1" customWidth="1"/>
    <col min="11783" max="11783" width="12.140625" style="262" bestFit="1" customWidth="1"/>
    <col min="11784" max="11784" width="9" style="262" bestFit="1" customWidth="1"/>
    <col min="11785" max="11785" width="11.7109375" style="262" bestFit="1" customWidth="1"/>
    <col min="11786" max="11786" width="4.7109375" style="262" bestFit="1" customWidth="1"/>
    <col min="11787" max="12032" width="9.140625" style="262"/>
    <col min="12033" max="12033" width="14.7109375" style="262" bestFit="1" customWidth="1"/>
    <col min="12034" max="12034" width="11.5703125" style="262" bestFit="1" customWidth="1"/>
    <col min="12035" max="12035" width="12.140625" style="262" bestFit="1" customWidth="1"/>
    <col min="12036" max="12036" width="12" style="262" bestFit="1" customWidth="1"/>
    <col min="12037" max="12037" width="12.140625" style="262" bestFit="1" customWidth="1"/>
    <col min="12038" max="12038" width="11.28515625" style="262" bestFit="1" customWidth="1"/>
    <col min="12039" max="12039" width="12.140625" style="262" bestFit="1" customWidth="1"/>
    <col min="12040" max="12040" width="9" style="262" bestFit="1" customWidth="1"/>
    <col min="12041" max="12041" width="11.7109375" style="262" bestFit="1" customWidth="1"/>
    <col min="12042" max="12042" width="4.7109375" style="262" bestFit="1" customWidth="1"/>
    <col min="12043" max="12288" width="9.140625" style="262"/>
    <col min="12289" max="12289" width="14.7109375" style="262" bestFit="1" customWidth="1"/>
    <col min="12290" max="12290" width="11.5703125" style="262" bestFit="1" customWidth="1"/>
    <col min="12291" max="12291" width="12.140625" style="262" bestFit="1" customWidth="1"/>
    <col min="12292" max="12292" width="12" style="262" bestFit="1" customWidth="1"/>
    <col min="12293" max="12293" width="12.140625" style="262" bestFit="1" customWidth="1"/>
    <col min="12294" max="12294" width="11.28515625" style="262" bestFit="1" customWidth="1"/>
    <col min="12295" max="12295" width="12.140625" style="262" bestFit="1" customWidth="1"/>
    <col min="12296" max="12296" width="9" style="262" bestFit="1" customWidth="1"/>
    <col min="12297" max="12297" width="11.7109375" style="262" bestFit="1" customWidth="1"/>
    <col min="12298" max="12298" width="4.7109375" style="262" bestFit="1" customWidth="1"/>
    <col min="12299" max="12544" width="9.140625" style="262"/>
    <col min="12545" max="12545" width="14.7109375" style="262" bestFit="1" customWidth="1"/>
    <col min="12546" max="12546" width="11.5703125" style="262" bestFit="1" customWidth="1"/>
    <col min="12547" max="12547" width="12.140625" style="262" bestFit="1" customWidth="1"/>
    <col min="12548" max="12548" width="12" style="262" bestFit="1" customWidth="1"/>
    <col min="12549" max="12549" width="12.140625" style="262" bestFit="1" customWidth="1"/>
    <col min="12550" max="12550" width="11.28515625" style="262" bestFit="1" customWidth="1"/>
    <col min="12551" max="12551" width="12.140625" style="262" bestFit="1" customWidth="1"/>
    <col min="12552" max="12552" width="9" style="262" bestFit="1" customWidth="1"/>
    <col min="12553" max="12553" width="11.7109375" style="262" bestFit="1" customWidth="1"/>
    <col min="12554" max="12554" width="4.7109375" style="262" bestFit="1" customWidth="1"/>
    <col min="12555" max="12800" width="9.140625" style="262"/>
    <col min="12801" max="12801" width="14.7109375" style="262" bestFit="1" customWidth="1"/>
    <col min="12802" max="12802" width="11.5703125" style="262" bestFit="1" customWidth="1"/>
    <col min="12803" max="12803" width="12.140625" style="262" bestFit="1" customWidth="1"/>
    <col min="12804" max="12804" width="12" style="262" bestFit="1" customWidth="1"/>
    <col min="12805" max="12805" width="12.140625" style="262" bestFit="1" customWidth="1"/>
    <col min="12806" max="12806" width="11.28515625" style="262" bestFit="1" customWidth="1"/>
    <col min="12807" max="12807" width="12.140625" style="262" bestFit="1" customWidth="1"/>
    <col min="12808" max="12808" width="9" style="262" bestFit="1" customWidth="1"/>
    <col min="12809" max="12809" width="11.7109375" style="262" bestFit="1" customWidth="1"/>
    <col min="12810" max="12810" width="4.7109375" style="262" bestFit="1" customWidth="1"/>
    <col min="12811" max="13056" width="9.140625" style="262"/>
    <col min="13057" max="13057" width="14.7109375" style="262" bestFit="1" customWidth="1"/>
    <col min="13058" max="13058" width="11.5703125" style="262" bestFit="1" customWidth="1"/>
    <col min="13059" max="13059" width="12.140625" style="262" bestFit="1" customWidth="1"/>
    <col min="13060" max="13060" width="12" style="262" bestFit="1" customWidth="1"/>
    <col min="13061" max="13061" width="12.140625" style="262" bestFit="1" customWidth="1"/>
    <col min="13062" max="13062" width="11.28515625" style="262" bestFit="1" customWidth="1"/>
    <col min="13063" max="13063" width="12.140625" style="262" bestFit="1" customWidth="1"/>
    <col min="13064" max="13064" width="9" style="262" bestFit="1" customWidth="1"/>
    <col min="13065" max="13065" width="11.7109375" style="262" bestFit="1" customWidth="1"/>
    <col min="13066" max="13066" width="4.7109375" style="262" bestFit="1" customWidth="1"/>
    <col min="13067" max="13312" width="9.140625" style="262"/>
    <col min="13313" max="13313" width="14.7109375" style="262" bestFit="1" customWidth="1"/>
    <col min="13314" max="13314" width="11.5703125" style="262" bestFit="1" customWidth="1"/>
    <col min="13315" max="13315" width="12.140625" style="262" bestFit="1" customWidth="1"/>
    <col min="13316" max="13316" width="12" style="262" bestFit="1" customWidth="1"/>
    <col min="13317" max="13317" width="12.140625" style="262" bestFit="1" customWidth="1"/>
    <col min="13318" max="13318" width="11.28515625" style="262" bestFit="1" customWidth="1"/>
    <col min="13319" max="13319" width="12.140625" style="262" bestFit="1" customWidth="1"/>
    <col min="13320" max="13320" width="9" style="262" bestFit="1" customWidth="1"/>
    <col min="13321" max="13321" width="11.7109375" style="262" bestFit="1" customWidth="1"/>
    <col min="13322" max="13322" width="4.7109375" style="262" bestFit="1" customWidth="1"/>
    <col min="13323" max="13568" width="9.140625" style="262"/>
    <col min="13569" max="13569" width="14.7109375" style="262" bestFit="1" customWidth="1"/>
    <col min="13570" max="13570" width="11.5703125" style="262" bestFit="1" customWidth="1"/>
    <col min="13571" max="13571" width="12.140625" style="262" bestFit="1" customWidth="1"/>
    <col min="13572" max="13572" width="12" style="262" bestFit="1" customWidth="1"/>
    <col min="13573" max="13573" width="12.140625" style="262" bestFit="1" customWidth="1"/>
    <col min="13574" max="13574" width="11.28515625" style="262" bestFit="1" customWidth="1"/>
    <col min="13575" max="13575" width="12.140625" style="262" bestFit="1" customWidth="1"/>
    <col min="13576" max="13576" width="9" style="262" bestFit="1" customWidth="1"/>
    <col min="13577" max="13577" width="11.7109375" style="262" bestFit="1" customWidth="1"/>
    <col min="13578" max="13578" width="4.7109375" style="262" bestFit="1" customWidth="1"/>
    <col min="13579" max="13824" width="9.140625" style="262"/>
    <col min="13825" max="13825" width="14.7109375" style="262" bestFit="1" customWidth="1"/>
    <col min="13826" max="13826" width="11.5703125" style="262" bestFit="1" customWidth="1"/>
    <col min="13827" max="13827" width="12.140625" style="262" bestFit="1" customWidth="1"/>
    <col min="13828" max="13828" width="12" style="262" bestFit="1" customWidth="1"/>
    <col min="13829" max="13829" width="12.140625" style="262" bestFit="1" customWidth="1"/>
    <col min="13830" max="13830" width="11.28515625" style="262" bestFit="1" customWidth="1"/>
    <col min="13831" max="13831" width="12.140625" style="262" bestFit="1" customWidth="1"/>
    <col min="13832" max="13832" width="9" style="262" bestFit="1" customWidth="1"/>
    <col min="13833" max="13833" width="11.7109375" style="262" bestFit="1" customWidth="1"/>
    <col min="13834" max="13834" width="4.7109375" style="262" bestFit="1" customWidth="1"/>
    <col min="13835" max="14080" width="9.140625" style="262"/>
    <col min="14081" max="14081" width="14.7109375" style="262" bestFit="1" customWidth="1"/>
    <col min="14082" max="14082" width="11.5703125" style="262" bestFit="1" customWidth="1"/>
    <col min="14083" max="14083" width="12.140625" style="262" bestFit="1" customWidth="1"/>
    <col min="14084" max="14084" width="12" style="262" bestFit="1" customWidth="1"/>
    <col min="14085" max="14085" width="12.140625" style="262" bestFit="1" customWidth="1"/>
    <col min="14086" max="14086" width="11.28515625" style="262" bestFit="1" customWidth="1"/>
    <col min="14087" max="14087" width="12.140625" style="262" bestFit="1" customWidth="1"/>
    <col min="14088" max="14088" width="9" style="262" bestFit="1" customWidth="1"/>
    <col min="14089" max="14089" width="11.7109375" style="262" bestFit="1" customWidth="1"/>
    <col min="14090" max="14090" width="4.7109375" style="262" bestFit="1" customWidth="1"/>
    <col min="14091" max="14336" width="9.140625" style="262"/>
    <col min="14337" max="14337" width="14.7109375" style="262" bestFit="1" customWidth="1"/>
    <col min="14338" max="14338" width="11.5703125" style="262" bestFit="1" customWidth="1"/>
    <col min="14339" max="14339" width="12.140625" style="262" bestFit="1" customWidth="1"/>
    <col min="14340" max="14340" width="12" style="262" bestFit="1" customWidth="1"/>
    <col min="14341" max="14341" width="12.140625" style="262" bestFit="1" customWidth="1"/>
    <col min="14342" max="14342" width="11.28515625" style="262" bestFit="1" customWidth="1"/>
    <col min="14343" max="14343" width="12.140625" style="262" bestFit="1" customWidth="1"/>
    <col min="14344" max="14344" width="9" style="262" bestFit="1" customWidth="1"/>
    <col min="14345" max="14345" width="11.7109375" style="262" bestFit="1" customWidth="1"/>
    <col min="14346" max="14346" width="4.7109375" style="262" bestFit="1" customWidth="1"/>
    <col min="14347" max="14592" width="9.140625" style="262"/>
    <col min="14593" max="14593" width="14.7109375" style="262" bestFit="1" customWidth="1"/>
    <col min="14594" max="14594" width="11.5703125" style="262" bestFit="1" customWidth="1"/>
    <col min="14595" max="14595" width="12.140625" style="262" bestFit="1" customWidth="1"/>
    <col min="14596" max="14596" width="12" style="262" bestFit="1" customWidth="1"/>
    <col min="14597" max="14597" width="12.140625" style="262" bestFit="1" customWidth="1"/>
    <col min="14598" max="14598" width="11.28515625" style="262" bestFit="1" customWidth="1"/>
    <col min="14599" max="14599" width="12.140625" style="262" bestFit="1" customWidth="1"/>
    <col min="14600" max="14600" width="9" style="262" bestFit="1" customWidth="1"/>
    <col min="14601" max="14601" width="11.7109375" style="262" bestFit="1" customWidth="1"/>
    <col min="14602" max="14602" width="4.7109375" style="262" bestFit="1" customWidth="1"/>
    <col min="14603" max="14848" width="9.140625" style="262"/>
    <col min="14849" max="14849" width="14.7109375" style="262" bestFit="1" customWidth="1"/>
    <col min="14850" max="14850" width="11.5703125" style="262" bestFit="1" customWidth="1"/>
    <col min="14851" max="14851" width="12.140625" style="262" bestFit="1" customWidth="1"/>
    <col min="14852" max="14852" width="12" style="262" bestFit="1" customWidth="1"/>
    <col min="14853" max="14853" width="12.140625" style="262" bestFit="1" customWidth="1"/>
    <col min="14854" max="14854" width="11.28515625" style="262" bestFit="1" customWidth="1"/>
    <col min="14855" max="14855" width="12.140625" style="262" bestFit="1" customWidth="1"/>
    <col min="14856" max="14856" width="9" style="262" bestFit="1" customWidth="1"/>
    <col min="14857" max="14857" width="11.7109375" style="262" bestFit="1" customWidth="1"/>
    <col min="14858" max="14858" width="4.7109375" style="262" bestFit="1" customWidth="1"/>
    <col min="14859" max="15104" width="9.140625" style="262"/>
    <col min="15105" max="15105" width="14.7109375" style="262" bestFit="1" customWidth="1"/>
    <col min="15106" max="15106" width="11.5703125" style="262" bestFit="1" customWidth="1"/>
    <col min="15107" max="15107" width="12.140625" style="262" bestFit="1" customWidth="1"/>
    <col min="15108" max="15108" width="12" style="262" bestFit="1" customWidth="1"/>
    <col min="15109" max="15109" width="12.140625" style="262" bestFit="1" customWidth="1"/>
    <col min="15110" max="15110" width="11.28515625" style="262" bestFit="1" customWidth="1"/>
    <col min="15111" max="15111" width="12.140625" style="262" bestFit="1" customWidth="1"/>
    <col min="15112" max="15112" width="9" style="262" bestFit="1" customWidth="1"/>
    <col min="15113" max="15113" width="11.7109375" style="262" bestFit="1" customWidth="1"/>
    <col min="15114" max="15114" width="4.7109375" style="262" bestFit="1" customWidth="1"/>
    <col min="15115" max="15360" width="9.140625" style="262"/>
    <col min="15361" max="15361" width="14.7109375" style="262" bestFit="1" customWidth="1"/>
    <col min="15362" max="15362" width="11.5703125" style="262" bestFit="1" customWidth="1"/>
    <col min="15363" max="15363" width="12.140625" style="262" bestFit="1" customWidth="1"/>
    <col min="15364" max="15364" width="12" style="262" bestFit="1" customWidth="1"/>
    <col min="15365" max="15365" width="12.140625" style="262" bestFit="1" customWidth="1"/>
    <col min="15366" max="15366" width="11.28515625" style="262" bestFit="1" customWidth="1"/>
    <col min="15367" max="15367" width="12.140625" style="262" bestFit="1" customWidth="1"/>
    <col min="15368" max="15368" width="9" style="262" bestFit="1" customWidth="1"/>
    <col min="15369" max="15369" width="11.7109375" style="262" bestFit="1" customWidth="1"/>
    <col min="15370" max="15370" width="4.7109375" style="262" bestFit="1" customWidth="1"/>
    <col min="15371" max="15616" width="9.140625" style="262"/>
    <col min="15617" max="15617" width="14.7109375" style="262" bestFit="1" customWidth="1"/>
    <col min="15618" max="15618" width="11.5703125" style="262" bestFit="1" customWidth="1"/>
    <col min="15619" max="15619" width="12.140625" style="262" bestFit="1" customWidth="1"/>
    <col min="15620" max="15620" width="12" style="262" bestFit="1" customWidth="1"/>
    <col min="15621" max="15621" width="12.140625" style="262" bestFit="1" customWidth="1"/>
    <col min="15622" max="15622" width="11.28515625" style="262" bestFit="1" customWidth="1"/>
    <col min="15623" max="15623" width="12.140625" style="262" bestFit="1" customWidth="1"/>
    <col min="15624" max="15624" width="9" style="262" bestFit="1" customWidth="1"/>
    <col min="15625" max="15625" width="11.7109375" style="262" bestFit="1" customWidth="1"/>
    <col min="15626" max="15626" width="4.7109375" style="262" bestFit="1" customWidth="1"/>
    <col min="15627" max="15872" width="9.140625" style="262"/>
    <col min="15873" max="15873" width="14.7109375" style="262" bestFit="1" customWidth="1"/>
    <col min="15874" max="15874" width="11.5703125" style="262" bestFit="1" customWidth="1"/>
    <col min="15875" max="15875" width="12.140625" style="262" bestFit="1" customWidth="1"/>
    <col min="15876" max="15876" width="12" style="262" bestFit="1" customWidth="1"/>
    <col min="15877" max="15877" width="12.140625" style="262" bestFit="1" customWidth="1"/>
    <col min="15878" max="15878" width="11.28515625" style="262" bestFit="1" customWidth="1"/>
    <col min="15879" max="15879" width="12.140625" style="262" bestFit="1" customWidth="1"/>
    <col min="15880" max="15880" width="9" style="262" bestFit="1" customWidth="1"/>
    <col min="15881" max="15881" width="11.7109375" style="262" bestFit="1" customWidth="1"/>
    <col min="15882" max="15882" width="4.7109375" style="262" bestFit="1" customWidth="1"/>
    <col min="15883" max="16128" width="9.140625" style="262"/>
    <col min="16129" max="16129" width="14.7109375" style="262" bestFit="1" customWidth="1"/>
    <col min="16130" max="16130" width="11.5703125" style="262" bestFit="1" customWidth="1"/>
    <col min="16131" max="16131" width="12.140625" style="262" bestFit="1" customWidth="1"/>
    <col min="16132" max="16132" width="12" style="262" bestFit="1" customWidth="1"/>
    <col min="16133" max="16133" width="12.140625" style="262" bestFit="1" customWidth="1"/>
    <col min="16134" max="16134" width="11.28515625" style="262" bestFit="1" customWidth="1"/>
    <col min="16135" max="16135" width="12.140625" style="262" bestFit="1" customWidth="1"/>
    <col min="16136" max="16136" width="9" style="262" bestFit="1" customWidth="1"/>
    <col min="16137" max="16137" width="11.7109375" style="262" bestFit="1" customWidth="1"/>
    <col min="16138" max="16138" width="4.7109375" style="262" bestFit="1" customWidth="1"/>
    <col min="16139" max="16384" width="9.140625" style="262"/>
  </cols>
  <sheetData>
    <row r="1" spans="1:9" ht="13.5" customHeight="1" x14ac:dyDescent="0.2">
      <c r="A1" s="354" t="s">
        <v>6</v>
      </c>
      <c r="B1" s="354"/>
      <c r="C1" s="354"/>
      <c r="D1" s="354"/>
      <c r="E1" s="354"/>
      <c r="F1" s="354"/>
      <c r="G1" s="354"/>
      <c r="H1" s="354"/>
      <c r="I1" s="354"/>
    </row>
    <row r="2" spans="1:9" s="265" customFormat="1" ht="20.25" customHeight="1" x14ac:dyDescent="0.2">
      <c r="A2" s="363" t="s">
        <v>147</v>
      </c>
      <c r="B2" s="366" t="s">
        <v>148</v>
      </c>
      <c r="C2" s="367"/>
      <c r="D2" s="367"/>
      <c r="E2" s="367"/>
      <c r="F2" s="367"/>
      <c r="G2" s="367"/>
      <c r="H2" s="367"/>
      <c r="I2" s="368"/>
    </row>
    <row r="3" spans="1:9" s="265" customFormat="1" ht="18" customHeight="1" x14ac:dyDescent="0.2">
      <c r="A3" s="364"/>
      <c r="B3" s="366" t="s">
        <v>149</v>
      </c>
      <c r="C3" s="367"/>
      <c r="D3" s="367"/>
      <c r="E3" s="367"/>
      <c r="F3" s="367"/>
      <c r="G3" s="368"/>
      <c r="H3" s="369" t="s">
        <v>150</v>
      </c>
      <c r="I3" s="370"/>
    </row>
    <row r="4" spans="1:9" s="265" customFormat="1" ht="26.25" customHeight="1" x14ac:dyDescent="0.2">
      <c r="A4" s="364"/>
      <c r="B4" s="371" t="s">
        <v>151</v>
      </c>
      <c r="C4" s="372"/>
      <c r="D4" s="371" t="s">
        <v>152</v>
      </c>
      <c r="E4" s="372"/>
      <c r="F4" s="371" t="s">
        <v>153</v>
      </c>
      <c r="G4" s="372"/>
      <c r="H4" s="355" t="s">
        <v>154</v>
      </c>
      <c r="I4" s="361" t="s">
        <v>155</v>
      </c>
    </row>
    <row r="5" spans="1:9" s="265" customFormat="1" ht="27.75" customHeight="1" x14ac:dyDescent="0.2">
      <c r="A5" s="365"/>
      <c r="B5" s="269" t="s">
        <v>154</v>
      </c>
      <c r="C5" s="270" t="s">
        <v>155</v>
      </c>
      <c r="D5" s="269" t="s">
        <v>154</v>
      </c>
      <c r="E5" s="270" t="s">
        <v>155</v>
      </c>
      <c r="F5" s="269" t="s">
        <v>154</v>
      </c>
      <c r="G5" s="270" t="s">
        <v>155</v>
      </c>
      <c r="H5" s="356"/>
      <c r="I5" s="362"/>
    </row>
    <row r="6" spans="1:9" s="265" customFormat="1" ht="18" customHeight="1" x14ac:dyDescent="0.2">
      <c r="A6" s="266" t="s">
        <v>69</v>
      </c>
      <c r="B6" s="271">
        <v>43</v>
      </c>
      <c r="C6" s="283">
        <v>1510.12</v>
      </c>
      <c r="D6" s="271">
        <v>3</v>
      </c>
      <c r="E6" s="283">
        <v>38.270000000000003</v>
      </c>
      <c r="F6" s="271">
        <v>4</v>
      </c>
      <c r="G6" s="283">
        <v>220.93</v>
      </c>
      <c r="H6" s="271">
        <v>50</v>
      </c>
      <c r="I6" s="284">
        <v>1769.22</v>
      </c>
    </row>
    <row r="7" spans="1:9" s="265" customFormat="1" ht="18" customHeight="1" x14ac:dyDescent="0.2">
      <c r="A7" s="266" t="s">
        <v>70</v>
      </c>
      <c r="B7" s="271">
        <v>63</v>
      </c>
      <c r="C7" s="283">
        <v>23015.99</v>
      </c>
      <c r="D7" s="271">
        <v>4</v>
      </c>
      <c r="E7" s="283">
        <v>4636.33</v>
      </c>
      <c r="F7" s="271">
        <v>4</v>
      </c>
      <c r="G7" s="283">
        <v>941.23</v>
      </c>
      <c r="H7" s="271">
        <v>71</v>
      </c>
      <c r="I7" s="284">
        <v>28593.55</v>
      </c>
    </row>
    <row r="8" spans="1:9" s="265" customFormat="1" ht="18" customHeight="1" x14ac:dyDescent="0.2">
      <c r="A8" s="266" t="s">
        <v>156</v>
      </c>
      <c r="B8" s="271">
        <v>13</v>
      </c>
      <c r="C8" s="283">
        <v>872.94</v>
      </c>
      <c r="D8" s="271">
        <v>1</v>
      </c>
      <c r="E8" s="283">
        <v>7.09</v>
      </c>
      <c r="F8" s="271">
        <v>1</v>
      </c>
      <c r="G8" s="283">
        <v>934.56</v>
      </c>
      <c r="H8" s="271">
        <v>15</v>
      </c>
      <c r="I8" s="284">
        <v>1814.59</v>
      </c>
    </row>
    <row r="9" spans="1:9" s="265" customFormat="1" ht="18" customHeight="1" x14ac:dyDescent="0.2">
      <c r="A9" s="266" t="s">
        <v>157</v>
      </c>
      <c r="B9" s="271">
        <v>7</v>
      </c>
      <c r="C9" s="283">
        <v>460.71</v>
      </c>
      <c r="D9" s="271">
        <v>0</v>
      </c>
      <c r="E9" s="283">
        <v>0</v>
      </c>
      <c r="F9" s="271">
        <v>1</v>
      </c>
      <c r="G9" s="283">
        <v>2.78</v>
      </c>
      <c r="H9" s="271">
        <v>8</v>
      </c>
      <c r="I9" s="284">
        <v>463.49</v>
      </c>
    </row>
    <row r="10" spans="1:9" s="265" customFormat="1" ht="18" customHeight="1" x14ac:dyDescent="0.2">
      <c r="A10" s="266" t="s">
        <v>158</v>
      </c>
      <c r="B10" s="271">
        <v>7</v>
      </c>
      <c r="C10" s="283">
        <v>32.409999999999997</v>
      </c>
      <c r="D10" s="271">
        <v>2</v>
      </c>
      <c r="E10" s="283">
        <v>927.24</v>
      </c>
      <c r="F10" s="271">
        <v>0</v>
      </c>
      <c r="G10" s="283">
        <v>0</v>
      </c>
      <c r="H10" s="271">
        <v>9</v>
      </c>
      <c r="I10" s="284">
        <v>959.65</v>
      </c>
    </row>
    <row r="11" spans="1:9" s="265" customFormat="1" ht="18" customHeight="1" x14ac:dyDescent="0.2">
      <c r="A11" s="266" t="s">
        <v>159</v>
      </c>
      <c r="B11" s="271">
        <v>6</v>
      </c>
      <c r="C11" s="283">
        <v>12.2</v>
      </c>
      <c r="D11" s="271">
        <v>1</v>
      </c>
      <c r="E11" s="283">
        <v>3702</v>
      </c>
      <c r="F11" s="271">
        <v>0</v>
      </c>
      <c r="G11" s="283">
        <v>0</v>
      </c>
      <c r="H11" s="271">
        <v>7</v>
      </c>
      <c r="I11" s="284">
        <v>3714.2</v>
      </c>
    </row>
    <row r="12" spans="1:9" s="265" customFormat="1" ht="18" customHeight="1" x14ac:dyDescent="0.2">
      <c r="A12" s="266" t="s">
        <v>160</v>
      </c>
      <c r="B12" s="271">
        <v>0</v>
      </c>
      <c r="C12" s="283">
        <v>0</v>
      </c>
      <c r="D12" s="271">
        <v>0</v>
      </c>
      <c r="E12" s="283">
        <v>0</v>
      </c>
      <c r="F12" s="271">
        <v>1</v>
      </c>
      <c r="G12" s="283">
        <v>2.23</v>
      </c>
      <c r="H12" s="271">
        <v>1</v>
      </c>
      <c r="I12" s="284">
        <v>2.23</v>
      </c>
    </row>
    <row r="13" spans="1:9" s="265" customFormat="1" ht="18" customHeight="1" x14ac:dyDescent="0.2">
      <c r="A13" s="266" t="s">
        <v>161</v>
      </c>
      <c r="B13" s="271">
        <v>3</v>
      </c>
      <c r="C13" s="283">
        <v>1318.86</v>
      </c>
      <c r="D13" s="271">
        <v>0</v>
      </c>
      <c r="E13" s="283">
        <v>0</v>
      </c>
      <c r="F13" s="271">
        <v>0</v>
      </c>
      <c r="G13" s="283">
        <v>0</v>
      </c>
      <c r="H13" s="271">
        <v>3</v>
      </c>
      <c r="I13" s="284">
        <v>1318.86</v>
      </c>
    </row>
    <row r="14" spans="1:9" s="265" customFormat="1" ht="18" customHeight="1" x14ac:dyDescent="0.2">
      <c r="A14" s="266" t="s">
        <v>162</v>
      </c>
      <c r="B14" s="271">
        <v>2</v>
      </c>
      <c r="C14" s="283">
        <v>70.56</v>
      </c>
      <c r="D14" s="271">
        <v>0</v>
      </c>
      <c r="E14" s="283">
        <v>0</v>
      </c>
      <c r="F14" s="271">
        <v>0</v>
      </c>
      <c r="G14" s="283">
        <v>0</v>
      </c>
      <c r="H14" s="271">
        <v>2</v>
      </c>
      <c r="I14" s="284">
        <v>70.56</v>
      </c>
    </row>
    <row r="15" spans="1:9" s="265" customFormat="1" ht="18" customHeight="1" x14ac:dyDescent="0.2">
      <c r="A15" s="266" t="s">
        <v>163</v>
      </c>
      <c r="B15" s="271">
        <v>4</v>
      </c>
      <c r="C15" s="283">
        <v>651.03</v>
      </c>
      <c r="D15" s="271">
        <v>0</v>
      </c>
      <c r="E15" s="283">
        <v>0</v>
      </c>
      <c r="F15" s="271">
        <v>0</v>
      </c>
      <c r="G15" s="283">
        <v>0</v>
      </c>
      <c r="H15" s="271">
        <v>4</v>
      </c>
      <c r="I15" s="284">
        <v>651.03</v>
      </c>
    </row>
    <row r="16" spans="1:9" s="265" customFormat="1" ht="18" customHeight="1" x14ac:dyDescent="0.2">
      <c r="A16" s="266" t="s">
        <v>164</v>
      </c>
      <c r="B16" s="271">
        <v>9</v>
      </c>
      <c r="C16" s="283">
        <v>43.41</v>
      </c>
      <c r="D16" s="271">
        <v>0</v>
      </c>
      <c r="E16" s="283">
        <v>0</v>
      </c>
      <c r="F16" s="271">
        <v>0</v>
      </c>
      <c r="G16" s="283">
        <v>0</v>
      </c>
      <c r="H16" s="271">
        <v>9</v>
      </c>
      <c r="I16" s="284">
        <v>43.41</v>
      </c>
    </row>
    <row r="17" spans="1:9" s="265" customFormat="1" ht="18" customHeight="1" x14ac:dyDescent="0.2">
      <c r="A17" s="266" t="s">
        <v>165</v>
      </c>
      <c r="B17" s="271">
        <v>6</v>
      </c>
      <c r="C17" s="283">
        <v>16478.939999999999</v>
      </c>
      <c r="D17" s="271">
        <v>0</v>
      </c>
      <c r="E17" s="283">
        <v>0</v>
      </c>
      <c r="F17" s="271">
        <v>1</v>
      </c>
      <c r="G17" s="283">
        <v>1.66</v>
      </c>
      <c r="H17" s="271">
        <v>7</v>
      </c>
      <c r="I17" s="284">
        <v>16480.599999999999</v>
      </c>
    </row>
    <row r="18" spans="1:9" s="265" customFormat="1" ht="18" customHeight="1" x14ac:dyDescent="0.2">
      <c r="A18" s="266" t="s">
        <v>166</v>
      </c>
      <c r="B18" s="271">
        <v>5</v>
      </c>
      <c r="C18" s="283">
        <v>3027.97</v>
      </c>
      <c r="D18" s="271">
        <v>0</v>
      </c>
      <c r="E18" s="283">
        <v>0</v>
      </c>
      <c r="F18" s="271">
        <v>0</v>
      </c>
      <c r="G18" s="283">
        <v>0</v>
      </c>
      <c r="H18" s="271">
        <v>5</v>
      </c>
      <c r="I18" s="284">
        <v>3027.97</v>
      </c>
    </row>
    <row r="19" spans="1:9" s="265" customFormat="1" ht="18" customHeight="1" x14ac:dyDescent="0.2">
      <c r="A19" s="266" t="s">
        <v>167</v>
      </c>
      <c r="B19" s="271">
        <v>1</v>
      </c>
      <c r="C19" s="283">
        <v>46.96</v>
      </c>
      <c r="D19" s="271">
        <v>0</v>
      </c>
      <c r="E19" s="283">
        <v>0</v>
      </c>
      <c r="F19" s="271">
        <v>0</v>
      </c>
      <c r="G19" s="283">
        <v>0</v>
      </c>
      <c r="H19" s="271">
        <v>1</v>
      </c>
      <c r="I19" s="284">
        <v>46.96</v>
      </c>
    </row>
    <row r="20" spans="1:9" s="265" customFormat="1" ht="15" customHeight="1" x14ac:dyDescent="0.2">
      <c r="A20" s="353" t="s">
        <v>106</v>
      </c>
      <c r="B20" s="353"/>
      <c r="C20" s="353"/>
      <c r="D20" s="353"/>
      <c r="E20" s="353"/>
      <c r="F20" s="353"/>
      <c r="G20" s="353"/>
      <c r="H20" s="353"/>
      <c r="I20" s="353"/>
    </row>
    <row r="21" spans="1:9" s="265" customFormat="1" ht="13.5" customHeight="1" x14ac:dyDescent="0.2">
      <c r="A21" s="353" t="s">
        <v>133</v>
      </c>
      <c r="B21" s="353"/>
      <c r="C21" s="353"/>
      <c r="D21" s="353"/>
      <c r="E21" s="353"/>
      <c r="F21" s="353"/>
      <c r="G21" s="353"/>
      <c r="H21" s="353"/>
      <c r="I21" s="353"/>
    </row>
    <row r="22" spans="1:9" s="265" customFormat="1" ht="28.35" customHeight="1" x14ac:dyDescent="0.2"/>
  </sheetData>
  <mergeCells count="12">
    <mergeCell ref="A20:I20"/>
    <mergeCell ref="A21:I21"/>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FF00"/>
    <pageSetUpPr fitToPage="1"/>
  </sheetPr>
  <dimension ref="A1:S25"/>
  <sheetViews>
    <sheetView workbookViewId="0">
      <selection sqref="A1:R1"/>
    </sheetView>
  </sheetViews>
  <sheetFormatPr defaultRowHeight="12.75" x14ac:dyDescent="0.2"/>
  <cols>
    <col min="1" max="1" width="14.7109375" style="262" bestFit="1" customWidth="1"/>
    <col min="2" max="2" width="15" style="262" bestFit="1" customWidth="1"/>
    <col min="3" max="3" width="15.7109375" style="262" bestFit="1" customWidth="1"/>
    <col min="4" max="4" width="15" style="262" bestFit="1" customWidth="1"/>
    <col min="5" max="5" width="15.7109375" style="262" bestFit="1" customWidth="1"/>
    <col min="6" max="6" width="15" style="262" bestFit="1" customWidth="1"/>
    <col min="7" max="7" width="15.7109375" style="262" bestFit="1" customWidth="1"/>
    <col min="8" max="8" width="15" style="262" bestFit="1" customWidth="1"/>
    <col min="9" max="9" width="15.7109375" style="262" bestFit="1" customWidth="1"/>
    <col min="10" max="10" width="15" style="262" bestFit="1" customWidth="1"/>
    <col min="11" max="11" width="15.7109375" style="262" bestFit="1" customWidth="1"/>
    <col min="12" max="12" width="15" style="262" bestFit="1" customWidth="1"/>
    <col min="13" max="13" width="15.7109375" style="262" bestFit="1" customWidth="1"/>
    <col min="14" max="16" width="15" style="262" bestFit="1" customWidth="1"/>
    <col min="17" max="17" width="15.7109375" style="262" bestFit="1" customWidth="1"/>
    <col min="18" max="18" width="15" style="262" bestFit="1" customWidth="1"/>
    <col min="19" max="19" width="15.7109375" style="262" bestFit="1" customWidth="1"/>
    <col min="20" max="20" width="4.7109375" style="262" bestFit="1" customWidth="1"/>
    <col min="21" max="256" width="9.140625" style="262"/>
    <col min="257" max="257" width="14.7109375" style="262" bestFit="1" customWidth="1"/>
    <col min="258" max="258" width="15" style="262" bestFit="1" customWidth="1"/>
    <col min="259" max="259" width="15.7109375" style="262" bestFit="1" customWidth="1"/>
    <col min="260" max="260" width="15" style="262" bestFit="1" customWidth="1"/>
    <col min="261" max="261" width="15.7109375" style="262" bestFit="1" customWidth="1"/>
    <col min="262" max="262" width="15" style="262" bestFit="1" customWidth="1"/>
    <col min="263" max="263" width="15.7109375" style="262" bestFit="1" customWidth="1"/>
    <col min="264" max="264" width="15" style="262" bestFit="1" customWidth="1"/>
    <col min="265" max="265" width="15.7109375" style="262" bestFit="1" customWidth="1"/>
    <col min="266" max="266" width="15" style="262" bestFit="1" customWidth="1"/>
    <col min="267" max="267" width="15.7109375" style="262" bestFit="1" customWidth="1"/>
    <col min="268" max="268" width="15" style="262" bestFit="1" customWidth="1"/>
    <col min="269" max="269" width="15.7109375" style="262" bestFit="1" customWidth="1"/>
    <col min="270" max="272" width="15" style="262" bestFit="1" customWidth="1"/>
    <col min="273" max="273" width="15.7109375" style="262" bestFit="1" customWidth="1"/>
    <col min="274" max="274" width="15" style="262" bestFit="1" customWidth="1"/>
    <col min="275" max="275" width="15.7109375" style="262" bestFit="1" customWidth="1"/>
    <col min="276" max="276" width="4.7109375" style="262" bestFit="1" customWidth="1"/>
    <col min="277" max="512" width="9.140625" style="262"/>
    <col min="513" max="513" width="14.7109375" style="262" bestFit="1" customWidth="1"/>
    <col min="514" max="514" width="15" style="262" bestFit="1" customWidth="1"/>
    <col min="515" max="515" width="15.7109375" style="262" bestFit="1" customWidth="1"/>
    <col min="516" max="516" width="15" style="262" bestFit="1" customWidth="1"/>
    <col min="517" max="517" width="15.7109375" style="262" bestFit="1" customWidth="1"/>
    <col min="518" max="518" width="15" style="262" bestFit="1" customWidth="1"/>
    <col min="519" max="519" width="15.7109375" style="262" bestFit="1" customWidth="1"/>
    <col min="520" max="520" width="15" style="262" bestFit="1" customWidth="1"/>
    <col min="521" max="521" width="15.7109375" style="262" bestFit="1" customWidth="1"/>
    <col min="522" max="522" width="15" style="262" bestFit="1" customWidth="1"/>
    <col min="523" max="523" width="15.7109375" style="262" bestFit="1" customWidth="1"/>
    <col min="524" max="524" width="15" style="262" bestFit="1" customWidth="1"/>
    <col min="525" max="525" width="15.7109375" style="262" bestFit="1" customWidth="1"/>
    <col min="526" max="528" width="15" style="262" bestFit="1" customWidth="1"/>
    <col min="529" max="529" width="15.7109375" style="262" bestFit="1" customWidth="1"/>
    <col min="530" max="530" width="15" style="262" bestFit="1" customWidth="1"/>
    <col min="531" max="531" width="15.7109375" style="262" bestFit="1" customWidth="1"/>
    <col min="532" max="532" width="4.7109375" style="262" bestFit="1" customWidth="1"/>
    <col min="533" max="768" width="9.140625" style="262"/>
    <col min="769" max="769" width="14.7109375" style="262" bestFit="1" customWidth="1"/>
    <col min="770" max="770" width="15" style="262" bestFit="1" customWidth="1"/>
    <col min="771" max="771" width="15.7109375" style="262" bestFit="1" customWidth="1"/>
    <col min="772" max="772" width="15" style="262" bestFit="1" customWidth="1"/>
    <col min="773" max="773" width="15.7109375" style="262" bestFit="1" customWidth="1"/>
    <col min="774" max="774" width="15" style="262" bestFit="1" customWidth="1"/>
    <col min="775" max="775" width="15.7109375" style="262" bestFit="1" customWidth="1"/>
    <col min="776" max="776" width="15" style="262" bestFit="1" customWidth="1"/>
    <col min="777" max="777" width="15.7109375" style="262" bestFit="1" customWidth="1"/>
    <col min="778" max="778" width="15" style="262" bestFit="1" customWidth="1"/>
    <col min="779" max="779" width="15.7109375" style="262" bestFit="1" customWidth="1"/>
    <col min="780" max="780" width="15" style="262" bestFit="1" customWidth="1"/>
    <col min="781" max="781" width="15.7109375" style="262" bestFit="1" customWidth="1"/>
    <col min="782" max="784" width="15" style="262" bestFit="1" customWidth="1"/>
    <col min="785" max="785" width="15.7109375" style="262" bestFit="1" customWidth="1"/>
    <col min="786" max="786" width="15" style="262" bestFit="1" customWidth="1"/>
    <col min="787" max="787" width="15.7109375" style="262" bestFit="1" customWidth="1"/>
    <col min="788" max="788" width="4.7109375" style="262" bestFit="1" customWidth="1"/>
    <col min="789" max="1024" width="9.140625" style="262"/>
    <col min="1025" max="1025" width="14.7109375" style="262" bestFit="1" customWidth="1"/>
    <col min="1026" max="1026" width="15" style="262" bestFit="1" customWidth="1"/>
    <col min="1027" max="1027" width="15.7109375" style="262" bestFit="1" customWidth="1"/>
    <col min="1028" max="1028" width="15" style="262" bestFit="1" customWidth="1"/>
    <col min="1029" max="1029" width="15.7109375" style="262" bestFit="1" customWidth="1"/>
    <col min="1030" max="1030" width="15" style="262" bestFit="1" customWidth="1"/>
    <col min="1031" max="1031" width="15.7109375" style="262" bestFit="1" customWidth="1"/>
    <col min="1032" max="1032" width="15" style="262" bestFit="1" customWidth="1"/>
    <col min="1033" max="1033" width="15.7109375" style="262" bestFit="1" customWidth="1"/>
    <col min="1034" max="1034" width="15" style="262" bestFit="1" customWidth="1"/>
    <col min="1035" max="1035" width="15.7109375" style="262" bestFit="1" customWidth="1"/>
    <col min="1036" max="1036" width="15" style="262" bestFit="1" customWidth="1"/>
    <col min="1037" max="1037" width="15.7109375" style="262" bestFit="1" customWidth="1"/>
    <col min="1038" max="1040" width="15" style="262" bestFit="1" customWidth="1"/>
    <col min="1041" max="1041" width="15.7109375" style="262" bestFit="1" customWidth="1"/>
    <col min="1042" max="1042" width="15" style="262" bestFit="1" customWidth="1"/>
    <col min="1043" max="1043" width="15.7109375" style="262" bestFit="1" customWidth="1"/>
    <col min="1044" max="1044" width="4.7109375" style="262" bestFit="1" customWidth="1"/>
    <col min="1045" max="1280" width="9.140625" style="262"/>
    <col min="1281" max="1281" width="14.7109375" style="262" bestFit="1" customWidth="1"/>
    <col min="1282" max="1282" width="15" style="262" bestFit="1" customWidth="1"/>
    <col min="1283" max="1283" width="15.7109375" style="262" bestFit="1" customWidth="1"/>
    <col min="1284" max="1284" width="15" style="262" bestFit="1" customWidth="1"/>
    <col min="1285" max="1285" width="15.7109375" style="262" bestFit="1" customWidth="1"/>
    <col min="1286" max="1286" width="15" style="262" bestFit="1" customWidth="1"/>
    <col min="1287" max="1287" width="15.7109375" style="262" bestFit="1" customWidth="1"/>
    <col min="1288" max="1288" width="15" style="262" bestFit="1" customWidth="1"/>
    <col min="1289" max="1289" width="15.7109375" style="262" bestFit="1" customWidth="1"/>
    <col min="1290" max="1290" width="15" style="262" bestFit="1" customWidth="1"/>
    <col min="1291" max="1291" width="15.7109375" style="262" bestFit="1" customWidth="1"/>
    <col min="1292" max="1292" width="15" style="262" bestFit="1" customWidth="1"/>
    <col min="1293" max="1293" width="15.7109375" style="262" bestFit="1" customWidth="1"/>
    <col min="1294" max="1296" width="15" style="262" bestFit="1" customWidth="1"/>
    <col min="1297" max="1297" width="15.7109375" style="262" bestFit="1" customWidth="1"/>
    <col min="1298" max="1298" width="15" style="262" bestFit="1" customWidth="1"/>
    <col min="1299" max="1299" width="15.7109375" style="262" bestFit="1" customWidth="1"/>
    <col min="1300" max="1300" width="4.7109375" style="262" bestFit="1" customWidth="1"/>
    <col min="1301" max="1536" width="9.140625" style="262"/>
    <col min="1537" max="1537" width="14.7109375" style="262" bestFit="1" customWidth="1"/>
    <col min="1538" max="1538" width="15" style="262" bestFit="1" customWidth="1"/>
    <col min="1539" max="1539" width="15.7109375" style="262" bestFit="1" customWidth="1"/>
    <col min="1540" max="1540" width="15" style="262" bestFit="1" customWidth="1"/>
    <col min="1541" max="1541" width="15.7109375" style="262" bestFit="1" customWidth="1"/>
    <col min="1542" max="1542" width="15" style="262" bestFit="1" customWidth="1"/>
    <col min="1543" max="1543" width="15.7109375" style="262" bestFit="1" customWidth="1"/>
    <col min="1544" max="1544" width="15" style="262" bestFit="1" customWidth="1"/>
    <col min="1545" max="1545" width="15.7109375" style="262" bestFit="1" customWidth="1"/>
    <col min="1546" max="1546" width="15" style="262" bestFit="1" customWidth="1"/>
    <col min="1547" max="1547" width="15.7109375" style="262" bestFit="1" customWidth="1"/>
    <col min="1548" max="1548" width="15" style="262" bestFit="1" customWidth="1"/>
    <col min="1549" max="1549" width="15.7109375" style="262" bestFit="1" customWidth="1"/>
    <col min="1550" max="1552" width="15" style="262" bestFit="1" customWidth="1"/>
    <col min="1553" max="1553" width="15.7109375" style="262" bestFit="1" customWidth="1"/>
    <col min="1554" max="1554" width="15" style="262" bestFit="1" customWidth="1"/>
    <col min="1555" max="1555" width="15.7109375" style="262" bestFit="1" customWidth="1"/>
    <col min="1556" max="1556" width="4.7109375" style="262" bestFit="1" customWidth="1"/>
    <col min="1557" max="1792" width="9.140625" style="262"/>
    <col min="1793" max="1793" width="14.7109375" style="262" bestFit="1" customWidth="1"/>
    <col min="1794" max="1794" width="15" style="262" bestFit="1" customWidth="1"/>
    <col min="1795" max="1795" width="15.7109375" style="262" bestFit="1" customWidth="1"/>
    <col min="1796" max="1796" width="15" style="262" bestFit="1" customWidth="1"/>
    <col min="1797" max="1797" width="15.7109375" style="262" bestFit="1" customWidth="1"/>
    <col min="1798" max="1798" width="15" style="262" bestFit="1" customWidth="1"/>
    <col min="1799" max="1799" width="15.7109375" style="262" bestFit="1" customWidth="1"/>
    <col min="1800" max="1800" width="15" style="262" bestFit="1" customWidth="1"/>
    <col min="1801" max="1801" width="15.7109375" style="262" bestFit="1" customWidth="1"/>
    <col min="1802" max="1802" width="15" style="262" bestFit="1" customWidth="1"/>
    <col min="1803" max="1803" width="15.7109375" style="262" bestFit="1" customWidth="1"/>
    <col min="1804" max="1804" width="15" style="262" bestFit="1" customWidth="1"/>
    <col min="1805" max="1805" width="15.7109375" style="262" bestFit="1" customWidth="1"/>
    <col min="1806" max="1808" width="15" style="262" bestFit="1" customWidth="1"/>
    <col min="1809" max="1809" width="15.7109375" style="262" bestFit="1" customWidth="1"/>
    <col min="1810" max="1810" width="15" style="262" bestFit="1" customWidth="1"/>
    <col min="1811" max="1811" width="15.7109375" style="262" bestFit="1" customWidth="1"/>
    <col min="1812" max="1812" width="4.7109375" style="262" bestFit="1" customWidth="1"/>
    <col min="1813" max="2048" width="9.140625" style="262"/>
    <col min="2049" max="2049" width="14.7109375" style="262" bestFit="1" customWidth="1"/>
    <col min="2050" max="2050" width="15" style="262" bestFit="1" customWidth="1"/>
    <col min="2051" max="2051" width="15.7109375" style="262" bestFit="1" customWidth="1"/>
    <col min="2052" max="2052" width="15" style="262" bestFit="1" customWidth="1"/>
    <col min="2053" max="2053" width="15.7109375" style="262" bestFit="1" customWidth="1"/>
    <col min="2054" max="2054" width="15" style="262" bestFit="1" customWidth="1"/>
    <col min="2055" max="2055" width="15.7109375" style="262" bestFit="1" customWidth="1"/>
    <col min="2056" max="2056" width="15" style="262" bestFit="1" customWidth="1"/>
    <col min="2057" max="2057" width="15.7109375" style="262" bestFit="1" customWidth="1"/>
    <col min="2058" max="2058" width="15" style="262" bestFit="1" customWidth="1"/>
    <col min="2059" max="2059" width="15.7109375" style="262" bestFit="1" customWidth="1"/>
    <col min="2060" max="2060" width="15" style="262" bestFit="1" customWidth="1"/>
    <col min="2061" max="2061" width="15.7109375" style="262" bestFit="1" customWidth="1"/>
    <col min="2062" max="2064" width="15" style="262" bestFit="1" customWidth="1"/>
    <col min="2065" max="2065" width="15.7109375" style="262" bestFit="1" customWidth="1"/>
    <col min="2066" max="2066" width="15" style="262" bestFit="1" customWidth="1"/>
    <col min="2067" max="2067" width="15.7109375" style="262" bestFit="1" customWidth="1"/>
    <col min="2068" max="2068" width="4.7109375" style="262" bestFit="1" customWidth="1"/>
    <col min="2069" max="2304" width="9.140625" style="262"/>
    <col min="2305" max="2305" width="14.7109375" style="262" bestFit="1" customWidth="1"/>
    <col min="2306" max="2306" width="15" style="262" bestFit="1" customWidth="1"/>
    <col min="2307" max="2307" width="15.7109375" style="262" bestFit="1" customWidth="1"/>
    <col min="2308" max="2308" width="15" style="262" bestFit="1" customWidth="1"/>
    <col min="2309" max="2309" width="15.7109375" style="262" bestFit="1" customWidth="1"/>
    <col min="2310" max="2310" width="15" style="262" bestFit="1" customWidth="1"/>
    <col min="2311" max="2311" width="15.7109375" style="262" bestFit="1" customWidth="1"/>
    <col min="2312" max="2312" width="15" style="262" bestFit="1" customWidth="1"/>
    <col min="2313" max="2313" width="15.7109375" style="262" bestFit="1" customWidth="1"/>
    <col min="2314" max="2314" width="15" style="262" bestFit="1" customWidth="1"/>
    <col min="2315" max="2315" width="15.7109375" style="262" bestFit="1" customWidth="1"/>
    <col min="2316" max="2316" width="15" style="262" bestFit="1" customWidth="1"/>
    <col min="2317" max="2317" width="15.7109375" style="262" bestFit="1" customWidth="1"/>
    <col min="2318" max="2320" width="15" style="262" bestFit="1" customWidth="1"/>
    <col min="2321" max="2321" width="15.7109375" style="262" bestFit="1" customWidth="1"/>
    <col min="2322" max="2322" width="15" style="262" bestFit="1" customWidth="1"/>
    <col min="2323" max="2323" width="15.7109375" style="262" bestFit="1" customWidth="1"/>
    <col min="2324" max="2324" width="4.7109375" style="262" bestFit="1" customWidth="1"/>
    <col min="2325" max="2560" width="9.140625" style="262"/>
    <col min="2561" max="2561" width="14.7109375" style="262" bestFit="1" customWidth="1"/>
    <col min="2562" max="2562" width="15" style="262" bestFit="1" customWidth="1"/>
    <col min="2563" max="2563" width="15.7109375" style="262" bestFit="1" customWidth="1"/>
    <col min="2564" max="2564" width="15" style="262" bestFit="1" customWidth="1"/>
    <col min="2565" max="2565" width="15.7109375" style="262" bestFit="1" customWidth="1"/>
    <col min="2566" max="2566" width="15" style="262" bestFit="1" customWidth="1"/>
    <col min="2567" max="2567" width="15.7109375" style="262" bestFit="1" customWidth="1"/>
    <col min="2568" max="2568" width="15" style="262" bestFit="1" customWidth="1"/>
    <col min="2569" max="2569" width="15.7109375" style="262" bestFit="1" customWidth="1"/>
    <col min="2570" max="2570" width="15" style="262" bestFit="1" customWidth="1"/>
    <col min="2571" max="2571" width="15.7109375" style="262" bestFit="1" customWidth="1"/>
    <col min="2572" max="2572" width="15" style="262" bestFit="1" customWidth="1"/>
    <col min="2573" max="2573" width="15.7109375" style="262" bestFit="1" customWidth="1"/>
    <col min="2574" max="2576" width="15" style="262" bestFit="1" customWidth="1"/>
    <col min="2577" max="2577" width="15.7109375" style="262" bestFit="1" customWidth="1"/>
    <col min="2578" max="2578" width="15" style="262" bestFit="1" customWidth="1"/>
    <col min="2579" max="2579" width="15.7109375" style="262" bestFit="1" customWidth="1"/>
    <col min="2580" max="2580" width="4.7109375" style="262" bestFit="1" customWidth="1"/>
    <col min="2581" max="2816" width="9.140625" style="262"/>
    <col min="2817" max="2817" width="14.7109375" style="262" bestFit="1" customWidth="1"/>
    <col min="2818" max="2818" width="15" style="262" bestFit="1" customWidth="1"/>
    <col min="2819" max="2819" width="15.7109375" style="262" bestFit="1" customWidth="1"/>
    <col min="2820" max="2820" width="15" style="262" bestFit="1" customWidth="1"/>
    <col min="2821" max="2821" width="15.7109375" style="262" bestFit="1" customWidth="1"/>
    <col min="2822" max="2822" width="15" style="262" bestFit="1" customWidth="1"/>
    <col min="2823" max="2823" width="15.7109375" style="262" bestFit="1" customWidth="1"/>
    <col min="2824" max="2824" width="15" style="262" bestFit="1" customWidth="1"/>
    <col min="2825" max="2825" width="15.7109375" style="262" bestFit="1" customWidth="1"/>
    <col min="2826" max="2826" width="15" style="262" bestFit="1" customWidth="1"/>
    <col min="2827" max="2827" width="15.7109375" style="262" bestFit="1" customWidth="1"/>
    <col min="2828" max="2828" width="15" style="262" bestFit="1" customWidth="1"/>
    <col min="2829" max="2829" width="15.7109375" style="262" bestFit="1" customWidth="1"/>
    <col min="2830" max="2832" width="15" style="262" bestFit="1" customWidth="1"/>
    <col min="2833" max="2833" width="15.7109375" style="262" bestFit="1" customWidth="1"/>
    <col min="2834" max="2834" width="15" style="262" bestFit="1" customWidth="1"/>
    <col min="2835" max="2835" width="15.7109375" style="262" bestFit="1" customWidth="1"/>
    <col min="2836" max="2836" width="4.7109375" style="262" bestFit="1" customWidth="1"/>
    <col min="2837" max="3072" width="9.140625" style="262"/>
    <col min="3073" max="3073" width="14.7109375" style="262" bestFit="1" customWidth="1"/>
    <col min="3074" max="3074" width="15" style="262" bestFit="1" customWidth="1"/>
    <col min="3075" max="3075" width="15.7109375" style="262" bestFit="1" customWidth="1"/>
    <col min="3076" max="3076" width="15" style="262" bestFit="1" customWidth="1"/>
    <col min="3077" max="3077" width="15.7109375" style="262" bestFit="1" customWidth="1"/>
    <col min="3078" max="3078" width="15" style="262" bestFit="1" customWidth="1"/>
    <col min="3079" max="3079" width="15.7109375" style="262" bestFit="1" customWidth="1"/>
    <col min="3080" max="3080" width="15" style="262" bestFit="1" customWidth="1"/>
    <col min="3081" max="3081" width="15.7109375" style="262" bestFit="1" customWidth="1"/>
    <col min="3082" max="3082" width="15" style="262" bestFit="1" customWidth="1"/>
    <col min="3083" max="3083" width="15.7109375" style="262" bestFit="1" customWidth="1"/>
    <col min="3084" max="3084" width="15" style="262" bestFit="1" customWidth="1"/>
    <col min="3085" max="3085" width="15.7109375" style="262" bestFit="1" customWidth="1"/>
    <col min="3086" max="3088" width="15" style="262" bestFit="1" customWidth="1"/>
    <col min="3089" max="3089" width="15.7109375" style="262" bestFit="1" customWidth="1"/>
    <col min="3090" max="3090" width="15" style="262" bestFit="1" customWidth="1"/>
    <col min="3091" max="3091" width="15.7109375" style="262" bestFit="1" customWidth="1"/>
    <col min="3092" max="3092" width="4.7109375" style="262" bestFit="1" customWidth="1"/>
    <col min="3093" max="3328" width="9.140625" style="262"/>
    <col min="3329" max="3329" width="14.7109375" style="262" bestFit="1" customWidth="1"/>
    <col min="3330" max="3330" width="15" style="262" bestFit="1" customWidth="1"/>
    <col min="3331" max="3331" width="15.7109375" style="262" bestFit="1" customWidth="1"/>
    <col min="3332" max="3332" width="15" style="262" bestFit="1" customWidth="1"/>
    <col min="3333" max="3333" width="15.7109375" style="262" bestFit="1" customWidth="1"/>
    <col min="3334" max="3334" width="15" style="262" bestFit="1" customWidth="1"/>
    <col min="3335" max="3335" width="15.7109375" style="262" bestFit="1" customWidth="1"/>
    <col min="3336" max="3336" width="15" style="262" bestFit="1" customWidth="1"/>
    <col min="3337" max="3337" width="15.7109375" style="262" bestFit="1" customWidth="1"/>
    <col min="3338" max="3338" width="15" style="262" bestFit="1" customWidth="1"/>
    <col min="3339" max="3339" width="15.7109375" style="262" bestFit="1" customWidth="1"/>
    <col min="3340" max="3340" width="15" style="262" bestFit="1" customWidth="1"/>
    <col min="3341" max="3341" width="15.7109375" style="262" bestFit="1" customWidth="1"/>
    <col min="3342" max="3344" width="15" style="262" bestFit="1" customWidth="1"/>
    <col min="3345" max="3345" width="15.7109375" style="262" bestFit="1" customWidth="1"/>
    <col min="3346" max="3346" width="15" style="262" bestFit="1" customWidth="1"/>
    <col min="3347" max="3347" width="15.7109375" style="262" bestFit="1" customWidth="1"/>
    <col min="3348" max="3348" width="4.7109375" style="262" bestFit="1" customWidth="1"/>
    <col min="3349" max="3584" width="9.140625" style="262"/>
    <col min="3585" max="3585" width="14.7109375" style="262" bestFit="1" customWidth="1"/>
    <col min="3586" max="3586" width="15" style="262" bestFit="1" customWidth="1"/>
    <col min="3587" max="3587" width="15.7109375" style="262" bestFit="1" customWidth="1"/>
    <col min="3588" max="3588" width="15" style="262" bestFit="1" customWidth="1"/>
    <col min="3589" max="3589" width="15.7109375" style="262" bestFit="1" customWidth="1"/>
    <col min="3590" max="3590" width="15" style="262" bestFit="1" customWidth="1"/>
    <col min="3591" max="3591" width="15.7109375" style="262" bestFit="1" customWidth="1"/>
    <col min="3592" max="3592" width="15" style="262" bestFit="1" customWidth="1"/>
    <col min="3593" max="3593" width="15.7109375" style="262" bestFit="1" customWidth="1"/>
    <col min="3594" max="3594" width="15" style="262" bestFit="1" customWidth="1"/>
    <col min="3595" max="3595" width="15.7109375" style="262" bestFit="1" customWidth="1"/>
    <col min="3596" max="3596" width="15" style="262" bestFit="1" customWidth="1"/>
    <col min="3597" max="3597" width="15.7109375" style="262" bestFit="1" customWidth="1"/>
    <col min="3598" max="3600" width="15" style="262" bestFit="1" customWidth="1"/>
    <col min="3601" max="3601" width="15.7109375" style="262" bestFit="1" customWidth="1"/>
    <col min="3602" max="3602" width="15" style="262" bestFit="1" customWidth="1"/>
    <col min="3603" max="3603" width="15.7109375" style="262" bestFit="1" customWidth="1"/>
    <col min="3604" max="3604" width="4.7109375" style="262" bestFit="1" customWidth="1"/>
    <col min="3605" max="3840" width="9.140625" style="262"/>
    <col min="3841" max="3841" width="14.7109375" style="262" bestFit="1" customWidth="1"/>
    <col min="3842" max="3842" width="15" style="262" bestFit="1" customWidth="1"/>
    <col min="3843" max="3843" width="15.7109375" style="262" bestFit="1" customWidth="1"/>
    <col min="3844" max="3844" width="15" style="262" bestFit="1" customWidth="1"/>
    <col min="3845" max="3845" width="15.7109375" style="262" bestFit="1" customWidth="1"/>
    <col min="3846" max="3846" width="15" style="262" bestFit="1" customWidth="1"/>
    <col min="3847" max="3847" width="15.7109375" style="262" bestFit="1" customWidth="1"/>
    <col min="3848" max="3848" width="15" style="262" bestFit="1" customWidth="1"/>
    <col min="3849" max="3849" width="15.7109375" style="262" bestFit="1" customWidth="1"/>
    <col min="3850" max="3850" width="15" style="262" bestFit="1" customWidth="1"/>
    <col min="3851" max="3851" width="15.7109375" style="262" bestFit="1" customWidth="1"/>
    <col min="3852" max="3852" width="15" style="262" bestFit="1" customWidth="1"/>
    <col min="3853" max="3853" width="15.7109375" style="262" bestFit="1" customWidth="1"/>
    <col min="3854" max="3856" width="15" style="262" bestFit="1" customWidth="1"/>
    <col min="3857" max="3857" width="15.7109375" style="262" bestFit="1" customWidth="1"/>
    <col min="3858" max="3858" width="15" style="262" bestFit="1" customWidth="1"/>
    <col min="3859" max="3859" width="15.7109375" style="262" bestFit="1" customWidth="1"/>
    <col min="3860" max="3860" width="4.7109375" style="262" bestFit="1" customWidth="1"/>
    <col min="3861" max="4096" width="9.140625" style="262"/>
    <col min="4097" max="4097" width="14.7109375" style="262" bestFit="1" customWidth="1"/>
    <col min="4098" max="4098" width="15" style="262" bestFit="1" customWidth="1"/>
    <col min="4099" max="4099" width="15.7109375" style="262" bestFit="1" customWidth="1"/>
    <col min="4100" max="4100" width="15" style="262" bestFit="1" customWidth="1"/>
    <col min="4101" max="4101" width="15.7109375" style="262" bestFit="1" customWidth="1"/>
    <col min="4102" max="4102" width="15" style="262" bestFit="1" customWidth="1"/>
    <col min="4103" max="4103" width="15.7109375" style="262" bestFit="1" customWidth="1"/>
    <col min="4104" max="4104" width="15" style="262" bestFit="1" customWidth="1"/>
    <col min="4105" max="4105" width="15.7109375" style="262" bestFit="1" customWidth="1"/>
    <col min="4106" max="4106" width="15" style="262" bestFit="1" customWidth="1"/>
    <col min="4107" max="4107" width="15.7109375" style="262" bestFit="1" customWidth="1"/>
    <col min="4108" max="4108" width="15" style="262" bestFit="1" customWidth="1"/>
    <col min="4109" max="4109" width="15.7109375" style="262" bestFit="1" customWidth="1"/>
    <col min="4110" max="4112" width="15" style="262" bestFit="1" customWidth="1"/>
    <col min="4113" max="4113" width="15.7109375" style="262" bestFit="1" customWidth="1"/>
    <col min="4114" max="4114" width="15" style="262" bestFit="1" customWidth="1"/>
    <col min="4115" max="4115" width="15.7109375" style="262" bestFit="1" customWidth="1"/>
    <col min="4116" max="4116" width="4.7109375" style="262" bestFit="1" customWidth="1"/>
    <col min="4117" max="4352" width="9.140625" style="262"/>
    <col min="4353" max="4353" width="14.7109375" style="262" bestFit="1" customWidth="1"/>
    <col min="4354" max="4354" width="15" style="262" bestFit="1" customWidth="1"/>
    <col min="4355" max="4355" width="15.7109375" style="262" bestFit="1" customWidth="1"/>
    <col min="4356" max="4356" width="15" style="262" bestFit="1" customWidth="1"/>
    <col min="4357" max="4357" width="15.7109375" style="262" bestFit="1" customWidth="1"/>
    <col min="4358" max="4358" width="15" style="262" bestFit="1" customWidth="1"/>
    <col min="4359" max="4359" width="15.7109375" style="262" bestFit="1" customWidth="1"/>
    <col min="4360" max="4360" width="15" style="262" bestFit="1" customWidth="1"/>
    <col min="4361" max="4361" width="15.7109375" style="262" bestFit="1" customWidth="1"/>
    <col min="4362" max="4362" width="15" style="262" bestFit="1" customWidth="1"/>
    <col min="4363" max="4363" width="15.7109375" style="262" bestFit="1" customWidth="1"/>
    <col min="4364" max="4364" width="15" style="262" bestFit="1" customWidth="1"/>
    <col min="4365" max="4365" width="15.7109375" style="262" bestFit="1" customWidth="1"/>
    <col min="4366" max="4368" width="15" style="262" bestFit="1" customWidth="1"/>
    <col min="4369" max="4369" width="15.7109375" style="262" bestFit="1" customWidth="1"/>
    <col min="4370" max="4370" width="15" style="262" bestFit="1" customWidth="1"/>
    <col min="4371" max="4371" width="15.7109375" style="262" bestFit="1" customWidth="1"/>
    <col min="4372" max="4372" width="4.7109375" style="262" bestFit="1" customWidth="1"/>
    <col min="4373" max="4608" width="9.140625" style="262"/>
    <col min="4609" max="4609" width="14.7109375" style="262" bestFit="1" customWidth="1"/>
    <col min="4610" max="4610" width="15" style="262" bestFit="1" customWidth="1"/>
    <col min="4611" max="4611" width="15.7109375" style="262" bestFit="1" customWidth="1"/>
    <col min="4612" max="4612" width="15" style="262" bestFit="1" customWidth="1"/>
    <col min="4613" max="4613" width="15.7109375" style="262" bestFit="1" customWidth="1"/>
    <col min="4614" max="4614" width="15" style="262" bestFit="1" customWidth="1"/>
    <col min="4615" max="4615" width="15.7109375" style="262" bestFit="1" customWidth="1"/>
    <col min="4616" max="4616" width="15" style="262" bestFit="1" customWidth="1"/>
    <col min="4617" max="4617" width="15.7109375" style="262" bestFit="1" customWidth="1"/>
    <col min="4618" max="4618" width="15" style="262" bestFit="1" customWidth="1"/>
    <col min="4619" max="4619" width="15.7109375" style="262" bestFit="1" customWidth="1"/>
    <col min="4620" max="4620" width="15" style="262" bestFit="1" customWidth="1"/>
    <col min="4621" max="4621" width="15.7109375" style="262" bestFit="1" customWidth="1"/>
    <col min="4622" max="4624" width="15" style="262" bestFit="1" customWidth="1"/>
    <col min="4625" max="4625" width="15.7109375" style="262" bestFit="1" customWidth="1"/>
    <col min="4626" max="4626" width="15" style="262" bestFit="1" customWidth="1"/>
    <col min="4627" max="4627" width="15.7109375" style="262" bestFit="1" customWidth="1"/>
    <col min="4628" max="4628" width="4.7109375" style="262" bestFit="1" customWidth="1"/>
    <col min="4629" max="4864" width="9.140625" style="262"/>
    <col min="4865" max="4865" width="14.7109375" style="262" bestFit="1" customWidth="1"/>
    <col min="4866" max="4866" width="15" style="262" bestFit="1" customWidth="1"/>
    <col min="4867" max="4867" width="15.7109375" style="262" bestFit="1" customWidth="1"/>
    <col min="4868" max="4868" width="15" style="262" bestFit="1" customWidth="1"/>
    <col min="4869" max="4869" width="15.7109375" style="262" bestFit="1" customWidth="1"/>
    <col min="4870" max="4870" width="15" style="262" bestFit="1" customWidth="1"/>
    <col min="4871" max="4871" width="15.7109375" style="262" bestFit="1" customWidth="1"/>
    <col min="4872" max="4872" width="15" style="262" bestFit="1" customWidth="1"/>
    <col min="4873" max="4873" width="15.7109375" style="262" bestFit="1" customWidth="1"/>
    <col min="4874" max="4874" width="15" style="262" bestFit="1" customWidth="1"/>
    <col min="4875" max="4875" width="15.7109375" style="262" bestFit="1" customWidth="1"/>
    <col min="4876" max="4876" width="15" style="262" bestFit="1" customWidth="1"/>
    <col min="4877" max="4877" width="15.7109375" style="262" bestFit="1" customWidth="1"/>
    <col min="4878" max="4880" width="15" style="262" bestFit="1" customWidth="1"/>
    <col min="4881" max="4881" width="15.7109375" style="262" bestFit="1" customWidth="1"/>
    <col min="4882" max="4882" width="15" style="262" bestFit="1" customWidth="1"/>
    <col min="4883" max="4883" width="15.7109375" style="262" bestFit="1" customWidth="1"/>
    <col min="4884" max="4884" width="4.7109375" style="262" bestFit="1" customWidth="1"/>
    <col min="4885" max="5120" width="9.140625" style="262"/>
    <col min="5121" max="5121" width="14.7109375" style="262" bestFit="1" customWidth="1"/>
    <col min="5122" max="5122" width="15" style="262" bestFit="1" customWidth="1"/>
    <col min="5123" max="5123" width="15.7109375" style="262" bestFit="1" customWidth="1"/>
    <col min="5124" max="5124" width="15" style="262" bestFit="1" customWidth="1"/>
    <col min="5125" max="5125" width="15.7109375" style="262" bestFit="1" customWidth="1"/>
    <col min="5126" max="5126" width="15" style="262" bestFit="1" customWidth="1"/>
    <col min="5127" max="5127" width="15.7109375" style="262" bestFit="1" customWidth="1"/>
    <col min="5128" max="5128" width="15" style="262" bestFit="1" customWidth="1"/>
    <col min="5129" max="5129" width="15.7109375" style="262" bestFit="1" customWidth="1"/>
    <col min="5130" max="5130" width="15" style="262" bestFit="1" customWidth="1"/>
    <col min="5131" max="5131" width="15.7109375" style="262" bestFit="1" customWidth="1"/>
    <col min="5132" max="5132" width="15" style="262" bestFit="1" customWidth="1"/>
    <col min="5133" max="5133" width="15.7109375" style="262" bestFit="1" customWidth="1"/>
    <col min="5134" max="5136" width="15" style="262" bestFit="1" customWidth="1"/>
    <col min="5137" max="5137" width="15.7109375" style="262" bestFit="1" customWidth="1"/>
    <col min="5138" max="5138" width="15" style="262" bestFit="1" customWidth="1"/>
    <col min="5139" max="5139" width="15.7109375" style="262" bestFit="1" customWidth="1"/>
    <col min="5140" max="5140" width="4.7109375" style="262" bestFit="1" customWidth="1"/>
    <col min="5141" max="5376" width="9.140625" style="262"/>
    <col min="5377" max="5377" width="14.7109375" style="262" bestFit="1" customWidth="1"/>
    <col min="5378" max="5378" width="15" style="262" bestFit="1" customWidth="1"/>
    <col min="5379" max="5379" width="15.7109375" style="262" bestFit="1" customWidth="1"/>
    <col min="5380" max="5380" width="15" style="262" bestFit="1" customWidth="1"/>
    <col min="5381" max="5381" width="15.7109375" style="262" bestFit="1" customWidth="1"/>
    <col min="5382" max="5382" width="15" style="262" bestFit="1" customWidth="1"/>
    <col min="5383" max="5383" width="15.7109375" style="262" bestFit="1" customWidth="1"/>
    <col min="5384" max="5384" width="15" style="262" bestFit="1" customWidth="1"/>
    <col min="5385" max="5385" width="15.7109375" style="262" bestFit="1" customWidth="1"/>
    <col min="5386" max="5386" width="15" style="262" bestFit="1" customWidth="1"/>
    <col min="5387" max="5387" width="15.7109375" style="262" bestFit="1" customWidth="1"/>
    <col min="5388" max="5388" width="15" style="262" bestFit="1" customWidth="1"/>
    <col min="5389" max="5389" width="15.7109375" style="262" bestFit="1" customWidth="1"/>
    <col min="5390" max="5392" width="15" style="262" bestFit="1" customWidth="1"/>
    <col min="5393" max="5393" width="15.7109375" style="262" bestFit="1" customWidth="1"/>
    <col min="5394" max="5394" width="15" style="262" bestFit="1" customWidth="1"/>
    <col min="5395" max="5395" width="15.7109375" style="262" bestFit="1" customWidth="1"/>
    <col min="5396" max="5396" width="4.7109375" style="262" bestFit="1" customWidth="1"/>
    <col min="5397" max="5632" width="9.140625" style="262"/>
    <col min="5633" max="5633" width="14.7109375" style="262" bestFit="1" customWidth="1"/>
    <col min="5634" max="5634" width="15" style="262" bestFit="1" customWidth="1"/>
    <col min="5635" max="5635" width="15.7109375" style="262" bestFit="1" customWidth="1"/>
    <col min="5636" max="5636" width="15" style="262" bestFit="1" customWidth="1"/>
    <col min="5637" max="5637" width="15.7109375" style="262" bestFit="1" customWidth="1"/>
    <col min="5638" max="5638" width="15" style="262" bestFit="1" customWidth="1"/>
    <col min="5639" max="5639" width="15.7109375" style="262" bestFit="1" customWidth="1"/>
    <col min="5640" max="5640" width="15" style="262" bestFit="1" customWidth="1"/>
    <col min="5641" max="5641" width="15.7109375" style="262" bestFit="1" customWidth="1"/>
    <col min="5642" max="5642" width="15" style="262" bestFit="1" customWidth="1"/>
    <col min="5643" max="5643" width="15.7109375" style="262" bestFit="1" customWidth="1"/>
    <col min="5644" max="5644" width="15" style="262" bestFit="1" customWidth="1"/>
    <col min="5645" max="5645" width="15.7109375" style="262" bestFit="1" customWidth="1"/>
    <col min="5646" max="5648" width="15" style="262" bestFit="1" customWidth="1"/>
    <col min="5649" max="5649" width="15.7109375" style="262" bestFit="1" customWidth="1"/>
    <col min="5650" max="5650" width="15" style="262" bestFit="1" customWidth="1"/>
    <col min="5651" max="5651" width="15.7109375" style="262" bestFit="1" customWidth="1"/>
    <col min="5652" max="5652" width="4.7109375" style="262" bestFit="1" customWidth="1"/>
    <col min="5653" max="5888" width="9.140625" style="262"/>
    <col min="5889" max="5889" width="14.7109375" style="262" bestFit="1" customWidth="1"/>
    <col min="5890" max="5890" width="15" style="262" bestFit="1" customWidth="1"/>
    <col min="5891" max="5891" width="15.7109375" style="262" bestFit="1" customWidth="1"/>
    <col min="5892" max="5892" width="15" style="262" bestFit="1" customWidth="1"/>
    <col min="5893" max="5893" width="15.7109375" style="262" bestFit="1" customWidth="1"/>
    <col min="5894" max="5894" width="15" style="262" bestFit="1" customWidth="1"/>
    <col min="5895" max="5895" width="15.7109375" style="262" bestFit="1" customWidth="1"/>
    <col min="5896" max="5896" width="15" style="262" bestFit="1" customWidth="1"/>
    <col min="5897" max="5897" width="15.7109375" style="262" bestFit="1" customWidth="1"/>
    <col min="5898" max="5898" width="15" style="262" bestFit="1" customWidth="1"/>
    <col min="5899" max="5899" width="15.7109375" style="262" bestFit="1" customWidth="1"/>
    <col min="5900" max="5900" width="15" style="262" bestFit="1" customWidth="1"/>
    <col min="5901" max="5901" width="15.7109375" style="262" bestFit="1" customWidth="1"/>
    <col min="5902" max="5904" width="15" style="262" bestFit="1" customWidth="1"/>
    <col min="5905" max="5905" width="15.7109375" style="262" bestFit="1" customWidth="1"/>
    <col min="5906" max="5906" width="15" style="262" bestFit="1" customWidth="1"/>
    <col min="5907" max="5907" width="15.7109375" style="262" bestFit="1" customWidth="1"/>
    <col min="5908" max="5908" width="4.7109375" style="262" bestFit="1" customWidth="1"/>
    <col min="5909" max="6144" width="9.140625" style="262"/>
    <col min="6145" max="6145" width="14.7109375" style="262" bestFit="1" customWidth="1"/>
    <col min="6146" max="6146" width="15" style="262" bestFit="1" customWidth="1"/>
    <col min="6147" max="6147" width="15.7109375" style="262" bestFit="1" customWidth="1"/>
    <col min="6148" max="6148" width="15" style="262" bestFit="1" customWidth="1"/>
    <col min="6149" max="6149" width="15.7109375" style="262" bestFit="1" customWidth="1"/>
    <col min="6150" max="6150" width="15" style="262" bestFit="1" customWidth="1"/>
    <col min="6151" max="6151" width="15.7109375" style="262" bestFit="1" customWidth="1"/>
    <col min="6152" max="6152" width="15" style="262" bestFit="1" customWidth="1"/>
    <col min="6153" max="6153" width="15.7109375" style="262" bestFit="1" customWidth="1"/>
    <col min="6154" max="6154" width="15" style="262" bestFit="1" customWidth="1"/>
    <col min="6155" max="6155" width="15.7109375" style="262" bestFit="1" customWidth="1"/>
    <col min="6156" max="6156" width="15" style="262" bestFit="1" customWidth="1"/>
    <col min="6157" max="6157" width="15.7109375" style="262" bestFit="1" customWidth="1"/>
    <col min="6158" max="6160" width="15" style="262" bestFit="1" customWidth="1"/>
    <col min="6161" max="6161" width="15.7109375" style="262" bestFit="1" customWidth="1"/>
    <col min="6162" max="6162" width="15" style="262" bestFit="1" customWidth="1"/>
    <col min="6163" max="6163" width="15.7109375" style="262" bestFit="1" customWidth="1"/>
    <col min="6164" max="6164" width="4.7109375" style="262" bestFit="1" customWidth="1"/>
    <col min="6165" max="6400" width="9.140625" style="262"/>
    <col min="6401" max="6401" width="14.7109375" style="262" bestFit="1" customWidth="1"/>
    <col min="6402" max="6402" width="15" style="262" bestFit="1" customWidth="1"/>
    <col min="6403" max="6403" width="15.7109375" style="262" bestFit="1" customWidth="1"/>
    <col min="6404" max="6404" width="15" style="262" bestFit="1" customWidth="1"/>
    <col min="6405" max="6405" width="15.7109375" style="262" bestFit="1" customWidth="1"/>
    <col min="6406" max="6406" width="15" style="262" bestFit="1" customWidth="1"/>
    <col min="6407" max="6407" width="15.7109375" style="262" bestFit="1" customWidth="1"/>
    <col min="6408" max="6408" width="15" style="262" bestFit="1" customWidth="1"/>
    <col min="6409" max="6409" width="15.7109375" style="262" bestFit="1" customWidth="1"/>
    <col min="6410" max="6410" width="15" style="262" bestFit="1" customWidth="1"/>
    <col min="6411" max="6411" width="15.7109375" style="262" bestFit="1" customWidth="1"/>
    <col min="6412" max="6412" width="15" style="262" bestFit="1" customWidth="1"/>
    <col min="6413" max="6413" width="15.7109375" style="262" bestFit="1" customWidth="1"/>
    <col min="6414" max="6416" width="15" style="262" bestFit="1" customWidth="1"/>
    <col min="6417" max="6417" width="15.7109375" style="262" bestFit="1" customWidth="1"/>
    <col min="6418" max="6418" width="15" style="262" bestFit="1" customWidth="1"/>
    <col min="6419" max="6419" width="15.7109375" style="262" bestFit="1" customWidth="1"/>
    <col min="6420" max="6420" width="4.7109375" style="262" bestFit="1" customWidth="1"/>
    <col min="6421" max="6656" width="9.140625" style="262"/>
    <col min="6657" max="6657" width="14.7109375" style="262" bestFit="1" customWidth="1"/>
    <col min="6658" max="6658" width="15" style="262" bestFit="1" customWidth="1"/>
    <col min="6659" max="6659" width="15.7109375" style="262" bestFit="1" customWidth="1"/>
    <col min="6660" max="6660" width="15" style="262" bestFit="1" customWidth="1"/>
    <col min="6661" max="6661" width="15.7109375" style="262" bestFit="1" customWidth="1"/>
    <col min="6662" max="6662" width="15" style="262" bestFit="1" customWidth="1"/>
    <col min="6663" max="6663" width="15.7109375" style="262" bestFit="1" customWidth="1"/>
    <col min="6664" max="6664" width="15" style="262" bestFit="1" customWidth="1"/>
    <col min="6665" max="6665" width="15.7109375" style="262" bestFit="1" customWidth="1"/>
    <col min="6666" max="6666" width="15" style="262" bestFit="1" customWidth="1"/>
    <col min="6667" max="6667" width="15.7109375" style="262" bestFit="1" customWidth="1"/>
    <col min="6668" max="6668" width="15" style="262" bestFit="1" customWidth="1"/>
    <col min="6669" max="6669" width="15.7109375" style="262" bestFit="1" customWidth="1"/>
    <col min="6670" max="6672" width="15" style="262" bestFit="1" customWidth="1"/>
    <col min="6673" max="6673" width="15.7109375" style="262" bestFit="1" customWidth="1"/>
    <col min="6674" max="6674" width="15" style="262" bestFit="1" customWidth="1"/>
    <col min="6675" max="6675" width="15.7109375" style="262" bestFit="1" customWidth="1"/>
    <col min="6676" max="6676" width="4.7109375" style="262" bestFit="1" customWidth="1"/>
    <col min="6677" max="6912" width="9.140625" style="262"/>
    <col min="6913" max="6913" width="14.7109375" style="262" bestFit="1" customWidth="1"/>
    <col min="6914" max="6914" width="15" style="262" bestFit="1" customWidth="1"/>
    <col min="6915" max="6915" width="15.7109375" style="262" bestFit="1" customWidth="1"/>
    <col min="6916" max="6916" width="15" style="262" bestFit="1" customWidth="1"/>
    <col min="6917" max="6917" width="15.7109375" style="262" bestFit="1" customWidth="1"/>
    <col min="6918" max="6918" width="15" style="262" bestFit="1" customWidth="1"/>
    <col min="6919" max="6919" width="15.7109375" style="262" bestFit="1" customWidth="1"/>
    <col min="6920" max="6920" width="15" style="262" bestFit="1" customWidth="1"/>
    <col min="6921" max="6921" width="15.7109375" style="262" bestFit="1" customWidth="1"/>
    <col min="6922" max="6922" width="15" style="262" bestFit="1" customWidth="1"/>
    <col min="6923" max="6923" width="15.7109375" style="262" bestFit="1" customWidth="1"/>
    <col min="6924" max="6924" width="15" style="262" bestFit="1" customWidth="1"/>
    <col min="6925" max="6925" width="15.7109375" style="262" bestFit="1" customWidth="1"/>
    <col min="6926" max="6928" width="15" style="262" bestFit="1" customWidth="1"/>
    <col min="6929" max="6929" width="15.7109375" style="262" bestFit="1" customWidth="1"/>
    <col min="6930" max="6930" width="15" style="262" bestFit="1" customWidth="1"/>
    <col min="6931" max="6931" width="15.7109375" style="262" bestFit="1" customWidth="1"/>
    <col min="6932" max="6932" width="4.7109375" style="262" bestFit="1" customWidth="1"/>
    <col min="6933" max="7168" width="9.140625" style="262"/>
    <col min="7169" max="7169" width="14.7109375" style="262" bestFit="1" customWidth="1"/>
    <col min="7170" max="7170" width="15" style="262" bestFit="1" customWidth="1"/>
    <col min="7171" max="7171" width="15.7109375" style="262" bestFit="1" customWidth="1"/>
    <col min="7172" max="7172" width="15" style="262" bestFit="1" customWidth="1"/>
    <col min="7173" max="7173" width="15.7109375" style="262" bestFit="1" customWidth="1"/>
    <col min="7174" max="7174" width="15" style="262" bestFit="1" customWidth="1"/>
    <col min="7175" max="7175" width="15.7109375" style="262" bestFit="1" customWidth="1"/>
    <col min="7176" max="7176" width="15" style="262" bestFit="1" customWidth="1"/>
    <col min="7177" max="7177" width="15.7109375" style="262" bestFit="1" customWidth="1"/>
    <col min="7178" max="7178" width="15" style="262" bestFit="1" customWidth="1"/>
    <col min="7179" max="7179" width="15.7109375" style="262" bestFit="1" customWidth="1"/>
    <col min="7180" max="7180" width="15" style="262" bestFit="1" customWidth="1"/>
    <col min="7181" max="7181" width="15.7109375" style="262" bestFit="1" customWidth="1"/>
    <col min="7182" max="7184" width="15" style="262" bestFit="1" customWidth="1"/>
    <col min="7185" max="7185" width="15.7109375" style="262" bestFit="1" customWidth="1"/>
    <col min="7186" max="7186" width="15" style="262" bestFit="1" customWidth="1"/>
    <col min="7187" max="7187" width="15.7109375" style="262" bestFit="1" customWidth="1"/>
    <col min="7188" max="7188" width="4.7109375" style="262" bestFit="1" customWidth="1"/>
    <col min="7189" max="7424" width="9.140625" style="262"/>
    <col min="7425" max="7425" width="14.7109375" style="262" bestFit="1" customWidth="1"/>
    <col min="7426" max="7426" width="15" style="262" bestFit="1" customWidth="1"/>
    <col min="7427" max="7427" width="15.7109375" style="262" bestFit="1" customWidth="1"/>
    <col min="7428" max="7428" width="15" style="262" bestFit="1" customWidth="1"/>
    <col min="7429" max="7429" width="15.7109375" style="262" bestFit="1" customWidth="1"/>
    <col min="7430" max="7430" width="15" style="262" bestFit="1" customWidth="1"/>
    <col min="7431" max="7431" width="15.7109375" style="262" bestFit="1" customWidth="1"/>
    <col min="7432" max="7432" width="15" style="262" bestFit="1" customWidth="1"/>
    <col min="7433" max="7433" width="15.7109375" style="262" bestFit="1" customWidth="1"/>
    <col min="7434" max="7434" width="15" style="262" bestFit="1" customWidth="1"/>
    <col min="7435" max="7435" width="15.7109375" style="262" bestFit="1" customWidth="1"/>
    <col min="7436" max="7436" width="15" style="262" bestFit="1" customWidth="1"/>
    <col min="7437" max="7437" width="15.7109375" style="262" bestFit="1" customWidth="1"/>
    <col min="7438" max="7440" width="15" style="262" bestFit="1" customWidth="1"/>
    <col min="7441" max="7441" width="15.7109375" style="262" bestFit="1" customWidth="1"/>
    <col min="7442" max="7442" width="15" style="262" bestFit="1" customWidth="1"/>
    <col min="7443" max="7443" width="15.7109375" style="262" bestFit="1" customWidth="1"/>
    <col min="7444" max="7444" width="4.7109375" style="262" bestFit="1" customWidth="1"/>
    <col min="7445" max="7680" width="9.140625" style="262"/>
    <col min="7681" max="7681" width="14.7109375" style="262" bestFit="1" customWidth="1"/>
    <col min="7682" max="7682" width="15" style="262" bestFit="1" customWidth="1"/>
    <col min="7683" max="7683" width="15.7109375" style="262" bestFit="1" customWidth="1"/>
    <col min="7684" max="7684" width="15" style="262" bestFit="1" customWidth="1"/>
    <col min="7685" max="7685" width="15.7109375" style="262" bestFit="1" customWidth="1"/>
    <col min="7686" max="7686" width="15" style="262" bestFit="1" customWidth="1"/>
    <col min="7687" max="7687" width="15.7109375" style="262" bestFit="1" customWidth="1"/>
    <col min="7688" max="7688" width="15" style="262" bestFit="1" customWidth="1"/>
    <col min="7689" max="7689" width="15.7109375" style="262" bestFit="1" customWidth="1"/>
    <col min="7690" max="7690" width="15" style="262" bestFit="1" customWidth="1"/>
    <col min="7691" max="7691" width="15.7109375" style="262" bestFit="1" customWidth="1"/>
    <col min="7692" max="7692" width="15" style="262" bestFit="1" customWidth="1"/>
    <col min="7693" max="7693" width="15.7109375" style="262" bestFit="1" customWidth="1"/>
    <col min="7694" max="7696" width="15" style="262" bestFit="1" customWidth="1"/>
    <col min="7697" max="7697" width="15.7109375" style="262" bestFit="1" customWidth="1"/>
    <col min="7698" max="7698" width="15" style="262" bestFit="1" customWidth="1"/>
    <col min="7699" max="7699" width="15.7109375" style="262" bestFit="1" customWidth="1"/>
    <col min="7700" max="7700" width="4.7109375" style="262" bestFit="1" customWidth="1"/>
    <col min="7701" max="7936" width="9.140625" style="262"/>
    <col min="7937" max="7937" width="14.7109375" style="262" bestFit="1" customWidth="1"/>
    <col min="7938" max="7938" width="15" style="262" bestFit="1" customWidth="1"/>
    <col min="7939" max="7939" width="15.7109375" style="262" bestFit="1" customWidth="1"/>
    <col min="7940" max="7940" width="15" style="262" bestFit="1" customWidth="1"/>
    <col min="7941" max="7941" width="15.7109375" style="262" bestFit="1" customWidth="1"/>
    <col min="7942" max="7942" width="15" style="262" bestFit="1" customWidth="1"/>
    <col min="7943" max="7943" width="15.7109375" style="262" bestFit="1" customWidth="1"/>
    <col min="7944" max="7944" width="15" style="262" bestFit="1" customWidth="1"/>
    <col min="7945" max="7945" width="15.7109375" style="262" bestFit="1" customWidth="1"/>
    <col min="7946" max="7946" width="15" style="262" bestFit="1" customWidth="1"/>
    <col min="7947" max="7947" width="15.7109375" style="262" bestFit="1" customWidth="1"/>
    <col min="7948" max="7948" width="15" style="262" bestFit="1" customWidth="1"/>
    <col min="7949" max="7949" width="15.7109375" style="262" bestFit="1" customWidth="1"/>
    <col min="7950" max="7952" width="15" style="262" bestFit="1" customWidth="1"/>
    <col min="7953" max="7953" width="15.7109375" style="262" bestFit="1" customWidth="1"/>
    <col min="7954" max="7954" width="15" style="262" bestFit="1" customWidth="1"/>
    <col min="7955" max="7955" width="15.7109375" style="262" bestFit="1" customWidth="1"/>
    <col min="7956" max="7956" width="4.7109375" style="262" bestFit="1" customWidth="1"/>
    <col min="7957" max="8192" width="9.140625" style="262"/>
    <col min="8193" max="8193" width="14.7109375" style="262" bestFit="1" customWidth="1"/>
    <col min="8194" max="8194" width="15" style="262" bestFit="1" customWidth="1"/>
    <col min="8195" max="8195" width="15.7109375" style="262" bestFit="1" customWidth="1"/>
    <col min="8196" max="8196" width="15" style="262" bestFit="1" customWidth="1"/>
    <col min="8197" max="8197" width="15.7109375" style="262" bestFit="1" customWidth="1"/>
    <col min="8198" max="8198" width="15" style="262" bestFit="1" customWidth="1"/>
    <col min="8199" max="8199" width="15.7109375" style="262" bestFit="1" customWidth="1"/>
    <col min="8200" max="8200" width="15" style="262" bestFit="1" customWidth="1"/>
    <col min="8201" max="8201" width="15.7109375" style="262" bestFit="1" customWidth="1"/>
    <col min="8202" max="8202" width="15" style="262" bestFit="1" customWidth="1"/>
    <col min="8203" max="8203" width="15.7109375" style="262" bestFit="1" customWidth="1"/>
    <col min="8204" max="8204" width="15" style="262" bestFit="1" customWidth="1"/>
    <col min="8205" max="8205" width="15.7109375" style="262" bestFit="1" customWidth="1"/>
    <col min="8206" max="8208" width="15" style="262" bestFit="1" customWidth="1"/>
    <col min="8209" max="8209" width="15.7109375" style="262" bestFit="1" customWidth="1"/>
    <col min="8210" max="8210" width="15" style="262" bestFit="1" customWidth="1"/>
    <col min="8211" max="8211" width="15.7109375" style="262" bestFit="1" customWidth="1"/>
    <col min="8212" max="8212" width="4.7109375" style="262" bestFit="1" customWidth="1"/>
    <col min="8213" max="8448" width="9.140625" style="262"/>
    <col min="8449" max="8449" width="14.7109375" style="262" bestFit="1" customWidth="1"/>
    <col min="8450" max="8450" width="15" style="262" bestFit="1" customWidth="1"/>
    <col min="8451" max="8451" width="15.7109375" style="262" bestFit="1" customWidth="1"/>
    <col min="8452" max="8452" width="15" style="262" bestFit="1" customWidth="1"/>
    <col min="8453" max="8453" width="15.7109375" style="262" bestFit="1" customWidth="1"/>
    <col min="8454" max="8454" width="15" style="262" bestFit="1" customWidth="1"/>
    <col min="8455" max="8455" width="15.7109375" style="262" bestFit="1" customWidth="1"/>
    <col min="8456" max="8456" width="15" style="262" bestFit="1" customWidth="1"/>
    <col min="8457" max="8457" width="15.7109375" style="262" bestFit="1" customWidth="1"/>
    <col min="8458" max="8458" width="15" style="262" bestFit="1" customWidth="1"/>
    <col min="8459" max="8459" width="15.7109375" style="262" bestFit="1" customWidth="1"/>
    <col min="8460" max="8460" width="15" style="262" bestFit="1" customWidth="1"/>
    <col min="8461" max="8461" width="15.7109375" style="262" bestFit="1" customWidth="1"/>
    <col min="8462" max="8464" width="15" style="262" bestFit="1" customWidth="1"/>
    <col min="8465" max="8465" width="15.7109375" style="262" bestFit="1" customWidth="1"/>
    <col min="8466" max="8466" width="15" style="262" bestFit="1" customWidth="1"/>
    <col min="8467" max="8467" width="15.7109375" style="262" bestFit="1" customWidth="1"/>
    <col min="8468" max="8468" width="4.7109375" style="262" bestFit="1" customWidth="1"/>
    <col min="8469" max="8704" width="9.140625" style="262"/>
    <col min="8705" max="8705" width="14.7109375" style="262" bestFit="1" customWidth="1"/>
    <col min="8706" max="8706" width="15" style="262" bestFit="1" customWidth="1"/>
    <col min="8707" max="8707" width="15.7109375" style="262" bestFit="1" customWidth="1"/>
    <col min="8708" max="8708" width="15" style="262" bestFit="1" customWidth="1"/>
    <col min="8709" max="8709" width="15.7109375" style="262" bestFit="1" customWidth="1"/>
    <col min="8710" max="8710" width="15" style="262" bestFit="1" customWidth="1"/>
    <col min="8711" max="8711" width="15.7109375" style="262" bestFit="1" customWidth="1"/>
    <col min="8712" max="8712" width="15" style="262" bestFit="1" customWidth="1"/>
    <col min="8713" max="8713" width="15.7109375" style="262" bestFit="1" customWidth="1"/>
    <col min="8714" max="8714" width="15" style="262" bestFit="1" customWidth="1"/>
    <col min="8715" max="8715" width="15.7109375" style="262" bestFit="1" customWidth="1"/>
    <col min="8716" max="8716" width="15" style="262" bestFit="1" customWidth="1"/>
    <col min="8717" max="8717" width="15.7109375" style="262" bestFit="1" customWidth="1"/>
    <col min="8718" max="8720" width="15" style="262" bestFit="1" customWidth="1"/>
    <col min="8721" max="8721" width="15.7109375" style="262" bestFit="1" customWidth="1"/>
    <col min="8722" max="8722" width="15" style="262" bestFit="1" customWidth="1"/>
    <col min="8723" max="8723" width="15.7109375" style="262" bestFit="1" customWidth="1"/>
    <col min="8724" max="8724" width="4.7109375" style="262" bestFit="1" customWidth="1"/>
    <col min="8725" max="8960" width="9.140625" style="262"/>
    <col min="8961" max="8961" width="14.7109375" style="262" bestFit="1" customWidth="1"/>
    <col min="8962" max="8962" width="15" style="262" bestFit="1" customWidth="1"/>
    <col min="8963" max="8963" width="15.7109375" style="262" bestFit="1" customWidth="1"/>
    <col min="8964" max="8964" width="15" style="262" bestFit="1" customWidth="1"/>
    <col min="8965" max="8965" width="15.7109375" style="262" bestFit="1" customWidth="1"/>
    <col min="8966" max="8966" width="15" style="262" bestFit="1" customWidth="1"/>
    <col min="8967" max="8967" width="15.7109375" style="262" bestFit="1" customWidth="1"/>
    <col min="8968" max="8968" width="15" style="262" bestFit="1" customWidth="1"/>
    <col min="8969" max="8969" width="15.7109375" style="262" bestFit="1" customWidth="1"/>
    <col min="8970" max="8970" width="15" style="262" bestFit="1" customWidth="1"/>
    <col min="8971" max="8971" width="15.7109375" style="262" bestFit="1" customWidth="1"/>
    <col min="8972" max="8972" width="15" style="262" bestFit="1" customWidth="1"/>
    <col min="8973" max="8973" width="15.7109375" style="262" bestFit="1" customWidth="1"/>
    <col min="8974" max="8976" width="15" style="262" bestFit="1" customWidth="1"/>
    <col min="8977" max="8977" width="15.7109375" style="262" bestFit="1" customWidth="1"/>
    <col min="8978" max="8978" width="15" style="262" bestFit="1" customWidth="1"/>
    <col min="8979" max="8979" width="15.7109375" style="262" bestFit="1" customWidth="1"/>
    <col min="8980" max="8980" width="4.7109375" style="262" bestFit="1" customWidth="1"/>
    <col min="8981" max="9216" width="9.140625" style="262"/>
    <col min="9217" max="9217" width="14.7109375" style="262" bestFit="1" customWidth="1"/>
    <col min="9218" max="9218" width="15" style="262" bestFit="1" customWidth="1"/>
    <col min="9219" max="9219" width="15.7109375" style="262" bestFit="1" customWidth="1"/>
    <col min="9220" max="9220" width="15" style="262" bestFit="1" customWidth="1"/>
    <col min="9221" max="9221" width="15.7109375" style="262" bestFit="1" customWidth="1"/>
    <col min="9222" max="9222" width="15" style="262" bestFit="1" customWidth="1"/>
    <col min="9223" max="9223" width="15.7109375" style="262" bestFit="1" customWidth="1"/>
    <col min="9224" max="9224" width="15" style="262" bestFit="1" customWidth="1"/>
    <col min="9225" max="9225" width="15.7109375" style="262" bestFit="1" customWidth="1"/>
    <col min="9226" max="9226" width="15" style="262" bestFit="1" customWidth="1"/>
    <col min="9227" max="9227" width="15.7109375" style="262" bestFit="1" customWidth="1"/>
    <col min="9228" max="9228" width="15" style="262" bestFit="1" customWidth="1"/>
    <col min="9229" max="9229" width="15.7109375" style="262" bestFit="1" customWidth="1"/>
    <col min="9230" max="9232" width="15" style="262" bestFit="1" customWidth="1"/>
    <col min="9233" max="9233" width="15.7109375" style="262" bestFit="1" customWidth="1"/>
    <col min="9234" max="9234" width="15" style="262" bestFit="1" customWidth="1"/>
    <col min="9235" max="9235" width="15.7109375" style="262" bestFit="1" customWidth="1"/>
    <col min="9236" max="9236" width="4.7109375" style="262" bestFit="1" customWidth="1"/>
    <col min="9237" max="9472" width="9.140625" style="262"/>
    <col min="9473" max="9473" width="14.7109375" style="262" bestFit="1" customWidth="1"/>
    <col min="9474" max="9474" width="15" style="262" bestFit="1" customWidth="1"/>
    <col min="9475" max="9475" width="15.7109375" style="262" bestFit="1" customWidth="1"/>
    <col min="9476" max="9476" width="15" style="262" bestFit="1" customWidth="1"/>
    <col min="9477" max="9477" width="15.7109375" style="262" bestFit="1" customWidth="1"/>
    <col min="9478" max="9478" width="15" style="262" bestFit="1" customWidth="1"/>
    <col min="9479" max="9479" width="15.7109375" style="262" bestFit="1" customWidth="1"/>
    <col min="9480" max="9480" width="15" style="262" bestFit="1" customWidth="1"/>
    <col min="9481" max="9481" width="15.7109375" style="262" bestFit="1" customWidth="1"/>
    <col min="9482" max="9482" width="15" style="262" bestFit="1" customWidth="1"/>
    <col min="9483" max="9483" width="15.7109375" style="262" bestFit="1" customWidth="1"/>
    <col min="9484" max="9484" width="15" style="262" bestFit="1" customWidth="1"/>
    <col min="9485" max="9485" width="15.7109375" style="262" bestFit="1" customWidth="1"/>
    <col min="9486" max="9488" width="15" style="262" bestFit="1" customWidth="1"/>
    <col min="9489" max="9489" width="15.7109375" style="262" bestFit="1" customWidth="1"/>
    <col min="9490" max="9490" width="15" style="262" bestFit="1" customWidth="1"/>
    <col min="9491" max="9491" width="15.7109375" style="262" bestFit="1" customWidth="1"/>
    <col min="9492" max="9492" width="4.7109375" style="262" bestFit="1" customWidth="1"/>
    <col min="9493" max="9728" width="9.140625" style="262"/>
    <col min="9729" max="9729" width="14.7109375" style="262" bestFit="1" customWidth="1"/>
    <col min="9730" max="9730" width="15" style="262" bestFit="1" customWidth="1"/>
    <col min="9731" max="9731" width="15.7109375" style="262" bestFit="1" customWidth="1"/>
    <col min="9732" max="9732" width="15" style="262" bestFit="1" customWidth="1"/>
    <col min="9733" max="9733" width="15.7109375" style="262" bestFit="1" customWidth="1"/>
    <col min="9734" max="9734" width="15" style="262" bestFit="1" customWidth="1"/>
    <col min="9735" max="9735" width="15.7109375" style="262" bestFit="1" customWidth="1"/>
    <col min="9736" max="9736" width="15" style="262" bestFit="1" customWidth="1"/>
    <col min="9737" max="9737" width="15.7109375" style="262" bestFit="1" customWidth="1"/>
    <col min="9738" max="9738" width="15" style="262" bestFit="1" customWidth="1"/>
    <col min="9739" max="9739" width="15.7109375" style="262" bestFit="1" customWidth="1"/>
    <col min="9740" max="9740" width="15" style="262" bestFit="1" customWidth="1"/>
    <col min="9741" max="9741" width="15.7109375" style="262" bestFit="1" customWidth="1"/>
    <col min="9742" max="9744" width="15" style="262" bestFit="1" customWidth="1"/>
    <col min="9745" max="9745" width="15.7109375" style="262" bestFit="1" customWidth="1"/>
    <col min="9746" max="9746" width="15" style="262" bestFit="1" customWidth="1"/>
    <col min="9747" max="9747" width="15.7109375" style="262" bestFit="1" customWidth="1"/>
    <col min="9748" max="9748" width="4.7109375" style="262" bestFit="1" customWidth="1"/>
    <col min="9749" max="9984" width="9.140625" style="262"/>
    <col min="9985" max="9985" width="14.7109375" style="262" bestFit="1" customWidth="1"/>
    <col min="9986" max="9986" width="15" style="262" bestFit="1" customWidth="1"/>
    <col min="9987" max="9987" width="15.7109375" style="262" bestFit="1" customWidth="1"/>
    <col min="9988" max="9988" width="15" style="262" bestFit="1" customWidth="1"/>
    <col min="9989" max="9989" width="15.7109375" style="262" bestFit="1" customWidth="1"/>
    <col min="9990" max="9990" width="15" style="262" bestFit="1" customWidth="1"/>
    <col min="9991" max="9991" width="15.7109375" style="262" bestFit="1" customWidth="1"/>
    <col min="9992" max="9992" width="15" style="262" bestFit="1" customWidth="1"/>
    <col min="9993" max="9993" width="15.7109375" style="262" bestFit="1" customWidth="1"/>
    <col min="9994" max="9994" width="15" style="262" bestFit="1" customWidth="1"/>
    <col min="9995" max="9995" width="15.7109375" style="262" bestFit="1" customWidth="1"/>
    <col min="9996" max="9996" width="15" style="262" bestFit="1" customWidth="1"/>
    <col min="9997" max="9997" width="15.7109375" style="262" bestFit="1" customWidth="1"/>
    <col min="9998" max="10000" width="15" style="262" bestFit="1" customWidth="1"/>
    <col min="10001" max="10001" width="15.7109375" style="262" bestFit="1" customWidth="1"/>
    <col min="10002" max="10002" width="15" style="262" bestFit="1" customWidth="1"/>
    <col min="10003" max="10003" width="15.7109375" style="262" bestFit="1" customWidth="1"/>
    <col min="10004" max="10004" width="4.7109375" style="262" bestFit="1" customWidth="1"/>
    <col min="10005" max="10240" width="9.140625" style="262"/>
    <col min="10241" max="10241" width="14.7109375" style="262" bestFit="1" customWidth="1"/>
    <col min="10242" max="10242" width="15" style="262" bestFit="1" customWidth="1"/>
    <col min="10243" max="10243" width="15.7109375" style="262" bestFit="1" customWidth="1"/>
    <col min="10244" max="10244" width="15" style="262" bestFit="1" customWidth="1"/>
    <col min="10245" max="10245" width="15.7109375" style="262" bestFit="1" customWidth="1"/>
    <col min="10246" max="10246" width="15" style="262" bestFit="1" customWidth="1"/>
    <col min="10247" max="10247" width="15.7109375" style="262" bestFit="1" customWidth="1"/>
    <col min="10248" max="10248" width="15" style="262" bestFit="1" customWidth="1"/>
    <col min="10249" max="10249" width="15.7109375" style="262" bestFit="1" customWidth="1"/>
    <col min="10250" max="10250" width="15" style="262" bestFit="1" customWidth="1"/>
    <col min="10251" max="10251" width="15.7109375" style="262" bestFit="1" customWidth="1"/>
    <col min="10252" max="10252" width="15" style="262" bestFit="1" customWidth="1"/>
    <col min="10253" max="10253" width="15.7109375" style="262" bestFit="1" customWidth="1"/>
    <col min="10254" max="10256" width="15" style="262" bestFit="1" customWidth="1"/>
    <col min="10257" max="10257" width="15.7109375" style="262" bestFit="1" customWidth="1"/>
    <col min="10258" max="10258" width="15" style="262" bestFit="1" customWidth="1"/>
    <col min="10259" max="10259" width="15.7109375" style="262" bestFit="1" customWidth="1"/>
    <col min="10260" max="10260" width="4.7109375" style="262" bestFit="1" customWidth="1"/>
    <col min="10261" max="10496" width="9.140625" style="262"/>
    <col min="10497" max="10497" width="14.7109375" style="262" bestFit="1" customWidth="1"/>
    <col min="10498" max="10498" width="15" style="262" bestFit="1" customWidth="1"/>
    <col min="10499" max="10499" width="15.7109375" style="262" bestFit="1" customWidth="1"/>
    <col min="10500" max="10500" width="15" style="262" bestFit="1" customWidth="1"/>
    <col min="10501" max="10501" width="15.7109375" style="262" bestFit="1" customWidth="1"/>
    <col min="10502" max="10502" width="15" style="262" bestFit="1" customWidth="1"/>
    <col min="10503" max="10503" width="15.7109375" style="262" bestFit="1" customWidth="1"/>
    <col min="10504" max="10504" width="15" style="262" bestFit="1" customWidth="1"/>
    <col min="10505" max="10505" width="15.7109375" style="262" bestFit="1" customWidth="1"/>
    <col min="10506" max="10506" width="15" style="262" bestFit="1" customWidth="1"/>
    <col min="10507" max="10507" width="15.7109375" style="262" bestFit="1" customWidth="1"/>
    <col min="10508" max="10508" width="15" style="262" bestFit="1" customWidth="1"/>
    <col min="10509" max="10509" width="15.7109375" style="262" bestFit="1" customWidth="1"/>
    <col min="10510" max="10512" width="15" style="262" bestFit="1" customWidth="1"/>
    <col min="10513" max="10513" width="15.7109375" style="262" bestFit="1" customWidth="1"/>
    <col min="10514" max="10514" width="15" style="262" bestFit="1" customWidth="1"/>
    <col min="10515" max="10515" width="15.7109375" style="262" bestFit="1" customWidth="1"/>
    <col min="10516" max="10516" width="4.7109375" style="262" bestFit="1" customWidth="1"/>
    <col min="10517" max="10752" width="9.140625" style="262"/>
    <col min="10753" max="10753" width="14.7109375" style="262" bestFit="1" customWidth="1"/>
    <col min="10754" max="10754" width="15" style="262" bestFit="1" customWidth="1"/>
    <col min="10755" max="10755" width="15.7109375" style="262" bestFit="1" customWidth="1"/>
    <col min="10756" max="10756" width="15" style="262" bestFit="1" customWidth="1"/>
    <col min="10757" max="10757" width="15.7109375" style="262" bestFit="1" customWidth="1"/>
    <col min="10758" max="10758" width="15" style="262" bestFit="1" customWidth="1"/>
    <col min="10759" max="10759" width="15.7109375" style="262" bestFit="1" customWidth="1"/>
    <col min="10760" max="10760" width="15" style="262" bestFit="1" customWidth="1"/>
    <col min="10761" max="10761" width="15.7109375" style="262" bestFit="1" customWidth="1"/>
    <col min="10762" max="10762" width="15" style="262" bestFit="1" customWidth="1"/>
    <col min="10763" max="10763" width="15.7109375" style="262" bestFit="1" customWidth="1"/>
    <col min="10764" max="10764" width="15" style="262" bestFit="1" customWidth="1"/>
    <col min="10765" max="10765" width="15.7109375" style="262" bestFit="1" customWidth="1"/>
    <col min="10766" max="10768" width="15" style="262" bestFit="1" customWidth="1"/>
    <col min="10769" max="10769" width="15.7109375" style="262" bestFit="1" customWidth="1"/>
    <col min="10770" max="10770" width="15" style="262" bestFit="1" customWidth="1"/>
    <col min="10771" max="10771" width="15.7109375" style="262" bestFit="1" customWidth="1"/>
    <col min="10772" max="10772" width="4.7109375" style="262" bestFit="1" customWidth="1"/>
    <col min="10773" max="11008" width="9.140625" style="262"/>
    <col min="11009" max="11009" width="14.7109375" style="262" bestFit="1" customWidth="1"/>
    <col min="11010" max="11010" width="15" style="262" bestFit="1" customWidth="1"/>
    <col min="11011" max="11011" width="15.7109375" style="262" bestFit="1" customWidth="1"/>
    <col min="11012" max="11012" width="15" style="262" bestFit="1" customWidth="1"/>
    <col min="11013" max="11013" width="15.7109375" style="262" bestFit="1" customWidth="1"/>
    <col min="11014" max="11014" width="15" style="262" bestFit="1" customWidth="1"/>
    <col min="11015" max="11015" width="15.7109375" style="262" bestFit="1" customWidth="1"/>
    <col min="11016" max="11016" width="15" style="262" bestFit="1" customWidth="1"/>
    <col min="11017" max="11017" width="15.7109375" style="262" bestFit="1" customWidth="1"/>
    <col min="11018" max="11018" width="15" style="262" bestFit="1" customWidth="1"/>
    <col min="11019" max="11019" width="15.7109375" style="262" bestFit="1" customWidth="1"/>
    <col min="11020" max="11020" width="15" style="262" bestFit="1" customWidth="1"/>
    <col min="11021" max="11021" width="15.7109375" style="262" bestFit="1" customWidth="1"/>
    <col min="11022" max="11024" width="15" style="262" bestFit="1" customWidth="1"/>
    <col min="11025" max="11025" width="15.7109375" style="262" bestFit="1" customWidth="1"/>
    <col min="11026" max="11026" width="15" style="262" bestFit="1" customWidth="1"/>
    <col min="11027" max="11027" width="15.7109375" style="262" bestFit="1" customWidth="1"/>
    <col min="11028" max="11028" width="4.7109375" style="262" bestFit="1" customWidth="1"/>
    <col min="11029" max="11264" width="9.140625" style="262"/>
    <col min="11265" max="11265" width="14.7109375" style="262" bestFit="1" customWidth="1"/>
    <col min="11266" max="11266" width="15" style="262" bestFit="1" customWidth="1"/>
    <col min="11267" max="11267" width="15.7109375" style="262" bestFit="1" customWidth="1"/>
    <col min="11268" max="11268" width="15" style="262" bestFit="1" customWidth="1"/>
    <col min="11269" max="11269" width="15.7109375" style="262" bestFit="1" customWidth="1"/>
    <col min="11270" max="11270" width="15" style="262" bestFit="1" customWidth="1"/>
    <col min="11271" max="11271" width="15.7109375" style="262" bestFit="1" customWidth="1"/>
    <col min="11272" max="11272" width="15" style="262" bestFit="1" customWidth="1"/>
    <col min="11273" max="11273" width="15.7109375" style="262" bestFit="1" customWidth="1"/>
    <col min="11274" max="11274" width="15" style="262" bestFit="1" customWidth="1"/>
    <col min="11275" max="11275" width="15.7109375" style="262" bestFit="1" customWidth="1"/>
    <col min="11276" max="11276" width="15" style="262" bestFit="1" customWidth="1"/>
    <col min="11277" max="11277" width="15.7109375" style="262" bestFit="1" customWidth="1"/>
    <col min="11278" max="11280" width="15" style="262" bestFit="1" customWidth="1"/>
    <col min="11281" max="11281" width="15.7109375" style="262" bestFit="1" customWidth="1"/>
    <col min="11282" max="11282" width="15" style="262" bestFit="1" customWidth="1"/>
    <col min="11283" max="11283" width="15.7109375" style="262" bestFit="1" customWidth="1"/>
    <col min="11284" max="11284" width="4.7109375" style="262" bestFit="1" customWidth="1"/>
    <col min="11285" max="11520" width="9.140625" style="262"/>
    <col min="11521" max="11521" width="14.7109375" style="262" bestFit="1" customWidth="1"/>
    <col min="11522" max="11522" width="15" style="262" bestFit="1" customWidth="1"/>
    <col min="11523" max="11523" width="15.7109375" style="262" bestFit="1" customWidth="1"/>
    <col min="11524" max="11524" width="15" style="262" bestFit="1" customWidth="1"/>
    <col min="11525" max="11525" width="15.7109375" style="262" bestFit="1" customWidth="1"/>
    <col min="11526" max="11526" width="15" style="262" bestFit="1" customWidth="1"/>
    <col min="11527" max="11527" width="15.7109375" style="262" bestFit="1" customWidth="1"/>
    <col min="11528" max="11528" width="15" style="262" bestFit="1" customWidth="1"/>
    <col min="11529" max="11529" width="15.7109375" style="262" bestFit="1" customWidth="1"/>
    <col min="11530" max="11530" width="15" style="262" bestFit="1" customWidth="1"/>
    <col min="11531" max="11531" width="15.7109375" style="262" bestFit="1" customWidth="1"/>
    <col min="11532" max="11532" width="15" style="262" bestFit="1" customWidth="1"/>
    <col min="11533" max="11533" width="15.7109375" style="262" bestFit="1" customWidth="1"/>
    <col min="11534" max="11536" width="15" style="262" bestFit="1" customWidth="1"/>
    <col min="11537" max="11537" width="15.7109375" style="262" bestFit="1" customWidth="1"/>
    <col min="11538" max="11538" width="15" style="262" bestFit="1" customWidth="1"/>
    <col min="11539" max="11539" width="15.7109375" style="262" bestFit="1" customWidth="1"/>
    <col min="11540" max="11540" width="4.7109375" style="262" bestFit="1" customWidth="1"/>
    <col min="11541" max="11776" width="9.140625" style="262"/>
    <col min="11777" max="11777" width="14.7109375" style="262" bestFit="1" customWidth="1"/>
    <col min="11778" max="11778" width="15" style="262" bestFit="1" customWidth="1"/>
    <col min="11779" max="11779" width="15.7109375" style="262" bestFit="1" customWidth="1"/>
    <col min="11780" max="11780" width="15" style="262" bestFit="1" customWidth="1"/>
    <col min="11781" max="11781" width="15.7109375" style="262" bestFit="1" customWidth="1"/>
    <col min="11782" max="11782" width="15" style="262" bestFit="1" customWidth="1"/>
    <col min="11783" max="11783" width="15.7109375" style="262" bestFit="1" customWidth="1"/>
    <col min="11784" max="11784" width="15" style="262" bestFit="1" customWidth="1"/>
    <col min="11785" max="11785" width="15.7109375" style="262" bestFit="1" customWidth="1"/>
    <col min="11786" max="11786" width="15" style="262" bestFit="1" customWidth="1"/>
    <col min="11787" max="11787" width="15.7109375" style="262" bestFit="1" customWidth="1"/>
    <col min="11788" max="11788" width="15" style="262" bestFit="1" customWidth="1"/>
    <col min="11789" max="11789" width="15.7109375" style="262" bestFit="1" customWidth="1"/>
    <col min="11790" max="11792" width="15" style="262" bestFit="1" customWidth="1"/>
    <col min="11793" max="11793" width="15.7109375" style="262" bestFit="1" customWidth="1"/>
    <col min="11794" max="11794" width="15" style="262" bestFit="1" customWidth="1"/>
    <col min="11795" max="11795" width="15.7109375" style="262" bestFit="1" customWidth="1"/>
    <col min="11796" max="11796" width="4.7109375" style="262" bestFit="1" customWidth="1"/>
    <col min="11797" max="12032" width="9.140625" style="262"/>
    <col min="12033" max="12033" width="14.7109375" style="262" bestFit="1" customWidth="1"/>
    <col min="12034" max="12034" width="15" style="262" bestFit="1" customWidth="1"/>
    <col min="12035" max="12035" width="15.7109375" style="262" bestFit="1" customWidth="1"/>
    <col min="12036" max="12036" width="15" style="262" bestFit="1" customWidth="1"/>
    <col min="12037" max="12037" width="15.7109375" style="262" bestFit="1" customWidth="1"/>
    <col min="12038" max="12038" width="15" style="262" bestFit="1" customWidth="1"/>
    <col min="12039" max="12039" width="15.7109375" style="262" bestFit="1" customWidth="1"/>
    <col min="12040" max="12040" width="15" style="262" bestFit="1" customWidth="1"/>
    <col min="12041" max="12041" width="15.7109375" style="262" bestFit="1" customWidth="1"/>
    <col min="12042" max="12042" width="15" style="262" bestFit="1" customWidth="1"/>
    <col min="12043" max="12043" width="15.7109375" style="262" bestFit="1" customWidth="1"/>
    <col min="12044" max="12044" width="15" style="262" bestFit="1" customWidth="1"/>
    <col min="12045" max="12045" width="15.7109375" style="262" bestFit="1" customWidth="1"/>
    <col min="12046" max="12048" width="15" style="262" bestFit="1" customWidth="1"/>
    <col min="12049" max="12049" width="15.7109375" style="262" bestFit="1" customWidth="1"/>
    <col min="12050" max="12050" width="15" style="262" bestFit="1" customWidth="1"/>
    <col min="12051" max="12051" width="15.7109375" style="262" bestFit="1" customWidth="1"/>
    <col min="12052" max="12052" width="4.7109375" style="262" bestFit="1" customWidth="1"/>
    <col min="12053" max="12288" width="9.140625" style="262"/>
    <col min="12289" max="12289" width="14.7109375" style="262" bestFit="1" customWidth="1"/>
    <col min="12290" max="12290" width="15" style="262" bestFit="1" customWidth="1"/>
    <col min="12291" max="12291" width="15.7109375" style="262" bestFit="1" customWidth="1"/>
    <col min="12292" max="12292" width="15" style="262" bestFit="1" customWidth="1"/>
    <col min="12293" max="12293" width="15.7109375" style="262" bestFit="1" customWidth="1"/>
    <col min="12294" max="12294" width="15" style="262" bestFit="1" customWidth="1"/>
    <col min="12295" max="12295" width="15.7109375" style="262" bestFit="1" customWidth="1"/>
    <col min="12296" max="12296" width="15" style="262" bestFit="1" customWidth="1"/>
    <col min="12297" max="12297" width="15.7109375" style="262" bestFit="1" customWidth="1"/>
    <col min="12298" max="12298" width="15" style="262" bestFit="1" customWidth="1"/>
    <col min="12299" max="12299" width="15.7109375" style="262" bestFit="1" customWidth="1"/>
    <col min="12300" max="12300" width="15" style="262" bestFit="1" customWidth="1"/>
    <col min="12301" max="12301" width="15.7109375" style="262" bestFit="1" customWidth="1"/>
    <col min="12302" max="12304" width="15" style="262" bestFit="1" customWidth="1"/>
    <col min="12305" max="12305" width="15.7109375" style="262" bestFit="1" customWidth="1"/>
    <col min="12306" max="12306" width="15" style="262" bestFit="1" customWidth="1"/>
    <col min="12307" max="12307" width="15.7109375" style="262" bestFit="1" customWidth="1"/>
    <col min="12308" max="12308" width="4.7109375" style="262" bestFit="1" customWidth="1"/>
    <col min="12309" max="12544" width="9.140625" style="262"/>
    <col min="12545" max="12545" width="14.7109375" style="262" bestFit="1" customWidth="1"/>
    <col min="12546" max="12546" width="15" style="262" bestFit="1" customWidth="1"/>
    <col min="12547" max="12547" width="15.7109375" style="262" bestFit="1" customWidth="1"/>
    <col min="12548" max="12548" width="15" style="262" bestFit="1" customWidth="1"/>
    <col min="12549" max="12549" width="15.7109375" style="262" bestFit="1" customWidth="1"/>
    <col min="12550" max="12550" width="15" style="262" bestFit="1" customWidth="1"/>
    <col min="12551" max="12551" width="15.7109375" style="262" bestFit="1" customWidth="1"/>
    <col min="12552" max="12552" width="15" style="262" bestFit="1" customWidth="1"/>
    <col min="12553" max="12553" width="15.7109375" style="262" bestFit="1" customWidth="1"/>
    <col min="12554" max="12554" width="15" style="262" bestFit="1" customWidth="1"/>
    <col min="12555" max="12555" width="15.7109375" style="262" bestFit="1" customWidth="1"/>
    <col min="12556" max="12556" width="15" style="262" bestFit="1" customWidth="1"/>
    <col min="12557" max="12557" width="15.7109375" style="262" bestFit="1" customWidth="1"/>
    <col min="12558" max="12560" width="15" style="262" bestFit="1" customWidth="1"/>
    <col min="12561" max="12561" width="15.7109375" style="262" bestFit="1" customWidth="1"/>
    <col min="12562" max="12562" width="15" style="262" bestFit="1" customWidth="1"/>
    <col min="12563" max="12563" width="15.7109375" style="262" bestFit="1" customWidth="1"/>
    <col min="12564" max="12564" width="4.7109375" style="262" bestFit="1" customWidth="1"/>
    <col min="12565" max="12800" width="9.140625" style="262"/>
    <col min="12801" max="12801" width="14.7109375" style="262" bestFit="1" customWidth="1"/>
    <col min="12802" max="12802" width="15" style="262" bestFit="1" customWidth="1"/>
    <col min="12803" max="12803" width="15.7109375" style="262" bestFit="1" customWidth="1"/>
    <col min="12804" max="12804" width="15" style="262" bestFit="1" customWidth="1"/>
    <col min="12805" max="12805" width="15.7109375" style="262" bestFit="1" customWidth="1"/>
    <col min="12806" max="12806" width="15" style="262" bestFit="1" customWidth="1"/>
    <col min="12807" max="12807" width="15.7109375" style="262" bestFit="1" customWidth="1"/>
    <col min="12808" max="12808" width="15" style="262" bestFit="1" customWidth="1"/>
    <col min="12809" max="12809" width="15.7109375" style="262" bestFit="1" customWidth="1"/>
    <col min="12810" max="12810" width="15" style="262" bestFit="1" customWidth="1"/>
    <col min="12811" max="12811" width="15.7109375" style="262" bestFit="1" customWidth="1"/>
    <col min="12812" max="12812" width="15" style="262" bestFit="1" customWidth="1"/>
    <col min="12813" max="12813" width="15.7109375" style="262" bestFit="1" customWidth="1"/>
    <col min="12814" max="12816" width="15" style="262" bestFit="1" customWidth="1"/>
    <col min="12817" max="12817" width="15.7109375" style="262" bestFit="1" customWidth="1"/>
    <col min="12818" max="12818" width="15" style="262" bestFit="1" customWidth="1"/>
    <col min="12819" max="12819" width="15.7109375" style="262" bestFit="1" customWidth="1"/>
    <col min="12820" max="12820" width="4.7109375" style="262" bestFit="1" customWidth="1"/>
    <col min="12821" max="13056" width="9.140625" style="262"/>
    <col min="13057" max="13057" width="14.7109375" style="262" bestFit="1" customWidth="1"/>
    <col min="13058" max="13058" width="15" style="262" bestFit="1" customWidth="1"/>
    <col min="13059" max="13059" width="15.7109375" style="262" bestFit="1" customWidth="1"/>
    <col min="13060" max="13060" width="15" style="262" bestFit="1" customWidth="1"/>
    <col min="13061" max="13061" width="15.7109375" style="262" bestFit="1" customWidth="1"/>
    <col min="13062" max="13062" width="15" style="262" bestFit="1" customWidth="1"/>
    <col min="13063" max="13063" width="15.7109375" style="262" bestFit="1" customWidth="1"/>
    <col min="13064" max="13064" width="15" style="262" bestFit="1" customWidth="1"/>
    <col min="13065" max="13065" width="15.7109375" style="262" bestFit="1" customWidth="1"/>
    <col min="13066" max="13066" width="15" style="262" bestFit="1" customWidth="1"/>
    <col min="13067" max="13067" width="15.7109375" style="262" bestFit="1" customWidth="1"/>
    <col min="13068" max="13068" width="15" style="262" bestFit="1" customWidth="1"/>
    <col min="13069" max="13069" width="15.7109375" style="262" bestFit="1" customWidth="1"/>
    <col min="13070" max="13072" width="15" style="262" bestFit="1" customWidth="1"/>
    <col min="13073" max="13073" width="15.7109375" style="262" bestFit="1" customWidth="1"/>
    <col min="13074" max="13074" width="15" style="262" bestFit="1" customWidth="1"/>
    <col min="13075" max="13075" width="15.7109375" style="262" bestFit="1" customWidth="1"/>
    <col min="13076" max="13076" width="4.7109375" style="262" bestFit="1" customWidth="1"/>
    <col min="13077" max="13312" width="9.140625" style="262"/>
    <col min="13313" max="13313" width="14.7109375" style="262" bestFit="1" customWidth="1"/>
    <col min="13314" max="13314" width="15" style="262" bestFit="1" customWidth="1"/>
    <col min="13315" max="13315" width="15.7109375" style="262" bestFit="1" customWidth="1"/>
    <col min="13316" max="13316" width="15" style="262" bestFit="1" customWidth="1"/>
    <col min="13317" max="13317" width="15.7109375" style="262" bestFit="1" customWidth="1"/>
    <col min="13318" max="13318" width="15" style="262" bestFit="1" customWidth="1"/>
    <col min="13319" max="13319" width="15.7109375" style="262" bestFit="1" customWidth="1"/>
    <col min="13320" max="13320" width="15" style="262" bestFit="1" customWidth="1"/>
    <col min="13321" max="13321" width="15.7109375" style="262" bestFit="1" customWidth="1"/>
    <col min="13322" max="13322" width="15" style="262" bestFit="1" customWidth="1"/>
    <col min="13323" max="13323" width="15.7109375" style="262" bestFit="1" customWidth="1"/>
    <col min="13324" max="13324" width="15" style="262" bestFit="1" customWidth="1"/>
    <col min="13325" max="13325" width="15.7109375" style="262" bestFit="1" customWidth="1"/>
    <col min="13326" max="13328" width="15" style="262" bestFit="1" customWidth="1"/>
    <col min="13329" max="13329" width="15.7109375" style="262" bestFit="1" customWidth="1"/>
    <col min="13330" max="13330" width="15" style="262" bestFit="1" customWidth="1"/>
    <col min="13331" max="13331" width="15.7109375" style="262" bestFit="1" customWidth="1"/>
    <col min="13332" max="13332" width="4.7109375" style="262" bestFit="1" customWidth="1"/>
    <col min="13333" max="13568" width="9.140625" style="262"/>
    <col min="13569" max="13569" width="14.7109375" style="262" bestFit="1" customWidth="1"/>
    <col min="13570" max="13570" width="15" style="262" bestFit="1" customWidth="1"/>
    <col min="13571" max="13571" width="15.7109375" style="262" bestFit="1" customWidth="1"/>
    <col min="13572" max="13572" width="15" style="262" bestFit="1" customWidth="1"/>
    <col min="13573" max="13573" width="15.7109375" style="262" bestFit="1" customWidth="1"/>
    <col min="13574" max="13574" width="15" style="262" bestFit="1" customWidth="1"/>
    <col min="13575" max="13575" width="15.7109375" style="262" bestFit="1" customWidth="1"/>
    <col min="13576" max="13576" width="15" style="262" bestFit="1" customWidth="1"/>
    <col min="13577" max="13577" width="15.7109375" style="262" bestFit="1" customWidth="1"/>
    <col min="13578" max="13578" width="15" style="262" bestFit="1" customWidth="1"/>
    <col min="13579" max="13579" width="15.7109375" style="262" bestFit="1" customWidth="1"/>
    <col min="13580" max="13580" width="15" style="262" bestFit="1" customWidth="1"/>
    <col min="13581" max="13581" width="15.7109375" style="262" bestFit="1" customWidth="1"/>
    <col min="13582" max="13584" width="15" style="262" bestFit="1" customWidth="1"/>
    <col min="13585" max="13585" width="15.7109375" style="262" bestFit="1" customWidth="1"/>
    <col min="13586" max="13586" width="15" style="262" bestFit="1" customWidth="1"/>
    <col min="13587" max="13587" width="15.7109375" style="262" bestFit="1" customWidth="1"/>
    <col min="13588" max="13588" width="4.7109375" style="262" bestFit="1" customWidth="1"/>
    <col min="13589" max="13824" width="9.140625" style="262"/>
    <col min="13825" max="13825" width="14.7109375" style="262" bestFit="1" customWidth="1"/>
    <col min="13826" max="13826" width="15" style="262" bestFit="1" customWidth="1"/>
    <col min="13827" max="13827" width="15.7109375" style="262" bestFit="1" customWidth="1"/>
    <col min="13828" max="13828" width="15" style="262" bestFit="1" customWidth="1"/>
    <col min="13829" max="13829" width="15.7109375" style="262" bestFit="1" customWidth="1"/>
    <col min="13830" max="13830" width="15" style="262" bestFit="1" customWidth="1"/>
    <col min="13831" max="13831" width="15.7109375" style="262" bestFit="1" customWidth="1"/>
    <col min="13832" max="13832" width="15" style="262" bestFit="1" customWidth="1"/>
    <col min="13833" max="13833" width="15.7109375" style="262" bestFit="1" customWidth="1"/>
    <col min="13834" max="13834" width="15" style="262" bestFit="1" customWidth="1"/>
    <col min="13835" max="13835" width="15.7109375" style="262" bestFit="1" customWidth="1"/>
    <col min="13836" max="13836" width="15" style="262" bestFit="1" customWidth="1"/>
    <col min="13837" max="13837" width="15.7109375" style="262" bestFit="1" customWidth="1"/>
    <col min="13838" max="13840" width="15" style="262" bestFit="1" customWidth="1"/>
    <col min="13841" max="13841" width="15.7109375" style="262" bestFit="1" customWidth="1"/>
    <col min="13842" max="13842" width="15" style="262" bestFit="1" customWidth="1"/>
    <col min="13843" max="13843" width="15.7109375" style="262" bestFit="1" customWidth="1"/>
    <col min="13844" max="13844" width="4.7109375" style="262" bestFit="1" customWidth="1"/>
    <col min="13845" max="14080" width="9.140625" style="262"/>
    <col min="14081" max="14081" width="14.7109375" style="262" bestFit="1" customWidth="1"/>
    <col min="14082" max="14082" width="15" style="262" bestFit="1" customWidth="1"/>
    <col min="14083" max="14083" width="15.7109375" style="262" bestFit="1" customWidth="1"/>
    <col min="14084" max="14084" width="15" style="262" bestFit="1" customWidth="1"/>
    <col min="14085" max="14085" width="15.7109375" style="262" bestFit="1" customWidth="1"/>
    <col min="14086" max="14086" width="15" style="262" bestFit="1" customWidth="1"/>
    <col min="14087" max="14087" width="15.7109375" style="262" bestFit="1" customWidth="1"/>
    <col min="14088" max="14088" width="15" style="262" bestFit="1" customWidth="1"/>
    <col min="14089" max="14089" width="15.7109375" style="262" bestFit="1" customWidth="1"/>
    <col min="14090" max="14090" width="15" style="262" bestFit="1" customWidth="1"/>
    <col min="14091" max="14091" width="15.7109375" style="262" bestFit="1" customWidth="1"/>
    <col min="14092" max="14092" width="15" style="262" bestFit="1" customWidth="1"/>
    <col min="14093" max="14093" width="15.7109375" style="262" bestFit="1" customWidth="1"/>
    <col min="14094" max="14096" width="15" style="262" bestFit="1" customWidth="1"/>
    <col min="14097" max="14097" width="15.7109375" style="262" bestFit="1" customWidth="1"/>
    <col min="14098" max="14098" width="15" style="262" bestFit="1" customWidth="1"/>
    <col min="14099" max="14099" width="15.7109375" style="262" bestFit="1" customWidth="1"/>
    <col min="14100" max="14100" width="4.7109375" style="262" bestFit="1" customWidth="1"/>
    <col min="14101" max="14336" width="9.140625" style="262"/>
    <col min="14337" max="14337" width="14.7109375" style="262" bestFit="1" customWidth="1"/>
    <col min="14338" max="14338" width="15" style="262" bestFit="1" customWidth="1"/>
    <col min="14339" max="14339" width="15.7109375" style="262" bestFit="1" customWidth="1"/>
    <col min="14340" max="14340" width="15" style="262" bestFit="1" customWidth="1"/>
    <col min="14341" max="14341" width="15.7109375" style="262" bestFit="1" customWidth="1"/>
    <col min="14342" max="14342" width="15" style="262" bestFit="1" customWidth="1"/>
    <col min="14343" max="14343" width="15.7109375" style="262" bestFit="1" customWidth="1"/>
    <col min="14344" max="14344" width="15" style="262" bestFit="1" customWidth="1"/>
    <col min="14345" max="14345" width="15.7109375" style="262" bestFit="1" customWidth="1"/>
    <col min="14346" max="14346" width="15" style="262" bestFit="1" customWidth="1"/>
    <col min="14347" max="14347" width="15.7109375" style="262" bestFit="1" customWidth="1"/>
    <col min="14348" max="14348" width="15" style="262" bestFit="1" customWidth="1"/>
    <col min="14349" max="14349" width="15.7109375" style="262" bestFit="1" customWidth="1"/>
    <col min="14350" max="14352" width="15" style="262" bestFit="1" customWidth="1"/>
    <col min="14353" max="14353" width="15.7109375" style="262" bestFit="1" customWidth="1"/>
    <col min="14354" max="14354" width="15" style="262" bestFit="1" customWidth="1"/>
    <col min="14355" max="14355" width="15.7109375" style="262" bestFit="1" customWidth="1"/>
    <col min="14356" max="14356" width="4.7109375" style="262" bestFit="1" customWidth="1"/>
    <col min="14357" max="14592" width="9.140625" style="262"/>
    <col min="14593" max="14593" width="14.7109375" style="262" bestFit="1" customWidth="1"/>
    <col min="14594" max="14594" width="15" style="262" bestFit="1" customWidth="1"/>
    <col min="14595" max="14595" width="15.7109375" style="262" bestFit="1" customWidth="1"/>
    <col min="14596" max="14596" width="15" style="262" bestFit="1" customWidth="1"/>
    <col min="14597" max="14597" width="15.7109375" style="262" bestFit="1" customWidth="1"/>
    <col min="14598" max="14598" width="15" style="262" bestFit="1" customWidth="1"/>
    <col min="14599" max="14599" width="15.7109375" style="262" bestFit="1" customWidth="1"/>
    <col min="14600" max="14600" width="15" style="262" bestFit="1" customWidth="1"/>
    <col min="14601" max="14601" width="15.7109375" style="262" bestFit="1" customWidth="1"/>
    <col min="14602" max="14602" width="15" style="262" bestFit="1" customWidth="1"/>
    <col min="14603" max="14603" width="15.7109375" style="262" bestFit="1" customWidth="1"/>
    <col min="14604" max="14604" width="15" style="262" bestFit="1" customWidth="1"/>
    <col min="14605" max="14605" width="15.7109375" style="262" bestFit="1" customWidth="1"/>
    <col min="14606" max="14608" width="15" style="262" bestFit="1" customWidth="1"/>
    <col min="14609" max="14609" width="15.7109375" style="262" bestFit="1" customWidth="1"/>
    <col min="14610" max="14610" width="15" style="262" bestFit="1" customWidth="1"/>
    <col min="14611" max="14611" width="15.7109375" style="262" bestFit="1" customWidth="1"/>
    <col min="14612" max="14612" width="4.7109375" style="262" bestFit="1" customWidth="1"/>
    <col min="14613" max="14848" width="9.140625" style="262"/>
    <col min="14849" max="14849" width="14.7109375" style="262" bestFit="1" customWidth="1"/>
    <col min="14850" max="14850" width="15" style="262" bestFit="1" customWidth="1"/>
    <col min="14851" max="14851" width="15.7109375" style="262" bestFit="1" customWidth="1"/>
    <col min="14852" max="14852" width="15" style="262" bestFit="1" customWidth="1"/>
    <col min="14853" max="14853" width="15.7109375" style="262" bestFit="1" customWidth="1"/>
    <col min="14854" max="14854" width="15" style="262" bestFit="1" customWidth="1"/>
    <col min="14855" max="14855" width="15.7109375" style="262" bestFit="1" customWidth="1"/>
    <col min="14856" max="14856" width="15" style="262" bestFit="1" customWidth="1"/>
    <col min="14857" max="14857" width="15.7109375" style="262" bestFit="1" customWidth="1"/>
    <col min="14858" max="14858" width="15" style="262" bestFit="1" customWidth="1"/>
    <col min="14859" max="14859" width="15.7109375" style="262" bestFit="1" customWidth="1"/>
    <col min="14860" max="14860" width="15" style="262" bestFit="1" customWidth="1"/>
    <col min="14861" max="14861" width="15.7109375" style="262" bestFit="1" customWidth="1"/>
    <col min="14862" max="14864" width="15" style="262" bestFit="1" customWidth="1"/>
    <col min="14865" max="14865" width="15.7109375" style="262" bestFit="1" customWidth="1"/>
    <col min="14866" max="14866" width="15" style="262" bestFit="1" customWidth="1"/>
    <col min="14867" max="14867" width="15.7109375" style="262" bestFit="1" customWidth="1"/>
    <col min="14868" max="14868" width="4.7109375" style="262" bestFit="1" customWidth="1"/>
    <col min="14869" max="15104" width="9.140625" style="262"/>
    <col min="15105" max="15105" width="14.7109375" style="262" bestFit="1" customWidth="1"/>
    <col min="15106" max="15106" width="15" style="262" bestFit="1" customWidth="1"/>
    <col min="15107" max="15107" width="15.7109375" style="262" bestFit="1" customWidth="1"/>
    <col min="15108" max="15108" width="15" style="262" bestFit="1" customWidth="1"/>
    <col min="15109" max="15109" width="15.7109375" style="262" bestFit="1" customWidth="1"/>
    <col min="15110" max="15110" width="15" style="262" bestFit="1" customWidth="1"/>
    <col min="15111" max="15111" width="15.7109375" style="262" bestFit="1" customWidth="1"/>
    <col min="15112" max="15112" width="15" style="262" bestFit="1" customWidth="1"/>
    <col min="15113" max="15113" width="15.7109375" style="262" bestFit="1" customWidth="1"/>
    <col min="15114" max="15114" width="15" style="262" bestFit="1" customWidth="1"/>
    <col min="15115" max="15115" width="15.7109375" style="262" bestFit="1" customWidth="1"/>
    <col min="15116" max="15116" width="15" style="262" bestFit="1" customWidth="1"/>
    <col min="15117" max="15117" width="15.7109375" style="262" bestFit="1" customWidth="1"/>
    <col min="15118" max="15120" width="15" style="262" bestFit="1" customWidth="1"/>
    <col min="15121" max="15121" width="15.7109375" style="262" bestFit="1" customWidth="1"/>
    <col min="15122" max="15122" width="15" style="262" bestFit="1" customWidth="1"/>
    <col min="15123" max="15123" width="15.7109375" style="262" bestFit="1" customWidth="1"/>
    <col min="15124" max="15124" width="4.7109375" style="262" bestFit="1" customWidth="1"/>
    <col min="15125" max="15360" width="9.140625" style="262"/>
    <col min="15361" max="15361" width="14.7109375" style="262" bestFit="1" customWidth="1"/>
    <col min="15362" max="15362" width="15" style="262" bestFit="1" customWidth="1"/>
    <col min="15363" max="15363" width="15.7109375" style="262" bestFit="1" customWidth="1"/>
    <col min="15364" max="15364" width="15" style="262" bestFit="1" customWidth="1"/>
    <col min="15365" max="15365" width="15.7109375" style="262" bestFit="1" customWidth="1"/>
    <col min="15366" max="15366" width="15" style="262" bestFit="1" customWidth="1"/>
    <col min="15367" max="15367" width="15.7109375" style="262" bestFit="1" customWidth="1"/>
    <col min="15368" max="15368" width="15" style="262" bestFit="1" customWidth="1"/>
    <col min="15369" max="15369" width="15.7109375" style="262" bestFit="1" customWidth="1"/>
    <col min="15370" max="15370" width="15" style="262" bestFit="1" customWidth="1"/>
    <col min="15371" max="15371" width="15.7109375" style="262" bestFit="1" customWidth="1"/>
    <col min="15372" max="15372" width="15" style="262" bestFit="1" customWidth="1"/>
    <col min="15373" max="15373" width="15.7109375" style="262" bestFit="1" customWidth="1"/>
    <col min="15374" max="15376" width="15" style="262" bestFit="1" customWidth="1"/>
    <col min="15377" max="15377" width="15.7109375" style="262" bestFit="1" customWidth="1"/>
    <col min="15378" max="15378" width="15" style="262" bestFit="1" customWidth="1"/>
    <col min="15379" max="15379" width="15.7109375" style="262" bestFit="1" customWidth="1"/>
    <col min="15380" max="15380" width="4.7109375" style="262" bestFit="1" customWidth="1"/>
    <col min="15381" max="15616" width="9.140625" style="262"/>
    <col min="15617" max="15617" width="14.7109375" style="262" bestFit="1" customWidth="1"/>
    <col min="15618" max="15618" width="15" style="262" bestFit="1" customWidth="1"/>
    <col min="15619" max="15619" width="15.7109375" style="262" bestFit="1" customWidth="1"/>
    <col min="15620" max="15620" width="15" style="262" bestFit="1" customWidth="1"/>
    <col min="15621" max="15621" width="15.7109375" style="262" bestFit="1" customWidth="1"/>
    <col min="15622" max="15622" width="15" style="262" bestFit="1" customWidth="1"/>
    <col min="15623" max="15623" width="15.7109375" style="262" bestFit="1" customWidth="1"/>
    <col min="15624" max="15624" width="15" style="262" bestFit="1" customWidth="1"/>
    <col min="15625" max="15625" width="15.7109375" style="262" bestFit="1" customWidth="1"/>
    <col min="15626" max="15626" width="15" style="262" bestFit="1" customWidth="1"/>
    <col min="15627" max="15627" width="15.7109375" style="262" bestFit="1" customWidth="1"/>
    <col min="15628" max="15628" width="15" style="262" bestFit="1" customWidth="1"/>
    <col min="15629" max="15629" width="15.7109375" style="262" bestFit="1" customWidth="1"/>
    <col min="15630" max="15632" width="15" style="262" bestFit="1" customWidth="1"/>
    <col min="15633" max="15633" width="15.7109375" style="262" bestFit="1" customWidth="1"/>
    <col min="15634" max="15634" width="15" style="262" bestFit="1" customWidth="1"/>
    <col min="15635" max="15635" width="15.7109375" style="262" bestFit="1" customWidth="1"/>
    <col min="15636" max="15636" width="4.7109375" style="262" bestFit="1" customWidth="1"/>
    <col min="15637" max="15872" width="9.140625" style="262"/>
    <col min="15873" max="15873" width="14.7109375" style="262" bestFit="1" customWidth="1"/>
    <col min="15874" max="15874" width="15" style="262" bestFit="1" customWidth="1"/>
    <col min="15875" max="15875" width="15.7109375" style="262" bestFit="1" customWidth="1"/>
    <col min="15876" max="15876" width="15" style="262" bestFit="1" customWidth="1"/>
    <col min="15877" max="15877" width="15.7109375" style="262" bestFit="1" customWidth="1"/>
    <col min="15878" max="15878" width="15" style="262" bestFit="1" customWidth="1"/>
    <col min="15879" max="15879" width="15.7109375" style="262" bestFit="1" customWidth="1"/>
    <col min="15880" max="15880" width="15" style="262" bestFit="1" customWidth="1"/>
    <col min="15881" max="15881" width="15.7109375" style="262" bestFit="1" customWidth="1"/>
    <col min="15882" max="15882" width="15" style="262" bestFit="1" customWidth="1"/>
    <col min="15883" max="15883" width="15.7109375" style="262" bestFit="1" customWidth="1"/>
    <col min="15884" max="15884" width="15" style="262" bestFit="1" customWidth="1"/>
    <col min="15885" max="15885" width="15.7109375" style="262" bestFit="1" customWidth="1"/>
    <col min="15886" max="15888" width="15" style="262" bestFit="1" customWidth="1"/>
    <col min="15889" max="15889" width="15.7109375" style="262" bestFit="1" customWidth="1"/>
    <col min="15890" max="15890" width="15" style="262" bestFit="1" customWidth="1"/>
    <col min="15891" max="15891" width="15.7109375" style="262" bestFit="1" customWidth="1"/>
    <col min="15892" max="15892" width="4.7109375" style="262" bestFit="1" customWidth="1"/>
    <col min="15893" max="16128" width="9.140625" style="262"/>
    <col min="16129" max="16129" width="14.7109375" style="262" bestFit="1" customWidth="1"/>
    <col min="16130" max="16130" width="15" style="262" bestFit="1" customWidth="1"/>
    <col min="16131" max="16131" width="15.7109375" style="262" bestFit="1" customWidth="1"/>
    <col min="16132" max="16132" width="15" style="262" bestFit="1" customWidth="1"/>
    <col min="16133" max="16133" width="15.7109375" style="262" bestFit="1" customWidth="1"/>
    <col min="16134" max="16134" width="15" style="262" bestFit="1" customWidth="1"/>
    <col min="16135" max="16135" width="15.7109375" style="262" bestFit="1" customWidth="1"/>
    <col min="16136" max="16136" width="15" style="262" bestFit="1" customWidth="1"/>
    <col min="16137" max="16137" width="15.7109375" style="262" bestFit="1" customWidth="1"/>
    <col min="16138" max="16138" width="15" style="262" bestFit="1" customWidth="1"/>
    <col min="16139" max="16139" width="15.7109375" style="262" bestFit="1" customWidth="1"/>
    <col min="16140" max="16140" width="15" style="262" bestFit="1" customWidth="1"/>
    <col min="16141" max="16141" width="15.7109375" style="262" bestFit="1" customWidth="1"/>
    <col min="16142" max="16144" width="15" style="262" bestFit="1" customWidth="1"/>
    <col min="16145" max="16145" width="15.7109375" style="262" bestFit="1" customWidth="1"/>
    <col min="16146" max="16146" width="15" style="262" bestFit="1" customWidth="1"/>
    <col min="16147" max="16147" width="15.7109375" style="262" bestFit="1" customWidth="1"/>
    <col min="16148" max="16148" width="4.7109375" style="262" bestFit="1" customWidth="1"/>
    <col min="16149" max="16384" width="9.140625" style="262"/>
  </cols>
  <sheetData>
    <row r="1" spans="1:19" ht="17.25" customHeight="1" x14ac:dyDescent="0.2">
      <c r="A1" s="382" t="s">
        <v>168</v>
      </c>
      <c r="B1" s="382"/>
      <c r="C1" s="382"/>
      <c r="D1" s="382"/>
      <c r="E1" s="382"/>
      <c r="F1" s="382"/>
      <c r="G1" s="382"/>
      <c r="H1" s="382"/>
      <c r="I1" s="382"/>
      <c r="J1" s="382"/>
      <c r="K1" s="382"/>
      <c r="L1" s="382"/>
      <c r="M1" s="382"/>
      <c r="N1" s="382"/>
      <c r="O1" s="382"/>
      <c r="P1" s="382"/>
      <c r="Q1" s="382"/>
      <c r="R1" s="382"/>
    </row>
    <row r="2" spans="1:19" s="265" customFormat="1" ht="18" customHeight="1" x14ac:dyDescent="0.2">
      <c r="A2" s="363" t="s">
        <v>147</v>
      </c>
      <c r="B2" s="378" t="s">
        <v>150</v>
      </c>
      <c r="C2" s="379"/>
      <c r="D2" s="375" t="s">
        <v>169</v>
      </c>
      <c r="E2" s="376"/>
      <c r="F2" s="376"/>
      <c r="G2" s="377"/>
      <c r="H2" s="375" t="s">
        <v>170</v>
      </c>
      <c r="I2" s="376"/>
      <c r="J2" s="376"/>
      <c r="K2" s="377"/>
      <c r="L2" s="375" t="s">
        <v>171</v>
      </c>
      <c r="M2" s="376"/>
      <c r="N2" s="376"/>
      <c r="O2" s="376"/>
      <c r="P2" s="376"/>
      <c r="Q2" s="376"/>
      <c r="R2" s="376"/>
      <c r="S2" s="377"/>
    </row>
    <row r="3" spans="1:19" s="265" customFormat="1" ht="18" customHeight="1" x14ac:dyDescent="0.2">
      <c r="A3" s="364"/>
      <c r="B3" s="383"/>
      <c r="C3" s="384"/>
      <c r="D3" s="378" t="s">
        <v>172</v>
      </c>
      <c r="E3" s="379"/>
      <c r="F3" s="378" t="s">
        <v>122</v>
      </c>
      <c r="G3" s="379"/>
      <c r="H3" s="378" t="s">
        <v>173</v>
      </c>
      <c r="I3" s="379"/>
      <c r="J3" s="378" t="s">
        <v>174</v>
      </c>
      <c r="K3" s="379"/>
      <c r="L3" s="375" t="s">
        <v>175</v>
      </c>
      <c r="M3" s="376"/>
      <c r="N3" s="376"/>
      <c r="O3" s="377"/>
      <c r="P3" s="378" t="s">
        <v>176</v>
      </c>
      <c r="Q3" s="379"/>
      <c r="R3" s="378" t="s">
        <v>177</v>
      </c>
      <c r="S3" s="379"/>
    </row>
    <row r="4" spans="1:19" s="265" customFormat="1" ht="18" customHeight="1" x14ac:dyDescent="0.2">
      <c r="A4" s="364"/>
      <c r="B4" s="380"/>
      <c r="C4" s="381"/>
      <c r="D4" s="380"/>
      <c r="E4" s="381"/>
      <c r="F4" s="380"/>
      <c r="G4" s="381"/>
      <c r="H4" s="380"/>
      <c r="I4" s="381"/>
      <c r="J4" s="380"/>
      <c r="K4" s="381"/>
      <c r="L4" s="375" t="s">
        <v>178</v>
      </c>
      <c r="M4" s="377"/>
      <c r="N4" s="375" t="s">
        <v>179</v>
      </c>
      <c r="O4" s="377"/>
      <c r="P4" s="380"/>
      <c r="Q4" s="381"/>
      <c r="R4" s="380"/>
      <c r="S4" s="381"/>
    </row>
    <row r="5" spans="1:19" s="265" customFormat="1" ht="30" customHeight="1" x14ac:dyDescent="0.2">
      <c r="A5" s="365"/>
      <c r="B5" s="263" t="s">
        <v>180</v>
      </c>
      <c r="C5" s="270" t="s">
        <v>155</v>
      </c>
      <c r="D5" s="263" t="s">
        <v>180</v>
      </c>
      <c r="E5" s="270" t="s">
        <v>155</v>
      </c>
      <c r="F5" s="263" t="s">
        <v>180</v>
      </c>
      <c r="G5" s="270" t="s">
        <v>155</v>
      </c>
      <c r="H5" s="263" t="s">
        <v>180</v>
      </c>
      <c r="I5" s="270" t="s">
        <v>155</v>
      </c>
      <c r="J5" s="263" t="s">
        <v>180</v>
      </c>
      <c r="K5" s="270" t="s">
        <v>155</v>
      </c>
      <c r="L5" s="263" t="s">
        <v>180</v>
      </c>
      <c r="M5" s="270" t="s">
        <v>155</v>
      </c>
      <c r="N5" s="263" t="s">
        <v>180</v>
      </c>
      <c r="O5" s="270" t="s">
        <v>155</v>
      </c>
      <c r="P5" s="263" t="s">
        <v>180</v>
      </c>
      <c r="Q5" s="270" t="s">
        <v>155</v>
      </c>
      <c r="R5" s="263" t="s">
        <v>180</v>
      </c>
      <c r="S5" s="270" t="s">
        <v>155</v>
      </c>
    </row>
    <row r="6" spans="1:19" s="265" customFormat="1" ht="15" customHeight="1" x14ac:dyDescent="0.2">
      <c r="A6" s="266" t="s">
        <v>69</v>
      </c>
      <c r="B6" s="271">
        <v>229</v>
      </c>
      <c r="C6" s="285">
        <v>110359.69</v>
      </c>
      <c r="D6" s="271">
        <v>208</v>
      </c>
      <c r="E6" s="284">
        <v>88959.63</v>
      </c>
      <c r="F6" s="271">
        <v>21</v>
      </c>
      <c r="G6" s="284">
        <v>21400.06</v>
      </c>
      <c r="H6" s="271">
        <v>30</v>
      </c>
      <c r="I6" s="284">
        <v>26585.22</v>
      </c>
      <c r="J6" s="271">
        <v>199</v>
      </c>
      <c r="K6" s="284">
        <v>83774.47</v>
      </c>
      <c r="L6" s="271">
        <v>3</v>
      </c>
      <c r="M6" s="284">
        <v>10.93</v>
      </c>
      <c r="N6" s="271">
        <v>218</v>
      </c>
      <c r="O6" s="285">
        <v>105176.2</v>
      </c>
      <c r="P6" s="271">
        <v>0</v>
      </c>
      <c r="Q6" s="284">
        <v>0</v>
      </c>
      <c r="R6" s="271">
        <v>8</v>
      </c>
      <c r="S6" s="284">
        <v>5172.5600000000004</v>
      </c>
    </row>
    <row r="7" spans="1:19" s="265" customFormat="1" ht="15" customHeight="1" x14ac:dyDescent="0.2">
      <c r="A7" s="266" t="s">
        <v>70</v>
      </c>
      <c r="B7" s="271">
        <v>158</v>
      </c>
      <c r="C7" s="284">
        <v>54916.809387199995</v>
      </c>
      <c r="D7" s="271">
        <v>148</v>
      </c>
      <c r="E7" s="284">
        <v>52768.157482000002</v>
      </c>
      <c r="F7" s="271">
        <v>10</v>
      </c>
      <c r="G7" s="284">
        <v>2148.6519052000003</v>
      </c>
      <c r="H7" s="271">
        <v>35</v>
      </c>
      <c r="I7" s="284">
        <v>38830.1385974</v>
      </c>
      <c r="J7" s="271">
        <v>123</v>
      </c>
      <c r="K7" s="284">
        <v>16086.667482000003</v>
      </c>
      <c r="L7" s="271">
        <v>5</v>
      </c>
      <c r="M7" s="284">
        <v>14.990000000000002</v>
      </c>
      <c r="N7" s="271">
        <v>128</v>
      </c>
      <c r="O7" s="284">
        <v>18220.333267000002</v>
      </c>
      <c r="P7" s="271">
        <v>0</v>
      </c>
      <c r="Q7" s="284">
        <v>0</v>
      </c>
      <c r="R7" s="271">
        <v>25</v>
      </c>
      <c r="S7" s="284">
        <v>36681.49</v>
      </c>
    </row>
    <row r="8" spans="1:19" s="265" customFormat="1" ht="15" customHeight="1" x14ac:dyDescent="0.2">
      <c r="A8" s="266" t="s">
        <v>156</v>
      </c>
      <c r="B8" s="271">
        <v>16</v>
      </c>
      <c r="C8" s="284">
        <v>3555.31</v>
      </c>
      <c r="D8" s="271">
        <v>14</v>
      </c>
      <c r="E8" s="284">
        <v>3405.65</v>
      </c>
      <c r="F8" s="271">
        <v>2</v>
      </c>
      <c r="G8" s="284">
        <v>149.66</v>
      </c>
      <c r="H8" s="271">
        <v>4</v>
      </c>
      <c r="I8" s="284">
        <v>3363.9266922000002</v>
      </c>
      <c r="J8" s="271">
        <v>12</v>
      </c>
      <c r="K8" s="284">
        <v>191.38</v>
      </c>
      <c r="L8" s="271">
        <v>1</v>
      </c>
      <c r="M8" s="284">
        <v>3.2</v>
      </c>
      <c r="N8" s="271">
        <v>13</v>
      </c>
      <c r="O8" s="284">
        <v>337.84</v>
      </c>
      <c r="P8" s="271">
        <v>0</v>
      </c>
      <c r="Q8" s="284">
        <v>0</v>
      </c>
      <c r="R8" s="271">
        <v>2</v>
      </c>
      <c r="S8" s="284">
        <v>3214.27</v>
      </c>
    </row>
    <row r="9" spans="1:19" s="265" customFormat="1" ht="15" customHeight="1" x14ac:dyDescent="0.2">
      <c r="A9" s="266" t="s">
        <v>157</v>
      </c>
      <c r="B9" s="271">
        <v>23</v>
      </c>
      <c r="C9" s="284">
        <v>14429.485360000001</v>
      </c>
      <c r="D9" s="271">
        <v>23</v>
      </c>
      <c r="E9" s="284">
        <v>14429.485360000001</v>
      </c>
      <c r="F9" s="271">
        <v>0</v>
      </c>
      <c r="G9" s="284">
        <v>0</v>
      </c>
      <c r="H9" s="271">
        <v>3</v>
      </c>
      <c r="I9" s="284">
        <v>12204.6</v>
      </c>
      <c r="J9" s="271">
        <v>20</v>
      </c>
      <c r="K9" s="284">
        <v>2224.8853600000002</v>
      </c>
      <c r="L9" s="271">
        <v>0</v>
      </c>
      <c r="M9" s="284">
        <v>0</v>
      </c>
      <c r="N9" s="271">
        <v>20</v>
      </c>
      <c r="O9" s="284">
        <v>2224.8853600000002</v>
      </c>
      <c r="P9" s="271">
        <v>0</v>
      </c>
      <c r="Q9" s="284">
        <v>0</v>
      </c>
      <c r="R9" s="271">
        <v>3</v>
      </c>
      <c r="S9" s="284">
        <v>12204.6</v>
      </c>
    </row>
    <row r="10" spans="1:19" s="265" customFormat="1" ht="15" customHeight="1" x14ac:dyDescent="0.2">
      <c r="A10" s="266" t="s">
        <v>158</v>
      </c>
      <c r="B10" s="271">
        <v>11</v>
      </c>
      <c r="C10" s="284">
        <v>3151.7066909999999</v>
      </c>
      <c r="D10" s="271">
        <v>11</v>
      </c>
      <c r="E10" s="284">
        <v>3151.7066909999999</v>
      </c>
      <c r="F10" s="271">
        <v>0</v>
      </c>
      <c r="G10" s="284">
        <v>0</v>
      </c>
      <c r="H10" s="271">
        <v>0</v>
      </c>
      <c r="I10" s="284">
        <v>0</v>
      </c>
      <c r="J10" s="271">
        <v>11</v>
      </c>
      <c r="K10" s="284">
        <v>3151.7066909999999</v>
      </c>
      <c r="L10" s="271">
        <v>0</v>
      </c>
      <c r="M10" s="284">
        <v>0</v>
      </c>
      <c r="N10" s="271">
        <v>11</v>
      </c>
      <c r="O10" s="284">
        <v>3151.7066909999999</v>
      </c>
      <c r="P10" s="271">
        <v>0</v>
      </c>
      <c r="Q10" s="284">
        <v>0</v>
      </c>
      <c r="R10" s="271">
        <v>0</v>
      </c>
      <c r="S10" s="284">
        <v>0</v>
      </c>
    </row>
    <row r="11" spans="1:19" s="265" customFormat="1" ht="15" customHeight="1" x14ac:dyDescent="0.2">
      <c r="A11" s="266" t="s">
        <v>159</v>
      </c>
      <c r="B11" s="271">
        <v>15</v>
      </c>
      <c r="C11" s="284">
        <v>10686.131216199999</v>
      </c>
      <c r="D11" s="271">
        <v>13</v>
      </c>
      <c r="E11" s="284">
        <v>9708.3993109999992</v>
      </c>
      <c r="F11" s="271">
        <v>2</v>
      </c>
      <c r="G11" s="284">
        <v>977.73190520000003</v>
      </c>
      <c r="H11" s="271">
        <v>4</v>
      </c>
      <c r="I11" s="284">
        <v>6607.2519051999998</v>
      </c>
      <c r="J11" s="271">
        <v>11</v>
      </c>
      <c r="K11" s="284">
        <v>4078.8793110000001</v>
      </c>
      <c r="L11" s="271">
        <v>0</v>
      </c>
      <c r="M11" s="284">
        <v>0</v>
      </c>
      <c r="N11" s="271">
        <v>13</v>
      </c>
      <c r="O11" s="284">
        <v>5056.6112160000002</v>
      </c>
      <c r="P11" s="271">
        <v>0</v>
      </c>
      <c r="Q11" s="284">
        <v>0</v>
      </c>
      <c r="R11" s="271">
        <v>2</v>
      </c>
      <c r="S11" s="284">
        <v>5629.52</v>
      </c>
    </row>
    <row r="12" spans="1:19" s="265" customFormat="1" ht="15" customHeight="1" x14ac:dyDescent="0.2">
      <c r="A12" s="266" t="s">
        <v>160</v>
      </c>
      <c r="B12" s="271">
        <v>11</v>
      </c>
      <c r="C12" s="284">
        <v>1254.1099999999999</v>
      </c>
      <c r="D12" s="271">
        <v>11</v>
      </c>
      <c r="E12" s="284">
        <v>1254.1099999999999</v>
      </c>
      <c r="F12" s="271">
        <v>0</v>
      </c>
      <c r="G12" s="284">
        <v>0</v>
      </c>
      <c r="H12" s="271">
        <v>0</v>
      </c>
      <c r="I12" s="284">
        <v>0</v>
      </c>
      <c r="J12" s="271">
        <v>11</v>
      </c>
      <c r="K12" s="284">
        <v>1254.1099999999999</v>
      </c>
      <c r="L12" s="271">
        <v>1</v>
      </c>
      <c r="M12" s="284">
        <v>1.35</v>
      </c>
      <c r="N12" s="271">
        <v>10</v>
      </c>
      <c r="O12" s="284">
        <v>1252.76</v>
      </c>
      <c r="P12" s="271">
        <v>0</v>
      </c>
      <c r="Q12" s="284">
        <v>0</v>
      </c>
      <c r="R12" s="271">
        <v>0</v>
      </c>
      <c r="S12" s="284">
        <v>0</v>
      </c>
    </row>
    <row r="13" spans="1:19" s="265" customFormat="1" ht="15" customHeight="1" x14ac:dyDescent="0.2">
      <c r="A13" s="266" t="s">
        <v>161</v>
      </c>
      <c r="B13" s="271">
        <v>20</v>
      </c>
      <c r="C13" s="284">
        <v>8700.7681200000006</v>
      </c>
      <c r="D13" s="271">
        <v>20</v>
      </c>
      <c r="E13" s="284">
        <v>8700.7681200000006</v>
      </c>
      <c r="F13" s="271">
        <v>0</v>
      </c>
      <c r="G13" s="284">
        <v>0</v>
      </c>
      <c r="H13" s="271">
        <v>4</v>
      </c>
      <c r="I13" s="284">
        <v>6284.51</v>
      </c>
      <c r="J13" s="271">
        <v>16</v>
      </c>
      <c r="K13" s="284">
        <v>2416.25812</v>
      </c>
      <c r="L13" s="271">
        <v>0</v>
      </c>
      <c r="M13" s="284">
        <v>0</v>
      </c>
      <c r="N13" s="271">
        <v>16</v>
      </c>
      <c r="O13" s="284">
        <v>2416.2600000000002</v>
      </c>
      <c r="P13" s="271">
        <v>0</v>
      </c>
      <c r="Q13" s="284">
        <v>0</v>
      </c>
      <c r="R13" s="271">
        <v>4</v>
      </c>
      <c r="S13" s="284">
        <v>6284.51</v>
      </c>
    </row>
    <row r="14" spans="1:19" s="265" customFormat="1" ht="15" customHeight="1" x14ac:dyDescent="0.2">
      <c r="A14" s="266" t="s">
        <v>162</v>
      </c>
      <c r="B14" s="271">
        <v>17</v>
      </c>
      <c r="C14" s="284">
        <v>1232.2280000000001</v>
      </c>
      <c r="D14" s="271">
        <v>17</v>
      </c>
      <c r="E14" s="284">
        <v>1232.2280000000001</v>
      </c>
      <c r="F14" s="271">
        <v>0</v>
      </c>
      <c r="G14" s="284">
        <v>0</v>
      </c>
      <c r="H14" s="271">
        <v>2</v>
      </c>
      <c r="I14" s="284">
        <v>706.79</v>
      </c>
      <c r="J14" s="271">
        <v>15</v>
      </c>
      <c r="K14" s="284">
        <v>525.43799999999999</v>
      </c>
      <c r="L14" s="271">
        <v>0</v>
      </c>
      <c r="M14" s="284">
        <v>0</v>
      </c>
      <c r="N14" s="271">
        <v>15</v>
      </c>
      <c r="O14" s="284">
        <v>525.44000000000005</v>
      </c>
      <c r="P14" s="271">
        <v>0</v>
      </c>
      <c r="Q14" s="284">
        <v>0</v>
      </c>
      <c r="R14" s="271">
        <v>2</v>
      </c>
      <c r="S14" s="284">
        <v>706.79</v>
      </c>
    </row>
    <row r="15" spans="1:19" s="265" customFormat="1" ht="15" customHeight="1" x14ac:dyDescent="0.2">
      <c r="A15" s="266" t="s">
        <v>163</v>
      </c>
      <c r="B15" s="271">
        <v>6</v>
      </c>
      <c r="C15" s="284">
        <v>317.52</v>
      </c>
      <c r="D15" s="271">
        <v>6</v>
      </c>
      <c r="E15" s="284">
        <v>317.52</v>
      </c>
      <c r="F15" s="271">
        <v>0</v>
      </c>
      <c r="G15" s="284">
        <v>0</v>
      </c>
      <c r="H15" s="271">
        <v>1</v>
      </c>
      <c r="I15" s="284">
        <v>262.02</v>
      </c>
      <c r="J15" s="271">
        <v>5</v>
      </c>
      <c r="K15" s="284">
        <v>55.5</v>
      </c>
      <c r="L15" s="271">
        <v>0</v>
      </c>
      <c r="M15" s="284">
        <v>0</v>
      </c>
      <c r="N15" s="271">
        <v>5</v>
      </c>
      <c r="O15" s="284">
        <v>55.5</v>
      </c>
      <c r="P15" s="271">
        <v>0</v>
      </c>
      <c r="Q15" s="284">
        <v>0</v>
      </c>
      <c r="R15" s="271">
        <v>1</v>
      </c>
      <c r="S15" s="284">
        <v>262.02</v>
      </c>
    </row>
    <row r="16" spans="1:19" s="265" customFormat="1" ht="15" customHeight="1" x14ac:dyDescent="0.2">
      <c r="A16" s="266" t="s">
        <v>164</v>
      </c>
      <c r="B16" s="271">
        <v>5</v>
      </c>
      <c r="C16" s="284">
        <v>1028.27</v>
      </c>
      <c r="D16" s="271">
        <v>3</v>
      </c>
      <c r="E16" s="284">
        <v>313.02</v>
      </c>
      <c r="F16" s="271">
        <v>2</v>
      </c>
      <c r="G16" s="284">
        <v>715.25</v>
      </c>
      <c r="H16" s="271">
        <v>3</v>
      </c>
      <c r="I16" s="284">
        <v>978.86</v>
      </c>
      <c r="J16" s="271">
        <v>2</v>
      </c>
      <c r="K16" s="284">
        <v>49.41</v>
      </c>
      <c r="L16" s="271">
        <v>0</v>
      </c>
      <c r="M16" s="284">
        <v>0</v>
      </c>
      <c r="N16" s="271">
        <v>4</v>
      </c>
      <c r="O16" s="284">
        <v>764.66</v>
      </c>
      <c r="P16" s="271">
        <v>0</v>
      </c>
      <c r="Q16" s="284">
        <v>0</v>
      </c>
      <c r="R16" s="271">
        <v>1</v>
      </c>
      <c r="S16" s="284">
        <v>263.61</v>
      </c>
    </row>
    <row r="17" spans="1:19" s="265" customFormat="1" ht="15" customHeight="1" x14ac:dyDescent="0.2">
      <c r="A17" s="266" t="s">
        <v>165</v>
      </c>
      <c r="B17" s="271">
        <v>13</v>
      </c>
      <c r="C17" s="284">
        <v>6022.49</v>
      </c>
      <c r="D17" s="271">
        <v>11</v>
      </c>
      <c r="E17" s="284">
        <v>5767.76</v>
      </c>
      <c r="F17" s="271">
        <v>2</v>
      </c>
      <c r="G17" s="284">
        <v>254.73</v>
      </c>
      <c r="H17" s="271">
        <v>7</v>
      </c>
      <c r="I17" s="284">
        <v>4246.76</v>
      </c>
      <c r="J17" s="271">
        <v>6</v>
      </c>
      <c r="K17" s="284">
        <v>1775.73</v>
      </c>
      <c r="L17" s="271">
        <v>1</v>
      </c>
      <c r="M17" s="284">
        <v>5.99</v>
      </c>
      <c r="N17" s="271">
        <v>7</v>
      </c>
      <c r="O17" s="284">
        <v>2024.47</v>
      </c>
      <c r="P17" s="271">
        <v>0</v>
      </c>
      <c r="Q17" s="284">
        <v>0</v>
      </c>
      <c r="R17" s="271">
        <v>5</v>
      </c>
      <c r="S17" s="284">
        <v>3992.03</v>
      </c>
    </row>
    <row r="18" spans="1:19" s="265" customFormat="1" ht="15" customHeight="1" x14ac:dyDescent="0.2">
      <c r="A18" s="266" t="s">
        <v>166</v>
      </c>
      <c r="B18" s="271">
        <v>8</v>
      </c>
      <c r="C18" s="284">
        <v>1341.76</v>
      </c>
      <c r="D18" s="271">
        <v>7</v>
      </c>
      <c r="E18" s="284">
        <v>1315.3</v>
      </c>
      <c r="F18" s="271">
        <v>1</v>
      </c>
      <c r="G18" s="284">
        <v>26.46</v>
      </c>
      <c r="H18" s="271">
        <v>3</v>
      </c>
      <c r="I18" s="284">
        <v>1314.93</v>
      </c>
      <c r="J18" s="271">
        <v>5</v>
      </c>
      <c r="K18" s="284">
        <v>26.83</v>
      </c>
      <c r="L18" s="271">
        <v>2</v>
      </c>
      <c r="M18" s="284">
        <v>4.45</v>
      </c>
      <c r="N18" s="271">
        <v>4</v>
      </c>
      <c r="O18" s="284">
        <v>48.84</v>
      </c>
      <c r="P18" s="271">
        <v>0</v>
      </c>
      <c r="Q18" s="284">
        <v>0</v>
      </c>
      <c r="R18" s="271">
        <v>2</v>
      </c>
      <c r="S18" s="284">
        <v>1288.47</v>
      </c>
    </row>
    <row r="19" spans="1:19" s="265" customFormat="1" ht="15" customHeight="1" x14ac:dyDescent="0.2">
      <c r="A19" s="266" t="s">
        <v>167</v>
      </c>
      <c r="B19" s="271">
        <v>13</v>
      </c>
      <c r="C19" s="284">
        <v>3197.03</v>
      </c>
      <c r="D19" s="271">
        <v>12</v>
      </c>
      <c r="E19" s="284">
        <v>3172.21</v>
      </c>
      <c r="F19" s="271">
        <v>1</v>
      </c>
      <c r="G19" s="284">
        <v>24.82</v>
      </c>
      <c r="H19" s="271">
        <v>4</v>
      </c>
      <c r="I19" s="284">
        <v>2860.49</v>
      </c>
      <c r="J19" s="271">
        <v>9</v>
      </c>
      <c r="K19" s="284">
        <v>336.54</v>
      </c>
      <c r="L19" s="271">
        <v>0</v>
      </c>
      <c r="M19" s="284">
        <v>0</v>
      </c>
      <c r="N19" s="271">
        <v>10</v>
      </c>
      <c r="O19" s="284">
        <v>361.36</v>
      </c>
      <c r="P19" s="271">
        <v>0</v>
      </c>
      <c r="Q19" s="284">
        <v>0</v>
      </c>
      <c r="R19" s="271">
        <v>3</v>
      </c>
      <c r="S19" s="284">
        <v>2835.67</v>
      </c>
    </row>
    <row r="20" spans="1:19" s="265" customFormat="1" ht="25.5" customHeight="1" x14ac:dyDescent="0.2">
      <c r="A20" s="374" t="s">
        <v>181</v>
      </c>
      <c r="B20" s="374"/>
      <c r="C20" s="374"/>
      <c r="D20" s="374"/>
      <c r="E20" s="374"/>
      <c r="F20" s="374"/>
      <c r="G20" s="374"/>
      <c r="H20" s="374"/>
      <c r="I20" s="374"/>
      <c r="J20" s="374"/>
      <c r="K20" s="374"/>
      <c r="L20" s="374"/>
      <c r="M20" s="374"/>
      <c r="N20" s="374"/>
      <c r="O20" s="374"/>
      <c r="P20" s="374"/>
      <c r="Q20" s="374"/>
      <c r="R20" s="374"/>
      <c r="S20" s="374"/>
    </row>
    <row r="21" spans="1:19" s="265" customFormat="1" ht="13.5" customHeight="1" x14ac:dyDescent="0.2">
      <c r="A21" s="373" t="s">
        <v>182</v>
      </c>
      <c r="B21" s="373"/>
      <c r="C21" s="373"/>
      <c r="D21" s="373"/>
      <c r="E21" s="373"/>
      <c r="F21" s="373"/>
      <c r="G21" s="373"/>
      <c r="H21" s="373"/>
      <c r="I21" s="373"/>
      <c r="J21" s="373"/>
      <c r="K21" s="373"/>
      <c r="L21" s="373"/>
      <c r="M21" s="373"/>
      <c r="N21" s="373"/>
      <c r="O21" s="373"/>
      <c r="P21" s="373"/>
      <c r="Q21" s="373"/>
      <c r="R21" s="373"/>
      <c r="S21" s="373"/>
    </row>
    <row r="22" spans="1:19" s="265" customFormat="1" ht="13.5" customHeight="1" x14ac:dyDescent="0.2">
      <c r="A22" s="373" t="s">
        <v>106</v>
      </c>
      <c r="B22" s="373"/>
      <c r="C22" s="373"/>
      <c r="D22" s="373"/>
      <c r="E22" s="373"/>
      <c r="F22" s="373"/>
      <c r="G22" s="373"/>
      <c r="H22" s="373"/>
      <c r="I22" s="373"/>
      <c r="J22" s="373"/>
      <c r="K22" s="373"/>
      <c r="L22" s="373"/>
      <c r="M22" s="373"/>
      <c r="N22" s="373"/>
      <c r="O22" s="373"/>
      <c r="P22" s="373"/>
      <c r="Q22" s="373"/>
      <c r="R22" s="373"/>
      <c r="S22" s="373"/>
    </row>
    <row r="23" spans="1:19" s="265" customFormat="1" ht="13.5" customHeight="1" x14ac:dyDescent="0.2">
      <c r="A23" s="374" t="s">
        <v>183</v>
      </c>
      <c r="B23" s="374"/>
      <c r="C23" s="374"/>
      <c r="D23" s="374"/>
      <c r="E23" s="374"/>
      <c r="F23" s="374"/>
      <c r="G23" s="374"/>
      <c r="H23" s="374"/>
      <c r="I23" s="374"/>
      <c r="J23" s="374"/>
      <c r="K23" s="374"/>
      <c r="L23" s="374"/>
      <c r="M23" s="374"/>
      <c r="N23" s="374"/>
      <c r="O23" s="374"/>
      <c r="P23" s="374"/>
      <c r="Q23" s="374"/>
      <c r="R23" s="374"/>
      <c r="S23" s="374"/>
    </row>
    <row r="24" spans="1:19" s="265" customFormat="1" ht="13.5" customHeight="1" x14ac:dyDescent="0.2">
      <c r="A24" s="373" t="s">
        <v>133</v>
      </c>
      <c r="B24" s="373"/>
      <c r="C24" s="373"/>
      <c r="D24" s="373"/>
      <c r="E24" s="373"/>
      <c r="F24" s="373"/>
      <c r="G24" s="373"/>
      <c r="H24" s="373"/>
      <c r="I24" s="373"/>
      <c r="J24" s="373"/>
      <c r="K24" s="373"/>
      <c r="L24" s="373"/>
      <c r="M24" s="373"/>
      <c r="N24" s="373"/>
      <c r="O24" s="373"/>
      <c r="P24" s="373"/>
      <c r="Q24" s="373"/>
      <c r="R24" s="373"/>
      <c r="S24" s="373"/>
    </row>
    <row r="25" spans="1:19" s="265" customFormat="1" ht="26.1" customHeight="1" x14ac:dyDescent="0.2"/>
  </sheetData>
  <mergeCells count="20">
    <mergeCell ref="A1:R1"/>
    <mergeCell ref="A2:A5"/>
    <mergeCell ref="B2:C4"/>
    <mergeCell ref="D2:G2"/>
    <mergeCell ref="H2:K2"/>
    <mergeCell ref="L2:S2"/>
    <mergeCell ref="D3:E4"/>
    <mergeCell ref="F3:G4"/>
    <mergeCell ref="H3:I4"/>
    <mergeCell ref="J3:K4"/>
    <mergeCell ref="A21:S21"/>
    <mergeCell ref="A22:S22"/>
    <mergeCell ref="A23:S23"/>
    <mergeCell ref="A24:S24"/>
    <mergeCell ref="L3:O3"/>
    <mergeCell ref="P3:Q4"/>
    <mergeCell ref="R3:S4"/>
    <mergeCell ref="L4:M4"/>
    <mergeCell ref="N4:O4"/>
    <mergeCell ref="A20:S20"/>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C20"/>
  <sheetViews>
    <sheetView workbookViewId="0">
      <selection sqref="A1:C1"/>
    </sheetView>
  </sheetViews>
  <sheetFormatPr defaultRowHeight="12.75" x14ac:dyDescent="0.2"/>
  <cols>
    <col min="1" max="1" width="14.7109375" style="262" bestFit="1" customWidth="1"/>
    <col min="2" max="2" width="9.28515625" style="262" bestFit="1" customWidth="1"/>
    <col min="3" max="3" width="11.85546875" style="262" bestFit="1" customWidth="1"/>
    <col min="4" max="4" width="4.85546875" style="262" bestFit="1" customWidth="1"/>
    <col min="5" max="256" width="9.140625" style="262"/>
    <col min="257" max="257" width="14.7109375" style="262" bestFit="1" customWidth="1"/>
    <col min="258" max="258" width="9.28515625" style="262" bestFit="1" customWidth="1"/>
    <col min="259" max="259" width="11.85546875" style="262" bestFit="1" customWidth="1"/>
    <col min="260" max="260" width="4.85546875" style="262" bestFit="1" customWidth="1"/>
    <col min="261" max="512" width="9.140625" style="262"/>
    <col min="513" max="513" width="14.7109375" style="262" bestFit="1" customWidth="1"/>
    <col min="514" max="514" width="9.28515625" style="262" bestFit="1" customWidth="1"/>
    <col min="515" max="515" width="11.85546875" style="262" bestFit="1" customWidth="1"/>
    <col min="516" max="516" width="4.85546875" style="262" bestFit="1" customWidth="1"/>
    <col min="517" max="768" width="9.140625" style="262"/>
    <col min="769" max="769" width="14.7109375" style="262" bestFit="1" customWidth="1"/>
    <col min="770" max="770" width="9.28515625" style="262" bestFit="1" customWidth="1"/>
    <col min="771" max="771" width="11.85546875" style="262" bestFit="1" customWidth="1"/>
    <col min="772" max="772" width="4.85546875" style="262" bestFit="1" customWidth="1"/>
    <col min="773" max="1024" width="9.140625" style="262"/>
    <col min="1025" max="1025" width="14.7109375" style="262" bestFit="1" customWidth="1"/>
    <col min="1026" max="1026" width="9.28515625" style="262" bestFit="1" customWidth="1"/>
    <col min="1027" max="1027" width="11.85546875" style="262" bestFit="1" customWidth="1"/>
    <col min="1028" max="1028" width="4.85546875" style="262" bestFit="1" customWidth="1"/>
    <col min="1029" max="1280" width="9.140625" style="262"/>
    <col min="1281" max="1281" width="14.7109375" style="262" bestFit="1" customWidth="1"/>
    <col min="1282" max="1282" width="9.28515625" style="262" bestFit="1" customWidth="1"/>
    <col min="1283" max="1283" width="11.85546875" style="262" bestFit="1" customWidth="1"/>
    <col min="1284" max="1284" width="4.85546875" style="262" bestFit="1" customWidth="1"/>
    <col min="1285" max="1536" width="9.140625" style="262"/>
    <col min="1537" max="1537" width="14.7109375" style="262" bestFit="1" customWidth="1"/>
    <col min="1538" max="1538" width="9.28515625" style="262" bestFit="1" customWidth="1"/>
    <col min="1539" max="1539" width="11.85546875" style="262" bestFit="1" customWidth="1"/>
    <col min="1540" max="1540" width="4.85546875" style="262" bestFit="1" customWidth="1"/>
    <col min="1541" max="1792" width="9.140625" style="262"/>
    <col min="1793" max="1793" width="14.7109375" style="262" bestFit="1" customWidth="1"/>
    <col min="1794" max="1794" width="9.28515625" style="262" bestFit="1" customWidth="1"/>
    <col min="1795" max="1795" width="11.85546875" style="262" bestFit="1" customWidth="1"/>
    <col min="1796" max="1796" width="4.85546875" style="262" bestFit="1" customWidth="1"/>
    <col min="1797" max="2048" width="9.140625" style="262"/>
    <col min="2049" max="2049" width="14.7109375" style="262" bestFit="1" customWidth="1"/>
    <col min="2050" max="2050" width="9.28515625" style="262" bestFit="1" customWidth="1"/>
    <col min="2051" max="2051" width="11.85546875" style="262" bestFit="1" customWidth="1"/>
    <col min="2052" max="2052" width="4.85546875" style="262" bestFit="1" customWidth="1"/>
    <col min="2053" max="2304" width="9.140625" style="262"/>
    <col min="2305" max="2305" width="14.7109375" style="262" bestFit="1" customWidth="1"/>
    <col min="2306" max="2306" width="9.28515625" style="262" bestFit="1" customWidth="1"/>
    <col min="2307" max="2307" width="11.85546875" style="262" bestFit="1" customWidth="1"/>
    <col min="2308" max="2308" width="4.85546875" style="262" bestFit="1" customWidth="1"/>
    <col min="2309" max="2560" width="9.140625" style="262"/>
    <col min="2561" max="2561" width="14.7109375" style="262" bestFit="1" customWidth="1"/>
    <col min="2562" max="2562" width="9.28515625" style="262" bestFit="1" customWidth="1"/>
    <col min="2563" max="2563" width="11.85546875" style="262" bestFit="1" customWidth="1"/>
    <col min="2564" max="2564" width="4.85546875" style="262" bestFit="1" customWidth="1"/>
    <col min="2565" max="2816" width="9.140625" style="262"/>
    <col min="2817" max="2817" width="14.7109375" style="262" bestFit="1" customWidth="1"/>
    <col min="2818" max="2818" width="9.28515625" style="262" bestFit="1" customWidth="1"/>
    <col min="2819" max="2819" width="11.85546875" style="262" bestFit="1" customWidth="1"/>
    <col min="2820" max="2820" width="4.85546875" style="262" bestFit="1" customWidth="1"/>
    <col min="2821" max="3072" width="9.140625" style="262"/>
    <col min="3073" max="3073" width="14.7109375" style="262" bestFit="1" customWidth="1"/>
    <col min="3074" max="3074" width="9.28515625" style="262" bestFit="1" customWidth="1"/>
    <col min="3075" max="3075" width="11.85546875" style="262" bestFit="1" customWidth="1"/>
    <col min="3076" max="3076" width="4.85546875" style="262" bestFit="1" customWidth="1"/>
    <col min="3077" max="3328" width="9.140625" style="262"/>
    <col min="3329" max="3329" width="14.7109375" style="262" bestFit="1" customWidth="1"/>
    <col min="3330" max="3330" width="9.28515625" style="262" bestFit="1" customWidth="1"/>
    <col min="3331" max="3331" width="11.85546875" style="262" bestFit="1" customWidth="1"/>
    <col min="3332" max="3332" width="4.85546875" style="262" bestFit="1" customWidth="1"/>
    <col min="3333" max="3584" width="9.140625" style="262"/>
    <col min="3585" max="3585" width="14.7109375" style="262" bestFit="1" customWidth="1"/>
    <col min="3586" max="3586" width="9.28515625" style="262" bestFit="1" customWidth="1"/>
    <col min="3587" max="3587" width="11.85546875" style="262" bestFit="1" customWidth="1"/>
    <col min="3588" max="3588" width="4.85546875" style="262" bestFit="1" customWidth="1"/>
    <col min="3589" max="3840" width="9.140625" style="262"/>
    <col min="3841" max="3841" width="14.7109375" style="262" bestFit="1" customWidth="1"/>
    <col min="3842" max="3842" width="9.28515625" style="262" bestFit="1" customWidth="1"/>
    <col min="3843" max="3843" width="11.85546875" style="262" bestFit="1" customWidth="1"/>
    <col min="3844" max="3844" width="4.85546875" style="262" bestFit="1" customWidth="1"/>
    <col min="3845" max="4096" width="9.140625" style="262"/>
    <col min="4097" max="4097" width="14.7109375" style="262" bestFit="1" customWidth="1"/>
    <col min="4098" max="4098" width="9.28515625" style="262" bestFit="1" customWidth="1"/>
    <col min="4099" max="4099" width="11.85546875" style="262" bestFit="1" customWidth="1"/>
    <col min="4100" max="4100" width="4.85546875" style="262" bestFit="1" customWidth="1"/>
    <col min="4101" max="4352" width="9.140625" style="262"/>
    <col min="4353" max="4353" width="14.7109375" style="262" bestFit="1" customWidth="1"/>
    <col min="4354" max="4354" width="9.28515625" style="262" bestFit="1" customWidth="1"/>
    <col min="4355" max="4355" width="11.85546875" style="262" bestFit="1" customWidth="1"/>
    <col min="4356" max="4356" width="4.85546875" style="262" bestFit="1" customWidth="1"/>
    <col min="4357" max="4608" width="9.140625" style="262"/>
    <col min="4609" max="4609" width="14.7109375" style="262" bestFit="1" customWidth="1"/>
    <col min="4610" max="4610" width="9.28515625" style="262" bestFit="1" customWidth="1"/>
    <col min="4611" max="4611" width="11.85546875" style="262" bestFit="1" customWidth="1"/>
    <col min="4612" max="4612" width="4.85546875" style="262" bestFit="1" customWidth="1"/>
    <col min="4613" max="4864" width="9.140625" style="262"/>
    <col min="4865" max="4865" width="14.7109375" style="262" bestFit="1" customWidth="1"/>
    <col min="4866" max="4866" width="9.28515625" style="262" bestFit="1" customWidth="1"/>
    <col min="4867" max="4867" width="11.85546875" style="262" bestFit="1" customWidth="1"/>
    <col min="4868" max="4868" width="4.85546875" style="262" bestFit="1" customWidth="1"/>
    <col min="4869" max="5120" width="9.140625" style="262"/>
    <col min="5121" max="5121" width="14.7109375" style="262" bestFit="1" customWidth="1"/>
    <col min="5122" max="5122" width="9.28515625" style="262" bestFit="1" customWidth="1"/>
    <col min="5123" max="5123" width="11.85546875" style="262" bestFit="1" customWidth="1"/>
    <col min="5124" max="5124" width="4.85546875" style="262" bestFit="1" customWidth="1"/>
    <col min="5125" max="5376" width="9.140625" style="262"/>
    <col min="5377" max="5377" width="14.7109375" style="262" bestFit="1" customWidth="1"/>
    <col min="5378" max="5378" width="9.28515625" style="262" bestFit="1" customWidth="1"/>
    <col min="5379" max="5379" width="11.85546875" style="262" bestFit="1" customWidth="1"/>
    <col min="5380" max="5380" width="4.85546875" style="262" bestFit="1" customWidth="1"/>
    <col min="5381" max="5632" width="9.140625" style="262"/>
    <col min="5633" max="5633" width="14.7109375" style="262" bestFit="1" customWidth="1"/>
    <col min="5634" max="5634" width="9.28515625" style="262" bestFit="1" customWidth="1"/>
    <col min="5635" max="5635" width="11.85546875" style="262" bestFit="1" customWidth="1"/>
    <col min="5636" max="5636" width="4.85546875" style="262" bestFit="1" customWidth="1"/>
    <col min="5637" max="5888" width="9.140625" style="262"/>
    <col min="5889" max="5889" width="14.7109375" style="262" bestFit="1" customWidth="1"/>
    <col min="5890" max="5890" width="9.28515625" style="262" bestFit="1" customWidth="1"/>
    <col min="5891" max="5891" width="11.85546875" style="262" bestFit="1" customWidth="1"/>
    <col min="5892" max="5892" width="4.85546875" style="262" bestFit="1" customWidth="1"/>
    <col min="5893" max="6144" width="9.140625" style="262"/>
    <col min="6145" max="6145" width="14.7109375" style="262" bestFit="1" customWidth="1"/>
    <col min="6146" max="6146" width="9.28515625" style="262" bestFit="1" customWidth="1"/>
    <col min="6147" max="6147" width="11.85546875" style="262" bestFit="1" customWidth="1"/>
    <col min="6148" max="6148" width="4.85546875" style="262" bestFit="1" customWidth="1"/>
    <col min="6149" max="6400" width="9.140625" style="262"/>
    <col min="6401" max="6401" width="14.7109375" style="262" bestFit="1" customWidth="1"/>
    <col min="6402" max="6402" width="9.28515625" style="262" bestFit="1" customWidth="1"/>
    <col min="6403" max="6403" width="11.85546875" style="262" bestFit="1" customWidth="1"/>
    <col min="6404" max="6404" width="4.85546875" style="262" bestFit="1" customWidth="1"/>
    <col min="6405" max="6656" width="9.140625" style="262"/>
    <col min="6657" max="6657" width="14.7109375" style="262" bestFit="1" customWidth="1"/>
    <col min="6658" max="6658" width="9.28515625" style="262" bestFit="1" customWidth="1"/>
    <col min="6659" max="6659" width="11.85546875" style="262" bestFit="1" customWidth="1"/>
    <col min="6660" max="6660" width="4.85546875" style="262" bestFit="1" customWidth="1"/>
    <col min="6661" max="6912" width="9.140625" style="262"/>
    <col min="6913" max="6913" width="14.7109375" style="262" bestFit="1" customWidth="1"/>
    <col min="6914" max="6914" width="9.28515625" style="262" bestFit="1" customWidth="1"/>
    <col min="6915" max="6915" width="11.85546875" style="262" bestFit="1" customWidth="1"/>
    <col min="6916" max="6916" width="4.85546875" style="262" bestFit="1" customWidth="1"/>
    <col min="6917" max="7168" width="9.140625" style="262"/>
    <col min="7169" max="7169" width="14.7109375" style="262" bestFit="1" customWidth="1"/>
    <col min="7170" max="7170" width="9.28515625" style="262" bestFit="1" customWidth="1"/>
    <col min="7171" max="7171" width="11.85546875" style="262" bestFit="1" customWidth="1"/>
    <col min="7172" max="7172" width="4.85546875" style="262" bestFit="1" customWidth="1"/>
    <col min="7173" max="7424" width="9.140625" style="262"/>
    <col min="7425" max="7425" width="14.7109375" style="262" bestFit="1" customWidth="1"/>
    <col min="7426" max="7426" width="9.28515625" style="262" bestFit="1" customWidth="1"/>
    <col min="7427" max="7427" width="11.85546875" style="262" bestFit="1" customWidth="1"/>
    <col min="7428" max="7428" width="4.85546875" style="262" bestFit="1" customWidth="1"/>
    <col min="7429" max="7680" width="9.140625" style="262"/>
    <col min="7681" max="7681" width="14.7109375" style="262" bestFit="1" customWidth="1"/>
    <col min="7682" max="7682" width="9.28515625" style="262" bestFit="1" customWidth="1"/>
    <col min="7683" max="7683" width="11.85546875" style="262" bestFit="1" customWidth="1"/>
    <col min="7684" max="7684" width="4.85546875" style="262" bestFit="1" customWidth="1"/>
    <col min="7685" max="7936" width="9.140625" style="262"/>
    <col min="7937" max="7937" width="14.7109375" style="262" bestFit="1" customWidth="1"/>
    <col min="7938" max="7938" width="9.28515625" style="262" bestFit="1" customWidth="1"/>
    <col min="7939" max="7939" width="11.85546875" style="262" bestFit="1" customWidth="1"/>
    <col min="7940" max="7940" width="4.85546875" style="262" bestFit="1" customWidth="1"/>
    <col min="7941" max="8192" width="9.140625" style="262"/>
    <col min="8193" max="8193" width="14.7109375" style="262" bestFit="1" customWidth="1"/>
    <col min="8194" max="8194" width="9.28515625" style="262" bestFit="1" customWidth="1"/>
    <col min="8195" max="8195" width="11.85546875" style="262" bestFit="1" customWidth="1"/>
    <col min="8196" max="8196" width="4.85546875" style="262" bestFit="1" customWidth="1"/>
    <col min="8197" max="8448" width="9.140625" style="262"/>
    <col min="8449" max="8449" width="14.7109375" style="262" bestFit="1" customWidth="1"/>
    <col min="8450" max="8450" width="9.28515625" style="262" bestFit="1" customWidth="1"/>
    <col min="8451" max="8451" width="11.85546875" style="262" bestFit="1" customWidth="1"/>
    <col min="8452" max="8452" width="4.85546875" style="262" bestFit="1" customWidth="1"/>
    <col min="8453" max="8704" width="9.140625" style="262"/>
    <col min="8705" max="8705" width="14.7109375" style="262" bestFit="1" customWidth="1"/>
    <col min="8706" max="8706" width="9.28515625" style="262" bestFit="1" customWidth="1"/>
    <col min="8707" max="8707" width="11.85546875" style="262" bestFit="1" customWidth="1"/>
    <col min="8708" max="8708" width="4.85546875" style="262" bestFit="1" customWidth="1"/>
    <col min="8709" max="8960" width="9.140625" style="262"/>
    <col min="8961" max="8961" width="14.7109375" style="262" bestFit="1" customWidth="1"/>
    <col min="8962" max="8962" width="9.28515625" style="262" bestFit="1" customWidth="1"/>
    <col min="8963" max="8963" width="11.85546875" style="262" bestFit="1" customWidth="1"/>
    <col min="8964" max="8964" width="4.85546875" style="262" bestFit="1" customWidth="1"/>
    <col min="8965" max="9216" width="9.140625" style="262"/>
    <col min="9217" max="9217" width="14.7109375" style="262" bestFit="1" customWidth="1"/>
    <col min="9218" max="9218" width="9.28515625" style="262" bestFit="1" customWidth="1"/>
    <col min="9219" max="9219" width="11.85546875" style="262" bestFit="1" customWidth="1"/>
    <col min="9220" max="9220" width="4.85546875" style="262" bestFit="1" customWidth="1"/>
    <col min="9221" max="9472" width="9.140625" style="262"/>
    <col min="9473" max="9473" width="14.7109375" style="262" bestFit="1" customWidth="1"/>
    <col min="9474" max="9474" width="9.28515625" style="262" bestFit="1" customWidth="1"/>
    <col min="9475" max="9475" width="11.85546875" style="262" bestFit="1" customWidth="1"/>
    <col min="9476" max="9476" width="4.85546875" style="262" bestFit="1" customWidth="1"/>
    <col min="9477" max="9728" width="9.140625" style="262"/>
    <col min="9729" max="9729" width="14.7109375" style="262" bestFit="1" customWidth="1"/>
    <col min="9730" max="9730" width="9.28515625" style="262" bestFit="1" customWidth="1"/>
    <col min="9731" max="9731" width="11.85546875" style="262" bestFit="1" customWidth="1"/>
    <col min="9732" max="9732" width="4.85546875" style="262" bestFit="1" customWidth="1"/>
    <col min="9733" max="9984" width="9.140625" style="262"/>
    <col min="9985" max="9985" width="14.7109375" style="262" bestFit="1" customWidth="1"/>
    <col min="9986" max="9986" width="9.28515625" style="262" bestFit="1" customWidth="1"/>
    <col min="9987" max="9987" width="11.85546875" style="262" bestFit="1" customWidth="1"/>
    <col min="9988" max="9988" width="4.85546875" style="262" bestFit="1" customWidth="1"/>
    <col min="9989" max="10240" width="9.140625" style="262"/>
    <col min="10241" max="10241" width="14.7109375" style="262" bestFit="1" customWidth="1"/>
    <col min="10242" max="10242" width="9.28515625" style="262" bestFit="1" customWidth="1"/>
    <col min="10243" max="10243" width="11.85546875" style="262" bestFit="1" customWidth="1"/>
    <col min="10244" max="10244" width="4.85546875" style="262" bestFit="1" customWidth="1"/>
    <col min="10245" max="10496" width="9.140625" style="262"/>
    <col min="10497" max="10497" width="14.7109375" style="262" bestFit="1" customWidth="1"/>
    <col min="10498" max="10498" width="9.28515625" style="262" bestFit="1" customWidth="1"/>
    <col min="10499" max="10499" width="11.85546875" style="262" bestFit="1" customWidth="1"/>
    <col min="10500" max="10500" width="4.85546875" style="262" bestFit="1" customWidth="1"/>
    <col min="10501" max="10752" width="9.140625" style="262"/>
    <col min="10753" max="10753" width="14.7109375" style="262" bestFit="1" customWidth="1"/>
    <col min="10754" max="10754" width="9.28515625" style="262" bestFit="1" customWidth="1"/>
    <col min="10755" max="10755" width="11.85546875" style="262" bestFit="1" customWidth="1"/>
    <col min="10756" max="10756" width="4.85546875" style="262" bestFit="1" customWidth="1"/>
    <col min="10757" max="11008" width="9.140625" style="262"/>
    <col min="11009" max="11009" width="14.7109375" style="262" bestFit="1" customWidth="1"/>
    <col min="11010" max="11010" width="9.28515625" style="262" bestFit="1" customWidth="1"/>
    <col min="11011" max="11011" width="11.85546875" style="262" bestFit="1" customWidth="1"/>
    <col min="11012" max="11012" width="4.85546875" style="262" bestFit="1" customWidth="1"/>
    <col min="11013" max="11264" width="9.140625" style="262"/>
    <col min="11265" max="11265" width="14.7109375" style="262" bestFit="1" customWidth="1"/>
    <col min="11266" max="11266" width="9.28515625" style="262" bestFit="1" customWidth="1"/>
    <col min="11267" max="11267" width="11.85546875" style="262" bestFit="1" customWidth="1"/>
    <col min="11268" max="11268" width="4.85546875" style="262" bestFit="1" customWidth="1"/>
    <col min="11269" max="11520" width="9.140625" style="262"/>
    <col min="11521" max="11521" width="14.7109375" style="262" bestFit="1" customWidth="1"/>
    <col min="11522" max="11522" width="9.28515625" style="262" bestFit="1" customWidth="1"/>
    <col min="11523" max="11523" width="11.85546875" style="262" bestFit="1" customWidth="1"/>
    <col min="11524" max="11524" width="4.85546875" style="262" bestFit="1" customWidth="1"/>
    <col min="11525" max="11776" width="9.140625" style="262"/>
    <col min="11777" max="11777" width="14.7109375" style="262" bestFit="1" customWidth="1"/>
    <col min="11778" max="11778" width="9.28515625" style="262" bestFit="1" customWidth="1"/>
    <col min="11779" max="11779" width="11.85546875" style="262" bestFit="1" customWidth="1"/>
    <col min="11780" max="11780" width="4.85546875" style="262" bestFit="1" customWidth="1"/>
    <col min="11781" max="12032" width="9.140625" style="262"/>
    <col min="12033" max="12033" width="14.7109375" style="262" bestFit="1" customWidth="1"/>
    <col min="12034" max="12034" width="9.28515625" style="262" bestFit="1" customWidth="1"/>
    <col min="12035" max="12035" width="11.85546875" style="262" bestFit="1" customWidth="1"/>
    <col min="12036" max="12036" width="4.85546875" style="262" bestFit="1" customWidth="1"/>
    <col min="12037" max="12288" width="9.140625" style="262"/>
    <col min="12289" max="12289" width="14.7109375" style="262" bestFit="1" customWidth="1"/>
    <col min="12290" max="12290" width="9.28515625" style="262" bestFit="1" customWidth="1"/>
    <col min="12291" max="12291" width="11.85546875" style="262" bestFit="1" customWidth="1"/>
    <col min="12292" max="12292" width="4.85546875" style="262" bestFit="1" customWidth="1"/>
    <col min="12293" max="12544" width="9.140625" style="262"/>
    <col min="12545" max="12545" width="14.7109375" style="262" bestFit="1" customWidth="1"/>
    <col min="12546" max="12546" width="9.28515625" style="262" bestFit="1" customWidth="1"/>
    <col min="12547" max="12547" width="11.85546875" style="262" bestFit="1" customWidth="1"/>
    <col min="12548" max="12548" width="4.85546875" style="262" bestFit="1" customWidth="1"/>
    <col min="12549" max="12800" width="9.140625" style="262"/>
    <col min="12801" max="12801" width="14.7109375" style="262" bestFit="1" customWidth="1"/>
    <col min="12802" max="12802" width="9.28515625" style="262" bestFit="1" customWidth="1"/>
    <col min="12803" max="12803" width="11.85546875" style="262" bestFit="1" customWidth="1"/>
    <col min="12804" max="12804" width="4.85546875" style="262" bestFit="1" customWidth="1"/>
    <col min="12805" max="13056" width="9.140625" style="262"/>
    <col min="13057" max="13057" width="14.7109375" style="262" bestFit="1" customWidth="1"/>
    <col min="13058" max="13058" width="9.28515625" style="262" bestFit="1" customWidth="1"/>
    <col min="13059" max="13059" width="11.85546875" style="262" bestFit="1" customWidth="1"/>
    <col min="13060" max="13060" width="4.85546875" style="262" bestFit="1" customWidth="1"/>
    <col min="13061" max="13312" width="9.140625" style="262"/>
    <col min="13313" max="13313" width="14.7109375" style="262" bestFit="1" customWidth="1"/>
    <col min="13314" max="13314" width="9.28515625" style="262" bestFit="1" customWidth="1"/>
    <col min="13315" max="13315" width="11.85546875" style="262" bestFit="1" customWidth="1"/>
    <col min="13316" max="13316" width="4.85546875" style="262" bestFit="1" customWidth="1"/>
    <col min="13317" max="13568" width="9.140625" style="262"/>
    <col min="13569" max="13569" width="14.7109375" style="262" bestFit="1" customWidth="1"/>
    <col min="13570" max="13570" width="9.28515625" style="262" bestFit="1" customWidth="1"/>
    <col min="13571" max="13571" width="11.85546875" style="262" bestFit="1" customWidth="1"/>
    <col min="13572" max="13572" width="4.85546875" style="262" bestFit="1" customWidth="1"/>
    <col min="13573" max="13824" width="9.140625" style="262"/>
    <col min="13825" max="13825" width="14.7109375" style="262" bestFit="1" customWidth="1"/>
    <col min="13826" max="13826" width="9.28515625" style="262" bestFit="1" customWidth="1"/>
    <col min="13827" max="13827" width="11.85546875" style="262" bestFit="1" customWidth="1"/>
    <col min="13828" max="13828" width="4.85546875" style="262" bestFit="1" customWidth="1"/>
    <col min="13829" max="14080" width="9.140625" style="262"/>
    <col min="14081" max="14081" width="14.7109375" style="262" bestFit="1" customWidth="1"/>
    <col min="14082" max="14082" width="9.28515625" style="262" bestFit="1" customWidth="1"/>
    <col min="14083" max="14083" width="11.85546875" style="262" bestFit="1" customWidth="1"/>
    <col min="14084" max="14084" width="4.85546875" style="262" bestFit="1" customWidth="1"/>
    <col min="14085" max="14336" width="9.140625" style="262"/>
    <col min="14337" max="14337" width="14.7109375" style="262" bestFit="1" customWidth="1"/>
    <col min="14338" max="14338" width="9.28515625" style="262" bestFit="1" customWidth="1"/>
    <col min="14339" max="14339" width="11.85546875" style="262" bestFit="1" customWidth="1"/>
    <col min="14340" max="14340" width="4.85546875" style="262" bestFit="1" customWidth="1"/>
    <col min="14341" max="14592" width="9.140625" style="262"/>
    <col min="14593" max="14593" width="14.7109375" style="262" bestFit="1" customWidth="1"/>
    <col min="14594" max="14594" width="9.28515625" style="262" bestFit="1" customWidth="1"/>
    <col min="14595" max="14595" width="11.85546875" style="262" bestFit="1" customWidth="1"/>
    <col min="14596" max="14596" width="4.85546875" style="262" bestFit="1" customWidth="1"/>
    <col min="14597" max="14848" width="9.140625" style="262"/>
    <col min="14849" max="14849" width="14.7109375" style="262" bestFit="1" customWidth="1"/>
    <col min="14850" max="14850" width="9.28515625" style="262" bestFit="1" customWidth="1"/>
    <col min="14851" max="14851" width="11.85546875" style="262" bestFit="1" customWidth="1"/>
    <col min="14852" max="14852" width="4.85546875" style="262" bestFit="1" customWidth="1"/>
    <col min="14853" max="15104" width="9.140625" style="262"/>
    <col min="15105" max="15105" width="14.7109375" style="262" bestFit="1" customWidth="1"/>
    <col min="15106" max="15106" width="9.28515625" style="262" bestFit="1" customWidth="1"/>
    <col min="15107" max="15107" width="11.85546875" style="262" bestFit="1" customWidth="1"/>
    <col min="15108" max="15108" width="4.85546875" style="262" bestFit="1" customWidth="1"/>
    <col min="15109" max="15360" width="9.140625" style="262"/>
    <col min="15361" max="15361" width="14.7109375" style="262" bestFit="1" customWidth="1"/>
    <col min="15362" max="15362" width="9.28515625" style="262" bestFit="1" customWidth="1"/>
    <col min="15363" max="15363" width="11.85546875" style="262" bestFit="1" customWidth="1"/>
    <col min="15364" max="15364" width="4.85546875" style="262" bestFit="1" customWidth="1"/>
    <col min="15365" max="15616" width="9.140625" style="262"/>
    <col min="15617" max="15617" width="14.7109375" style="262" bestFit="1" customWidth="1"/>
    <col min="15618" max="15618" width="9.28515625" style="262" bestFit="1" customWidth="1"/>
    <col min="15619" max="15619" width="11.85546875" style="262" bestFit="1" customWidth="1"/>
    <col min="15620" max="15620" width="4.85546875" style="262" bestFit="1" customWidth="1"/>
    <col min="15621" max="15872" width="9.140625" style="262"/>
    <col min="15873" max="15873" width="14.7109375" style="262" bestFit="1" customWidth="1"/>
    <col min="15874" max="15874" width="9.28515625" style="262" bestFit="1" customWidth="1"/>
    <col min="15875" max="15875" width="11.85546875" style="262" bestFit="1" customWidth="1"/>
    <col min="15876" max="15876" width="4.85546875" style="262" bestFit="1" customWidth="1"/>
    <col min="15877" max="16128" width="9.140625" style="262"/>
    <col min="16129" max="16129" width="14.7109375" style="262" bestFit="1" customWidth="1"/>
    <col min="16130" max="16130" width="9.28515625" style="262" bestFit="1" customWidth="1"/>
    <col min="16131" max="16131" width="11.85546875" style="262" bestFit="1" customWidth="1"/>
    <col min="16132" max="16132" width="4.85546875" style="262" bestFit="1" customWidth="1"/>
    <col min="16133" max="16384" width="9.140625" style="262"/>
  </cols>
  <sheetData>
    <row r="1" spans="1:3" ht="15.75" customHeight="1" x14ac:dyDescent="0.2">
      <c r="A1" s="351" t="s">
        <v>8</v>
      </c>
      <c r="B1" s="351"/>
      <c r="C1" s="351"/>
    </row>
    <row r="2" spans="1:3" s="265" customFormat="1" ht="18" customHeight="1" x14ac:dyDescent="0.2">
      <c r="A2" s="363" t="s">
        <v>184</v>
      </c>
      <c r="B2" s="375" t="s">
        <v>150</v>
      </c>
      <c r="C2" s="377"/>
    </row>
    <row r="3" spans="1:3" s="265" customFormat="1" ht="28.5" customHeight="1" x14ac:dyDescent="0.2">
      <c r="A3" s="365"/>
      <c r="B3" s="286" t="s">
        <v>185</v>
      </c>
      <c r="C3" s="287" t="s">
        <v>186</v>
      </c>
    </row>
    <row r="4" spans="1:3" s="265" customFormat="1" ht="18" customHeight="1" x14ac:dyDescent="0.2">
      <c r="A4" s="266" t="s">
        <v>69</v>
      </c>
      <c r="B4" s="283">
        <v>156</v>
      </c>
      <c r="C4" s="284">
        <v>2360.8708999999999</v>
      </c>
    </row>
    <row r="5" spans="1:3" s="265" customFormat="1" ht="18" customHeight="1" x14ac:dyDescent="0.2">
      <c r="A5" s="266" t="s">
        <v>70</v>
      </c>
      <c r="B5" s="283">
        <v>110</v>
      </c>
      <c r="C5" s="284">
        <v>1844.0389</v>
      </c>
    </row>
    <row r="6" spans="1:3" s="265" customFormat="1" ht="18" customHeight="1" x14ac:dyDescent="0.2">
      <c r="A6" s="266" t="s">
        <v>187</v>
      </c>
      <c r="B6" s="283">
        <v>12</v>
      </c>
      <c r="C6" s="284">
        <v>191.37620000000001</v>
      </c>
    </row>
    <row r="7" spans="1:3" s="265" customFormat="1" ht="18" customHeight="1" x14ac:dyDescent="0.2">
      <c r="A7" s="266" t="s">
        <v>188</v>
      </c>
      <c r="B7" s="283">
        <v>19</v>
      </c>
      <c r="C7" s="284">
        <v>380.88535999999999</v>
      </c>
    </row>
    <row r="8" spans="1:3" s="265" customFormat="1" ht="18" customHeight="1" x14ac:dyDescent="0.2">
      <c r="A8" s="266" t="s">
        <v>189</v>
      </c>
      <c r="B8" s="283">
        <v>8</v>
      </c>
      <c r="C8" s="284">
        <v>135.55539999999999</v>
      </c>
    </row>
    <row r="9" spans="1:3" s="265" customFormat="1" ht="18" customHeight="1" x14ac:dyDescent="0.2">
      <c r="A9" s="266" t="s">
        <v>190</v>
      </c>
      <c r="B9" s="283">
        <v>9</v>
      </c>
      <c r="C9" s="284">
        <v>153.42313999999999</v>
      </c>
    </row>
    <row r="10" spans="1:3" s="265" customFormat="1" ht="18" customHeight="1" x14ac:dyDescent="0.2">
      <c r="A10" s="266" t="s">
        <v>191</v>
      </c>
      <c r="B10" s="283">
        <v>10</v>
      </c>
      <c r="C10" s="284">
        <v>122.92230000000001</v>
      </c>
    </row>
    <row r="11" spans="1:3" s="265" customFormat="1" ht="18" customHeight="1" x14ac:dyDescent="0.2">
      <c r="A11" s="266" t="s">
        <v>192</v>
      </c>
      <c r="B11" s="283">
        <v>14</v>
      </c>
      <c r="C11" s="284">
        <v>309.23811999999998</v>
      </c>
    </row>
    <row r="12" spans="1:3" s="265" customFormat="1" ht="18" customHeight="1" x14ac:dyDescent="0.2">
      <c r="A12" s="266" t="s">
        <v>193</v>
      </c>
      <c r="B12" s="283">
        <v>14</v>
      </c>
      <c r="C12" s="284">
        <v>181.84800000000001</v>
      </c>
    </row>
    <row r="13" spans="1:3" s="265" customFormat="1" ht="18" customHeight="1" x14ac:dyDescent="0.2">
      <c r="A13" s="266" t="s">
        <v>194</v>
      </c>
      <c r="B13" s="283">
        <v>5</v>
      </c>
      <c r="C13" s="284">
        <v>55.500399999999999</v>
      </c>
    </row>
    <row r="14" spans="1:3" s="265" customFormat="1" ht="18" customHeight="1" x14ac:dyDescent="0.2">
      <c r="A14" s="266" t="s">
        <v>195</v>
      </c>
      <c r="B14" s="283">
        <v>2</v>
      </c>
      <c r="C14" s="284">
        <v>49.41</v>
      </c>
    </row>
    <row r="15" spans="1:3" s="265" customFormat="1" ht="18" customHeight="1" x14ac:dyDescent="0.2">
      <c r="A15" s="266" t="s">
        <v>196</v>
      </c>
      <c r="B15" s="283">
        <v>4</v>
      </c>
      <c r="C15" s="284">
        <v>111.548</v>
      </c>
    </row>
    <row r="16" spans="1:3" s="265" customFormat="1" ht="18" customHeight="1" x14ac:dyDescent="0.2">
      <c r="A16" s="266" t="s">
        <v>197</v>
      </c>
      <c r="B16" s="283">
        <v>5</v>
      </c>
      <c r="C16" s="284">
        <v>26.830300000000001</v>
      </c>
    </row>
    <row r="17" spans="1:3" s="265" customFormat="1" ht="18" customHeight="1" x14ac:dyDescent="0.2">
      <c r="A17" s="266" t="s">
        <v>198</v>
      </c>
      <c r="B17" s="283">
        <v>8</v>
      </c>
      <c r="C17" s="284">
        <v>125.50167999999999</v>
      </c>
    </row>
    <row r="18" spans="1:3" s="265" customFormat="1" ht="15" customHeight="1" x14ac:dyDescent="0.2">
      <c r="A18" s="353" t="s">
        <v>106</v>
      </c>
      <c r="B18" s="353"/>
      <c r="C18" s="353"/>
    </row>
    <row r="19" spans="1:3" s="265" customFormat="1" ht="13.5" customHeight="1" x14ac:dyDescent="0.2">
      <c r="A19" s="353" t="s">
        <v>199</v>
      </c>
      <c r="B19" s="353"/>
      <c r="C19" s="353"/>
    </row>
    <row r="20" spans="1:3" s="265" customFormat="1" ht="27.6" customHeight="1" x14ac:dyDescent="0.2"/>
  </sheetData>
  <mergeCells count="5">
    <mergeCell ref="A1:C1"/>
    <mergeCell ref="A2:A3"/>
    <mergeCell ref="B2:C2"/>
    <mergeCell ref="A18:C18"/>
    <mergeCell ref="A19:C19"/>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FFFF00"/>
    <pageSetUpPr fitToPage="1"/>
  </sheetPr>
  <dimension ref="A1:H30"/>
  <sheetViews>
    <sheetView workbookViewId="0">
      <selection sqref="A1:E1"/>
    </sheetView>
  </sheetViews>
  <sheetFormatPr defaultRowHeight="12.75" x14ac:dyDescent="0.2"/>
  <cols>
    <col min="1" max="1" width="27.85546875" style="262" bestFit="1" customWidth="1"/>
    <col min="2" max="2" width="14.7109375" style="262" bestFit="1" customWidth="1"/>
    <col min="3" max="3" width="11.42578125" style="262" bestFit="1" customWidth="1"/>
    <col min="4" max="4" width="14.7109375" style="262" bestFit="1" customWidth="1"/>
    <col min="5" max="5" width="11.42578125" style="262" bestFit="1" customWidth="1"/>
    <col min="6" max="6" width="4.7109375" style="262" bestFit="1" customWidth="1"/>
    <col min="7" max="256" width="9.140625" style="262"/>
    <col min="257" max="257" width="27.85546875" style="262" bestFit="1" customWidth="1"/>
    <col min="258" max="258" width="14.7109375" style="262" bestFit="1" customWidth="1"/>
    <col min="259" max="259" width="11.42578125" style="262" bestFit="1" customWidth="1"/>
    <col min="260" max="260" width="14.7109375" style="262" bestFit="1" customWidth="1"/>
    <col min="261" max="261" width="11.42578125" style="262" bestFit="1" customWidth="1"/>
    <col min="262" max="262" width="4.7109375" style="262" bestFit="1" customWidth="1"/>
    <col min="263" max="512" width="9.140625" style="262"/>
    <col min="513" max="513" width="27.85546875" style="262" bestFit="1" customWidth="1"/>
    <col min="514" max="514" width="14.7109375" style="262" bestFit="1" customWidth="1"/>
    <col min="515" max="515" width="11.42578125" style="262" bestFit="1" customWidth="1"/>
    <col min="516" max="516" width="14.7109375" style="262" bestFit="1" customWidth="1"/>
    <col min="517" max="517" width="11.42578125" style="262" bestFit="1" customWidth="1"/>
    <col min="518" max="518" width="4.7109375" style="262" bestFit="1" customWidth="1"/>
    <col min="519" max="768" width="9.140625" style="262"/>
    <col min="769" max="769" width="27.85546875" style="262" bestFit="1" customWidth="1"/>
    <col min="770" max="770" width="14.7109375" style="262" bestFit="1" customWidth="1"/>
    <col min="771" max="771" width="11.42578125" style="262" bestFit="1" customWidth="1"/>
    <col min="772" max="772" width="14.7109375" style="262" bestFit="1" customWidth="1"/>
    <col min="773" max="773" width="11.42578125" style="262" bestFit="1" customWidth="1"/>
    <col min="774" max="774" width="4.7109375" style="262" bestFit="1" customWidth="1"/>
    <col min="775" max="1024" width="9.140625" style="262"/>
    <col min="1025" max="1025" width="27.85546875" style="262" bestFit="1" customWidth="1"/>
    <col min="1026" max="1026" width="14.7109375" style="262" bestFit="1" customWidth="1"/>
    <col min="1027" max="1027" width="11.42578125" style="262" bestFit="1" customWidth="1"/>
    <col min="1028" max="1028" width="14.7109375" style="262" bestFit="1" customWidth="1"/>
    <col min="1029" max="1029" width="11.42578125" style="262" bestFit="1" customWidth="1"/>
    <col min="1030" max="1030" width="4.7109375" style="262" bestFit="1" customWidth="1"/>
    <col min="1031" max="1280" width="9.140625" style="262"/>
    <col min="1281" max="1281" width="27.85546875" style="262" bestFit="1" customWidth="1"/>
    <col min="1282" max="1282" width="14.7109375" style="262" bestFit="1" customWidth="1"/>
    <col min="1283" max="1283" width="11.42578125" style="262" bestFit="1" customWidth="1"/>
    <col min="1284" max="1284" width="14.7109375" style="262" bestFit="1" customWidth="1"/>
    <col min="1285" max="1285" width="11.42578125" style="262" bestFit="1" customWidth="1"/>
    <col min="1286" max="1286" width="4.7109375" style="262" bestFit="1" customWidth="1"/>
    <col min="1287" max="1536" width="9.140625" style="262"/>
    <col min="1537" max="1537" width="27.85546875" style="262" bestFit="1" customWidth="1"/>
    <col min="1538" max="1538" width="14.7109375" style="262" bestFit="1" customWidth="1"/>
    <col min="1539" max="1539" width="11.42578125" style="262" bestFit="1" customWidth="1"/>
    <col min="1540" max="1540" width="14.7109375" style="262" bestFit="1" customWidth="1"/>
    <col min="1541" max="1541" width="11.42578125" style="262" bestFit="1" customWidth="1"/>
    <col min="1542" max="1542" width="4.7109375" style="262" bestFit="1" customWidth="1"/>
    <col min="1543" max="1792" width="9.140625" style="262"/>
    <col min="1793" max="1793" width="27.85546875" style="262" bestFit="1" customWidth="1"/>
    <col min="1794" max="1794" width="14.7109375" style="262" bestFit="1" customWidth="1"/>
    <col min="1795" max="1795" width="11.42578125" style="262" bestFit="1" customWidth="1"/>
    <col min="1796" max="1796" width="14.7109375" style="262" bestFit="1" customWidth="1"/>
    <col min="1797" max="1797" width="11.42578125" style="262" bestFit="1" customWidth="1"/>
    <col min="1798" max="1798" width="4.7109375" style="262" bestFit="1" customWidth="1"/>
    <col min="1799" max="2048" width="9.140625" style="262"/>
    <col min="2049" max="2049" width="27.85546875" style="262" bestFit="1" customWidth="1"/>
    <col min="2050" max="2050" width="14.7109375" style="262" bestFit="1" customWidth="1"/>
    <col min="2051" max="2051" width="11.42578125" style="262" bestFit="1" customWidth="1"/>
    <col min="2052" max="2052" width="14.7109375" style="262" bestFit="1" customWidth="1"/>
    <col min="2053" max="2053" width="11.42578125" style="262" bestFit="1" customWidth="1"/>
    <col min="2054" max="2054" width="4.7109375" style="262" bestFit="1" customWidth="1"/>
    <col min="2055" max="2304" width="9.140625" style="262"/>
    <col min="2305" max="2305" width="27.85546875" style="262" bestFit="1" customWidth="1"/>
    <col min="2306" max="2306" width="14.7109375" style="262" bestFit="1" customWidth="1"/>
    <col min="2307" max="2307" width="11.42578125" style="262" bestFit="1" customWidth="1"/>
    <col min="2308" max="2308" width="14.7109375" style="262" bestFit="1" customWidth="1"/>
    <col min="2309" max="2309" width="11.42578125" style="262" bestFit="1" customWidth="1"/>
    <col min="2310" max="2310" width="4.7109375" style="262" bestFit="1" customWidth="1"/>
    <col min="2311" max="2560" width="9.140625" style="262"/>
    <col min="2561" max="2561" width="27.85546875" style="262" bestFit="1" customWidth="1"/>
    <col min="2562" max="2562" width="14.7109375" style="262" bestFit="1" customWidth="1"/>
    <col min="2563" max="2563" width="11.42578125" style="262" bestFit="1" customWidth="1"/>
    <col min="2564" max="2564" width="14.7109375" style="262" bestFit="1" customWidth="1"/>
    <col min="2565" max="2565" width="11.42578125" style="262" bestFit="1" customWidth="1"/>
    <col min="2566" max="2566" width="4.7109375" style="262" bestFit="1" customWidth="1"/>
    <col min="2567" max="2816" width="9.140625" style="262"/>
    <col min="2817" max="2817" width="27.85546875" style="262" bestFit="1" customWidth="1"/>
    <col min="2818" max="2818" width="14.7109375" style="262" bestFit="1" customWidth="1"/>
    <col min="2819" max="2819" width="11.42578125" style="262" bestFit="1" customWidth="1"/>
    <col min="2820" max="2820" width="14.7109375" style="262" bestFit="1" customWidth="1"/>
    <col min="2821" max="2821" width="11.42578125" style="262" bestFit="1" customWidth="1"/>
    <col min="2822" max="2822" width="4.7109375" style="262" bestFit="1" customWidth="1"/>
    <col min="2823" max="3072" width="9.140625" style="262"/>
    <col min="3073" max="3073" width="27.85546875" style="262" bestFit="1" customWidth="1"/>
    <col min="3074" max="3074" width="14.7109375" style="262" bestFit="1" customWidth="1"/>
    <col min="3075" max="3075" width="11.42578125" style="262" bestFit="1" customWidth="1"/>
    <col min="3076" max="3076" width="14.7109375" style="262" bestFit="1" customWidth="1"/>
    <col min="3077" max="3077" width="11.42578125" style="262" bestFit="1" customWidth="1"/>
    <col min="3078" max="3078" width="4.7109375" style="262" bestFit="1" customWidth="1"/>
    <col min="3079" max="3328" width="9.140625" style="262"/>
    <col min="3329" max="3329" width="27.85546875" style="262" bestFit="1" customWidth="1"/>
    <col min="3330" max="3330" width="14.7109375" style="262" bestFit="1" customWidth="1"/>
    <col min="3331" max="3331" width="11.42578125" style="262" bestFit="1" customWidth="1"/>
    <col min="3332" max="3332" width="14.7109375" style="262" bestFit="1" customWidth="1"/>
    <col min="3333" max="3333" width="11.42578125" style="262" bestFit="1" customWidth="1"/>
    <col min="3334" max="3334" width="4.7109375" style="262" bestFit="1" customWidth="1"/>
    <col min="3335" max="3584" width="9.140625" style="262"/>
    <col min="3585" max="3585" width="27.85546875" style="262" bestFit="1" customWidth="1"/>
    <col min="3586" max="3586" width="14.7109375" style="262" bestFit="1" customWidth="1"/>
    <col min="3587" max="3587" width="11.42578125" style="262" bestFit="1" customWidth="1"/>
    <col min="3588" max="3588" width="14.7109375" style="262" bestFit="1" customWidth="1"/>
    <col min="3589" max="3589" width="11.42578125" style="262" bestFit="1" customWidth="1"/>
    <col min="3590" max="3590" width="4.7109375" style="262" bestFit="1" customWidth="1"/>
    <col min="3591" max="3840" width="9.140625" style="262"/>
    <col min="3841" max="3841" width="27.85546875" style="262" bestFit="1" customWidth="1"/>
    <col min="3842" max="3842" width="14.7109375" style="262" bestFit="1" customWidth="1"/>
    <col min="3843" max="3843" width="11.42578125" style="262" bestFit="1" customWidth="1"/>
    <col min="3844" max="3844" width="14.7109375" style="262" bestFit="1" customWidth="1"/>
    <col min="3845" max="3845" width="11.42578125" style="262" bestFit="1" customWidth="1"/>
    <col min="3846" max="3846" width="4.7109375" style="262" bestFit="1" customWidth="1"/>
    <col min="3847" max="4096" width="9.140625" style="262"/>
    <col min="4097" max="4097" width="27.85546875" style="262" bestFit="1" customWidth="1"/>
    <col min="4098" max="4098" width="14.7109375" style="262" bestFit="1" customWidth="1"/>
    <col min="4099" max="4099" width="11.42578125" style="262" bestFit="1" customWidth="1"/>
    <col min="4100" max="4100" width="14.7109375" style="262" bestFit="1" customWidth="1"/>
    <col min="4101" max="4101" width="11.42578125" style="262" bestFit="1" customWidth="1"/>
    <col min="4102" max="4102" width="4.7109375" style="262" bestFit="1" customWidth="1"/>
    <col min="4103" max="4352" width="9.140625" style="262"/>
    <col min="4353" max="4353" width="27.85546875" style="262" bestFit="1" customWidth="1"/>
    <col min="4354" max="4354" width="14.7109375" style="262" bestFit="1" customWidth="1"/>
    <col min="4355" max="4355" width="11.42578125" style="262" bestFit="1" customWidth="1"/>
    <col min="4356" max="4356" width="14.7109375" style="262" bestFit="1" customWidth="1"/>
    <col min="4357" max="4357" width="11.42578125" style="262" bestFit="1" customWidth="1"/>
    <col min="4358" max="4358" width="4.7109375" style="262" bestFit="1" customWidth="1"/>
    <col min="4359" max="4608" width="9.140625" style="262"/>
    <col min="4609" max="4609" width="27.85546875" style="262" bestFit="1" customWidth="1"/>
    <col min="4610" max="4610" width="14.7109375" style="262" bestFit="1" customWidth="1"/>
    <col min="4611" max="4611" width="11.42578125" style="262" bestFit="1" customWidth="1"/>
    <col min="4612" max="4612" width="14.7109375" style="262" bestFit="1" customWidth="1"/>
    <col min="4613" max="4613" width="11.42578125" style="262" bestFit="1" customWidth="1"/>
    <col min="4614" max="4614" width="4.7109375" style="262" bestFit="1" customWidth="1"/>
    <col min="4615" max="4864" width="9.140625" style="262"/>
    <col min="4865" max="4865" width="27.85546875" style="262" bestFit="1" customWidth="1"/>
    <col min="4866" max="4866" width="14.7109375" style="262" bestFit="1" customWidth="1"/>
    <col min="4867" max="4867" width="11.42578125" style="262" bestFit="1" customWidth="1"/>
    <col min="4868" max="4868" width="14.7109375" style="262" bestFit="1" customWidth="1"/>
    <col min="4869" max="4869" width="11.42578125" style="262" bestFit="1" customWidth="1"/>
    <col min="4870" max="4870" width="4.7109375" style="262" bestFit="1" customWidth="1"/>
    <col min="4871" max="5120" width="9.140625" style="262"/>
    <col min="5121" max="5121" width="27.85546875" style="262" bestFit="1" customWidth="1"/>
    <col min="5122" max="5122" width="14.7109375" style="262" bestFit="1" customWidth="1"/>
    <col min="5123" max="5123" width="11.42578125" style="262" bestFit="1" customWidth="1"/>
    <col min="5124" max="5124" width="14.7109375" style="262" bestFit="1" customWidth="1"/>
    <col min="5125" max="5125" width="11.42578125" style="262" bestFit="1" customWidth="1"/>
    <col min="5126" max="5126" width="4.7109375" style="262" bestFit="1" customWidth="1"/>
    <col min="5127" max="5376" width="9.140625" style="262"/>
    <col min="5377" max="5377" width="27.85546875" style="262" bestFit="1" customWidth="1"/>
    <col min="5378" max="5378" width="14.7109375" style="262" bestFit="1" customWidth="1"/>
    <col min="5379" max="5379" width="11.42578125" style="262" bestFit="1" customWidth="1"/>
    <col min="5380" max="5380" width="14.7109375" style="262" bestFit="1" customWidth="1"/>
    <col min="5381" max="5381" width="11.42578125" style="262" bestFit="1" customWidth="1"/>
    <col min="5382" max="5382" width="4.7109375" style="262" bestFit="1" customWidth="1"/>
    <col min="5383" max="5632" width="9.140625" style="262"/>
    <col min="5633" max="5633" width="27.85546875" style="262" bestFit="1" customWidth="1"/>
    <col min="5634" max="5634" width="14.7109375" style="262" bestFit="1" customWidth="1"/>
    <col min="5635" max="5635" width="11.42578125" style="262" bestFit="1" customWidth="1"/>
    <col min="5636" max="5636" width="14.7109375" style="262" bestFit="1" customWidth="1"/>
    <col min="5637" max="5637" width="11.42578125" style="262" bestFit="1" customWidth="1"/>
    <col min="5638" max="5638" width="4.7109375" style="262" bestFit="1" customWidth="1"/>
    <col min="5639" max="5888" width="9.140625" style="262"/>
    <col min="5889" max="5889" width="27.85546875" style="262" bestFit="1" customWidth="1"/>
    <col min="5890" max="5890" width="14.7109375" style="262" bestFit="1" customWidth="1"/>
    <col min="5891" max="5891" width="11.42578125" style="262" bestFit="1" customWidth="1"/>
    <col min="5892" max="5892" width="14.7109375" style="262" bestFit="1" customWidth="1"/>
    <col min="5893" max="5893" width="11.42578125" style="262" bestFit="1" customWidth="1"/>
    <col min="5894" max="5894" width="4.7109375" style="262" bestFit="1" customWidth="1"/>
    <col min="5895" max="6144" width="9.140625" style="262"/>
    <col min="6145" max="6145" width="27.85546875" style="262" bestFit="1" customWidth="1"/>
    <col min="6146" max="6146" width="14.7109375" style="262" bestFit="1" customWidth="1"/>
    <col min="6147" max="6147" width="11.42578125" style="262" bestFit="1" customWidth="1"/>
    <col min="6148" max="6148" width="14.7109375" style="262" bestFit="1" customWidth="1"/>
    <col min="6149" max="6149" width="11.42578125" style="262" bestFit="1" customWidth="1"/>
    <col min="6150" max="6150" width="4.7109375" style="262" bestFit="1" customWidth="1"/>
    <col min="6151" max="6400" width="9.140625" style="262"/>
    <col min="6401" max="6401" width="27.85546875" style="262" bestFit="1" customWidth="1"/>
    <col min="6402" max="6402" width="14.7109375" style="262" bestFit="1" customWidth="1"/>
    <col min="6403" max="6403" width="11.42578125" style="262" bestFit="1" customWidth="1"/>
    <col min="6404" max="6404" width="14.7109375" style="262" bestFit="1" customWidth="1"/>
    <col min="6405" max="6405" width="11.42578125" style="262" bestFit="1" customWidth="1"/>
    <col min="6406" max="6406" width="4.7109375" style="262" bestFit="1" customWidth="1"/>
    <col min="6407" max="6656" width="9.140625" style="262"/>
    <col min="6657" max="6657" width="27.85546875" style="262" bestFit="1" customWidth="1"/>
    <col min="6658" max="6658" width="14.7109375" style="262" bestFit="1" customWidth="1"/>
    <col min="6659" max="6659" width="11.42578125" style="262" bestFit="1" customWidth="1"/>
    <col min="6660" max="6660" width="14.7109375" style="262" bestFit="1" customWidth="1"/>
    <col min="6661" max="6661" width="11.42578125" style="262" bestFit="1" customWidth="1"/>
    <col min="6662" max="6662" width="4.7109375" style="262" bestFit="1" customWidth="1"/>
    <col min="6663" max="6912" width="9.140625" style="262"/>
    <col min="6913" max="6913" width="27.85546875" style="262" bestFit="1" customWidth="1"/>
    <col min="6914" max="6914" width="14.7109375" style="262" bestFit="1" customWidth="1"/>
    <col min="6915" max="6915" width="11.42578125" style="262" bestFit="1" customWidth="1"/>
    <col min="6916" max="6916" width="14.7109375" style="262" bestFit="1" customWidth="1"/>
    <col min="6917" max="6917" width="11.42578125" style="262" bestFit="1" customWidth="1"/>
    <col min="6918" max="6918" width="4.7109375" style="262" bestFit="1" customWidth="1"/>
    <col min="6919" max="7168" width="9.140625" style="262"/>
    <col min="7169" max="7169" width="27.85546875" style="262" bestFit="1" customWidth="1"/>
    <col min="7170" max="7170" width="14.7109375" style="262" bestFit="1" customWidth="1"/>
    <col min="7171" max="7171" width="11.42578125" style="262" bestFit="1" customWidth="1"/>
    <col min="7172" max="7172" width="14.7109375" style="262" bestFit="1" customWidth="1"/>
    <col min="7173" max="7173" width="11.42578125" style="262" bestFit="1" customWidth="1"/>
    <col min="7174" max="7174" width="4.7109375" style="262" bestFit="1" customWidth="1"/>
    <col min="7175" max="7424" width="9.140625" style="262"/>
    <col min="7425" max="7425" width="27.85546875" style="262" bestFit="1" customWidth="1"/>
    <col min="7426" max="7426" width="14.7109375" style="262" bestFit="1" customWidth="1"/>
    <col min="7427" max="7427" width="11.42578125" style="262" bestFit="1" customWidth="1"/>
    <col min="7428" max="7428" width="14.7109375" style="262" bestFit="1" customWidth="1"/>
    <col min="7429" max="7429" width="11.42578125" style="262" bestFit="1" customWidth="1"/>
    <col min="7430" max="7430" width="4.7109375" style="262" bestFit="1" customWidth="1"/>
    <col min="7431" max="7680" width="9.140625" style="262"/>
    <col min="7681" max="7681" width="27.85546875" style="262" bestFit="1" customWidth="1"/>
    <col min="7682" max="7682" width="14.7109375" style="262" bestFit="1" customWidth="1"/>
    <col min="7683" max="7683" width="11.42578125" style="262" bestFit="1" customWidth="1"/>
    <col min="7684" max="7684" width="14.7109375" style="262" bestFit="1" customWidth="1"/>
    <col min="7685" max="7685" width="11.42578125" style="262" bestFit="1" customWidth="1"/>
    <col min="7686" max="7686" width="4.7109375" style="262" bestFit="1" customWidth="1"/>
    <col min="7687" max="7936" width="9.140625" style="262"/>
    <col min="7937" max="7937" width="27.85546875" style="262" bestFit="1" customWidth="1"/>
    <col min="7938" max="7938" width="14.7109375" style="262" bestFit="1" customWidth="1"/>
    <col min="7939" max="7939" width="11.42578125" style="262" bestFit="1" customWidth="1"/>
    <col min="7940" max="7940" width="14.7109375" style="262" bestFit="1" customWidth="1"/>
    <col min="7941" max="7941" width="11.42578125" style="262" bestFit="1" customWidth="1"/>
    <col min="7942" max="7942" width="4.7109375" style="262" bestFit="1" customWidth="1"/>
    <col min="7943" max="8192" width="9.140625" style="262"/>
    <col min="8193" max="8193" width="27.85546875" style="262" bestFit="1" customWidth="1"/>
    <col min="8194" max="8194" width="14.7109375" style="262" bestFit="1" customWidth="1"/>
    <col min="8195" max="8195" width="11.42578125" style="262" bestFit="1" customWidth="1"/>
    <col min="8196" max="8196" width="14.7109375" style="262" bestFit="1" customWidth="1"/>
    <col min="8197" max="8197" width="11.42578125" style="262" bestFit="1" customWidth="1"/>
    <col min="8198" max="8198" width="4.7109375" style="262" bestFit="1" customWidth="1"/>
    <col min="8199" max="8448" width="9.140625" style="262"/>
    <col min="8449" max="8449" width="27.85546875" style="262" bestFit="1" customWidth="1"/>
    <col min="8450" max="8450" width="14.7109375" style="262" bestFit="1" customWidth="1"/>
    <col min="8451" max="8451" width="11.42578125" style="262" bestFit="1" customWidth="1"/>
    <col min="8452" max="8452" width="14.7109375" style="262" bestFit="1" customWidth="1"/>
    <col min="8453" max="8453" width="11.42578125" style="262" bestFit="1" customWidth="1"/>
    <col min="8454" max="8454" width="4.7109375" style="262" bestFit="1" customWidth="1"/>
    <col min="8455" max="8704" width="9.140625" style="262"/>
    <col min="8705" max="8705" width="27.85546875" style="262" bestFit="1" customWidth="1"/>
    <col min="8706" max="8706" width="14.7109375" style="262" bestFit="1" customWidth="1"/>
    <col min="8707" max="8707" width="11.42578125" style="262" bestFit="1" customWidth="1"/>
    <col min="8708" max="8708" width="14.7109375" style="262" bestFit="1" customWidth="1"/>
    <col min="8709" max="8709" width="11.42578125" style="262" bestFit="1" customWidth="1"/>
    <col min="8710" max="8710" width="4.7109375" style="262" bestFit="1" customWidth="1"/>
    <col min="8711" max="8960" width="9.140625" style="262"/>
    <col min="8961" max="8961" width="27.85546875" style="262" bestFit="1" customWidth="1"/>
    <col min="8962" max="8962" width="14.7109375" style="262" bestFit="1" customWidth="1"/>
    <col min="8963" max="8963" width="11.42578125" style="262" bestFit="1" customWidth="1"/>
    <col min="8964" max="8964" width="14.7109375" style="262" bestFit="1" customWidth="1"/>
    <col min="8965" max="8965" width="11.42578125" style="262" bestFit="1" customWidth="1"/>
    <col min="8966" max="8966" width="4.7109375" style="262" bestFit="1" customWidth="1"/>
    <col min="8967" max="9216" width="9.140625" style="262"/>
    <col min="9217" max="9217" width="27.85546875" style="262" bestFit="1" customWidth="1"/>
    <col min="9218" max="9218" width="14.7109375" style="262" bestFit="1" customWidth="1"/>
    <col min="9219" max="9219" width="11.42578125" style="262" bestFit="1" customWidth="1"/>
    <col min="9220" max="9220" width="14.7109375" style="262" bestFit="1" customWidth="1"/>
    <col min="9221" max="9221" width="11.42578125" style="262" bestFit="1" customWidth="1"/>
    <col min="9222" max="9222" width="4.7109375" style="262" bestFit="1" customWidth="1"/>
    <col min="9223" max="9472" width="9.140625" style="262"/>
    <col min="9473" max="9473" width="27.85546875" style="262" bestFit="1" customWidth="1"/>
    <col min="9474" max="9474" width="14.7109375" style="262" bestFit="1" customWidth="1"/>
    <col min="9475" max="9475" width="11.42578125" style="262" bestFit="1" customWidth="1"/>
    <col min="9476" max="9476" width="14.7109375" style="262" bestFit="1" customWidth="1"/>
    <col min="9477" max="9477" width="11.42578125" style="262" bestFit="1" customWidth="1"/>
    <col min="9478" max="9478" width="4.7109375" style="262" bestFit="1" customWidth="1"/>
    <col min="9479" max="9728" width="9.140625" style="262"/>
    <col min="9729" max="9729" width="27.85546875" style="262" bestFit="1" customWidth="1"/>
    <col min="9730" max="9730" width="14.7109375" style="262" bestFit="1" customWidth="1"/>
    <col min="9731" max="9731" width="11.42578125" style="262" bestFit="1" customWidth="1"/>
    <col min="9732" max="9732" width="14.7109375" style="262" bestFit="1" customWidth="1"/>
    <col min="9733" max="9733" width="11.42578125" style="262" bestFit="1" customWidth="1"/>
    <col min="9734" max="9734" width="4.7109375" style="262" bestFit="1" customWidth="1"/>
    <col min="9735" max="9984" width="9.140625" style="262"/>
    <col min="9985" max="9985" width="27.85546875" style="262" bestFit="1" customWidth="1"/>
    <col min="9986" max="9986" width="14.7109375" style="262" bestFit="1" customWidth="1"/>
    <col min="9987" max="9987" width="11.42578125" style="262" bestFit="1" customWidth="1"/>
    <col min="9988" max="9988" width="14.7109375" style="262" bestFit="1" customWidth="1"/>
    <col min="9989" max="9989" width="11.42578125" style="262" bestFit="1" customWidth="1"/>
    <col min="9990" max="9990" width="4.7109375" style="262" bestFit="1" customWidth="1"/>
    <col min="9991" max="10240" width="9.140625" style="262"/>
    <col min="10241" max="10241" width="27.85546875" style="262" bestFit="1" customWidth="1"/>
    <col min="10242" max="10242" width="14.7109375" style="262" bestFit="1" customWidth="1"/>
    <col min="10243" max="10243" width="11.42578125" style="262" bestFit="1" customWidth="1"/>
    <col min="10244" max="10244" width="14.7109375" style="262" bestFit="1" customWidth="1"/>
    <col min="10245" max="10245" width="11.42578125" style="262" bestFit="1" customWidth="1"/>
    <col min="10246" max="10246" width="4.7109375" style="262" bestFit="1" customWidth="1"/>
    <col min="10247" max="10496" width="9.140625" style="262"/>
    <col min="10497" max="10497" width="27.85546875" style="262" bestFit="1" customWidth="1"/>
    <col min="10498" max="10498" width="14.7109375" style="262" bestFit="1" customWidth="1"/>
    <col min="10499" max="10499" width="11.42578125" style="262" bestFit="1" customWidth="1"/>
    <col min="10500" max="10500" width="14.7109375" style="262" bestFit="1" customWidth="1"/>
    <col min="10501" max="10501" width="11.42578125" style="262" bestFit="1" customWidth="1"/>
    <col min="10502" max="10502" width="4.7109375" style="262" bestFit="1" customWidth="1"/>
    <col min="10503" max="10752" width="9.140625" style="262"/>
    <col min="10753" max="10753" width="27.85546875" style="262" bestFit="1" customWidth="1"/>
    <col min="10754" max="10754" width="14.7109375" style="262" bestFit="1" customWidth="1"/>
    <col min="10755" max="10755" width="11.42578125" style="262" bestFit="1" customWidth="1"/>
    <col min="10756" max="10756" width="14.7109375" style="262" bestFit="1" customWidth="1"/>
    <col min="10757" max="10757" width="11.42578125" style="262" bestFit="1" customWidth="1"/>
    <col min="10758" max="10758" width="4.7109375" style="262" bestFit="1" customWidth="1"/>
    <col min="10759" max="11008" width="9.140625" style="262"/>
    <col min="11009" max="11009" width="27.85546875" style="262" bestFit="1" customWidth="1"/>
    <col min="11010" max="11010" width="14.7109375" style="262" bestFit="1" customWidth="1"/>
    <col min="11011" max="11011" width="11.42578125" style="262" bestFit="1" customWidth="1"/>
    <col min="11012" max="11012" width="14.7109375" style="262" bestFit="1" customWidth="1"/>
    <col min="11013" max="11013" width="11.42578125" style="262" bestFit="1" customWidth="1"/>
    <col min="11014" max="11014" width="4.7109375" style="262" bestFit="1" customWidth="1"/>
    <col min="11015" max="11264" width="9.140625" style="262"/>
    <col min="11265" max="11265" width="27.85546875" style="262" bestFit="1" customWidth="1"/>
    <col min="11266" max="11266" width="14.7109375" style="262" bestFit="1" customWidth="1"/>
    <col min="11267" max="11267" width="11.42578125" style="262" bestFit="1" customWidth="1"/>
    <col min="11268" max="11268" width="14.7109375" style="262" bestFit="1" customWidth="1"/>
    <col min="11269" max="11269" width="11.42578125" style="262" bestFit="1" customWidth="1"/>
    <col min="11270" max="11270" width="4.7109375" style="262" bestFit="1" customWidth="1"/>
    <col min="11271" max="11520" width="9.140625" style="262"/>
    <col min="11521" max="11521" width="27.85546875" style="262" bestFit="1" customWidth="1"/>
    <col min="11522" max="11522" width="14.7109375" style="262" bestFit="1" customWidth="1"/>
    <col min="11523" max="11523" width="11.42578125" style="262" bestFit="1" customWidth="1"/>
    <col min="11524" max="11524" width="14.7109375" style="262" bestFit="1" customWidth="1"/>
    <col min="11525" max="11525" width="11.42578125" style="262" bestFit="1" customWidth="1"/>
    <col min="11526" max="11526" width="4.7109375" style="262" bestFit="1" customWidth="1"/>
    <col min="11527" max="11776" width="9.140625" style="262"/>
    <col min="11777" max="11777" width="27.85546875" style="262" bestFit="1" customWidth="1"/>
    <col min="11778" max="11778" width="14.7109375" style="262" bestFit="1" customWidth="1"/>
    <col min="11779" max="11779" width="11.42578125" style="262" bestFit="1" customWidth="1"/>
    <col min="11780" max="11780" width="14.7109375" style="262" bestFit="1" customWidth="1"/>
    <col min="11781" max="11781" width="11.42578125" style="262" bestFit="1" customWidth="1"/>
    <col min="11782" max="11782" width="4.7109375" style="262" bestFit="1" customWidth="1"/>
    <col min="11783" max="12032" width="9.140625" style="262"/>
    <col min="12033" max="12033" width="27.85546875" style="262" bestFit="1" customWidth="1"/>
    <col min="12034" max="12034" width="14.7109375" style="262" bestFit="1" customWidth="1"/>
    <col min="12035" max="12035" width="11.42578125" style="262" bestFit="1" customWidth="1"/>
    <col min="12036" max="12036" width="14.7109375" style="262" bestFit="1" customWidth="1"/>
    <col min="12037" max="12037" width="11.42578125" style="262" bestFit="1" customWidth="1"/>
    <col min="12038" max="12038" width="4.7109375" style="262" bestFit="1" customWidth="1"/>
    <col min="12039" max="12288" width="9.140625" style="262"/>
    <col min="12289" max="12289" width="27.85546875" style="262" bestFit="1" customWidth="1"/>
    <col min="12290" max="12290" width="14.7109375" style="262" bestFit="1" customWidth="1"/>
    <col min="12291" max="12291" width="11.42578125" style="262" bestFit="1" customWidth="1"/>
    <col min="12292" max="12292" width="14.7109375" style="262" bestFit="1" customWidth="1"/>
    <col min="12293" max="12293" width="11.42578125" style="262" bestFit="1" customWidth="1"/>
    <col min="12294" max="12294" width="4.7109375" style="262" bestFit="1" customWidth="1"/>
    <col min="12295" max="12544" width="9.140625" style="262"/>
    <col min="12545" max="12545" width="27.85546875" style="262" bestFit="1" customWidth="1"/>
    <col min="12546" max="12546" width="14.7109375" style="262" bestFit="1" customWidth="1"/>
    <col min="12547" max="12547" width="11.42578125" style="262" bestFit="1" customWidth="1"/>
    <col min="12548" max="12548" width="14.7109375" style="262" bestFit="1" customWidth="1"/>
    <col min="12549" max="12549" width="11.42578125" style="262" bestFit="1" customWidth="1"/>
    <col min="12550" max="12550" width="4.7109375" style="262" bestFit="1" customWidth="1"/>
    <col min="12551" max="12800" width="9.140625" style="262"/>
    <col min="12801" max="12801" width="27.85546875" style="262" bestFit="1" customWidth="1"/>
    <col min="12802" max="12802" width="14.7109375" style="262" bestFit="1" customWidth="1"/>
    <col min="12803" max="12803" width="11.42578125" style="262" bestFit="1" customWidth="1"/>
    <col min="12804" max="12804" width="14.7109375" style="262" bestFit="1" customWidth="1"/>
    <col min="12805" max="12805" width="11.42578125" style="262" bestFit="1" customWidth="1"/>
    <col min="12806" max="12806" width="4.7109375" style="262" bestFit="1" customWidth="1"/>
    <col min="12807" max="13056" width="9.140625" style="262"/>
    <col min="13057" max="13057" width="27.85546875" style="262" bestFit="1" customWidth="1"/>
    <col min="13058" max="13058" width="14.7109375" style="262" bestFit="1" customWidth="1"/>
    <col min="13059" max="13059" width="11.42578125" style="262" bestFit="1" customWidth="1"/>
    <col min="13060" max="13060" width="14.7109375" style="262" bestFit="1" customWidth="1"/>
    <col min="13061" max="13061" width="11.42578125" style="262" bestFit="1" customWidth="1"/>
    <col min="13062" max="13062" width="4.7109375" style="262" bestFit="1" customWidth="1"/>
    <col min="13063" max="13312" width="9.140625" style="262"/>
    <col min="13313" max="13313" width="27.85546875" style="262" bestFit="1" customWidth="1"/>
    <col min="13314" max="13314" width="14.7109375" style="262" bestFit="1" customWidth="1"/>
    <col min="13315" max="13315" width="11.42578125" style="262" bestFit="1" customWidth="1"/>
    <col min="13316" max="13316" width="14.7109375" style="262" bestFit="1" customWidth="1"/>
    <col min="13317" max="13317" width="11.42578125" style="262" bestFit="1" customWidth="1"/>
    <col min="13318" max="13318" width="4.7109375" style="262" bestFit="1" customWidth="1"/>
    <col min="13319" max="13568" width="9.140625" style="262"/>
    <col min="13569" max="13569" width="27.85546875" style="262" bestFit="1" customWidth="1"/>
    <col min="13570" max="13570" width="14.7109375" style="262" bestFit="1" customWidth="1"/>
    <col min="13571" max="13571" width="11.42578125" style="262" bestFit="1" customWidth="1"/>
    <col min="13572" max="13572" width="14.7109375" style="262" bestFit="1" customWidth="1"/>
    <col min="13573" max="13573" width="11.42578125" style="262" bestFit="1" customWidth="1"/>
    <col min="13574" max="13574" width="4.7109375" style="262" bestFit="1" customWidth="1"/>
    <col min="13575" max="13824" width="9.140625" style="262"/>
    <col min="13825" max="13825" width="27.85546875" style="262" bestFit="1" customWidth="1"/>
    <col min="13826" max="13826" width="14.7109375" style="262" bestFit="1" customWidth="1"/>
    <col min="13827" max="13827" width="11.42578125" style="262" bestFit="1" customWidth="1"/>
    <col min="13828" max="13828" width="14.7109375" style="262" bestFit="1" customWidth="1"/>
    <col min="13829" max="13829" width="11.42578125" style="262" bestFit="1" customWidth="1"/>
    <col min="13830" max="13830" width="4.7109375" style="262" bestFit="1" customWidth="1"/>
    <col min="13831" max="14080" width="9.140625" style="262"/>
    <col min="14081" max="14081" width="27.85546875" style="262" bestFit="1" customWidth="1"/>
    <col min="14082" max="14082" width="14.7109375" style="262" bestFit="1" customWidth="1"/>
    <col min="14083" max="14083" width="11.42578125" style="262" bestFit="1" customWidth="1"/>
    <col min="14084" max="14084" width="14.7109375" style="262" bestFit="1" customWidth="1"/>
    <col min="14085" max="14085" width="11.42578125" style="262" bestFit="1" customWidth="1"/>
    <col min="14086" max="14086" width="4.7109375" style="262" bestFit="1" customWidth="1"/>
    <col min="14087" max="14336" width="9.140625" style="262"/>
    <col min="14337" max="14337" width="27.85546875" style="262" bestFit="1" customWidth="1"/>
    <col min="14338" max="14338" width="14.7109375" style="262" bestFit="1" customWidth="1"/>
    <col min="14339" max="14339" width="11.42578125" style="262" bestFit="1" customWidth="1"/>
    <col min="14340" max="14340" width="14.7109375" style="262" bestFit="1" customWidth="1"/>
    <col min="14341" max="14341" width="11.42578125" style="262" bestFit="1" customWidth="1"/>
    <col min="14342" max="14342" width="4.7109375" style="262" bestFit="1" customWidth="1"/>
    <col min="14343" max="14592" width="9.140625" style="262"/>
    <col min="14593" max="14593" width="27.85546875" style="262" bestFit="1" customWidth="1"/>
    <col min="14594" max="14594" width="14.7109375" style="262" bestFit="1" customWidth="1"/>
    <col min="14595" max="14595" width="11.42578125" style="262" bestFit="1" customWidth="1"/>
    <col min="14596" max="14596" width="14.7109375" style="262" bestFit="1" customWidth="1"/>
    <col min="14597" max="14597" width="11.42578125" style="262" bestFit="1" customWidth="1"/>
    <col min="14598" max="14598" width="4.7109375" style="262" bestFit="1" customWidth="1"/>
    <col min="14599" max="14848" width="9.140625" style="262"/>
    <col min="14849" max="14849" width="27.85546875" style="262" bestFit="1" customWidth="1"/>
    <col min="14850" max="14850" width="14.7109375" style="262" bestFit="1" customWidth="1"/>
    <col min="14851" max="14851" width="11.42578125" style="262" bestFit="1" customWidth="1"/>
    <col min="14852" max="14852" width="14.7109375" style="262" bestFit="1" customWidth="1"/>
    <col min="14853" max="14853" width="11.42578125" style="262" bestFit="1" customWidth="1"/>
    <col min="14854" max="14854" width="4.7109375" style="262" bestFit="1" customWidth="1"/>
    <col min="14855" max="15104" width="9.140625" style="262"/>
    <col min="15105" max="15105" width="27.85546875" style="262" bestFit="1" customWidth="1"/>
    <col min="15106" max="15106" width="14.7109375" style="262" bestFit="1" customWidth="1"/>
    <col min="15107" max="15107" width="11.42578125" style="262" bestFit="1" customWidth="1"/>
    <col min="15108" max="15108" width="14.7109375" style="262" bestFit="1" customWidth="1"/>
    <col min="15109" max="15109" width="11.42578125" style="262" bestFit="1" customWidth="1"/>
    <col min="15110" max="15110" width="4.7109375" style="262" bestFit="1" customWidth="1"/>
    <col min="15111" max="15360" width="9.140625" style="262"/>
    <col min="15361" max="15361" width="27.85546875" style="262" bestFit="1" customWidth="1"/>
    <col min="15362" max="15362" width="14.7109375" style="262" bestFit="1" customWidth="1"/>
    <col min="15363" max="15363" width="11.42578125" style="262" bestFit="1" customWidth="1"/>
    <col min="15364" max="15364" width="14.7109375" style="262" bestFit="1" customWidth="1"/>
    <col min="15365" max="15365" width="11.42578125" style="262" bestFit="1" customWidth="1"/>
    <col min="15366" max="15366" width="4.7109375" style="262" bestFit="1" customWidth="1"/>
    <col min="15367" max="15616" width="9.140625" style="262"/>
    <col min="15617" max="15617" width="27.85546875" style="262" bestFit="1" customWidth="1"/>
    <col min="15618" max="15618" width="14.7109375" style="262" bestFit="1" customWidth="1"/>
    <col min="15619" max="15619" width="11.42578125" style="262" bestFit="1" customWidth="1"/>
    <col min="15620" max="15620" width="14.7109375" style="262" bestFit="1" customWidth="1"/>
    <col min="15621" max="15621" width="11.42578125" style="262" bestFit="1" customWidth="1"/>
    <col min="15622" max="15622" width="4.7109375" style="262" bestFit="1" customWidth="1"/>
    <col min="15623" max="15872" width="9.140625" style="262"/>
    <col min="15873" max="15873" width="27.85546875" style="262" bestFit="1" customWidth="1"/>
    <col min="15874" max="15874" width="14.7109375" style="262" bestFit="1" customWidth="1"/>
    <col min="15875" max="15875" width="11.42578125" style="262" bestFit="1" customWidth="1"/>
    <col min="15876" max="15876" width="14.7109375" style="262" bestFit="1" customWidth="1"/>
    <col min="15877" max="15877" width="11.42578125" style="262" bestFit="1" customWidth="1"/>
    <col min="15878" max="15878" width="4.7109375" style="262" bestFit="1" customWidth="1"/>
    <col min="15879" max="16128" width="9.140625" style="262"/>
    <col min="16129" max="16129" width="27.85546875" style="262" bestFit="1" customWidth="1"/>
    <col min="16130" max="16130" width="14.7109375" style="262" bestFit="1" customWidth="1"/>
    <col min="16131" max="16131" width="11.42578125" style="262" bestFit="1" customWidth="1"/>
    <col min="16132" max="16132" width="14.7109375" style="262" bestFit="1" customWidth="1"/>
    <col min="16133" max="16133" width="11.42578125" style="262" bestFit="1" customWidth="1"/>
    <col min="16134" max="16134" width="4.7109375" style="262" bestFit="1" customWidth="1"/>
    <col min="16135" max="16384" width="9.140625" style="262"/>
  </cols>
  <sheetData>
    <row r="1" spans="1:8" ht="18.75" customHeight="1" x14ac:dyDescent="0.2">
      <c r="A1" s="351" t="s">
        <v>9</v>
      </c>
      <c r="B1" s="351"/>
      <c r="C1" s="351"/>
      <c r="D1" s="351"/>
      <c r="E1" s="351"/>
    </row>
    <row r="2" spans="1:8" s="265" customFormat="1" ht="15" customHeight="1" x14ac:dyDescent="0.2">
      <c r="A2" s="355" t="s">
        <v>200</v>
      </c>
      <c r="B2" s="366" t="s">
        <v>201</v>
      </c>
      <c r="C2" s="368"/>
      <c r="D2" s="366" t="s">
        <v>167</v>
      </c>
      <c r="E2" s="368"/>
    </row>
    <row r="3" spans="1:8" s="265" customFormat="1" ht="27" customHeight="1" x14ac:dyDescent="0.2">
      <c r="A3" s="356"/>
      <c r="B3" s="269" t="s">
        <v>180</v>
      </c>
      <c r="C3" s="270" t="s">
        <v>202</v>
      </c>
      <c r="D3" s="269" t="s">
        <v>180</v>
      </c>
      <c r="E3" s="270" t="s">
        <v>155</v>
      </c>
    </row>
    <row r="4" spans="1:8" s="265" customFormat="1" ht="18" customHeight="1" x14ac:dyDescent="0.2">
      <c r="A4" s="288" t="s">
        <v>203</v>
      </c>
      <c r="B4" s="268">
        <v>0</v>
      </c>
      <c r="C4" s="289">
        <v>0</v>
      </c>
      <c r="D4" s="267">
        <v>0</v>
      </c>
      <c r="E4" s="289">
        <v>0</v>
      </c>
      <c r="G4" s="350"/>
      <c r="H4" s="350"/>
    </row>
    <row r="5" spans="1:8" s="265" customFormat="1" ht="18" customHeight="1" x14ac:dyDescent="0.2">
      <c r="A5" s="288" t="s">
        <v>204</v>
      </c>
      <c r="B5" s="268">
        <v>1</v>
      </c>
      <c r="C5" s="289">
        <v>8.58</v>
      </c>
      <c r="D5" s="267">
        <v>0</v>
      </c>
      <c r="E5" s="289">
        <v>0</v>
      </c>
      <c r="G5" s="350"/>
      <c r="H5" s="350"/>
    </row>
    <row r="6" spans="1:8" s="265" customFormat="1" ht="18" customHeight="1" x14ac:dyDescent="0.2">
      <c r="A6" s="288" t="s">
        <v>205</v>
      </c>
      <c r="B6" s="268">
        <v>1</v>
      </c>
      <c r="C6" s="289">
        <v>1131.187627</v>
      </c>
      <c r="D6" s="267">
        <v>0</v>
      </c>
      <c r="E6" s="289">
        <v>0</v>
      </c>
      <c r="G6" s="350"/>
      <c r="H6" s="350"/>
    </row>
    <row r="7" spans="1:8" s="265" customFormat="1" ht="18" customHeight="1" x14ac:dyDescent="0.2">
      <c r="A7" s="288" t="s">
        <v>206</v>
      </c>
      <c r="B7" s="268">
        <v>4</v>
      </c>
      <c r="C7" s="289">
        <v>542.19290000000001</v>
      </c>
      <c r="D7" s="267">
        <v>0</v>
      </c>
      <c r="E7" s="289">
        <v>0</v>
      </c>
      <c r="G7" s="350"/>
      <c r="H7" s="350"/>
    </row>
    <row r="8" spans="1:8" s="265" customFormat="1" ht="18" customHeight="1" x14ac:dyDescent="0.2">
      <c r="A8" s="288" t="s">
        <v>207</v>
      </c>
      <c r="B8" s="268">
        <v>4</v>
      </c>
      <c r="C8" s="289">
        <v>621.73783019999996</v>
      </c>
      <c r="D8" s="267">
        <v>0</v>
      </c>
      <c r="E8" s="289">
        <v>0</v>
      </c>
      <c r="G8" s="350"/>
      <c r="H8" s="350"/>
    </row>
    <row r="9" spans="1:8" s="265" customFormat="1" ht="18" customHeight="1" x14ac:dyDescent="0.2">
      <c r="A9" s="288" t="s">
        <v>208</v>
      </c>
      <c r="B9" s="268">
        <v>2</v>
      </c>
      <c r="C9" s="289">
        <v>58.525199999999998</v>
      </c>
      <c r="D9" s="267">
        <v>1</v>
      </c>
      <c r="E9" s="289">
        <v>39.78</v>
      </c>
      <c r="G9" s="350"/>
      <c r="H9" s="350"/>
    </row>
    <row r="10" spans="1:8" s="265" customFormat="1" ht="18" customHeight="1" x14ac:dyDescent="0.2">
      <c r="A10" s="288" t="s">
        <v>209</v>
      </c>
      <c r="B10" s="268">
        <v>8</v>
      </c>
      <c r="C10" s="289">
        <v>266.21511220000002</v>
      </c>
      <c r="D10" s="267">
        <v>1</v>
      </c>
      <c r="E10" s="289">
        <v>7.21</v>
      </c>
      <c r="G10" s="350"/>
      <c r="H10" s="350"/>
    </row>
    <row r="11" spans="1:8" s="265" customFormat="1" ht="18" customHeight="1" x14ac:dyDescent="0.2">
      <c r="A11" s="288" t="s">
        <v>210</v>
      </c>
      <c r="B11" s="268">
        <v>9</v>
      </c>
      <c r="C11" s="289">
        <v>466.73480000000001</v>
      </c>
      <c r="D11" s="267">
        <v>0</v>
      </c>
      <c r="E11" s="289">
        <v>0</v>
      </c>
      <c r="G11" s="350"/>
      <c r="H11" s="350"/>
    </row>
    <row r="12" spans="1:8" s="265" customFormat="1" ht="18" customHeight="1" x14ac:dyDescent="0.2">
      <c r="A12" s="288" t="s">
        <v>211</v>
      </c>
      <c r="B12" s="268">
        <v>1</v>
      </c>
      <c r="C12" s="289">
        <v>1.35</v>
      </c>
      <c r="D12" s="267">
        <v>0</v>
      </c>
      <c r="E12" s="289">
        <v>0</v>
      </c>
      <c r="G12" s="350"/>
      <c r="H12" s="350"/>
    </row>
    <row r="13" spans="1:8" s="265" customFormat="1" ht="18" customHeight="1" x14ac:dyDescent="0.2">
      <c r="A13" s="288" t="s">
        <v>212</v>
      </c>
      <c r="B13" s="268">
        <v>29</v>
      </c>
      <c r="C13" s="289">
        <v>40420.437183000002</v>
      </c>
      <c r="D13" s="267">
        <v>3</v>
      </c>
      <c r="E13" s="289">
        <v>2835.67</v>
      </c>
      <c r="G13" s="350"/>
      <c r="H13" s="350"/>
    </row>
    <row r="14" spans="1:8" s="265" customFormat="1" ht="18" customHeight="1" x14ac:dyDescent="0.2">
      <c r="A14" s="288" t="s">
        <v>213</v>
      </c>
      <c r="B14" s="268">
        <v>4</v>
      </c>
      <c r="C14" s="289">
        <v>90.422319999999999</v>
      </c>
      <c r="D14" s="267">
        <v>0</v>
      </c>
      <c r="E14" s="289">
        <v>0</v>
      </c>
      <c r="G14" s="350"/>
      <c r="H14" s="350"/>
    </row>
    <row r="15" spans="1:8" s="265" customFormat="1" ht="18" customHeight="1" x14ac:dyDescent="0.2">
      <c r="A15" s="288" t="s">
        <v>214</v>
      </c>
      <c r="B15" s="268">
        <v>3</v>
      </c>
      <c r="C15" s="289">
        <v>58.301400000000001</v>
      </c>
      <c r="D15" s="267">
        <v>0</v>
      </c>
      <c r="E15" s="289">
        <v>0</v>
      </c>
      <c r="G15" s="350"/>
      <c r="H15" s="350"/>
    </row>
    <row r="16" spans="1:8" s="265" customFormat="1" ht="18" customHeight="1" x14ac:dyDescent="0.2">
      <c r="A16" s="288" t="s">
        <v>215</v>
      </c>
      <c r="B16" s="268">
        <v>3</v>
      </c>
      <c r="C16" s="289">
        <v>1646.7239999999999</v>
      </c>
      <c r="D16" s="267">
        <v>1</v>
      </c>
      <c r="E16" s="289">
        <v>3.6</v>
      </c>
      <c r="G16" s="350"/>
      <c r="H16" s="350"/>
    </row>
    <row r="17" spans="1:8" s="265" customFormat="1" ht="18" customHeight="1" x14ac:dyDescent="0.2">
      <c r="A17" s="288" t="s">
        <v>216</v>
      </c>
      <c r="B17" s="268">
        <v>2</v>
      </c>
      <c r="C17" s="289">
        <v>44.800199999999997</v>
      </c>
      <c r="D17" s="267">
        <v>0</v>
      </c>
      <c r="E17" s="289">
        <v>0</v>
      </c>
      <c r="G17" s="350"/>
      <c r="H17" s="350"/>
    </row>
    <row r="18" spans="1:8" s="265" customFormat="1" ht="18" customHeight="1" x14ac:dyDescent="0.2">
      <c r="A18" s="288" t="s">
        <v>217</v>
      </c>
      <c r="B18" s="268">
        <v>74</v>
      </c>
      <c r="C18" s="289">
        <v>8189.352265999999</v>
      </c>
      <c r="D18" s="267">
        <v>6</v>
      </c>
      <c r="E18" s="289">
        <v>302.45999999999998</v>
      </c>
      <c r="G18" s="350"/>
      <c r="H18" s="350"/>
    </row>
    <row r="19" spans="1:8" s="265" customFormat="1" ht="18" customHeight="1" x14ac:dyDescent="0.2">
      <c r="A19" s="288" t="s">
        <v>218</v>
      </c>
      <c r="B19" s="268">
        <v>0</v>
      </c>
      <c r="C19" s="289">
        <v>0</v>
      </c>
      <c r="D19" s="267">
        <v>0</v>
      </c>
      <c r="E19" s="289">
        <v>0</v>
      </c>
      <c r="G19" s="350"/>
      <c r="H19" s="350"/>
    </row>
    <row r="20" spans="1:8" s="265" customFormat="1" ht="18" customHeight="1" x14ac:dyDescent="0.2">
      <c r="A20" s="288" t="s">
        <v>219</v>
      </c>
      <c r="B20" s="268">
        <v>0</v>
      </c>
      <c r="C20" s="289">
        <v>0</v>
      </c>
      <c r="D20" s="267">
        <v>0</v>
      </c>
      <c r="E20" s="289">
        <v>0</v>
      </c>
      <c r="G20" s="350"/>
      <c r="H20" s="350"/>
    </row>
    <row r="21" spans="1:8" s="265" customFormat="1" ht="18" customHeight="1" x14ac:dyDescent="0.2">
      <c r="A21" s="288" t="s">
        <v>220</v>
      </c>
      <c r="B21" s="268">
        <v>10</v>
      </c>
      <c r="C21" s="289">
        <v>1321.425121</v>
      </c>
      <c r="D21" s="267">
        <v>1</v>
      </c>
      <c r="E21" s="289">
        <v>8.32</v>
      </c>
      <c r="G21" s="350"/>
      <c r="H21" s="350"/>
    </row>
    <row r="22" spans="1:8" s="265" customFormat="1" ht="18" customHeight="1" x14ac:dyDescent="0.2">
      <c r="A22" s="288" t="s">
        <v>221</v>
      </c>
      <c r="B22" s="268">
        <v>2</v>
      </c>
      <c r="C22" s="289">
        <v>38.520000000000003</v>
      </c>
      <c r="D22" s="267">
        <v>0</v>
      </c>
      <c r="E22" s="289">
        <v>0</v>
      </c>
      <c r="G22" s="350"/>
      <c r="H22" s="350"/>
    </row>
    <row r="23" spans="1:8" s="265" customFormat="1" ht="18" customHeight="1" x14ac:dyDescent="0.2">
      <c r="A23" s="288" t="s">
        <v>222</v>
      </c>
      <c r="B23" s="268">
        <v>0</v>
      </c>
      <c r="C23" s="289">
        <v>0</v>
      </c>
      <c r="D23" s="267">
        <v>0</v>
      </c>
      <c r="E23" s="289">
        <v>0</v>
      </c>
      <c r="G23" s="350"/>
      <c r="H23" s="350"/>
    </row>
    <row r="24" spans="1:8" s="265" customFormat="1" ht="18" customHeight="1" x14ac:dyDescent="0.2">
      <c r="A24" s="288" t="s">
        <v>223</v>
      </c>
      <c r="B24" s="268">
        <v>0</v>
      </c>
      <c r="C24" s="289">
        <v>0</v>
      </c>
      <c r="D24" s="267">
        <v>0</v>
      </c>
      <c r="E24" s="289">
        <v>0</v>
      </c>
      <c r="G24" s="350"/>
      <c r="H24" s="350"/>
    </row>
    <row r="25" spans="1:8" s="265" customFormat="1" ht="18" customHeight="1" x14ac:dyDescent="0.2">
      <c r="A25" s="288" t="s">
        <v>224</v>
      </c>
      <c r="B25" s="268">
        <v>1</v>
      </c>
      <c r="C25" s="289">
        <v>10.08</v>
      </c>
      <c r="D25" s="267">
        <v>0</v>
      </c>
      <c r="E25" s="289">
        <v>0</v>
      </c>
      <c r="G25" s="350"/>
      <c r="H25" s="350"/>
    </row>
    <row r="26" spans="1:8" s="265" customFormat="1" ht="18" customHeight="1" x14ac:dyDescent="0.2">
      <c r="A26" s="288" t="s">
        <v>225</v>
      </c>
      <c r="B26" s="268">
        <v>0</v>
      </c>
      <c r="C26" s="289">
        <v>0</v>
      </c>
      <c r="D26" s="267">
        <v>0</v>
      </c>
      <c r="E26" s="289">
        <v>0</v>
      </c>
      <c r="G26" s="350"/>
      <c r="H26" s="350"/>
    </row>
    <row r="27" spans="1:8" s="265" customFormat="1" ht="18" customHeight="1" x14ac:dyDescent="0.2">
      <c r="A27" s="288" t="s">
        <v>150</v>
      </c>
      <c r="B27" s="268">
        <v>158</v>
      </c>
      <c r="C27" s="289">
        <v>54916.585959999997</v>
      </c>
      <c r="D27" s="267">
        <v>13</v>
      </c>
      <c r="E27" s="289">
        <v>3197.04</v>
      </c>
      <c r="G27" s="350"/>
      <c r="H27" s="350"/>
    </row>
    <row r="28" spans="1:8" s="265" customFormat="1" ht="15" customHeight="1" x14ac:dyDescent="0.2">
      <c r="A28" s="353" t="s">
        <v>106</v>
      </c>
      <c r="B28" s="353"/>
      <c r="C28" s="353"/>
    </row>
    <row r="29" spans="1:8" s="265" customFormat="1" ht="13.5" customHeight="1" x14ac:dyDescent="0.2">
      <c r="A29" s="353" t="s">
        <v>133</v>
      </c>
      <c r="B29" s="353"/>
      <c r="C29" s="353"/>
    </row>
    <row r="30" spans="1:8" s="265" customFormat="1" ht="28.35" customHeight="1" x14ac:dyDescent="0.2"/>
  </sheetData>
  <mergeCells count="6">
    <mergeCell ref="A29:C29"/>
    <mergeCell ref="A1:E1"/>
    <mergeCell ref="A2:A3"/>
    <mergeCell ref="B2:C2"/>
    <mergeCell ref="D2:E2"/>
    <mergeCell ref="A28:C28"/>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FFFF00"/>
    <pageSetUpPr fitToPage="1"/>
  </sheetPr>
  <dimension ref="A1:S21"/>
  <sheetViews>
    <sheetView workbookViewId="0">
      <selection sqref="A1:R1"/>
    </sheetView>
  </sheetViews>
  <sheetFormatPr defaultRowHeight="12.75" x14ac:dyDescent="0.2"/>
  <cols>
    <col min="1" max="11" width="14.7109375" style="262" bestFit="1" customWidth="1"/>
    <col min="12" max="12" width="14.42578125" style="262" bestFit="1" customWidth="1"/>
    <col min="13" max="13" width="15" style="262" bestFit="1" customWidth="1"/>
    <col min="14" max="19" width="14.7109375" style="262" bestFit="1" customWidth="1"/>
    <col min="20" max="20" width="4.7109375" style="262" bestFit="1" customWidth="1"/>
    <col min="21" max="256" width="9.140625" style="262"/>
    <col min="257" max="267" width="14.7109375" style="262" bestFit="1" customWidth="1"/>
    <col min="268" max="268" width="14.42578125" style="262" bestFit="1" customWidth="1"/>
    <col min="269" max="269" width="15" style="262" bestFit="1" customWidth="1"/>
    <col min="270" max="275" width="14.7109375" style="262" bestFit="1" customWidth="1"/>
    <col min="276" max="276" width="4.7109375" style="262" bestFit="1" customWidth="1"/>
    <col min="277" max="512" width="9.140625" style="262"/>
    <col min="513" max="523" width="14.7109375" style="262" bestFit="1" customWidth="1"/>
    <col min="524" max="524" width="14.42578125" style="262" bestFit="1" customWidth="1"/>
    <col min="525" max="525" width="15" style="262" bestFit="1" customWidth="1"/>
    <col min="526" max="531" width="14.7109375" style="262" bestFit="1" customWidth="1"/>
    <col min="532" max="532" width="4.7109375" style="262" bestFit="1" customWidth="1"/>
    <col min="533" max="768" width="9.140625" style="262"/>
    <col min="769" max="779" width="14.7109375" style="262" bestFit="1" customWidth="1"/>
    <col min="780" max="780" width="14.42578125" style="262" bestFit="1" customWidth="1"/>
    <col min="781" max="781" width="15" style="262" bestFit="1" customWidth="1"/>
    <col min="782" max="787" width="14.7109375" style="262" bestFit="1" customWidth="1"/>
    <col min="788" max="788" width="4.7109375" style="262" bestFit="1" customWidth="1"/>
    <col min="789" max="1024" width="9.140625" style="262"/>
    <col min="1025" max="1035" width="14.7109375" style="262" bestFit="1" customWidth="1"/>
    <col min="1036" max="1036" width="14.42578125" style="262" bestFit="1" customWidth="1"/>
    <col min="1037" max="1037" width="15" style="262" bestFit="1" customWidth="1"/>
    <col min="1038" max="1043" width="14.7109375" style="262" bestFit="1" customWidth="1"/>
    <col min="1044" max="1044" width="4.7109375" style="262" bestFit="1" customWidth="1"/>
    <col min="1045" max="1280" width="9.140625" style="262"/>
    <col min="1281" max="1291" width="14.7109375" style="262" bestFit="1" customWidth="1"/>
    <col min="1292" max="1292" width="14.42578125" style="262" bestFit="1" customWidth="1"/>
    <col min="1293" max="1293" width="15" style="262" bestFit="1" customWidth="1"/>
    <col min="1294" max="1299" width="14.7109375" style="262" bestFit="1" customWidth="1"/>
    <col min="1300" max="1300" width="4.7109375" style="262" bestFit="1" customWidth="1"/>
    <col min="1301" max="1536" width="9.140625" style="262"/>
    <col min="1537" max="1547" width="14.7109375" style="262" bestFit="1" customWidth="1"/>
    <col min="1548" max="1548" width="14.42578125" style="262" bestFit="1" customWidth="1"/>
    <col min="1549" max="1549" width="15" style="262" bestFit="1" customWidth="1"/>
    <col min="1550" max="1555" width="14.7109375" style="262" bestFit="1" customWidth="1"/>
    <col min="1556" max="1556" width="4.7109375" style="262" bestFit="1" customWidth="1"/>
    <col min="1557" max="1792" width="9.140625" style="262"/>
    <col min="1793" max="1803" width="14.7109375" style="262" bestFit="1" customWidth="1"/>
    <col min="1804" max="1804" width="14.42578125" style="262" bestFit="1" customWidth="1"/>
    <col min="1805" max="1805" width="15" style="262" bestFit="1" customWidth="1"/>
    <col min="1806" max="1811" width="14.7109375" style="262" bestFit="1" customWidth="1"/>
    <col min="1812" max="1812" width="4.7109375" style="262" bestFit="1" customWidth="1"/>
    <col min="1813" max="2048" width="9.140625" style="262"/>
    <col min="2049" max="2059" width="14.7109375" style="262" bestFit="1" customWidth="1"/>
    <col min="2060" max="2060" width="14.42578125" style="262" bestFit="1" customWidth="1"/>
    <col min="2061" max="2061" width="15" style="262" bestFit="1" customWidth="1"/>
    <col min="2062" max="2067" width="14.7109375" style="262" bestFit="1" customWidth="1"/>
    <col min="2068" max="2068" width="4.7109375" style="262" bestFit="1" customWidth="1"/>
    <col min="2069" max="2304" width="9.140625" style="262"/>
    <col min="2305" max="2315" width="14.7109375" style="262" bestFit="1" customWidth="1"/>
    <col min="2316" max="2316" width="14.42578125" style="262" bestFit="1" customWidth="1"/>
    <col min="2317" max="2317" width="15" style="262" bestFit="1" customWidth="1"/>
    <col min="2318" max="2323" width="14.7109375" style="262" bestFit="1" customWidth="1"/>
    <col min="2324" max="2324" width="4.7109375" style="262" bestFit="1" customWidth="1"/>
    <col min="2325" max="2560" width="9.140625" style="262"/>
    <col min="2561" max="2571" width="14.7109375" style="262" bestFit="1" customWidth="1"/>
    <col min="2572" max="2572" width="14.42578125" style="262" bestFit="1" customWidth="1"/>
    <col min="2573" max="2573" width="15" style="262" bestFit="1" customWidth="1"/>
    <col min="2574" max="2579" width="14.7109375" style="262" bestFit="1" customWidth="1"/>
    <col min="2580" max="2580" width="4.7109375" style="262" bestFit="1" customWidth="1"/>
    <col min="2581" max="2816" width="9.140625" style="262"/>
    <col min="2817" max="2827" width="14.7109375" style="262" bestFit="1" customWidth="1"/>
    <col min="2828" max="2828" width="14.42578125" style="262" bestFit="1" customWidth="1"/>
    <col min="2829" max="2829" width="15" style="262" bestFit="1" customWidth="1"/>
    <col min="2830" max="2835" width="14.7109375" style="262" bestFit="1" customWidth="1"/>
    <col min="2836" max="2836" width="4.7109375" style="262" bestFit="1" customWidth="1"/>
    <col min="2837" max="3072" width="9.140625" style="262"/>
    <col min="3073" max="3083" width="14.7109375" style="262" bestFit="1" customWidth="1"/>
    <col min="3084" max="3084" width="14.42578125" style="262" bestFit="1" customWidth="1"/>
    <col min="3085" max="3085" width="15" style="262" bestFit="1" customWidth="1"/>
    <col min="3086" max="3091" width="14.7109375" style="262" bestFit="1" customWidth="1"/>
    <col min="3092" max="3092" width="4.7109375" style="262" bestFit="1" customWidth="1"/>
    <col min="3093" max="3328" width="9.140625" style="262"/>
    <col min="3329" max="3339" width="14.7109375" style="262" bestFit="1" customWidth="1"/>
    <col min="3340" max="3340" width="14.42578125" style="262" bestFit="1" customWidth="1"/>
    <col min="3341" max="3341" width="15" style="262" bestFit="1" customWidth="1"/>
    <col min="3342" max="3347" width="14.7109375" style="262" bestFit="1" customWidth="1"/>
    <col min="3348" max="3348" width="4.7109375" style="262" bestFit="1" customWidth="1"/>
    <col min="3349" max="3584" width="9.140625" style="262"/>
    <col min="3585" max="3595" width="14.7109375" style="262" bestFit="1" customWidth="1"/>
    <col min="3596" max="3596" width="14.42578125" style="262" bestFit="1" customWidth="1"/>
    <col min="3597" max="3597" width="15" style="262" bestFit="1" customWidth="1"/>
    <col min="3598" max="3603" width="14.7109375" style="262" bestFit="1" customWidth="1"/>
    <col min="3604" max="3604" width="4.7109375" style="262" bestFit="1" customWidth="1"/>
    <col min="3605" max="3840" width="9.140625" style="262"/>
    <col min="3841" max="3851" width="14.7109375" style="262" bestFit="1" customWidth="1"/>
    <col min="3852" max="3852" width="14.42578125" style="262" bestFit="1" customWidth="1"/>
    <col min="3853" max="3853" width="15" style="262" bestFit="1" customWidth="1"/>
    <col min="3854" max="3859" width="14.7109375" style="262" bestFit="1" customWidth="1"/>
    <col min="3860" max="3860" width="4.7109375" style="262" bestFit="1" customWidth="1"/>
    <col min="3861" max="4096" width="9.140625" style="262"/>
    <col min="4097" max="4107" width="14.7109375" style="262" bestFit="1" customWidth="1"/>
    <col min="4108" max="4108" width="14.42578125" style="262" bestFit="1" customWidth="1"/>
    <col min="4109" max="4109" width="15" style="262" bestFit="1" customWidth="1"/>
    <col min="4110" max="4115" width="14.7109375" style="262" bestFit="1" customWidth="1"/>
    <col min="4116" max="4116" width="4.7109375" style="262" bestFit="1" customWidth="1"/>
    <col min="4117" max="4352" width="9.140625" style="262"/>
    <col min="4353" max="4363" width="14.7109375" style="262" bestFit="1" customWidth="1"/>
    <col min="4364" max="4364" width="14.42578125" style="262" bestFit="1" customWidth="1"/>
    <col min="4365" max="4365" width="15" style="262" bestFit="1" customWidth="1"/>
    <col min="4366" max="4371" width="14.7109375" style="262" bestFit="1" customWidth="1"/>
    <col min="4372" max="4372" width="4.7109375" style="262" bestFit="1" customWidth="1"/>
    <col min="4373" max="4608" width="9.140625" style="262"/>
    <col min="4609" max="4619" width="14.7109375" style="262" bestFit="1" customWidth="1"/>
    <col min="4620" max="4620" width="14.42578125" style="262" bestFit="1" customWidth="1"/>
    <col min="4621" max="4621" width="15" style="262" bestFit="1" customWidth="1"/>
    <col min="4622" max="4627" width="14.7109375" style="262" bestFit="1" customWidth="1"/>
    <col min="4628" max="4628" width="4.7109375" style="262" bestFit="1" customWidth="1"/>
    <col min="4629" max="4864" width="9.140625" style="262"/>
    <col min="4865" max="4875" width="14.7109375" style="262" bestFit="1" customWidth="1"/>
    <col min="4876" max="4876" width="14.42578125" style="262" bestFit="1" customWidth="1"/>
    <col min="4877" max="4877" width="15" style="262" bestFit="1" customWidth="1"/>
    <col min="4878" max="4883" width="14.7109375" style="262" bestFit="1" customWidth="1"/>
    <col min="4884" max="4884" width="4.7109375" style="262" bestFit="1" customWidth="1"/>
    <col min="4885" max="5120" width="9.140625" style="262"/>
    <col min="5121" max="5131" width="14.7109375" style="262" bestFit="1" customWidth="1"/>
    <col min="5132" max="5132" width="14.42578125" style="262" bestFit="1" customWidth="1"/>
    <col min="5133" max="5133" width="15" style="262" bestFit="1" customWidth="1"/>
    <col min="5134" max="5139" width="14.7109375" style="262" bestFit="1" customWidth="1"/>
    <col min="5140" max="5140" width="4.7109375" style="262" bestFit="1" customWidth="1"/>
    <col min="5141" max="5376" width="9.140625" style="262"/>
    <col min="5377" max="5387" width="14.7109375" style="262" bestFit="1" customWidth="1"/>
    <col min="5388" max="5388" width="14.42578125" style="262" bestFit="1" customWidth="1"/>
    <col min="5389" max="5389" width="15" style="262" bestFit="1" customWidth="1"/>
    <col min="5390" max="5395" width="14.7109375" style="262" bestFit="1" customWidth="1"/>
    <col min="5396" max="5396" width="4.7109375" style="262" bestFit="1" customWidth="1"/>
    <col min="5397" max="5632" width="9.140625" style="262"/>
    <col min="5633" max="5643" width="14.7109375" style="262" bestFit="1" customWidth="1"/>
    <col min="5644" max="5644" width="14.42578125" style="262" bestFit="1" customWidth="1"/>
    <col min="5645" max="5645" width="15" style="262" bestFit="1" customWidth="1"/>
    <col min="5646" max="5651" width="14.7109375" style="262" bestFit="1" customWidth="1"/>
    <col min="5652" max="5652" width="4.7109375" style="262" bestFit="1" customWidth="1"/>
    <col min="5653" max="5888" width="9.140625" style="262"/>
    <col min="5889" max="5899" width="14.7109375" style="262" bestFit="1" customWidth="1"/>
    <col min="5900" max="5900" width="14.42578125" style="262" bestFit="1" customWidth="1"/>
    <col min="5901" max="5901" width="15" style="262" bestFit="1" customWidth="1"/>
    <col min="5902" max="5907" width="14.7109375" style="262" bestFit="1" customWidth="1"/>
    <col min="5908" max="5908" width="4.7109375" style="262" bestFit="1" customWidth="1"/>
    <col min="5909" max="6144" width="9.140625" style="262"/>
    <col min="6145" max="6155" width="14.7109375" style="262" bestFit="1" customWidth="1"/>
    <col min="6156" max="6156" width="14.42578125" style="262" bestFit="1" customWidth="1"/>
    <col min="6157" max="6157" width="15" style="262" bestFit="1" customWidth="1"/>
    <col min="6158" max="6163" width="14.7109375" style="262" bestFit="1" customWidth="1"/>
    <col min="6164" max="6164" width="4.7109375" style="262" bestFit="1" customWidth="1"/>
    <col min="6165" max="6400" width="9.140625" style="262"/>
    <col min="6401" max="6411" width="14.7109375" style="262" bestFit="1" customWidth="1"/>
    <col min="6412" max="6412" width="14.42578125" style="262" bestFit="1" customWidth="1"/>
    <col min="6413" max="6413" width="15" style="262" bestFit="1" customWidth="1"/>
    <col min="6414" max="6419" width="14.7109375" style="262" bestFit="1" customWidth="1"/>
    <col min="6420" max="6420" width="4.7109375" style="262" bestFit="1" customWidth="1"/>
    <col min="6421" max="6656" width="9.140625" style="262"/>
    <col min="6657" max="6667" width="14.7109375" style="262" bestFit="1" customWidth="1"/>
    <col min="6668" max="6668" width="14.42578125" style="262" bestFit="1" customWidth="1"/>
    <col min="6669" max="6669" width="15" style="262" bestFit="1" customWidth="1"/>
    <col min="6670" max="6675" width="14.7109375" style="262" bestFit="1" customWidth="1"/>
    <col min="6676" max="6676" width="4.7109375" style="262" bestFit="1" customWidth="1"/>
    <col min="6677" max="6912" width="9.140625" style="262"/>
    <col min="6913" max="6923" width="14.7109375" style="262" bestFit="1" customWidth="1"/>
    <col min="6924" max="6924" width="14.42578125" style="262" bestFit="1" customWidth="1"/>
    <col min="6925" max="6925" width="15" style="262" bestFit="1" customWidth="1"/>
    <col min="6926" max="6931" width="14.7109375" style="262" bestFit="1" customWidth="1"/>
    <col min="6932" max="6932" width="4.7109375" style="262" bestFit="1" customWidth="1"/>
    <col min="6933" max="7168" width="9.140625" style="262"/>
    <col min="7169" max="7179" width="14.7109375" style="262" bestFit="1" customWidth="1"/>
    <col min="7180" max="7180" width="14.42578125" style="262" bestFit="1" customWidth="1"/>
    <col min="7181" max="7181" width="15" style="262" bestFit="1" customWidth="1"/>
    <col min="7182" max="7187" width="14.7109375" style="262" bestFit="1" customWidth="1"/>
    <col min="7188" max="7188" width="4.7109375" style="262" bestFit="1" customWidth="1"/>
    <col min="7189" max="7424" width="9.140625" style="262"/>
    <col min="7425" max="7435" width="14.7109375" style="262" bestFit="1" customWidth="1"/>
    <col min="7436" max="7436" width="14.42578125" style="262" bestFit="1" customWidth="1"/>
    <col min="7437" max="7437" width="15" style="262" bestFit="1" customWidth="1"/>
    <col min="7438" max="7443" width="14.7109375" style="262" bestFit="1" customWidth="1"/>
    <col min="7444" max="7444" width="4.7109375" style="262" bestFit="1" customWidth="1"/>
    <col min="7445" max="7680" width="9.140625" style="262"/>
    <col min="7681" max="7691" width="14.7109375" style="262" bestFit="1" customWidth="1"/>
    <col min="7692" max="7692" width="14.42578125" style="262" bestFit="1" customWidth="1"/>
    <col min="7693" max="7693" width="15" style="262" bestFit="1" customWidth="1"/>
    <col min="7694" max="7699" width="14.7109375" style="262" bestFit="1" customWidth="1"/>
    <col min="7700" max="7700" width="4.7109375" style="262" bestFit="1" customWidth="1"/>
    <col min="7701" max="7936" width="9.140625" style="262"/>
    <col min="7937" max="7947" width="14.7109375" style="262" bestFit="1" customWidth="1"/>
    <col min="7948" max="7948" width="14.42578125" style="262" bestFit="1" customWidth="1"/>
    <col min="7949" max="7949" width="15" style="262" bestFit="1" customWidth="1"/>
    <col min="7950" max="7955" width="14.7109375" style="262" bestFit="1" customWidth="1"/>
    <col min="7956" max="7956" width="4.7109375" style="262" bestFit="1" customWidth="1"/>
    <col min="7957" max="8192" width="9.140625" style="262"/>
    <col min="8193" max="8203" width="14.7109375" style="262" bestFit="1" customWidth="1"/>
    <col min="8204" max="8204" width="14.42578125" style="262" bestFit="1" customWidth="1"/>
    <col min="8205" max="8205" width="15" style="262" bestFit="1" customWidth="1"/>
    <col min="8206" max="8211" width="14.7109375" style="262" bestFit="1" customWidth="1"/>
    <col min="8212" max="8212" width="4.7109375" style="262" bestFit="1" customWidth="1"/>
    <col min="8213" max="8448" width="9.140625" style="262"/>
    <col min="8449" max="8459" width="14.7109375" style="262" bestFit="1" customWidth="1"/>
    <col min="8460" max="8460" width="14.42578125" style="262" bestFit="1" customWidth="1"/>
    <col min="8461" max="8461" width="15" style="262" bestFit="1" customWidth="1"/>
    <col min="8462" max="8467" width="14.7109375" style="262" bestFit="1" customWidth="1"/>
    <col min="8468" max="8468" width="4.7109375" style="262" bestFit="1" customWidth="1"/>
    <col min="8469" max="8704" width="9.140625" style="262"/>
    <col min="8705" max="8715" width="14.7109375" style="262" bestFit="1" customWidth="1"/>
    <col min="8716" max="8716" width="14.42578125" style="262" bestFit="1" customWidth="1"/>
    <col min="8717" max="8717" width="15" style="262" bestFit="1" customWidth="1"/>
    <col min="8718" max="8723" width="14.7109375" style="262" bestFit="1" customWidth="1"/>
    <col min="8724" max="8724" width="4.7109375" style="262" bestFit="1" customWidth="1"/>
    <col min="8725" max="8960" width="9.140625" style="262"/>
    <col min="8961" max="8971" width="14.7109375" style="262" bestFit="1" customWidth="1"/>
    <col min="8972" max="8972" width="14.42578125" style="262" bestFit="1" customWidth="1"/>
    <col min="8973" max="8973" width="15" style="262" bestFit="1" customWidth="1"/>
    <col min="8974" max="8979" width="14.7109375" style="262" bestFit="1" customWidth="1"/>
    <col min="8980" max="8980" width="4.7109375" style="262" bestFit="1" customWidth="1"/>
    <col min="8981" max="9216" width="9.140625" style="262"/>
    <col min="9217" max="9227" width="14.7109375" style="262" bestFit="1" customWidth="1"/>
    <col min="9228" max="9228" width="14.42578125" style="262" bestFit="1" customWidth="1"/>
    <col min="9229" max="9229" width="15" style="262" bestFit="1" customWidth="1"/>
    <col min="9230" max="9235" width="14.7109375" style="262" bestFit="1" customWidth="1"/>
    <col min="9236" max="9236" width="4.7109375" style="262" bestFit="1" customWidth="1"/>
    <col min="9237" max="9472" width="9.140625" style="262"/>
    <col min="9473" max="9483" width="14.7109375" style="262" bestFit="1" customWidth="1"/>
    <col min="9484" max="9484" width="14.42578125" style="262" bestFit="1" customWidth="1"/>
    <col min="9485" max="9485" width="15" style="262" bestFit="1" customWidth="1"/>
    <col min="9486" max="9491" width="14.7109375" style="262" bestFit="1" customWidth="1"/>
    <col min="9492" max="9492" width="4.7109375" style="262" bestFit="1" customWidth="1"/>
    <col min="9493" max="9728" width="9.140625" style="262"/>
    <col min="9729" max="9739" width="14.7109375" style="262" bestFit="1" customWidth="1"/>
    <col min="9740" max="9740" width="14.42578125" style="262" bestFit="1" customWidth="1"/>
    <col min="9741" max="9741" width="15" style="262" bestFit="1" customWidth="1"/>
    <col min="9742" max="9747" width="14.7109375" style="262" bestFit="1" customWidth="1"/>
    <col min="9748" max="9748" width="4.7109375" style="262" bestFit="1" customWidth="1"/>
    <col min="9749" max="9984" width="9.140625" style="262"/>
    <col min="9985" max="9995" width="14.7109375" style="262" bestFit="1" customWidth="1"/>
    <col min="9996" max="9996" width="14.42578125" style="262" bestFit="1" customWidth="1"/>
    <col min="9997" max="9997" width="15" style="262" bestFit="1" customWidth="1"/>
    <col min="9998" max="10003" width="14.7109375" style="262" bestFit="1" customWidth="1"/>
    <col min="10004" max="10004" width="4.7109375" style="262" bestFit="1" customWidth="1"/>
    <col min="10005" max="10240" width="9.140625" style="262"/>
    <col min="10241" max="10251" width="14.7109375" style="262" bestFit="1" customWidth="1"/>
    <col min="10252" max="10252" width="14.42578125" style="262" bestFit="1" customWidth="1"/>
    <col min="10253" max="10253" width="15" style="262" bestFit="1" customWidth="1"/>
    <col min="10254" max="10259" width="14.7109375" style="262" bestFit="1" customWidth="1"/>
    <col min="10260" max="10260" width="4.7109375" style="262" bestFit="1" customWidth="1"/>
    <col min="10261" max="10496" width="9.140625" style="262"/>
    <col min="10497" max="10507" width="14.7109375" style="262" bestFit="1" customWidth="1"/>
    <col min="10508" max="10508" width="14.42578125" style="262" bestFit="1" customWidth="1"/>
    <col min="10509" max="10509" width="15" style="262" bestFit="1" customWidth="1"/>
    <col min="10510" max="10515" width="14.7109375" style="262" bestFit="1" customWidth="1"/>
    <col min="10516" max="10516" width="4.7109375" style="262" bestFit="1" customWidth="1"/>
    <col min="10517" max="10752" width="9.140625" style="262"/>
    <col min="10753" max="10763" width="14.7109375" style="262" bestFit="1" customWidth="1"/>
    <col min="10764" max="10764" width="14.42578125" style="262" bestFit="1" customWidth="1"/>
    <col min="10765" max="10765" width="15" style="262" bestFit="1" customWidth="1"/>
    <col min="10766" max="10771" width="14.7109375" style="262" bestFit="1" customWidth="1"/>
    <col min="10772" max="10772" width="4.7109375" style="262" bestFit="1" customWidth="1"/>
    <col min="10773" max="11008" width="9.140625" style="262"/>
    <col min="11009" max="11019" width="14.7109375" style="262" bestFit="1" customWidth="1"/>
    <col min="11020" max="11020" width="14.42578125" style="262" bestFit="1" customWidth="1"/>
    <col min="11021" max="11021" width="15" style="262" bestFit="1" customWidth="1"/>
    <col min="11022" max="11027" width="14.7109375" style="262" bestFit="1" customWidth="1"/>
    <col min="11028" max="11028" width="4.7109375" style="262" bestFit="1" customWidth="1"/>
    <col min="11029" max="11264" width="9.140625" style="262"/>
    <col min="11265" max="11275" width="14.7109375" style="262" bestFit="1" customWidth="1"/>
    <col min="11276" max="11276" width="14.42578125" style="262" bestFit="1" customWidth="1"/>
    <col min="11277" max="11277" width="15" style="262" bestFit="1" customWidth="1"/>
    <col min="11278" max="11283" width="14.7109375" style="262" bestFit="1" customWidth="1"/>
    <col min="11284" max="11284" width="4.7109375" style="262" bestFit="1" customWidth="1"/>
    <col min="11285" max="11520" width="9.140625" style="262"/>
    <col min="11521" max="11531" width="14.7109375" style="262" bestFit="1" customWidth="1"/>
    <col min="11532" max="11532" width="14.42578125" style="262" bestFit="1" customWidth="1"/>
    <col min="11533" max="11533" width="15" style="262" bestFit="1" customWidth="1"/>
    <col min="11534" max="11539" width="14.7109375" style="262" bestFit="1" customWidth="1"/>
    <col min="11540" max="11540" width="4.7109375" style="262" bestFit="1" customWidth="1"/>
    <col min="11541" max="11776" width="9.140625" style="262"/>
    <col min="11777" max="11787" width="14.7109375" style="262" bestFit="1" customWidth="1"/>
    <col min="11788" max="11788" width="14.42578125" style="262" bestFit="1" customWidth="1"/>
    <col min="11789" max="11789" width="15" style="262" bestFit="1" customWidth="1"/>
    <col min="11790" max="11795" width="14.7109375" style="262" bestFit="1" customWidth="1"/>
    <col min="11796" max="11796" width="4.7109375" style="262" bestFit="1" customWidth="1"/>
    <col min="11797" max="12032" width="9.140625" style="262"/>
    <col min="12033" max="12043" width="14.7109375" style="262" bestFit="1" customWidth="1"/>
    <col min="12044" max="12044" width="14.42578125" style="262" bestFit="1" customWidth="1"/>
    <col min="12045" max="12045" width="15" style="262" bestFit="1" customWidth="1"/>
    <col min="12046" max="12051" width="14.7109375" style="262" bestFit="1" customWidth="1"/>
    <col min="12052" max="12052" width="4.7109375" style="262" bestFit="1" customWidth="1"/>
    <col min="12053" max="12288" width="9.140625" style="262"/>
    <col min="12289" max="12299" width="14.7109375" style="262" bestFit="1" customWidth="1"/>
    <col min="12300" max="12300" width="14.42578125" style="262" bestFit="1" customWidth="1"/>
    <col min="12301" max="12301" width="15" style="262" bestFit="1" customWidth="1"/>
    <col min="12302" max="12307" width="14.7109375" style="262" bestFit="1" customWidth="1"/>
    <col min="12308" max="12308" width="4.7109375" style="262" bestFit="1" customWidth="1"/>
    <col min="12309" max="12544" width="9.140625" style="262"/>
    <col min="12545" max="12555" width="14.7109375" style="262" bestFit="1" customWidth="1"/>
    <col min="12556" max="12556" width="14.42578125" style="262" bestFit="1" customWidth="1"/>
    <col min="12557" max="12557" width="15" style="262" bestFit="1" customWidth="1"/>
    <col min="12558" max="12563" width="14.7109375" style="262" bestFit="1" customWidth="1"/>
    <col min="12564" max="12564" width="4.7109375" style="262" bestFit="1" customWidth="1"/>
    <col min="12565" max="12800" width="9.140625" style="262"/>
    <col min="12801" max="12811" width="14.7109375" style="262" bestFit="1" customWidth="1"/>
    <col min="12812" max="12812" width="14.42578125" style="262" bestFit="1" customWidth="1"/>
    <col min="12813" max="12813" width="15" style="262" bestFit="1" customWidth="1"/>
    <col min="12814" max="12819" width="14.7109375" style="262" bestFit="1" customWidth="1"/>
    <col min="12820" max="12820" width="4.7109375" style="262" bestFit="1" customWidth="1"/>
    <col min="12821" max="13056" width="9.140625" style="262"/>
    <col min="13057" max="13067" width="14.7109375" style="262" bestFit="1" customWidth="1"/>
    <col min="13068" max="13068" width="14.42578125" style="262" bestFit="1" customWidth="1"/>
    <col min="13069" max="13069" width="15" style="262" bestFit="1" customWidth="1"/>
    <col min="13070" max="13075" width="14.7109375" style="262" bestFit="1" customWidth="1"/>
    <col min="13076" max="13076" width="4.7109375" style="262" bestFit="1" customWidth="1"/>
    <col min="13077" max="13312" width="9.140625" style="262"/>
    <col min="13313" max="13323" width="14.7109375" style="262" bestFit="1" customWidth="1"/>
    <col min="13324" max="13324" width="14.42578125" style="262" bestFit="1" customWidth="1"/>
    <col min="13325" max="13325" width="15" style="262" bestFit="1" customWidth="1"/>
    <col min="13326" max="13331" width="14.7109375" style="262" bestFit="1" customWidth="1"/>
    <col min="13332" max="13332" width="4.7109375" style="262" bestFit="1" customWidth="1"/>
    <col min="13333" max="13568" width="9.140625" style="262"/>
    <col min="13569" max="13579" width="14.7109375" style="262" bestFit="1" customWidth="1"/>
    <col min="13580" max="13580" width="14.42578125" style="262" bestFit="1" customWidth="1"/>
    <col min="13581" max="13581" width="15" style="262" bestFit="1" customWidth="1"/>
    <col min="13582" max="13587" width="14.7109375" style="262" bestFit="1" customWidth="1"/>
    <col min="13588" max="13588" width="4.7109375" style="262" bestFit="1" customWidth="1"/>
    <col min="13589" max="13824" width="9.140625" style="262"/>
    <col min="13825" max="13835" width="14.7109375" style="262" bestFit="1" customWidth="1"/>
    <col min="13836" max="13836" width="14.42578125" style="262" bestFit="1" customWidth="1"/>
    <col min="13837" max="13837" width="15" style="262" bestFit="1" customWidth="1"/>
    <col min="13838" max="13843" width="14.7109375" style="262" bestFit="1" customWidth="1"/>
    <col min="13844" max="13844" width="4.7109375" style="262" bestFit="1" customWidth="1"/>
    <col min="13845" max="14080" width="9.140625" style="262"/>
    <col min="14081" max="14091" width="14.7109375" style="262" bestFit="1" customWidth="1"/>
    <col min="14092" max="14092" width="14.42578125" style="262" bestFit="1" customWidth="1"/>
    <col min="14093" max="14093" width="15" style="262" bestFit="1" customWidth="1"/>
    <col min="14094" max="14099" width="14.7109375" style="262" bestFit="1" customWidth="1"/>
    <col min="14100" max="14100" width="4.7109375" style="262" bestFit="1" customWidth="1"/>
    <col min="14101" max="14336" width="9.140625" style="262"/>
    <col min="14337" max="14347" width="14.7109375" style="262" bestFit="1" customWidth="1"/>
    <col min="14348" max="14348" width="14.42578125" style="262" bestFit="1" customWidth="1"/>
    <col min="14349" max="14349" width="15" style="262" bestFit="1" customWidth="1"/>
    <col min="14350" max="14355" width="14.7109375" style="262" bestFit="1" customWidth="1"/>
    <col min="14356" max="14356" width="4.7109375" style="262" bestFit="1" customWidth="1"/>
    <col min="14357" max="14592" width="9.140625" style="262"/>
    <col min="14593" max="14603" width="14.7109375" style="262" bestFit="1" customWidth="1"/>
    <col min="14604" max="14604" width="14.42578125" style="262" bestFit="1" customWidth="1"/>
    <col min="14605" max="14605" width="15" style="262" bestFit="1" customWidth="1"/>
    <col min="14606" max="14611" width="14.7109375" style="262" bestFit="1" customWidth="1"/>
    <col min="14612" max="14612" width="4.7109375" style="262" bestFit="1" customWidth="1"/>
    <col min="14613" max="14848" width="9.140625" style="262"/>
    <col min="14849" max="14859" width="14.7109375" style="262" bestFit="1" customWidth="1"/>
    <col min="14860" max="14860" width="14.42578125" style="262" bestFit="1" customWidth="1"/>
    <col min="14861" max="14861" width="15" style="262" bestFit="1" customWidth="1"/>
    <col min="14862" max="14867" width="14.7109375" style="262" bestFit="1" customWidth="1"/>
    <col min="14868" max="14868" width="4.7109375" style="262" bestFit="1" customWidth="1"/>
    <col min="14869" max="15104" width="9.140625" style="262"/>
    <col min="15105" max="15115" width="14.7109375" style="262" bestFit="1" customWidth="1"/>
    <col min="15116" max="15116" width="14.42578125" style="262" bestFit="1" customWidth="1"/>
    <col min="15117" max="15117" width="15" style="262" bestFit="1" customWidth="1"/>
    <col min="15118" max="15123" width="14.7109375" style="262" bestFit="1" customWidth="1"/>
    <col min="15124" max="15124" width="4.7109375" style="262" bestFit="1" customWidth="1"/>
    <col min="15125" max="15360" width="9.140625" style="262"/>
    <col min="15361" max="15371" width="14.7109375" style="262" bestFit="1" customWidth="1"/>
    <col min="15372" max="15372" width="14.42578125" style="262" bestFit="1" customWidth="1"/>
    <col min="15373" max="15373" width="15" style="262" bestFit="1" customWidth="1"/>
    <col min="15374" max="15379" width="14.7109375" style="262" bestFit="1" customWidth="1"/>
    <col min="15380" max="15380" width="4.7109375" style="262" bestFit="1" customWidth="1"/>
    <col min="15381" max="15616" width="9.140625" style="262"/>
    <col min="15617" max="15627" width="14.7109375" style="262" bestFit="1" customWidth="1"/>
    <col min="15628" max="15628" width="14.42578125" style="262" bestFit="1" customWidth="1"/>
    <col min="15629" max="15629" width="15" style="262" bestFit="1" customWidth="1"/>
    <col min="15630" max="15635" width="14.7109375" style="262" bestFit="1" customWidth="1"/>
    <col min="15636" max="15636" width="4.7109375" style="262" bestFit="1" customWidth="1"/>
    <col min="15637" max="15872" width="9.140625" style="262"/>
    <col min="15873" max="15883" width="14.7109375" style="262" bestFit="1" customWidth="1"/>
    <col min="15884" max="15884" width="14.42578125" style="262" bestFit="1" customWidth="1"/>
    <col min="15885" max="15885" width="15" style="262" bestFit="1" customWidth="1"/>
    <col min="15886" max="15891" width="14.7109375" style="262" bestFit="1" customWidth="1"/>
    <col min="15892" max="15892" width="4.7109375" style="262" bestFit="1" customWidth="1"/>
    <col min="15893" max="16128" width="9.140625" style="262"/>
    <col min="16129" max="16139" width="14.7109375" style="262" bestFit="1" customWidth="1"/>
    <col min="16140" max="16140" width="14.42578125" style="262" bestFit="1" customWidth="1"/>
    <col min="16141" max="16141" width="15" style="262" bestFit="1" customWidth="1"/>
    <col min="16142" max="16147" width="14.7109375" style="262" bestFit="1" customWidth="1"/>
    <col min="16148" max="16148" width="4.7109375" style="262" bestFit="1" customWidth="1"/>
    <col min="16149" max="16384" width="9.140625" style="262"/>
  </cols>
  <sheetData>
    <row r="1" spans="1:19" ht="16.5" customHeight="1" x14ac:dyDescent="0.2">
      <c r="A1" s="385" t="s">
        <v>226</v>
      </c>
      <c r="B1" s="385"/>
      <c r="C1" s="385"/>
      <c r="D1" s="385"/>
      <c r="E1" s="385"/>
      <c r="F1" s="385"/>
      <c r="G1" s="385"/>
      <c r="H1" s="385"/>
      <c r="I1" s="385"/>
      <c r="J1" s="385"/>
      <c r="K1" s="385"/>
      <c r="L1" s="385"/>
    </row>
    <row r="2" spans="1:19" s="265" customFormat="1" ht="18" customHeight="1" x14ac:dyDescent="0.2">
      <c r="A2" s="363" t="s">
        <v>147</v>
      </c>
      <c r="B2" s="378" t="s">
        <v>150</v>
      </c>
      <c r="C2" s="379"/>
      <c r="D2" s="375" t="s">
        <v>227</v>
      </c>
      <c r="E2" s="376"/>
      <c r="F2" s="376"/>
      <c r="G2" s="377"/>
      <c r="H2" s="375" t="s">
        <v>228</v>
      </c>
      <c r="I2" s="376"/>
      <c r="J2" s="376"/>
      <c r="K2" s="376"/>
      <c r="L2" s="376"/>
      <c r="M2" s="376"/>
      <c r="N2" s="376"/>
      <c r="O2" s="376"/>
      <c r="P2" s="376"/>
      <c r="Q2" s="376"/>
      <c r="R2" s="376"/>
      <c r="S2" s="377"/>
    </row>
    <row r="3" spans="1:19" s="265" customFormat="1" ht="18" customHeight="1" x14ac:dyDescent="0.2">
      <c r="A3" s="364"/>
      <c r="B3" s="380"/>
      <c r="C3" s="381"/>
      <c r="D3" s="375" t="s">
        <v>229</v>
      </c>
      <c r="E3" s="377"/>
      <c r="F3" s="375" t="s">
        <v>172</v>
      </c>
      <c r="G3" s="377"/>
      <c r="H3" s="375" t="s">
        <v>230</v>
      </c>
      <c r="I3" s="377"/>
      <c r="J3" s="375" t="s">
        <v>231</v>
      </c>
      <c r="K3" s="377"/>
      <c r="L3" s="375" t="s">
        <v>232</v>
      </c>
      <c r="M3" s="377"/>
      <c r="N3" s="375" t="s">
        <v>233</v>
      </c>
      <c r="O3" s="377"/>
      <c r="P3" s="375" t="s">
        <v>234</v>
      </c>
      <c r="Q3" s="377"/>
      <c r="R3" s="375" t="s">
        <v>235</v>
      </c>
      <c r="S3" s="377"/>
    </row>
    <row r="4" spans="1:19" s="265" customFormat="1" ht="27" customHeight="1" x14ac:dyDescent="0.2">
      <c r="A4" s="365"/>
      <c r="B4" s="263" t="s">
        <v>236</v>
      </c>
      <c r="C4" s="270" t="s">
        <v>237</v>
      </c>
      <c r="D4" s="263" t="s">
        <v>236</v>
      </c>
      <c r="E4" s="270" t="s">
        <v>238</v>
      </c>
      <c r="F4" s="263" t="s">
        <v>236</v>
      </c>
      <c r="G4" s="270" t="s">
        <v>238</v>
      </c>
      <c r="H4" s="263" t="s">
        <v>236</v>
      </c>
      <c r="I4" s="270" t="s">
        <v>238</v>
      </c>
      <c r="J4" s="263" t="s">
        <v>236</v>
      </c>
      <c r="K4" s="270" t="s">
        <v>238</v>
      </c>
      <c r="L4" s="263" t="s">
        <v>236</v>
      </c>
      <c r="M4" s="270" t="s">
        <v>238</v>
      </c>
      <c r="N4" s="263" t="s">
        <v>236</v>
      </c>
      <c r="O4" s="270" t="s">
        <v>238</v>
      </c>
      <c r="P4" s="269" t="s">
        <v>236</v>
      </c>
      <c r="Q4" s="270" t="s">
        <v>238</v>
      </c>
      <c r="R4" s="269" t="s">
        <v>236</v>
      </c>
      <c r="S4" s="270" t="s">
        <v>238</v>
      </c>
    </row>
    <row r="5" spans="1:19" s="265" customFormat="1" ht="18" customHeight="1" x14ac:dyDescent="0.2">
      <c r="A5" s="266" t="s">
        <v>69</v>
      </c>
      <c r="B5" s="271">
        <v>229</v>
      </c>
      <c r="C5" s="290">
        <v>110359.69</v>
      </c>
      <c r="D5" s="291">
        <v>222</v>
      </c>
      <c r="E5" s="283">
        <v>74118.09</v>
      </c>
      <c r="F5" s="291">
        <v>7</v>
      </c>
      <c r="G5" s="283">
        <v>36241.599999999999</v>
      </c>
      <c r="H5" s="291">
        <v>62</v>
      </c>
      <c r="I5" s="283">
        <v>13118.88</v>
      </c>
      <c r="J5" s="291">
        <v>9</v>
      </c>
      <c r="K5" s="283">
        <v>6628.89</v>
      </c>
      <c r="L5" s="291">
        <v>129</v>
      </c>
      <c r="M5" s="283">
        <v>76310.38</v>
      </c>
      <c r="N5" s="291">
        <v>29</v>
      </c>
      <c r="O5" s="283">
        <v>14301.53</v>
      </c>
      <c r="P5" s="271">
        <v>0</v>
      </c>
      <c r="Q5" s="283">
        <v>0</v>
      </c>
      <c r="R5" s="271">
        <v>0</v>
      </c>
      <c r="S5" s="283">
        <v>0</v>
      </c>
    </row>
    <row r="6" spans="1:19" s="265" customFormat="1" ht="18" customHeight="1" x14ac:dyDescent="0.2">
      <c r="A6" s="266" t="s">
        <v>70</v>
      </c>
      <c r="B6" s="271">
        <v>158</v>
      </c>
      <c r="C6" s="283">
        <v>54916.58</v>
      </c>
      <c r="D6" s="291">
        <v>154</v>
      </c>
      <c r="E6" s="283">
        <v>53434.74</v>
      </c>
      <c r="F6" s="291">
        <v>4</v>
      </c>
      <c r="G6" s="283">
        <v>1481.84</v>
      </c>
      <c r="H6" s="291">
        <v>24</v>
      </c>
      <c r="I6" s="283">
        <v>3338.36</v>
      </c>
      <c r="J6" s="291">
        <v>8</v>
      </c>
      <c r="K6" s="283">
        <v>1155.2094999999999</v>
      </c>
      <c r="L6" s="291">
        <v>85</v>
      </c>
      <c r="M6" s="283">
        <v>35717.24</v>
      </c>
      <c r="N6" s="291">
        <v>20</v>
      </c>
      <c r="O6" s="283">
        <v>12175.42</v>
      </c>
      <c r="P6" s="271">
        <v>4</v>
      </c>
      <c r="Q6" s="283">
        <v>115.7</v>
      </c>
      <c r="R6" s="271">
        <v>0</v>
      </c>
      <c r="S6" s="283">
        <v>0</v>
      </c>
    </row>
    <row r="7" spans="1:19" s="265" customFormat="1" ht="18" customHeight="1" x14ac:dyDescent="0.2">
      <c r="A7" s="266" t="s">
        <v>156</v>
      </c>
      <c r="B7" s="271">
        <v>16</v>
      </c>
      <c r="C7" s="283">
        <v>3555.2981799999998</v>
      </c>
      <c r="D7" s="291">
        <v>16</v>
      </c>
      <c r="E7" s="283">
        <v>3555.2981799999998</v>
      </c>
      <c r="F7" s="291">
        <v>0</v>
      </c>
      <c r="G7" s="283">
        <v>0</v>
      </c>
      <c r="H7" s="291">
        <v>4</v>
      </c>
      <c r="I7" s="283">
        <v>90.196179999999998</v>
      </c>
      <c r="J7" s="291">
        <v>0</v>
      </c>
      <c r="K7" s="283">
        <v>0</v>
      </c>
      <c r="L7" s="291">
        <v>8</v>
      </c>
      <c r="M7" s="283">
        <v>149.1247122</v>
      </c>
      <c r="N7" s="291">
        <v>3</v>
      </c>
      <c r="O7" s="283">
        <v>3231.3820000000001</v>
      </c>
      <c r="P7" s="271">
        <v>1</v>
      </c>
      <c r="Q7" s="283">
        <v>84.6</v>
      </c>
      <c r="R7" s="271">
        <v>0</v>
      </c>
      <c r="S7" s="283">
        <v>0</v>
      </c>
    </row>
    <row r="8" spans="1:19" s="265" customFormat="1" ht="18" customHeight="1" x14ac:dyDescent="0.2">
      <c r="A8" s="266" t="s">
        <v>157</v>
      </c>
      <c r="B8" s="271">
        <v>23</v>
      </c>
      <c r="C8" s="283">
        <v>14429.485360000001</v>
      </c>
      <c r="D8" s="291">
        <v>23</v>
      </c>
      <c r="E8" s="283">
        <v>14429.485360000001</v>
      </c>
      <c r="F8" s="291">
        <v>0</v>
      </c>
      <c r="G8" s="283">
        <v>0</v>
      </c>
      <c r="H8" s="291">
        <v>4</v>
      </c>
      <c r="I8" s="283">
        <v>154.6</v>
      </c>
      <c r="J8" s="291">
        <v>1</v>
      </c>
      <c r="K8" s="283">
        <v>509.81</v>
      </c>
      <c r="L8" s="291">
        <v>16</v>
      </c>
      <c r="M8" s="283">
        <v>13745.87536</v>
      </c>
      <c r="N8" s="291">
        <v>0</v>
      </c>
      <c r="O8" s="283">
        <v>0</v>
      </c>
      <c r="P8" s="271">
        <v>2</v>
      </c>
      <c r="Q8" s="283">
        <v>19.2</v>
      </c>
      <c r="R8" s="271">
        <v>0</v>
      </c>
      <c r="S8" s="283">
        <v>0</v>
      </c>
    </row>
    <row r="9" spans="1:19" s="265" customFormat="1" ht="18" customHeight="1" x14ac:dyDescent="0.2">
      <c r="A9" s="266" t="s">
        <v>158</v>
      </c>
      <c r="B9" s="271">
        <v>11</v>
      </c>
      <c r="C9" s="283">
        <v>3151.7067000000002</v>
      </c>
      <c r="D9" s="291">
        <v>10</v>
      </c>
      <c r="E9" s="283">
        <v>2691.1967</v>
      </c>
      <c r="F9" s="291">
        <v>1</v>
      </c>
      <c r="G9" s="283">
        <v>460.51</v>
      </c>
      <c r="H9" s="291">
        <v>1</v>
      </c>
      <c r="I9" s="283">
        <v>460.51</v>
      </c>
      <c r="J9" s="291">
        <v>0</v>
      </c>
      <c r="K9" s="283">
        <v>0</v>
      </c>
      <c r="L9" s="291">
        <v>9</v>
      </c>
      <c r="M9" s="283">
        <v>2679.2966999999999</v>
      </c>
      <c r="N9" s="291">
        <v>0</v>
      </c>
      <c r="O9" s="283">
        <v>0</v>
      </c>
      <c r="P9" s="271">
        <v>1</v>
      </c>
      <c r="Q9" s="283">
        <v>11.9</v>
      </c>
      <c r="R9" s="271">
        <v>0</v>
      </c>
      <c r="S9" s="283">
        <v>0</v>
      </c>
    </row>
    <row r="10" spans="1:19" s="265" customFormat="1" ht="18" customHeight="1" x14ac:dyDescent="0.2">
      <c r="A10" s="266" t="s">
        <v>159</v>
      </c>
      <c r="B10" s="271">
        <v>15</v>
      </c>
      <c r="C10" s="283">
        <v>10686.03</v>
      </c>
      <c r="D10" s="291">
        <v>15</v>
      </c>
      <c r="E10" s="283">
        <v>10686.03</v>
      </c>
      <c r="F10" s="291">
        <v>0</v>
      </c>
      <c r="G10" s="283">
        <v>0</v>
      </c>
      <c r="H10" s="291">
        <v>4</v>
      </c>
      <c r="I10" s="283">
        <v>1598.276822</v>
      </c>
      <c r="J10" s="291">
        <v>1</v>
      </c>
      <c r="K10" s="283">
        <v>60.0075</v>
      </c>
      <c r="L10" s="291">
        <v>8</v>
      </c>
      <c r="M10" s="283">
        <v>4851.3930899999996</v>
      </c>
      <c r="N10" s="291">
        <v>2</v>
      </c>
      <c r="O10" s="283">
        <v>4176.3538044999996</v>
      </c>
      <c r="P10" s="271">
        <v>0</v>
      </c>
      <c r="Q10" s="283">
        <v>0</v>
      </c>
      <c r="R10" s="271">
        <v>0</v>
      </c>
      <c r="S10" s="283">
        <v>0</v>
      </c>
    </row>
    <row r="11" spans="1:19" s="265" customFormat="1" ht="18" customHeight="1" x14ac:dyDescent="0.2">
      <c r="A11" s="266" t="s">
        <v>160</v>
      </c>
      <c r="B11" s="271">
        <v>11</v>
      </c>
      <c r="C11" s="283">
        <v>1254.1099999999999</v>
      </c>
      <c r="D11" s="291">
        <v>11</v>
      </c>
      <c r="E11" s="283">
        <v>1254.1099999999999</v>
      </c>
      <c r="F11" s="291">
        <v>0</v>
      </c>
      <c r="G11" s="283">
        <v>0</v>
      </c>
      <c r="H11" s="291">
        <v>2</v>
      </c>
      <c r="I11" s="283">
        <v>29.8</v>
      </c>
      <c r="J11" s="291">
        <v>0</v>
      </c>
      <c r="K11" s="283">
        <v>0</v>
      </c>
      <c r="L11" s="291">
        <v>8</v>
      </c>
      <c r="M11" s="283">
        <v>93.12</v>
      </c>
      <c r="N11" s="291">
        <v>1</v>
      </c>
      <c r="O11" s="283">
        <v>1131.19</v>
      </c>
      <c r="P11" s="271">
        <v>0</v>
      </c>
      <c r="Q11" s="283">
        <v>0</v>
      </c>
      <c r="R11" s="271">
        <v>0</v>
      </c>
      <c r="S11" s="283">
        <v>0</v>
      </c>
    </row>
    <row r="12" spans="1:19" s="265" customFormat="1" ht="18" customHeight="1" x14ac:dyDescent="0.2">
      <c r="A12" s="266" t="s">
        <v>161</v>
      </c>
      <c r="B12" s="271">
        <v>20</v>
      </c>
      <c r="C12" s="283">
        <v>8700.7718956999997</v>
      </c>
      <c r="D12" s="291">
        <v>19</v>
      </c>
      <c r="E12" s="283">
        <v>8234.0718957000008</v>
      </c>
      <c r="F12" s="291">
        <v>1</v>
      </c>
      <c r="G12" s="283">
        <v>466.7</v>
      </c>
      <c r="H12" s="291">
        <v>4</v>
      </c>
      <c r="I12" s="283">
        <v>2476.4899999999998</v>
      </c>
      <c r="J12" s="291">
        <v>0</v>
      </c>
      <c r="K12" s="283">
        <v>0</v>
      </c>
      <c r="L12" s="291">
        <v>13</v>
      </c>
      <c r="M12" s="283">
        <v>5262.0944957000002</v>
      </c>
      <c r="N12" s="291">
        <v>3</v>
      </c>
      <c r="O12" s="283">
        <v>962.19</v>
      </c>
      <c r="P12" s="271">
        <v>0</v>
      </c>
      <c r="Q12" s="283">
        <v>0</v>
      </c>
      <c r="R12" s="271">
        <v>0</v>
      </c>
      <c r="S12" s="283">
        <v>0</v>
      </c>
    </row>
    <row r="13" spans="1:19" s="265" customFormat="1" ht="18" customHeight="1" x14ac:dyDescent="0.2">
      <c r="A13" s="266" t="s">
        <v>162</v>
      </c>
      <c r="B13" s="271">
        <v>17</v>
      </c>
      <c r="C13" s="283">
        <v>1232.23</v>
      </c>
      <c r="D13" s="291">
        <v>16</v>
      </c>
      <c r="E13" s="283">
        <v>888.64</v>
      </c>
      <c r="F13" s="291">
        <v>1</v>
      </c>
      <c r="G13" s="283">
        <v>343.59</v>
      </c>
      <c r="H13" s="291">
        <v>2</v>
      </c>
      <c r="I13" s="283">
        <v>7.8959999999999999</v>
      </c>
      <c r="J13" s="291">
        <v>4</v>
      </c>
      <c r="K13" s="283">
        <v>387.072</v>
      </c>
      <c r="L13" s="291">
        <v>8</v>
      </c>
      <c r="M13" s="283">
        <v>110.47920000000001</v>
      </c>
      <c r="N13" s="291">
        <v>3</v>
      </c>
      <c r="O13" s="283">
        <v>726.7808</v>
      </c>
      <c r="P13" s="271">
        <v>0</v>
      </c>
      <c r="Q13" s="283">
        <v>0</v>
      </c>
      <c r="R13" s="271">
        <v>0</v>
      </c>
      <c r="S13" s="283">
        <v>0</v>
      </c>
    </row>
    <row r="14" spans="1:19" s="265" customFormat="1" ht="18" customHeight="1" x14ac:dyDescent="0.2">
      <c r="A14" s="266" t="s">
        <v>163</v>
      </c>
      <c r="B14" s="271">
        <v>6</v>
      </c>
      <c r="C14" s="283">
        <v>317.52</v>
      </c>
      <c r="D14" s="291">
        <v>6</v>
      </c>
      <c r="E14" s="283">
        <v>317.52</v>
      </c>
      <c r="F14" s="291">
        <v>0</v>
      </c>
      <c r="G14" s="283">
        <v>0</v>
      </c>
      <c r="H14" s="291">
        <v>0</v>
      </c>
      <c r="I14" s="283">
        <v>0</v>
      </c>
      <c r="J14" s="291">
        <v>1</v>
      </c>
      <c r="K14" s="283">
        <v>13.32</v>
      </c>
      <c r="L14" s="291">
        <v>3</v>
      </c>
      <c r="M14" s="283">
        <v>10.68</v>
      </c>
      <c r="N14" s="291">
        <v>2</v>
      </c>
      <c r="O14" s="283">
        <v>293.52</v>
      </c>
      <c r="P14" s="271">
        <v>0</v>
      </c>
      <c r="Q14" s="283">
        <v>0</v>
      </c>
      <c r="R14" s="271">
        <v>0</v>
      </c>
      <c r="S14" s="283">
        <v>0</v>
      </c>
    </row>
    <row r="15" spans="1:19" s="265" customFormat="1" ht="18" customHeight="1" x14ac:dyDescent="0.2">
      <c r="A15" s="266" t="s">
        <v>164</v>
      </c>
      <c r="B15" s="271">
        <v>5</v>
      </c>
      <c r="C15" s="283">
        <v>1028.27</v>
      </c>
      <c r="D15" s="291">
        <v>5</v>
      </c>
      <c r="E15" s="283">
        <v>1028.27</v>
      </c>
      <c r="F15" s="291">
        <v>0</v>
      </c>
      <c r="G15" s="283">
        <v>0</v>
      </c>
      <c r="H15" s="291">
        <v>1</v>
      </c>
      <c r="I15" s="283">
        <v>217.6714911</v>
      </c>
      <c r="J15" s="291">
        <v>0</v>
      </c>
      <c r="K15" s="283">
        <v>0</v>
      </c>
      <c r="L15" s="291">
        <v>3</v>
      </c>
      <c r="M15" s="283">
        <v>768.48</v>
      </c>
      <c r="N15" s="291">
        <v>1</v>
      </c>
      <c r="O15" s="283">
        <v>42.12</v>
      </c>
      <c r="P15" s="271">
        <v>0</v>
      </c>
      <c r="Q15" s="283">
        <v>0</v>
      </c>
      <c r="R15" s="271">
        <v>0</v>
      </c>
      <c r="S15" s="283">
        <v>0</v>
      </c>
    </row>
    <row r="16" spans="1:19" s="265" customFormat="1" ht="18" customHeight="1" x14ac:dyDescent="0.2">
      <c r="A16" s="266" t="s">
        <v>165</v>
      </c>
      <c r="B16" s="271">
        <v>13</v>
      </c>
      <c r="C16" s="283">
        <v>6022.49</v>
      </c>
      <c r="D16" s="291">
        <v>13</v>
      </c>
      <c r="E16" s="283">
        <v>6022.49</v>
      </c>
      <c r="F16" s="291">
        <v>0</v>
      </c>
      <c r="G16" s="283">
        <v>0</v>
      </c>
      <c r="H16" s="291">
        <v>3</v>
      </c>
      <c r="I16" s="283">
        <v>302.91000000000003</v>
      </c>
      <c r="J16" s="291">
        <v>1</v>
      </c>
      <c r="K16" s="283">
        <v>185</v>
      </c>
      <c r="L16" s="291">
        <v>6</v>
      </c>
      <c r="M16" s="283">
        <v>4762.05</v>
      </c>
      <c r="N16" s="291">
        <v>3</v>
      </c>
      <c r="O16" s="283">
        <v>772.53</v>
      </c>
      <c r="P16" s="271">
        <v>0</v>
      </c>
      <c r="Q16" s="283">
        <v>0</v>
      </c>
      <c r="R16" s="271">
        <v>0</v>
      </c>
      <c r="S16" s="283">
        <v>0</v>
      </c>
    </row>
    <row r="17" spans="1:19" s="265" customFormat="1" ht="18" customHeight="1" x14ac:dyDescent="0.2">
      <c r="A17" s="266" t="s">
        <v>166</v>
      </c>
      <c r="B17" s="271">
        <v>8</v>
      </c>
      <c r="C17" s="283">
        <v>1341.76</v>
      </c>
      <c r="D17" s="291">
        <v>8</v>
      </c>
      <c r="E17" s="283">
        <v>1341.76</v>
      </c>
      <c r="F17" s="291">
        <v>0</v>
      </c>
      <c r="G17" s="283">
        <v>0</v>
      </c>
      <c r="H17" s="291">
        <v>2</v>
      </c>
      <c r="I17" s="283">
        <v>4.42</v>
      </c>
      <c r="J17" s="291">
        <v>1</v>
      </c>
      <c r="K17" s="283">
        <v>10.23</v>
      </c>
      <c r="L17" s="291">
        <v>3</v>
      </c>
      <c r="M17" s="283">
        <v>1170.75</v>
      </c>
      <c r="N17" s="291">
        <v>2</v>
      </c>
      <c r="O17" s="283">
        <v>156.36000000000001</v>
      </c>
      <c r="P17" s="271">
        <v>0</v>
      </c>
      <c r="Q17" s="283">
        <v>0</v>
      </c>
      <c r="R17" s="271">
        <v>0</v>
      </c>
      <c r="S17" s="283">
        <v>0</v>
      </c>
    </row>
    <row r="18" spans="1:19" s="265" customFormat="1" ht="18" customHeight="1" x14ac:dyDescent="0.2">
      <c r="A18" s="266" t="s">
        <v>198</v>
      </c>
      <c r="B18" s="271">
        <v>13</v>
      </c>
      <c r="C18" s="283">
        <v>3197.03</v>
      </c>
      <c r="D18" s="291">
        <v>12</v>
      </c>
      <c r="E18" s="283">
        <v>2985.99</v>
      </c>
      <c r="F18" s="291">
        <v>1</v>
      </c>
      <c r="G18" s="283">
        <v>211.04</v>
      </c>
      <c r="H18" s="291">
        <v>0</v>
      </c>
      <c r="I18" s="283">
        <v>0</v>
      </c>
      <c r="J18" s="291">
        <v>0</v>
      </c>
      <c r="K18" s="283">
        <v>0</v>
      </c>
      <c r="L18" s="291">
        <v>2</v>
      </c>
      <c r="M18" s="283">
        <v>2126.21</v>
      </c>
      <c r="N18" s="291">
        <v>1</v>
      </c>
      <c r="O18" s="283">
        <v>709.46</v>
      </c>
      <c r="P18" s="271">
        <v>0</v>
      </c>
      <c r="Q18" s="283">
        <v>0</v>
      </c>
      <c r="R18" s="271">
        <v>0</v>
      </c>
      <c r="S18" s="283">
        <v>0</v>
      </c>
    </row>
    <row r="19" spans="1:19" s="265" customFormat="1" ht="19.5" customHeight="1" x14ac:dyDescent="0.2">
      <c r="A19" s="353" t="s">
        <v>106</v>
      </c>
      <c r="B19" s="353"/>
      <c r="C19" s="353"/>
    </row>
    <row r="20" spans="1:19" s="265" customFormat="1" ht="18" customHeight="1" x14ac:dyDescent="0.2">
      <c r="A20" s="353" t="s">
        <v>133</v>
      </c>
      <c r="B20" s="353"/>
      <c r="C20" s="353"/>
    </row>
    <row r="21" spans="1:19" s="265" customFormat="1" ht="26.85" customHeight="1" x14ac:dyDescent="0.2"/>
  </sheetData>
  <mergeCells count="15">
    <mergeCell ref="A1:L1"/>
    <mergeCell ref="A2:A4"/>
    <mergeCell ref="B2:C3"/>
    <mergeCell ref="D2:G2"/>
    <mergeCell ref="H2:S2"/>
    <mergeCell ref="D3:E3"/>
    <mergeCell ref="F3:G3"/>
    <mergeCell ref="H3:I3"/>
    <mergeCell ref="J3:K3"/>
    <mergeCell ref="L3:M3"/>
    <mergeCell ref="N3:O3"/>
    <mergeCell ref="P3:Q3"/>
    <mergeCell ref="R3:S3"/>
    <mergeCell ref="A19:C19"/>
    <mergeCell ref="A20:C20"/>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pageSetUpPr fitToPage="1"/>
  </sheetPr>
  <dimension ref="A1:N20"/>
  <sheetViews>
    <sheetView workbookViewId="0">
      <selection sqref="A1:R1"/>
    </sheetView>
  </sheetViews>
  <sheetFormatPr defaultRowHeight="12.75" x14ac:dyDescent="0.2"/>
  <cols>
    <col min="1" max="1" width="14.7109375" style="262" bestFit="1" customWidth="1"/>
    <col min="2" max="2" width="12.140625" style="262" bestFit="1" customWidth="1"/>
    <col min="3" max="3" width="9.28515625" style="262" bestFit="1" customWidth="1"/>
    <col min="4" max="4" width="12.140625" style="262" bestFit="1" customWidth="1"/>
    <col min="5" max="5" width="8.42578125" style="262" bestFit="1" customWidth="1"/>
    <col min="6" max="6" width="12.140625" style="262" bestFit="1" customWidth="1"/>
    <col min="7" max="7" width="8.42578125" style="262" bestFit="1" customWidth="1"/>
    <col min="8" max="8" width="12.140625" style="262" bestFit="1" customWidth="1"/>
    <col min="9" max="9" width="8.42578125" style="262" bestFit="1" customWidth="1"/>
    <col min="10" max="10" width="12.140625" style="262" bestFit="1" customWidth="1"/>
    <col min="11" max="11" width="8.42578125" style="262" bestFit="1" customWidth="1"/>
    <col min="12" max="12" width="12.140625" style="262" bestFit="1" customWidth="1"/>
    <col min="13" max="13" width="8.42578125" style="262" bestFit="1" customWidth="1"/>
    <col min="14" max="14" width="51" style="262" bestFit="1" customWidth="1"/>
    <col min="15" max="15" width="4.7109375" style="262" bestFit="1" customWidth="1"/>
    <col min="16" max="256" width="9.140625" style="262"/>
    <col min="257" max="257" width="14.7109375" style="262" bestFit="1" customWidth="1"/>
    <col min="258" max="258" width="12.140625" style="262" bestFit="1" customWidth="1"/>
    <col min="259" max="259" width="9.28515625" style="262" bestFit="1" customWidth="1"/>
    <col min="260" max="260" width="12.140625" style="262" bestFit="1" customWidth="1"/>
    <col min="261" max="261" width="8.42578125" style="262" bestFit="1" customWidth="1"/>
    <col min="262" max="262" width="12.140625" style="262" bestFit="1" customWidth="1"/>
    <col min="263" max="263" width="8.42578125" style="262" bestFit="1" customWidth="1"/>
    <col min="264" max="264" width="12.140625" style="262" bestFit="1" customWidth="1"/>
    <col min="265" max="265" width="8.42578125" style="262" bestFit="1" customWidth="1"/>
    <col min="266" max="266" width="12.140625" style="262" bestFit="1" customWidth="1"/>
    <col min="267" max="267" width="8.42578125" style="262" bestFit="1" customWidth="1"/>
    <col min="268" max="268" width="12.140625" style="262" bestFit="1" customWidth="1"/>
    <col min="269" max="269" width="8.42578125" style="262" bestFit="1" customWidth="1"/>
    <col min="270" max="270" width="51" style="262" bestFit="1" customWidth="1"/>
    <col min="271" max="271" width="4.7109375" style="262" bestFit="1" customWidth="1"/>
    <col min="272" max="512" width="9.140625" style="262"/>
    <col min="513" max="513" width="14.7109375" style="262" bestFit="1" customWidth="1"/>
    <col min="514" max="514" width="12.140625" style="262" bestFit="1" customWidth="1"/>
    <col min="515" max="515" width="9.28515625" style="262" bestFit="1" customWidth="1"/>
    <col min="516" max="516" width="12.140625" style="262" bestFit="1" customWidth="1"/>
    <col min="517" max="517" width="8.42578125" style="262" bestFit="1" customWidth="1"/>
    <col min="518" max="518" width="12.140625" style="262" bestFit="1" customWidth="1"/>
    <col min="519" max="519" width="8.42578125" style="262" bestFit="1" customWidth="1"/>
    <col min="520" max="520" width="12.140625" style="262" bestFit="1" customWidth="1"/>
    <col min="521" max="521" width="8.42578125" style="262" bestFit="1" customWidth="1"/>
    <col min="522" max="522" width="12.140625" style="262" bestFit="1" customWidth="1"/>
    <col min="523" max="523" width="8.42578125" style="262" bestFit="1" customWidth="1"/>
    <col min="524" max="524" width="12.140625" style="262" bestFit="1" customWidth="1"/>
    <col min="525" max="525" width="8.42578125" style="262" bestFit="1" customWidth="1"/>
    <col min="526" max="526" width="51" style="262" bestFit="1" customWidth="1"/>
    <col min="527" max="527" width="4.7109375" style="262" bestFit="1" customWidth="1"/>
    <col min="528" max="768" width="9.140625" style="262"/>
    <col min="769" max="769" width="14.7109375" style="262" bestFit="1" customWidth="1"/>
    <col min="770" max="770" width="12.140625" style="262" bestFit="1" customWidth="1"/>
    <col min="771" max="771" width="9.28515625" style="262" bestFit="1" customWidth="1"/>
    <col min="772" max="772" width="12.140625" style="262" bestFit="1" customWidth="1"/>
    <col min="773" max="773" width="8.42578125" style="262" bestFit="1" customWidth="1"/>
    <col min="774" max="774" width="12.140625" style="262" bestFit="1" customWidth="1"/>
    <col min="775" max="775" width="8.42578125" style="262" bestFit="1" customWidth="1"/>
    <col min="776" max="776" width="12.140625" style="262" bestFit="1" customWidth="1"/>
    <col min="777" max="777" width="8.42578125" style="262" bestFit="1" customWidth="1"/>
    <col min="778" max="778" width="12.140625" style="262" bestFit="1" customWidth="1"/>
    <col min="779" max="779" width="8.42578125" style="262" bestFit="1" customWidth="1"/>
    <col min="780" max="780" width="12.140625" style="262" bestFit="1" customWidth="1"/>
    <col min="781" max="781" width="8.42578125" style="262" bestFit="1" customWidth="1"/>
    <col min="782" max="782" width="51" style="262" bestFit="1" customWidth="1"/>
    <col min="783" max="783" width="4.7109375" style="262" bestFit="1" customWidth="1"/>
    <col min="784" max="1024" width="9.140625" style="262"/>
    <col min="1025" max="1025" width="14.7109375" style="262" bestFit="1" customWidth="1"/>
    <col min="1026" max="1026" width="12.140625" style="262" bestFit="1" customWidth="1"/>
    <col min="1027" max="1027" width="9.28515625" style="262" bestFit="1" customWidth="1"/>
    <col min="1028" max="1028" width="12.140625" style="262" bestFit="1" customWidth="1"/>
    <col min="1029" max="1029" width="8.42578125" style="262" bestFit="1" customWidth="1"/>
    <col min="1030" max="1030" width="12.140625" style="262" bestFit="1" customWidth="1"/>
    <col min="1031" max="1031" width="8.42578125" style="262" bestFit="1" customWidth="1"/>
    <col min="1032" max="1032" width="12.140625" style="262" bestFit="1" customWidth="1"/>
    <col min="1033" max="1033" width="8.42578125" style="262" bestFit="1" customWidth="1"/>
    <col min="1034" max="1034" width="12.140625" style="262" bestFit="1" customWidth="1"/>
    <col min="1035" max="1035" width="8.42578125" style="262" bestFit="1" customWidth="1"/>
    <col min="1036" max="1036" width="12.140625" style="262" bestFit="1" customWidth="1"/>
    <col min="1037" max="1037" width="8.42578125" style="262" bestFit="1" customWidth="1"/>
    <col min="1038" max="1038" width="51" style="262" bestFit="1" customWidth="1"/>
    <col min="1039" max="1039" width="4.7109375" style="262" bestFit="1" customWidth="1"/>
    <col min="1040" max="1280" width="9.140625" style="262"/>
    <col min="1281" max="1281" width="14.7109375" style="262" bestFit="1" customWidth="1"/>
    <col min="1282" max="1282" width="12.140625" style="262" bestFit="1" customWidth="1"/>
    <col min="1283" max="1283" width="9.28515625" style="262" bestFit="1" customWidth="1"/>
    <col min="1284" max="1284" width="12.140625" style="262" bestFit="1" customWidth="1"/>
    <col min="1285" max="1285" width="8.42578125" style="262" bestFit="1" customWidth="1"/>
    <col min="1286" max="1286" width="12.140625" style="262" bestFit="1" customWidth="1"/>
    <col min="1287" max="1287" width="8.42578125" style="262" bestFit="1" customWidth="1"/>
    <col min="1288" max="1288" width="12.140625" style="262" bestFit="1" customWidth="1"/>
    <col min="1289" max="1289" width="8.42578125" style="262" bestFit="1" customWidth="1"/>
    <col min="1290" max="1290" width="12.140625" style="262" bestFit="1" customWidth="1"/>
    <col min="1291" max="1291" width="8.42578125" style="262" bestFit="1" customWidth="1"/>
    <col min="1292" max="1292" width="12.140625" style="262" bestFit="1" customWidth="1"/>
    <col min="1293" max="1293" width="8.42578125" style="262" bestFit="1" customWidth="1"/>
    <col min="1294" max="1294" width="51" style="262" bestFit="1" customWidth="1"/>
    <col min="1295" max="1295" width="4.7109375" style="262" bestFit="1" customWidth="1"/>
    <col min="1296" max="1536" width="9.140625" style="262"/>
    <col min="1537" max="1537" width="14.7109375" style="262" bestFit="1" customWidth="1"/>
    <col min="1538" max="1538" width="12.140625" style="262" bestFit="1" customWidth="1"/>
    <col min="1539" max="1539" width="9.28515625" style="262" bestFit="1" customWidth="1"/>
    <col min="1540" max="1540" width="12.140625" style="262" bestFit="1" customWidth="1"/>
    <col min="1541" max="1541" width="8.42578125" style="262" bestFit="1" customWidth="1"/>
    <col min="1542" max="1542" width="12.140625" style="262" bestFit="1" customWidth="1"/>
    <col min="1543" max="1543" width="8.42578125" style="262" bestFit="1" customWidth="1"/>
    <col min="1544" max="1544" width="12.140625" style="262" bestFit="1" customWidth="1"/>
    <col min="1545" max="1545" width="8.42578125" style="262" bestFit="1" customWidth="1"/>
    <col min="1546" max="1546" width="12.140625" style="262" bestFit="1" customWidth="1"/>
    <col min="1547" max="1547" width="8.42578125" style="262" bestFit="1" customWidth="1"/>
    <col min="1548" max="1548" width="12.140625" style="262" bestFit="1" customWidth="1"/>
    <col min="1549" max="1549" width="8.42578125" style="262" bestFit="1" customWidth="1"/>
    <col min="1550" max="1550" width="51" style="262" bestFit="1" customWidth="1"/>
    <col min="1551" max="1551" width="4.7109375" style="262" bestFit="1" customWidth="1"/>
    <col min="1552" max="1792" width="9.140625" style="262"/>
    <col min="1793" max="1793" width="14.7109375" style="262" bestFit="1" customWidth="1"/>
    <col min="1794" max="1794" width="12.140625" style="262" bestFit="1" customWidth="1"/>
    <col min="1795" max="1795" width="9.28515625" style="262" bestFit="1" customWidth="1"/>
    <col min="1796" max="1796" width="12.140625" style="262" bestFit="1" customWidth="1"/>
    <col min="1797" max="1797" width="8.42578125" style="262" bestFit="1" customWidth="1"/>
    <col min="1798" max="1798" width="12.140625" style="262" bestFit="1" customWidth="1"/>
    <col min="1799" max="1799" width="8.42578125" style="262" bestFit="1" customWidth="1"/>
    <col min="1800" max="1800" width="12.140625" style="262" bestFit="1" customWidth="1"/>
    <col min="1801" max="1801" width="8.42578125" style="262" bestFit="1" customWidth="1"/>
    <col min="1802" max="1802" width="12.140625" style="262" bestFit="1" customWidth="1"/>
    <col min="1803" max="1803" width="8.42578125" style="262" bestFit="1" customWidth="1"/>
    <col min="1804" max="1804" width="12.140625" style="262" bestFit="1" customWidth="1"/>
    <col min="1805" max="1805" width="8.42578125" style="262" bestFit="1" customWidth="1"/>
    <col min="1806" max="1806" width="51" style="262" bestFit="1" customWidth="1"/>
    <col min="1807" max="1807" width="4.7109375" style="262" bestFit="1" customWidth="1"/>
    <col min="1808" max="2048" width="9.140625" style="262"/>
    <col min="2049" max="2049" width="14.7109375" style="262" bestFit="1" customWidth="1"/>
    <col min="2050" max="2050" width="12.140625" style="262" bestFit="1" customWidth="1"/>
    <col min="2051" max="2051" width="9.28515625" style="262" bestFit="1" customWidth="1"/>
    <col min="2052" max="2052" width="12.140625" style="262" bestFit="1" customWidth="1"/>
    <col min="2053" max="2053" width="8.42578125" style="262" bestFit="1" customWidth="1"/>
    <col min="2054" max="2054" width="12.140625" style="262" bestFit="1" customWidth="1"/>
    <col min="2055" max="2055" width="8.42578125" style="262" bestFit="1" customWidth="1"/>
    <col min="2056" max="2056" width="12.140625" style="262" bestFit="1" customWidth="1"/>
    <col min="2057" max="2057" width="8.42578125" style="262" bestFit="1" customWidth="1"/>
    <col min="2058" max="2058" width="12.140625" style="262" bestFit="1" customWidth="1"/>
    <col min="2059" max="2059" width="8.42578125" style="262" bestFit="1" customWidth="1"/>
    <col min="2060" max="2060" width="12.140625" style="262" bestFit="1" customWidth="1"/>
    <col min="2061" max="2061" width="8.42578125" style="262" bestFit="1" customWidth="1"/>
    <col min="2062" max="2062" width="51" style="262" bestFit="1" customWidth="1"/>
    <col min="2063" max="2063" width="4.7109375" style="262" bestFit="1" customWidth="1"/>
    <col min="2064" max="2304" width="9.140625" style="262"/>
    <col min="2305" max="2305" width="14.7109375" style="262" bestFit="1" customWidth="1"/>
    <col min="2306" max="2306" width="12.140625" style="262" bestFit="1" customWidth="1"/>
    <col min="2307" max="2307" width="9.28515625" style="262" bestFit="1" customWidth="1"/>
    <col min="2308" max="2308" width="12.140625" style="262" bestFit="1" customWidth="1"/>
    <col min="2309" max="2309" width="8.42578125" style="262" bestFit="1" customWidth="1"/>
    <col min="2310" max="2310" width="12.140625" style="262" bestFit="1" customWidth="1"/>
    <col min="2311" max="2311" width="8.42578125" style="262" bestFit="1" customWidth="1"/>
    <col min="2312" max="2312" width="12.140625" style="262" bestFit="1" customWidth="1"/>
    <col min="2313" max="2313" width="8.42578125" style="262" bestFit="1" customWidth="1"/>
    <col min="2314" max="2314" width="12.140625" style="262" bestFit="1" customWidth="1"/>
    <col min="2315" max="2315" width="8.42578125" style="262" bestFit="1" customWidth="1"/>
    <col min="2316" max="2316" width="12.140625" style="262" bestFit="1" customWidth="1"/>
    <col min="2317" max="2317" width="8.42578125" style="262" bestFit="1" customWidth="1"/>
    <col min="2318" max="2318" width="51" style="262" bestFit="1" customWidth="1"/>
    <col min="2319" max="2319" width="4.7109375" style="262" bestFit="1" customWidth="1"/>
    <col min="2320" max="2560" width="9.140625" style="262"/>
    <col min="2561" max="2561" width="14.7109375" style="262" bestFit="1" customWidth="1"/>
    <col min="2562" max="2562" width="12.140625" style="262" bestFit="1" customWidth="1"/>
    <col min="2563" max="2563" width="9.28515625" style="262" bestFit="1" customWidth="1"/>
    <col min="2564" max="2564" width="12.140625" style="262" bestFit="1" customWidth="1"/>
    <col min="2565" max="2565" width="8.42578125" style="262" bestFit="1" customWidth="1"/>
    <col min="2566" max="2566" width="12.140625" style="262" bestFit="1" customWidth="1"/>
    <col min="2567" max="2567" width="8.42578125" style="262" bestFit="1" customWidth="1"/>
    <col min="2568" max="2568" width="12.140625" style="262" bestFit="1" customWidth="1"/>
    <col min="2569" max="2569" width="8.42578125" style="262" bestFit="1" customWidth="1"/>
    <col min="2570" max="2570" width="12.140625" style="262" bestFit="1" customWidth="1"/>
    <col min="2571" max="2571" width="8.42578125" style="262" bestFit="1" customWidth="1"/>
    <col min="2572" max="2572" width="12.140625" style="262" bestFit="1" customWidth="1"/>
    <col min="2573" max="2573" width="8.42578125" style="262" bestFit="1" customWidth="1"/>
    <col min="2574" max="2574" width="51" style="262" bestFit="1" customWidth="1"/>
    <col min="2575" max="2575" width="4.7109375" style="262" bestFit="1" customWidth="1"/>
    <col min="2576" max="2816" width="9.140625" style="262"/>
    <col min="2817" max="2817" width="14.7109375" style="262" bestFit="1" customWidth="1"/>
    <col min="2818" max="2818" width="12.140625" style="262" bestFit="1" customWidth="1"/>
    <col min="2819" max="2819" width="9.28515625" style="262" bestFit="1" customWidth="1"/>
    <col min="2820" max="2820" width="12.140625" style="262" bestFit="1" customWidth="1"/>
    <col min="2821" max="2821" width="8.42578125" style="262" bestFit="1" customWidth="1"/>
    <col min="2822" max="2822" width="12.140625" style="262" bestFit="1" customWidth="1"/>
    <col min="2823" max="2823" width="8.42578125" style="262" bestFit="1" customWidth="1"/>
    <col min="2824" max="2824" width="12.140625" style="262" bestFit="1" customWidth="1"/>
    <col min="2825" max="2825" width="8.42578125" style="262" bestFit="1" customWidth="1"/>
    <col min="2826" max="2826" width="12.140625" style="262" bestFit="1" customWidth="1"/>
    <col min="2827" max="2827" width="8.42578125" style="262" bestFit="1" customWidth="1"/>
    <col min="2828" max="2828" width="12.140625" style="262" bestFit="1" customWidth="1"/>
    <col min="2829" max="2829" width="8.42578125" style="262" bestFit="1" customWidth="1"/>
    <col min="2830" max="2830" width="51" style="262" bestFit="1" customWidth="1"/>
    <col min="2831" max="2831" width="4.7109375" style="262" bestFit="1" customWidth="1"/>
    <col min="2832" max="3072" width="9.140625" style="262"/>
    <col min="3073" max="3073" width="14.7109375" style="262" bestFit="1" customWidth="1"/>
    <col min="3074" max="3074" width="12.140625" style="262" bestFit="1" customWidth="1"/>
    <col min="3075" max="3075" width="9.28515625" style="262" bestFit="1" customWidth="1"/>
    <col min="3076" max="3076" width="12.140625" style="262" bestFit="1" customWidth="1"/>
    <col min="3077" max="3077" width="8.42578125" style="262" bestFit="1" customWidth="1"/>
    <col min="3078" max="3078" width="12.140625" style="262" bestFit="1" customWidth="1"/>
    <col min="3079" max="3079" width="8.42578125" style="262" bestFit="1" customWidth="1"/>
    <col min="3080" max="3080" width="12.140625" style="262" bestFit="1" customWidth="1"/>
    <col min="3081" max="3081" width="8.42578125" style="262" bestFit="1" customWidth="1"/>
    <col min="3082" max="3082" width="12.140625" style="262" bestFit="1" customWidth="1"/>
    <col min="3083" max="3083" width="8.42578125" style="262" bestFit="1" customWidth="1"/>
    <col min="3084" max="3084" width="12.140625" style="262" bestFit="1" customWidth="1"/>
    <col min="3085" max="3085" width="8.42578125" style="262" bestFit="1" customWidth="1"/>
    <col min="3086" max="3086" width="51" style="262" bestFit="1" customWidth="1"/>
    <col min="3087" max="3087" width="4.7109375" style="262" bestFit="1" customWidth="1"/>
    <col min="3088" max="3328" width="9.140625" style="262"/>
    <col min="3329" max="3329" width="14.7109375" style="262" bestFit="1" customWidth="1"/>
    <col min="3330" max="3330" width="12.140625" style="262" bestFit="1" customWidth="1"/>
    <col min="3331" max="3331" width="9.28515625" style="262" bestFit="1" customWidth="1"/>
    <col min="3332" max="3332" width="12.140625" style="262" bestFit="1" customWidth="1"/>
    <col min="3333" max="3333" width="8.42578125" style="262" bestFit="1" customWidth="1"/>
    <col min="3334" max="3334" width="12.140625" style="262" bestFit="1" customWidth="1"/>
    <col min="3335" max="3335" width="8.42578125" style="262" bestFit="1" customWidth="1"/>
    <col min="3336" max="3336" width="12.140625" style="262" bestFit="1" customWidth="1"/>
    <col min="3337" max="3337" width="8.42578125" style="262" bestFit="1" customWidth="1"/>
    <col min="3338" max="3338" width="12.140625" style="262" bestFit="1" customWidth="1"/>
    <col min="3339" max="3339" width="8.42578125" style="262" bestFit="1" customWidth="1"/>
    <col min="3340" max="3340" width="12.140625" style="262" bestFit="1" customWidth="1"/>
    <col min="3341" max="3341" width="8.42578125" style="262" bestFit="1" customWidth="1"/>
    <col min="3342" max="3342" width="51" style="262" bestFit="1" customWidth="1"/>
    <col min="3343" max="3343" width="4.7109375" style="262" bestFit="1" customWidth="1"/>
    <col min="3344" max="3584" width="9.140625" style="262"/>
    <col min="3585" max="3585" width="14.7109375" style="262" bestFit="1" customWidth="1"/>
    <col min="3586" max="3586" width="12.140625" style="262" bestFit="1" customWidth="1"/>
    <col min="3587" max="3587" width="9.28515625" style="262" bestFit="1" customWidth="1"/>
    <col min="3588" max="3588" width="12.140625" style="262" bestFit="1" customWidth="1"/>
    <col min="3589" max="3589" width="8.42578125" style="262" bestFit="1" customWidth="1"/>
    <col min="3590" max="3590" width="12.140625" style="262" bestFit="1" customWidth="1"/>
    <col min="3591" max="3591" width="8.42578125" style="262" bestFit="1" customWidth="1"/>
    <col min="3592" max="3592" width="12.140625" style="262" bestFit="1" customWidth="1"/>
    <col min="3593" max="3593" width="8.42578125" style="262" bestFit="1" customWidth="1"/>
    <col min="3594" max="3594" width="12.140625" style="262" bestFit="1" customWidth="1"/>
    <col min="3595" max="3595" width="8.42578125" style="262" bestFit="1" customWidth="1"/>
    <col min="3596" max="3596" width="12.140625" style="262" bestFit="1" customWidth="1"/>
    <col min="3597" max="3597" width="8.42578125" style="262" bestFit="1" customWidth="1"/>
    <col min="3598" max="3598" width="51" style="262" bestFit="1" customWidth="1"/>
    <col min="3599" max="3599" width="4.7109375" style="262" bestFit="1" customWidth="1"/>
    <col min="3600" max="3840" width="9.140625" style="262"/>
    <col min="3841" max="3841" width="14.7109375" style="262" bestFit="1" customWidth="1"/>
    <col min="3842" max="3842" width="12.140625" style="262" bestFit="1" customWidth="1"/>
    <col min="3843" max="3843" width="9.28515625" style="262" bestFit="1" customWidth="1"/>
    <col min="3844" max="3844" width="12.140625" style="262" bestFit="1" customWidth="1"/>
    <col min="3845" max="3845" width="8.42578125" style="262" bestFit="1" customWidth="1"/>
    <col min="3846" max="3846" width="12.140625" style="262" bestFit="1" customWidth="1"/>
    <col min="3847" max="3847" width="8.42578125" style="262" bestFit="1" customWidth="1"/>
    <col min="3848" max="3848" width="12.140625" style="262" bestFit="1" customWidth="1"/>
    <col min="3849" max="3849" width="8.42578125" style="262" bestFit="1" customWidth="1"/>
    <col min="3850" max="3850" width="12.140625" style="262" bestFit="1" customWidth="1"/>
    <col min="3851" max="3851" width="8.42578125" style="262" bestFit="1" customWidth="1"/>
    <col min="3852" max="3852" width="12.140625" style="262" bestFit="1" customWidth="1"/>
    <col min="3853" max="3853" width="8.42578125" style="262" bestFit="1" customWidth="1"/>
    <col min="3854" max="3854" width="51" style="262" bestFit="1" customWidth="1"/>
    <col min="3855" max="3855" width="4.7109375" style="262" bestFit="1" customWidth="1"/>
    <col min="3856" max="4096" width="9.140625" style="262"/>
    <col min="4097" max="4097" width="14.7109375" style="262" bestFit="1" customWidth="1"/>
    <col min="4098" max="4098" width="12.140625" style="262" bestFit="1" customWidth="1"/>
    <col min="4099" max="4099" width="9.28515625" style="262" bestFit="1" customWidth="1"/>
    <col min="4100" max="4100" width="12.140625" style="262" bestFit="1" customWidth="1"/>
    <col min="4101" max="4101" width="8.42578125" style="262" bestFit="1" customWidth="1"/>
    <col min="4102" max="4102" width="12.140625" style="262" bestFit="1" customWidth="1"/>
    <col min="4103" max="4103" width="8.42578125" style="262" bestFit="1" customWidth="1"/>
    <col min="4104" max="4104" width="12.140625" style="262" bestFit="1" customWidth="1"/>
    <col min="4105" max="4105" width="8.42578125" style="262" bestFit="1" customWidth="1"/>
    <col min="4106" max="4106" width="12.140625" style="262" bestFit="1" customWidth="1"/>
    <col min="4107" max="4107" width="8.42578125" style="262" bestFit="1" customWidth="1"/>
    <col min="4108" max="4108" width="12.140625" style="262" bestFit="1" customWidth="1"/>
    <col min="4109" max="4109" width="8.42578125" style="262" bestFit="1" customWidth="1"/>
    <col min="4110" max="4110" width="51" style="262" bestFit="1" customWidth="1"/>
    <col min="4111" max="4111" width="4.7109375" style="262" bestFit="1" customWidth="1"/>
    <col min="4112" max="4352" width="9.140625" style="262"/>
    <col min="4353" max="4353" width="14.7109375" style="262" bestFit="1" customWidth="1"/>
    <col min="4354" max="4354" width="12.140625" style="262" bestFit="1" customWidth="1"/>
    <col min="4355" max="4355" width="9.28515625" style="262" bestFit="1" customWidth="1"/>
    <col min="4356" max="4356" width="12.140625" style="262" bestFit="1" customWidth="1"/>
    <col min="4357" max="4357" width="8.42578125" style="262" bestFit="1" customWidth="1"/>
    <col min="4358" max="4358" width="12.140625" style="262" bestFit="1" customWidth="1"/>
    <col min="4359" max="4359" width="8.42578125" style="262" bestFit="1" customWidth="1"/>
    <col min="4360" max="4360" width="12.140625" style="262" bestFit="1" customWidth="1"/>
    <col min="4361" max="4361" width="8.42578125" style="262" bestFit="1" customWidth="1"/>
    <col min="4362" max="4362" width="12.140625" style="262" bestFit="1" customWidth="1"/>
    <col min="4363" max="4363" width="8.42578125" style="262" bestFit="1" customWidth="1"/>
    <col min="4364" max="4364" width="12.140625" style="262" bestFit="1" customWidth="1"/>
    <col min="4365" max="4365" width="8.42578125" style="262" bestFit="1" customWidth="1"/>
    <col min="4366" max="4366" width="51" style="262" bestFit="1" customWidth="1"/>
    <col min="4367" max="4367" width="4.7109375" style="262" bestFit="1" customWidth="1"/>
    <col min="4368" max="4608" width="9.140625" style="262"/>
    <col min="4609" max="4609" width="14.7109375" style="262" bestFit="1" customWidth="1"/>
    <col min="4610" max="4610" width="12.140625" style="262" bestFit="1" customWidth="1"/>
    <col min="4611" max="4611" width="9.28515625" style="262" bestFit="1" customWidth="1"/>
    <col min="4612" max="4612" width="12.140625" style="262" bestFit="1" customWidth="1"/>
    <col min="4613" max="4613" width="8.42578125" style="262" bestFit="1" customWidth="1"/>
    <col min="4614" max="4614" width="12.140625" style="262" bestFit="1" customWidth="1"/>
    <col min="4615" max="4615" width="8.42578125" style="262" bestFit="1" customWidth="1"/>
    <col min="4616" max="4616" width="12.140625" style="262" bestFit="1" customWidth="1"/>
    <col min="4617" max="4617" width="8.42578125" style="262" bestFit="1" customWidth="1"/>
    <col min="4618" max="4618" width="12.140625" style="262" bestFit="1" customWidth="1"/>
    <col min="4619" max="4619" width="8.42578125" style="262" bestFit="1" customWidth="1"/>
    <col min="4620" max="4620" width="12.140625" style="262" bestFit="1" customWidth="1"/>
    <col min="4621" max="4621" width="8.42578125" style="262" bestFit="1" customWidth="1"/>
    <col min="4622" max="4622" width="51" style="262" bestFit="1" customWidth="1"/>
    <col min="4623" max="4623" width="4.7109375" style="262" bestFit="1" customWidth="1"/>
    <col min="4624" max="4864" width="9.140625" style="262"/>
    <col min="4865" max="4865" width="14.7109375" style="262" bestFit="1" customWidth="1"/>
    <col min="4866" max="4866" width="12.140625" style="262" bestFit="1" customWidth="1"/>
    <col min="4867" max="4867" width="9.28515625" style="262" bestFit="1" customWidth="1"/>
    <col min="4868" max="4868" width="12.140625" style="262" bestFit="1" customWidth="1"/>
    <col min="4869" max="4869" width="8.42578125" style="262" bestFit="1" customWidth="1"/>
    <col min="4870" max="4870" width="12.140625" style="262" bestFit="1" customWidth="1"/>
    <col min="4871" max="4871" width="8.42578125" style="262" bestFit="1" customWidth="1"/>
    <col min="4872" max="4872" width="12.140625" style="262" bestFit="1" customWidth="1"/>
    <col min="4873" max="4873" width="8.42578125" style="262" bestFit="1" customWidth="1"/>
    <col min="4874" max="4874" width="12.140625" style="262" bestFit="1" customWidth="1"/>
    <col min="4875" max="4875" width="8.42578125" style="262" bestFit="1" customWidth="1"/>
    <col min="4876" max="4876" width="12.140625" style="262" bestFit="1" customWidth="1"/>
    <col min="4877" max="4877" width="8.42578125" style="262" bestFit="1" customWidth="1"/>
    <col min="4878" max="4878" width="51" style="262" bestFit="1" customWidth="1"/>
    <col min="4879" max="4879" width="4.7109375" style="262" bestFit="1" customWidth="1"/>
    <col min="4880" max="5120" width="9.140625" style="262"/>
    <col min="5121" max="5121" width="14.7109375" style="262" bestFit="1" customWidth="1"/>
    <col min="5122" max="5122" width="12.140625" style="262" bestFit="1" customWidth="1"/>
    <col min="5123" max="5123" width="9.28515625" style="262" bestFit="1" customWidth="1"/>
    <col min="5124" max="5124" width="12.140625" style="262" bestFit="1" customWidth="1"/>
    <col min="5125" max="5125" width="8.42578125" style="262" bestFit="1" customWidth="1"/>
    <col min="5126" max="5126" width="12.140625" style="262" bestFit="1" customWidth="1"/>
    <col min="5127" max="5127" width="8.42578125" style="262" bestFit="1" customWidth="1"/>
    <col min="5128" max="5128" width="12.140625" style="262" bestFit="1" customWidth="1"/>
    <col min="5129" max="5129" width="8.42578125" style="262" bestFit="1" customWidth="1"/>
    <col min="5130" max="5130" width="12.140625" style="262" bestFit="1" customWidth="1"/>
    <col min="5131" max="5131" width="8.42578125" style="262" bestFit="1" customWidth="1"/>
    <col min="5132" max="5132" width="12.140625" style="262" bestFit="1" customWidth="1"/>
    <col min="5133" max="5133" width="8.42578125" style="262" bestFit="1" customWidth="1"/>
    <col min="5134" max="5134" width="51" style="262" bestFit="1" customWidth="1"/>
    <col min="5135" max="5135" width="4.7109375" style="262" bestFit="1" customWidth="1"/>
    <col min="5136" max="5376" width="9.140625" style="262"/>
    <col min="5377" max="5377" width="14.7109375" style="262" bestFit="1" customWidth="1"/>
    <col min="5378" max="5378" width="12.140625" style="262" bestFit="1" customWidth="1"/>
    <col min="5379" max="5379" width="9.28515625" style="262" bestFit="1" customWidth="1"/>
    <col min="5380" max="5380" width="12.140625" style="262" bestFit="1" customWidth="1"/>
    <col min="5381" max="5381" width="8.42578125" style="262" bestFit="1" customWidth="1"/>
    <col min="5382" max="5382" width="12.140625" style="262" bestFit="1" customWidth="1"/>
    <col min="5383" max="5383" width="8.42578125" style="262" bestFit="1" customWidth="1"/>
    <col min="5384" max="5384" width="12.140625" style="262" bestFit="1" customWidth="1"/>
    <col min="5385" max="5385" width="8.42578125" style="262" bestFit="1" customWidth="1"/>
    <col min="5386" max="5386" width="12.140625" style="262" bestFit="1" customWidth="1"/>
    <col min="5387" max="5387" width="8.42578125" style="262" bestFit="1" customWidth="1"/>
    <col min="5388" max="5388" width="12.140625" style="262" bestFit="1" customWidth="1"/>
    <col min="5389" max="5389" width="8.42578125" style="262" bestFit="1" customWidth="1"/>
    <col min="5390" max="5390" width="51" style="262" bestFit="1" customWidth="1"/>
    <col min="5391" max="5391" width="4.7109375" style="262" bestFit="1" customWidth="1"/>
    <col min="5392" max="5632" width="9.140625" style="262"/>
    <col min="5633" max="5633" width="14.7109375" style="262" bestFit="1" customWidth="1"/>
    <col min="5634" max="5634" width="12.140625" style="262" bestFit="1" customWidth="1"/>
    <col min="5635" max="5635" width="9.28515625" style="262" bestFit="1" customWidth="1"/>
    <col min="5636" max="5636" width="12.140625" style="262" bestFit="1" customWidth="1"/>
    <col min="5637" max="5637" width="8.42578125" style="262" bestFit="1" customWidth="1"/>
    <col min="5638" max="5638" width="12.140625" style="262" bestFit="1" customWidth="1"/>
    <col min="5639" max="5639" width="8.42578125" style="262" bestFit="1" customWidth="1"/>
    <col min="5640" max="5640" width="12.140625" style="262" bestFit="1" customWidth="1"/>
    <col min="5641" max="5641" width="8.42578125" style="262" bestFit="1" customWidth="1"/>
    <col min="5642" max="5642" width="12.140625" style="262" bestFit="1" customWidth="1"/>
    <col min="5643" max="5643" width="8.42578125" style="262" bestFit="1" customWidth="1"/>
    <col min="5644" max="5644" width="12.140625" style="262" bestFit="1" customWidth="1"/>
    <col min="5645" max="5645" width="8.42578125" style="262" bestFit="1" customWidth="1"/>
    <col min="5646" max="5646" width="51" style="262" bestFit="1" customWidth="1"/>
    <col min="5647" max="5647" width="4.7109375" style="262" bestFit="1" customWidth="1"/>
    <col min="5648" max="5888" width="9.140625" style="262"/>
    <col min="5889" max="5889" width="14.7109375" style="262" bestFit="1" customWidth="1"/>
    <col min="5890" max="5890" width="12.140625" style="262" bestFit="1" customWidth="1"/>
    <col min="5891" max="5891" width="9.28515625" style="262" bestFit="1" customWidth="1"/>
    <col min="5892" max="5892" width="12.140625" style="262" bestFit="1" customWidth="1"/>
    <col min="5893" max="5893" width="8.42578125" style="262" bestFit="1" customWidth="1"/>
    <col min="5894" max="5894" width="12.140625" style="262" bestFit="1" customWidth="1"/>
    <col min="5895" max="5895" width="8.42578125" style="262" bestFit="1" customWidth="1"/>
    <col min="5896" max="5896" width="12.140625" style="262" bestFit="1" customWidth="1"/>
    <col min="5897" max="5897" width="8.42578125" style="262" bestFit="1" customWidth="1"/>
    <col min="5898" max="5898" width="12.140625" style="262" bestFit="1" customWidth="1"/>
    <col min="5899" max="5899" width="8.42578125" style="262" bestFit="1" customWidth="1"/>
    <col min="5900" max="5900" width="12.140625" style="262" bestFit="1" customWidth="1"/>
    <col min="5901" max="5901" width="8.42578125" style="262" bestFit="1" customWidth="1"/>
    <col min="5902" max="5902" width="51" style="262" bestFit="1" customWidth="1"/>
    <col min="5903" max="5903" width="4.7109375" style="262" bestFit="1" customWidth="1"/>
    <col min="5904" max="6144" width="9.140625" style="262"/>
    <col min="6145" max="6145" width="14.7109375" style="262" bestFit="1" customWidth="1"/>
    <col min="6146" max="6146" width="12.140625" style="262" bestFit="1" customWidth="1"/>
    <col min="6147" max="6147" width="9.28515625" style="262" bestFit="1" customWidth="1"/>
    <col min="6148" max="6148" width="12.140625" style="262" bestFit="1" customWidth="1"/>
    <col min="6149" max="6149" width="8.42578125" style="262" bestFit="1" customWidth="1"/>
    <col min="6150" max="6150" width="12.140625" style="262" bestFit="1" customWidth="1"/>
    <col min="6151" max="6151" width="8.42578125" style="262" bestFit="1" customWidth="1"/>
    <col min="6152" max="6152" width="12.140625" style="262" bestFit="1" customWidth="1"/>
    <col min="6153" max="6153" width="8.42578125" style="262" bestFit="1" customWidth="1"/>
    <col min="6154" max="6154" width="12.140625" style="262" bestFit="1" customWidth="1"/>
    <col min="6155" max="6155" width="8.42578125" style="262" bestFit="1" customWidth="1"/>
    <col min="6156" max="6156" width="12.140625" style="262" bestFit="1" customWidth="1"/>
    <col min="6157" max="6157" width="8.42578125" style="262" bestFit="1" customWidth="1"/>
    <col min="6158" max="6158" width="51" style="262" bestFit="1" customWidth="1"/>
    <col min="6159" max="6159" width="4.7109375" style="262" bestFit="1" customWidth="1"/>
    <col min="6160" max="6400" width="9.140625" style="262"/>
    <col min="6401" max="6401" width="14.7109375" style="262" bestFit="1" customWidth="1"/>
    <col min="6402" max="6402" width="12.140625" style="262" bestFit="1" customWidth="1"/>
    <col min="6403" max="6403" width="9.28515625" style="262" bestFit="1" customWidth="1"/>
    <col min="6404" max="6404" width="12.140625" style="262" bestFit="1" customWidth="1"/>
    <col min="6405" max="6405" width="8.42578125" style="262" bestFit="1" customWidth="1"/>
    <col min="6406" max="6406" width="12.140625" style="262" bestFit="1" customWidth="1"/>
    <col min="6407" max="6407" width="8.42578125" style="262" bestFit="1" customWidth="1"/>
    <col min="6408" max="6408" width="12.140625" style="262" bestFit="1" customWidth="1"/>
    <col min="6409" max="6409" width="8.42578125" style="262" bestFit="1" customWidth="1"/>
    <col min="6410" max="6410" width="12.140625" style="262" bestFit="1" customWidth="1"/>
    <col min="6411" max="6411" width="8.42578125" style="262" bestFit="1" customWidth="1"/>
    <col min="6412" max="6412" width="12.140625" style="262" bestFit="1" customWidth="1"/>
    <col min="6413" max="6413" width="8.42578125" style="262" bestFit="1" customWidth="1"/>
    <col min="6414" max="6414" width="51" style="262" bestFit="1" customWidth="1"/>
    <col min="6415" max="6415" width="4.7109375" style="262" bestFit="1" customWidth="1"/>
    <col min="6416" max="6656" width="9.140625" style="262"/>
    <col min="6657" max="6657" width="14.7109375" style="262" bestFit="1" customWidth="1"/>
    <col min="6658" max="6658" width="12.140625" style="262" bestFit="1" customWidth="1"/>
    <col min="6659" max="6659" width="9.28515625" style="262" bestFit="1" customWidth="1"/>
    <col min="6660" max="6660" width="12.140625" style="262" bestFit="1" customWidth="1"/>
    <col min="6661" max="6661" width="8.42578125" style="262" bestFit="1" customWidth="1"/>
    <col min="6662" max="6662" width="12.140625" style="262" bestFit="1" customWidth="1"/>
    <col min="6663" max="6663" width="8.42578125" style="262" bestFit="1" customWidth="1"/>
    <col min="6664" max="6664" width="12.140625" style="262" bestFit="1" customWidth="1"/>
    <col min="6665" max="6665" width="8.42578125" style="262" bestFit="1" customWidth="1"/>
    <col min="6666" max="6666" width="12.140625" style="262" bestFit="1" customWidth="1"/>
    <col min="6667" max="6667" width="8.42578125" style="262" bestFit="1" customWidth="1"/>
    <col min="6668" max="6668" width="12.140625" style="262" bestFit="1" customWidth="1"/>
    <col min="6669" max="6669" width="8.42578125" style="262" bestFit="1" customWidth="1"/>
    <col min="6670" max="6670" width="51" style="262" bestFit="1" customWidth="1"/>
    <col min="6671" max="6671" width="4.7109375" style="262" bestFit="1" customWidth="1"/>
    <col min="6672" max="6912" width="9.140625" style="262"/>
    <col min="6913" max="6913" width="14.7109375" style="262" bestFit="1" customWidth="1"/>
    <col min="6914" max="6914" width="12.140625" style="262" bestFit="1" customWidth="1"/>
    <col min="6915" max="6915" width="9.28515625" style="262" bestFit="1" customWidth="1"/>
    <col min="6916" max="6916" width="12.140625" style="262" bestFit="1" customWidth="1"/>
    <col min="6917" max="6917" width="8.42578125" style="262" bestFit="1" customWidth="1"/>
    <col min="6918" max="6918" width="12.140625" style="262" bestFit="1" customWidth="1"/>
    <col min="6919" max="6919" width="8.42578125" style="262" bestFit="1" customWidth="1"/>
    <col min="6920" max="6920" width="12.140625" style="262" bestFit="1" customWidth="1"/>
    <col min="6921" max="6921" width="8.42578125" style="262" bestFit="1" customWidth="1"/>
    <col min="6922" max="6922" width="12.140625" style="262" bestFit="1" customWidth="1"/>
    <col min="6923" max="6923" width="8.42578125" style="262" bestFit="1" customWidth="1"/>
    <col min="6924" max="6924" width="12.140625" style="262" bestFit="1" customWidth="1"/>
    <col min="6925" max="6925" width="8.42578125" style="262" bestFit="1" customWidth="1"/>
    <col min="6926" max="6926" width="51" style="262" bestFit="1" customWidth="1"/>
    <col min="6927" max="6927" width="4.7109375" style="262" bestFit="1" customWidth="1"/>
    <col min="6928" max="7168" width="9.140625" style="262"/>
    <col min="7169" max="7169" width="14.7109375" style="262" bestFit="1" customWidth="1"/>
    <col min="7170" max="7170" width="12.140625" style="262" bestFit="1" customWidth="1"/>
    <col min="7171" max="7171" width="9.28515625" style="262" bestFit="1" customWidth="1"/>
    <col min="7172" max="7172" width="12.140625" style="262" bestFit="1" customWidth="1"/>
    <col min="7173" max="7173" width="8.42578125" style="262" bestFit="1" customWidth="1"/>
    <col min="7174" max="7174" width="12.140625" style="262" bestFit="1" customWidth="1"/>
    <col min="7175" max="7175" width="8.42578125" style="262" bestFit="1" customWidth="1"/>
    <col min="7176" max="7176" width="12.140625" style="262" bestFit="1" customWidth="1"/>
    <col min="7177" max="7177" width="8.42578125" style="262" bestFit="1" customWidth="1"/>
    <col min="7178" max="7178" width="12.140625" style="262" bestFit="1" customWidth="1"/>
    <col min="7179" max="7179" width="8.42578125" style="262" bestFit="1" customWidth="1"/>
    <col min="7180" max="7180" width="12.140625" style="262" bestFit="1" customWidth="1"/>
    <col min="7181" max="7181" width="8.42578125" style="262" bestFit="1" customWidth="1"/>
    <col min="7182" max="7182" width="51" style="262" bestFit="1" customWidth="1"/>
    <col min="7183" max="7183" width="4.7109375" style="262" bestFit="1" customWidth="1"/>
    <col min="7184" max="7424" width="9.140625" style="262"/>
    <col min="7425" max="7425" width="14.7109375" style="262" bestFit="1" customWidth="1"/>
    <col min="7426" max="7426" width="12.140625" style="262" bestFit="1" customWidth="1"/>
    <col min="7427" max="7427" width="9.28515625" style="262" bestFit="1" customWidth="1"/>
    <col min="7428" max="7428" width="12.140625" style="262" bestFit="1" customWidth="1"/>
    <col min="7429" max="7429" width="8.42578125" style="262" bestFit="1" customWidth="1"/>
    <col min="7430" max="7430" width="12.140625" style="262" bestFit="1" customWidth="1"/>
    <col min="7431" max="7431" width="8.42578125" style="262" bestFit="1" customWidth="1"/>
    <col min="7432" max="7432" width="12.140625" style="262" bestFit="1" customWidth="1"/>
    <col min="7433" max="7433" width="8.42578125" style="262" bestFit="1" customWidth="1"/>
    <col min="7434" max="7434" width="12.140625" style="262" bestFit="1" customWidth="1"/>
    <col min="7435" max="7435" width="8.42578125" style="262" bestFit="1" customWidth="1"/>
    <col min="7436" max="7436" width="12.140625" style="262" bestFit="1" customWidth="1"/>
    <col min="7437" max="7437" width="8.42578125" style="262" bestFit="1" customWidth="1"/>
    <col min="7438" max="7438" width="51" style="262" bestFit="1" customWidth="1"/>
    <col min="7439" max="7439" width="4.7109375" style="262" bestFit="1" customWidth="1"/>
    <col min="7440" max="7680" width="9.140625" style="262"/>
    <col min="7681" max="7681" width="14.7109375" style="262" bestFit="1" customWidth="1"/>
    <col min="7682" max="7682" width="12.140625" style="262" bestFit="1" customWidth="1"/>
    <col min="7683" max="7683" width="9.28515625" style="262" bestFit="1" customWidth="1"/>
    <col min="7684" max="7684" width="12.140625" style="262" bestFit="1" customWidth="1"/>
    <col min="7685" max="7685" width="8.42578125" style="262" bestFit="1" customWidth="1"/>
    <col min="7686" max="7686" width="12.140625" style="262" bestFit="1" customWidth="1"/>
    <col min="7687" max="7687" width="8.42578125" style="262" bestFit="1" customWidth="1"/>
    <col min="7688" max="7688" width="12.140625" style="262" bestFit="1" customWidth="1"/>
    <col min="7689" max="7689" width="8.42578125" style="262" bestFit="1" customWidth="1"/>
    <col min="7690" max="7690" width="12.140625" style="262" bestFit="1" customWidth="1"/>
    <col min="7691" max="7691" width="8.42578125" style="262" bestFit="1" customWidth="1"/>
    <col min="7692" max="7692" width="12.140625" style="262" bestFit="1" customWidth="1"/>
    <col min="7693" max="7693" width="8.42578125" style="262" bestFit="1" customWidth="1"/>
    <col min="7694" max="7694" width="51" style="262" bestFit="1" customWidth="1"/>
    <col min="7695" max="7695" width="4.7109375" style="262" bestFit="1" customWidth="1"/>
    <col min="7696" max="7936" width="9.140625" style="262"/>
    <col min="7937" max="7937" width="14.7109375" style="262" bestFit="1" customWidth="1"/>
    <col min="7938" max="7938" width="12.140625" style="262" bestFit="1" customWidth="1"/>
    <col min="7939" max="7939" width="9.28515625" style="262" bestFit="1" customWidth="1"/>
    <col min="7940" max="7940" width="12.140625" style="262" bestFit="1" customWidth="1"/>
    <col min="7941" max="7941" width="8.42578125" style="262" bestFit="1" customWidth="1"/>
    <col min="7942" max="7942" width="12.140625" style="262" bestFit="1" customWidth="1"/>
    <col min="7943" max="7943" width="8.42578125" style="262" bestFit="1" customWidth="1"/>
    <col min="7944" max="7944" width="12.140625" style="262" bestFit="1" customWidth="1"/>
    <col min="7945" max="7945" width="8.42578125" style="262" bestFit="1" customWidth="1"/>
    <col min="7946" max="7946" width="12.140625" style="262" bestFit="1" customWidth="1"/>
    <col min="7947" max="7947" width="8.42578125" style="262" bestFit="1" customWidth="1"/>
    <col min="7948" max="7948" width="12.140625" style="262" bestFit="1" customWidth="1"/>
    <col min="7949" max="7949" width="8.42578125" style="262" bestFit="1" customWidth="1"/>
    <col min="7950" max="7950" width="51" style="262" bestFit="1" customWidth="1"/>
    <col min="7951" max="7951" width="4.7109375" style="262" bestFit="1" customWidth="1"/>
    <col min="7952" max="8192" width="9.140625" style="262"/>
    <col min="8193" max="8193" width="14.7109375" style="262" bestFit="1" customWidth="1"/>
    <col min="8194" max="8194" width="12.140625" style="262" bestFit="1" customWidth="1"/>
    <col min="8195" max="8195" width="9.28515625" style="262" bestFit="1" customWidth="1"/>
    <col min="8196" max="8196" width="12.140625" style="262" bestFit="1" customWidth="1"/>
    <col min="8197" max="8197" width="8.42578125" style="262" bestFit="1" customWidth="1"/>
    <col min="8198" max="8198" width="12.140625" style="262" bestFit="1" customWidth="1"/>
    <col min="8199" max="8199" width="8.42578125" style="262" bestFit="1" customWidth="1"/>
    <col min="8200" max="8200" width="12.140625" style="262" bestFit="1" customWidth="1"/>
    <col min="8201" max="8201" width="8.42578125" style="262" bestFit="1" customWidth="1"/>
    <col min="8202" max="8202" width="12.140625" style="262" bestFit="1" customWidth="1"/>
    <col min="8203" max="8203" width="8.42578125" style="262" bestFit="1" customWidth="1"/>
    <col min="8204" max="8204" width="12.140625" style="262" bestFit="1" customWidth="1"/>
    <col min="8205" max="8205" width="8.42578125" style="262" bestFit="1" customWidth="1"/>
    <col min="8206" max="8206" width="51" style="262" bestFit="1" customWidth="1"/>
    <col min="8207" max="8207" width="4.7109375" style="262" bestFit="1" customWidth="1"/>
    <col min="8208" max="8448" width="9.140625" style="262"/>
    <col min="8449" max="8449" width="14.7109375" style="262" bestFit="1" customWidth="1"/>
    <col min="8450" max="8450" width="12.140625" style="262" bestFit="1" customWidth="1"/>
    <col min="8451" max="8451" width="9.28515625" style="262" bestFit="1" customWidth="1"/>
    <col min="8452" max="8452" width="12.140625" style="262" bestFit="1" customWidth="1"/>
    <col min="8453" max="8453" width="8.42578125" style="262" bestFit="1" customWidth="1"/>
    <col min="8454" max="8454" width="12.140625" style="262" bestFit="1" customWidth="1"/>
    <col min="8455" max="8455" width="8.42578125" style="262" bestFit="1" customWidth="1"/>
    <col min="8456" max="8456" width="12.140625" style="262" bestFit="1" customWidth="1"/>
    <col min="8457" max="8457" width="8.42578125" style="262" bestFit="1" customWidth="1"/>
    <col min="8458" max="8458" width="12.140625" style="262" bestFit="1" customWidth="1"/>
    <col min="8459" max="8459" width="8.42578125" style="262" bestFit="1" customWidth="1"/>
    <col min="8460" max="8460" width="12.140625" style="262" bestFit="1" customWidth="1"/>
    <col min="8461" max="8461" width="8.42578125" style="262" bestFit="1" customWidth="1"/>
    <col min="8462" max="8462" width="51" style="262" bestFit="1" customWidth="1"/>
    <col min="8463" max="8463" width="4.7109375" style="262" bestFit="1" customWidth="1"/>
    <col min="8464" max="8704" width="9.140625" style="262"/>
    <col min="8705" max="8705" width="14.7109375" style="262" bestFit="1" customWidth="1"/>
    <col min="8706" max="8706" width="12.140625" style="262" bestFit="1" customWidth="1"/>
    <col min="8707" max="8707" width="9.28515625" style="262" bestFit="1" customWidth="1"/>
    <col min="8708" max="8708" width="12.140625" style="262" bestFit="1" customWidth="1"/>
    <col min="8709" max="8709" width="8.42578125" style="262" bestFit="1" customWidth="1"/>
    <col min="8710" max="8710" width="12.140625" style="262" bestFit="1" customWidth="1"/>
    <col min="8711" max="8711" width="8.42578125" style="262" bestFit="1" customWidth="1"/>
    <col min="8712" max="8712" width="12.140625" style="262" bestFit="1" customWidth="1"/>
    <col min="8713" max="8713" width="8.42578125" style="262" bestFit="1" customWidth="1"/>
    <col min="8714" max="8714" width="12.140625" style="262" bestFit="1" customWidth="1"/>
    <col min="8715" max="8715" width="8.42578125" style="262" bestFit="1" customWidth="1"/>
    <col min="8716" max="8716" width="12.140625" style="262" bestFit="1" customWidth="1"/>
    <col min="8717" max="8717" width="8.42578125" style="262" bestFit="1" customWidth="1"/>
    <col min="8718" max="8718" width="51" style="262" bestFit="1" customWidth="1"/>
    <col min="8719" max="8719" width="4.7109375" style="262" bestFit="1" customWidth="1"/>
    <col min="8720" max="8960" width="9.140625" style="262"/>
    <col min="8961" max="8961" width="14.7109375" style="262" bestFit="1" customWidth="1"/>
    <col min="8962" max="8962" width="12.140625" style="262" bestFit="1" customWidth="1"/>
    <col min="8963" max="8963" width="9.28515625" style="262" bestFit="1" customWidth="1"/>
    <col min="8964" max="8964" width="12.140625" style="262" bestFit="1" customWidth="1"/>
    <col min="8965" max="8965" width="8.42578125" style="262" bestFit="1" customWidth="1"/>
    <col min="8966" max="8966" width="12.140625" style="262" bestFit="1" customWidth="1"/>
    <col min="8967" max="8967" width="8.42578125" style="262" bestFit="1" customWidth="1"/>
    <col min="8968" max="8968" width="12.140625" style="262" bestFit="1" customWidth="1"/>
    <col min="8969" max="8969" width="8.42578125" style="262" bestFit="1" customWidth="1"/>
    <col min="8970" max="8970" width="12.140625" style="262" bestFit="1" customWidth="1"/>
    <col min="8971" max="8971" width="8.42578125" style="262" bestFit="1" customWidth="1"/>
    <col min="8972" max="8972" width="12.140625" style="262" bestFit="1" customWidth="1"/>
    <col min="8973" max="8973" width="8.42578125" style="262" bestFit="1" customWidth="1"/>
    <col min="8974" max="8974" width="51" style="262" bestFit="1" customWidth="1"/>
    <col min="8975" max="8975" width="4.7109375" style="262" bestFit="1" customWidth="1"/>
    <col min="8976" max="9216" width="9.140625" style="262"/>
    <col min="9217" max="9217" width="14.7109375" style="262" bestFit="1" customWidth="1"/>
    <col min="9218" max="9218" width="12.140625" style="262" bestFit="1" customWidth="1"/>
    <col min="9219" max="9219" width="9.28515625" style="262" bestFit="1" customWidth="1"/>
    <col min="9220" max="9220" width="12.140625" style="262" bestFit="1" customWidth="1"/>
    <col min="9221" max="9221" width="8.42578125" style="262" bestFit="1" customWidth="1"/>
    <col min="9222" max="9222" width="12.140625" style="262" bestFit="1" customWidth="1"/>
    <col min="9223" max="9223" width="8.42578125" style="262" bestFit="1" customWidth="1"/>
    <col min="9224" max="9224" width="12.140625" style="262" bestFit="1" customWidth="1"/>
    <col min="9225" max="9225" width="8.42578125" style="262" bestFit="1" customWidth="1"/>
    <col min="9226" max="9226" width="12.140625" style="262" bestFit="1" customWidth="1"/>
    <col min="9227" max="9227" width="8.42578125" style="262" bestFit="1" customWidth="1"/>
    <col min="9228" max="9228" width="12.140625" style="262" bestFit="1" customWidth="1"/>
    <col min="9229" max="9229" width="8.42578125" style="262" bestFit="1" customWidth="1"/>
    <col min="9230" max="9230" width="51" style="262" bestFit="1" customWidth="1"/>
    <col min="9231" max="9231" width="4.7109375" style="262" bestFit="1" customWidth="1"/>
    <col min="9232" max="9472" width="9.140625" style="262"/>
    <col min="9473" max="9473" width="14.7109375" style="262" bestFit="1" customWidth="1"/>
    <col min="9474" max="9474" width="12.140625" style="262" bestFit="1" customWidth="1"/>
    <col min="9475" max="9475" width="9.28515625" style="262" bestFit="1" customWidth="1"/>
    <col min="9476" max="9476" width="12.140625" style="262" bestFit="1" customWidth="1"/>
    <col min="9477" max="9477" width="8.42578125" style="262" bestFit="1" customWidth="1"/>
    <col min="9478" max="9478" width="12.140625" style="262" bestFit="1" customWidth="1"/>
    <col min="9479" max="9479" width="8.42578125" style="262" bestFit="1" customWidth="1"/>
    <col min="9480" max="9480" width="12.140625" style="262" bestFit="1" customWidth="1"/>
    <col min="9481" max="9481" width="8.42578125" style="262" bestFit="1" customWidth="1"/>
    <col min="9482" max="9482" width="12.140625" style="262" bestFit="1" customWidth="1"/>
    <col min="9483" max="9483" width="8.42578125" style="262" bestFit="1" customWidth="1"/>
    <col min="9484" max="9484" width="12.140625" style="262" bestFit="1" customWidth="1"/>
    <col min="9485" max="9485" width="8.42578125" style="262" bestFit="1" customWidth="1"/>
    <col min="9486" max="9486" width="51" style="262" bestFit="1" customWidth="1"/>
    <col min="9487" max="9487" width="4.7109375" style="262" bestFit="1" customWidth="1"/>
    <col min="9488" max="9728" width="9.140625" style="262"/>
    <col min="9729" max="9729" width="14.7109375" style="262" bestFit="1" customWidth="1"/>
    <col min="9730" max="9730" width="12.140625" style="262" bestFit="1" customWidth="1"/>
    <col min="9731" max="9731" width="9.28515625" style="262" bestFit="1" customWidth="1"/>
    <col min="9732" max="9732" width="12.140625" style="262" bestFit="1" customWidth="1"/>
    <col min="9733" max="9733" width="8.42578125" style="262" bestFit="1" customWidth="1"/>
    <col min="9734" max="9734" width="12.140625" style="262" bestFit="1" customWidth="1"/>
    <col min="9735" max="9735" width="8.42578125" style="262" bestFit="1" customWidth="1"/>
    <col min="9736" max="9736" width="12.140625" style="262" bestFit="1" customWidth="1"/>
    <col min="9737" max="9737" width="8.42578125" style="262" bestFit="1" customWidth="1"/>
    <col min="9738" max="9738" width="12.140625" style="262" bestFit="1" customWidth="1"/>
    <col min="9739" max="9739" width="8.42578125" style="262" bestFit="1" customWidth="1"/>
    <col min="9740" max="9740" width="12.140625" style="262" bestFit="1" customWidth="1"/>
    <col min="9741" max="9741" width="8.42578125" style="262" bestFit="1" customWidth="1"/>
    <col min="9742" max="9742" width="51" style="262" bestFit="1" customWidth="1"/>
    <col min="9743" max="9743" width="4.7109375" style="262" bestFit="1" customWidth="1"/>
    <col min="9744" max="9984" width="9.140625" style="262"/>
    <col min="9985" max="9985" width="14.7109375" style="262" bestFit="1" customWidth="1"/>
    <col min="9986" max="9986" width="12.140625" style="262" bestFit="1" customWidth="1"/>
    <col min="9987" max="9987" width="9.28515625" style="262" bestFit="1" customWidth="1"/>
    <col min="9988" max="9988" width="12.140625" style="262" bestFit="1" customWidth="1"/>
    <col min="9989" max="9989" width="8.42578125" style="262" bestFit="1" customWidth="1"/>
    <col min="9990" max="9990" width="12.140625" style="262" bestFit="1" customWidth="1"/>
    <col min="9991" max="9991" width="8.42578125" style="262" bestFit="1" customWidth="1"/>
    <col min="9992" max="9992" width="12.140625" style="262" bestFit="1" customWidth="1"/>
    <col min="9993" max="9993" width="8.42578125" style="262" bestFit="1" customWidth="1"/>
    <col min="9994" max="9994" width="12.140625" style="262" bestFit="1" customWidth="1"/>
    <col min="9995" max="9995" width="8.42578125" style="262" bestFit="1" customWidth="1"/>
    <col min="9996" max="9996" width="12.140625" style="262" bestFit="1" customWidth="1"/>
    <col min="9997" max="9997" width="8.42578125" style="262" bestFit="1" customWidth="1"/>
    <col min="9998" max="9998" width="51" style="262" bestFit="1" customWidth="1"/>
    <col min="9999" max="9999" width="4.7109375" style="262" bestFit="1" customWidth="1"/>
    <col min="10000" max="10240" width="9.140625" style="262"/>
    <col min="10241" max="10241" width="14.7109375" style="262" bestFit="1" customWidth="1"/>
    <col min="10242" max="10242" width="12.140625" style="262" bestFit="1" customWidth="1"/>
    <col min="10243" max="10243" width="9.28515625" style="262" bestFit="1" customWidth="1"/>
    <col min="10244" max="10244" width="12.140625" style="262" bestFit="1" customWidth="1"/>
    <col min="10245" max="10245" width="8.42578125" style="262" bestFit="1" customWidth="1"/>
    <col min="10246" max="10246" width="12.140625" style="262" bestFit="1" customWidth="1"/>
    <col min="10247" max="10247" width="8.42578125" style="262" bestFit="1" customWidth="1"/>
    <col min="10248" max="10248" width="12.140625" style="262" bestFit="1" customWidth="1"/>
    <col min="10249" max="10249" width="8.42578125" style="262" bestFit="1" customWidth="1"/>
    <col min="10250" max="10250" width="12.140625" style="262" bestFit="1" customWidth="1"/>
    <col min="10251" max="10251" width="8.42578125" style="262" bestFit="1" customWidth="1"/>
    <col min="10252" max="10252" width="12.140625" style="262" bestFit="1" customWidth="1"/>
    <col min="10253" max="10253" width="8.42578125" style="262" bestFit="1" customWidth="1"/>
    <col min="10254" max="10254" width="51" style="262" bestFit="1" customWidth="1"/>
    <col min="10255" max="10255" width="4.7109375" style="262" bestFit="1" customWidth="1"/>
    <col min="10256" max="10496" width="9.140625" style="262"/>
    <col min="10497" max="10497" width="14.7109375" style="262" bestFit="1" customWidth="1"/>
    <col min="10498" max="10498" width="12.140625" style="262" bestFit="1" customWidth="1"/>
    <col min="10499" max="10499" width="9.28515625" style="262" bestFit="1" customWidth="1"/>
    <col min="10500" max="10500" width="12.140625" style="262" bestFit="1" customWidth="1"/>
    <col min="10501" max="10501" width="8.42578125" style="262" bestFit="1" customWidth="1"/>
    <col min="10502" max="10502" width="12.140625" style="262" bestFit="1" customWidth="1"/>
    <col min="10503" max="10503" width="8.42578125" style="262" bestFit="1" customWidth="1"/>
    <col min="10504" max="10504" width="12.140625" style="262" bestFit="1" customWidth="1"/>
    <col min="10505" max="10505" width="8.42578125" style="262" bestFit="1" customWidth="1"/>
    <col min="10506" max="10506" width="12.140625" style="262" bestFit="1" customWidth="1"/>
    <col min="10507" max="10507" width="8.42578125" style="262" bestFit="1" customWidth="1"/>
    <col min="10508" max="10508" width="12.140625" style="262" bestFit="1" customWidth="1"/>
    <col min="10509" max="10509" width="8.42578125" style="262" bestFit="1" customWidth="1"/>
    <col min="10510" max="10510" width="51" style="262" bestFit="1" customWidth="1"/>
    <col min="10511" max="10511" width="4.7109375" style="262" bestFit="1" customWidth="1"/>
    <col min="10512" max="10752" width="9.140625" style="262"/>
    <col min="10753" max="10753" width="14.7109375" style="262" bestFit="1" customWidth="1"/>
    <col min="10754" max="10754" width="12.140625" style="262" bestFit="1" customWidth="1"/>
    <col min="10755" max="10755" width="9.28515625" style="262" bestFit="1" customWidth="1"/>
    <col min="10756" max="10756" width="12.140625" style="262" bestFit="1" customWidth="1"/>
    <col min="10757" max="10757" width="8.42578125" style="262" bestFit="1" customWidth="1"/>
    <col min="10758" max="10758" width="12.140625" style="262" bestFit="1" customWidth="1"/>
    <col min="10759" max="10759" width="8.42578125" style="262" bestFit="1" customWidth="1"/>
    <col min="10760" max="10760" width="12.140625" style="262" bestFit="1" customWidth="1"/>
    <col min="10761" max="10761" width="8.42578125" style="262" bestFit="1" customWidth="1"/>
    <col min="10762" max="10762" width="12.140625" style="262" bestFit="1" customWidth="1"/>
    <col min="10763" max="10763" width="8.42578125" style="262" bestFit="1" customWidth="1"/>
    <col min="10764" max="10764" width="12.140625" style="262" bestFit="1" customWidth="1"/>
    <col min="10765" max="10765" width="8.42578125" style="262" bestFit="1" customWidth="1"/>
    <col min="10766" max="10766" width="51" style="262" bestFit="1" customWidth="1"/>
    <col min="10767" max="10767" width="4.7109375" style="262" bestFit="1" customWidth="1"/>
    <col min="10768" max="11008" width="9.140625" style="262"/>
    <col min="11009" max="11009" width="14.7109375" style="262" bestFit="1" customWidth="1"/>
    <col min="11010" max="11010" width="12.140625" style="262" bestFit="1" customWidth="1"/>
    <col min="11011" max="11011" width="9.28515625" style="262" bestFit="1" customWidth="1"/>
    <col min="11012" max="11012" width="12.140625" style="262" bestFit="1" customWidth="1"/>
    <col min="11013" max="11013" width="8.42578125" style="262" bestFit="1" customWidth="1"/>
    <col min="11014" max="11014" width="12.140625" style="262" bestFit="1" customWidth="1"/>
    <col min="11015" max="11015" width="8.42578125" style="262" bestFit="1" customWidth="1"/>
    <col min="11016" max="11016" width="12.140625" style="262" bestFit="1" customWidth="1"/>
    <col min="11017" max="11017" width="8.42578125" style="262" bestFit="1" customWidth="1"/>
    <col min="11018" max="11018" width="12.140625" style="262" bestFit="1" customWidth="1"/>
    <col min="11019" max="11019" width="8.42578125" style="262" bestFit="1" customWidth="1"/>
    <col min="11020" max="11020" width="12.140625" style="262" bestFit="1" customWidth="1"/>
    <col min="11021" max="11021" width="8.42578125" style="262" bestFit="1" customWidth="1"/>
    <col min="11022" max="11022" width="51" style="262" bestFit="1" customWidth="1"/>
    <col min="11023" max="11023" width="4.7109375" style="262" bestFit="1" customWidth="1"/>
    <col min="11024" max="11264" width="9.140625" style="262"/>
    <col min="11265" max="11265" width="14.7109375" style="262" bestFit="1" customWidth="1"/>
    <col min="11266" max="11266" width="12.140625" style="262" bestFit="1" customWidth="1"/>
    <col min="11267" max="11267" width="9.28515625" style="262" bestFit="1" customWidth="1"/>
    <col min="11268" max="11268" width="12.140625" style="262" bestFit="1" customWidth="1"/>
    <col min="11269" max="11269" width="8.42578125" style="262" bestFit="1" customWidth="1"/>
    <col min="11270" max="11270" width="12.140625" style="262" bestFit="1" customWidth="1"/>
    <col min="11271" max="11271" width="8.42578125" style="262" bestFit="1" customWidth="1"/>
    <col min="11272" max="11272" width="12.140625" style="262" bestFit="1" customWidth="1"/>
    <col min="11273" max="11273" width="8.42578125" style="262" bestFit="1" customWidth="1"/>
    <col min="11274" max="11274" width="12.140625" style="262" bestFit="1" customWidth="1"/>
    <col min="11275" max="11275" width="8.42578125" style="262" bestFit="1" customWidth="1"/>
    <col min="11276" max="11276" width="12.140625" style="262" bestFit="1" customWidth="1"/>
    <col min="11277" max="11277" width="8.42578125" style="262" bestFit="1" customWidth="1"/>
    <col min="11278" max="11278" width="51" style="262" bestFit="1" customWidth="1"/>
    <col min="11279" max="11279" width="4.7109375" style="262" bestFit="1" customWidth="1"/>
    <col min="11280" max="11520" width="9.140625" style="262"/>
    <col min="11521" max="11521" width="14.7109375" style="262" bestFit="1" customWidth="1"/>
    <col min="11522" max="11522" width="12.140625" style="262" bestFit="1" customWidth="1"/>
    <col min="11523" max="11523" width="9.28515625" style="262" bestFit="1" customWidth="1"/>
    <col min="11524" max="11524" width="12.140625" style="262" bestFit="1" customWidth="1"/>
    <col min="11525" max="11525" width="8.42578125" style="262" bestFit="1" customWidth="1"/>
    <col min="11526" max="11526" width="12.140625" style="262" bestFit="1" customWidth="1"/>
    <col min="11527" max="11527" width="8.42578125" style="262" bestFit="1" customWidth="1"/>
    <col min="11528" max="11528" width="12.140625" style="262" bestFit="1" customWidth="1"/>
    <col min="11529" max="11529" width="8.42578125" style="262" bestFit="1" customWidth="1"/>
    <col min="11530" max="11530" width="12.140625" style="262" bestFit="1" customWidth="1"/>
    <col min="11531" max="11531" width="8.42578125" style="262" bestFit="1" customWidth="1"/>
    <col min="11532" max="11532" width="12.140625" style="262" bestFit="1" customWidth="1"/>
    <col min="11533" max="11533" width="8.42578125" style="262" bestFit="1" customWidth="1"/>
    <col min="11534" max="11534" width="51" style="262" bestFit="1" customWidth="1"/>
    <col min="11535" max="11535" width="4.7109375" style="262" bestFit="1" customWidth="1"/>
    <col min="11536" max="11776" width="9.140625" style="262"/>
    <col min="11777" max="11777" width="14.7109375" style="262" bestFit="1" customWidth="1"/>
    <col min="11778" max="11778" width="12.140625" style="262" bestFit="1" customWidth="1"/>
    <col min="11779" max="11779" width="9.28515625" style="262" bestFit="1" customWidth="1"/>
    <col min="11780" max="11780" width="12.140625" style="262" bestFit="1" customWidth="1"/>
    <col min="11781" max="11781" width="8.42578125" style="262" bestFit="1" customWidth="1"/>
    <col min="11782" max="11782" width="12.140625" style="262" bestFit="1" customWidth="1"/>
    <col min="11783" max="11783" width="8.42578125" style="262" bestFit="1" customWidth="1"/>
    <col min="11784" max="11784" width="12.140625" style="262" bestFit="1" customWidth="1"/>
    <col min="11785" max="11785" width="8.42578125" style="262" bestFit="1" customWidth="1"/>
    <col min="11786" max="11786" width="12.140625" style="262" bestFit="1" customWidth="1"/>
    <col min="11787" max="11787" width="8.42578125" style="262" bestFit="1" customWidth="1"/>
    <col min="11788" max="11788" width="12.140625" style="262" bestFit="1" customWidth="1"/>
    <col min="11789" max="11789" width="8.42578125" style="262" bestFit="1" customWidth="1"/>
    <col min="11790" max="11790" width="51" style="262" bestFit="1" customWidth="1"/>
    <col min="11791" max="11791" width="4.7109375" style="262" bestFit="1" customWidth="1"/>
    <col min="11792" max="12032" width="9.140625" style="262"/>
    <col min="12033" max="12033" width="14.7109375" style="262" bestFit="1" customWidth="1"/>
    <col min="12034" max="12034" width="12.140625" style="262" bestFit="1" customWidth="1"/>
    <col min="12035" max="12035" width="9.28515625" style="262" bestFit="1" customWidth="1"/>
    <col min="12036" max="12036" width="12.140625" style="262" bestFit="1" customWidth="1"/>
    <col min="12037" max="12037" width="8.42578125" style="262" bestFit="1" customWidth="1"/>
    <col min="12038" max="12038" width="12.140625" style="262" bestFit="1" customWidth="1"/>
    <col min="12039" max="12039" width="8.42578125" style="262" bestFit="1" customWidth="1"/>
    <col min="12040" max="12040" width="12.140625" style="262" bestFit="1" customWidth="1"/>
    <col min="12041" max="12041" width="8.42578125" style="262" bestFit="1" customWidth="1"/>
    <col min="12042" max="12042" width="12.140625" style="262" bestFit="1" customWidth="1"/>
    <col min="12043" max="12043" width="8.42578125" style="262" bestFit="1" customWidth="1"/>
    <col min="12044" max="12044" width="12.140625" style="262" bestFit="1" customWidth="1"/>
    <col min="12045" max="12045" width="8.42578125" style="262" bestFit="1" customWidth="1"/>
    <col min="12046" max="12046" width="51" style="262" bestFit="1" customWidth="1"/>
    <col min="12047" max="12047" width="4.7109375" style="262" bestFit="1" customWidth="1"/>
    <col min="12048" max="12288" width="9.140625" style="262"/>
    <col min="12289" max="12289" width="14.7109375" style="262" bestFit="1" customWidth="1"/>
    <col min="12290" max="12290" width="12.140625" style="262" bestFit="1" customWidth="1"/>
    <col min="12291" max="12291" width="9.28515625" style="262" bestFit="1" customWidth="1"/>
    <col min="12292" max="12292" width="12.140625" style="262" bestFit="1" customWidth="1"/>
    <col min="12293" max="12293" width="8.42578125" style="262" bestFit="1" customWidth="1"/>
    <col min="12294" max="12294" width="12.140625" style="262" bestFit="1" customWidth="1"/>
    <col min="12295" max="12295" width="8.42578125" style="262" bestFit="1" customWidth="1"/>
    <col min="12296" max="12296" width="12.140625" style="262" bestFit="1" customWidth="1"/>
    <col min="12297" max="12297" width="8.42578125" style="262" bestFit="1" customWidth="1"/>
    <col min="12298" max="12298" width="12.140625" style="262" bestFit="1" customWidth="1"/>
    <col min="12299" max="12299" width="8.42578125" style="262" bestFit="1" customWidth="1"/>
    <col min="12300" max="12300" width="12.140625" style="262" bestFit="1" customWidth="1"/>
    <col min="12301" max="12301" width="8.42578125" style="262" bestFit="1" customWidth="1"/>
    <col min="12302" max="12302" width="51" style="262" bestFit="1" customWidth="1"/>
    <col min="12303" max="12303" width="4.7109375" style="262" bestFit="1" customWidth="1"/>
    <col min="12304" max="12544" width="9.140625" style="262"/>
    <col min="12545" max="12545" width="14.7109375" style="262" bestFit="1" customWidth="1"/>
    <col min="12546" max="12546" width="12.140625" style="262" bestFit="1" customWidth="1"/>
    <col min="12547" max="12547" width="9.28515625" style="262" bestFit="1" customWidth="1"/>
    <col min="12548" max="12548" width="12.140625" style="262" bestFit="1" customWidth="1"/>
    <col min="12549" max="12549" width="8.42578125" style="262" bestFit="1" customWidth="1"/>
    <col min="12550" max="12550" width="12.140625" style="262" bestFit="1" customWidth="1"/>
    <col min="12551" max="12551" width="8.42578125" style="262" bestFit="1" customWidth="1"/>
    <col min="12552" max="12552" width="12.140625" style="262" bestFit="1" customWidth="1"/>
    <col min="12553" max="12553" width="8.42578125" style="262" bestFit="1" customWidth="1"/>
    <col min="12554" max="12554" width="12.140625" style="262" bestFit="1" customWidth="1"/>
    <col min="12555" max="12555" width="8.42578125" style="262" bestFit="1" customWidth="1"/>
    <col min="12556" max="12556" width="12.140625" style="262" bestFit="1" customWidth="1"/>
    <col min="12557" max="12557" width="8.42578125" style="262" bestFit="1" customWidth="1"/>
    <col min="12558" max="12558" width="51" style="262" bestFit="1" customWidth="1"/>
    <col min="12559" max="12559" width="4.7109375" style="262" bestFit="1" customWidth="1"/>
    <col min="12560" max="12800" width="9.140625" style="262"/>
    <col min="12801" max="12801" width="14.7109375" style="262" bestFit="1" customWidth="1"/>
    <col min="12802" max="12802" width="12.140625" style="262" bestFit="1" customWidth="1"/>
    <col min="12803" max="12803" width="9.28515625" style="262" bestFit="1" customWidth="1"/>
    <col min="12804" max="12804" width="12.140625" style="262" bestFit="1" customWidth="1"/>
    <col min="12805" max="12805" width="8.42578125" style="262" bestFit="1" customWidth="1"/>
    <col min="12806" max="12806" width="12.140625" style="262" bestFit="1" customWidth="1"/>
    <col min="12807" max="12807" width="8.42578125" style="262" bestFit="1" customWidth="1"/>
    <col min="12808" max="12808" width="12.140625" style="262" bestFit="1" customWidth="1"/>
    <col min="12809" max="12809" width="8.42578125" style="262" bestFit="1" customWidth="1"/>
    <col min="12810" max="12810" width="12.140625" style="262" bestFit="1" customWidth="1"/>
    <col min="12811" max="12811" width="8.42578125" style="262" bestFit="1" customWidth="1"/>
    <col min="12812" max="12812" width="12.140625" style="262" bestFit="1" customWidth="1"/>
    <col min="12813" max="12813" width="8.42578125" style="262" bestFit="1" customWidth="1"/>
    <col min="12814" max="12814" width="51" style="262" bestFit="1" customWidth="1"/>
    <col min="12815" max="12815" width="4.7109375" style="262" bestFit="1" customWidth="1"/>
    <col min="12816" max="13056" width="9.140625" style="262"/>
    <col min="13057" max="13057" width="14.7109375" style="262" bestFit="1" customWidth="1"/>
    <col min="13058" max="13058" width="12.140625" style="262" bestFit="1" customWidth="1"/>
    <col min="13059" max="13059" width="9.28515625" style="262" bestFit="1" customWidth="1"/>
    <col min="13060" max="13060" width="12.140625" style="262" bestFit="1" customWidth="1"/>
    <col min="13061" max="13061" width="8.42578125" style="262" bestFit="1" customWidth="1"/>
    <col min="13062" max="13062" width="12.140625" style="262" bestFit="1" customWidth="1"/>
    <col min="13063" max="13063" width="8.42578125" style="262" bestFit="1" customWidth="1"/>
    <col min="13064" max="13064" width="12.140625" style="262" bestFit="1" customWidth="1"/>
    <col min="13065" max="13065" width="8.42578125" style="262" bestFit="1" customWidth="1"/>
    <col min="13066" max="13066" width="12.140625" style="262" bestFit="1" customWidth="1"/>
    <col min="13067" max="13067" width="8.42578125" style="262" bestFit="1" customWidth="1"/>
    <col min="13068" max="13068" width="12.140625" style="262" bestFit="1" customWidth="1"/>
    <col min="13069" max="13069" width="8.42578125" style="262" bestFit="1" customWidth="1"/>
    <col min="13070" max="13070" width="51" style="262" bestFit="1" customWidth="1"/>
    <col min="13071" max="13071" width="4.7109375" style="262" bestFit="1" customWidth="1"/>
    <col min="13072" max="13312" width="9.140625" style="262"/>
    <col min="13313" max="13313" width="14.7109375" style="262" bestFit="1" customWidth="1"/>
    <col min="13314" max="13314" width="12.140625" style="262" bestFit="1" customWidth="1"/>
    <col min="13315" max="13315" width="9.28515625" style="262" bestFit="1" customWidth="1"/>
    <col min="13316" max="13316" width="12.140625" style="262" bestFit="1" customWidth="1"/>
    <col min="13317" max="13317" width="8.42578125" style="262" bestFit="1" customWidth="1"/>
    <col min="13318" max="13318" width="12.140625" style="262" bestFit="1" customWidth="1"/>
    <col min="13319" max="13319" width="8.42578125" style="262" bestFit="1" customWidth="1"/>
    <col min="13320" max="13320" width="12.140625" style="262" bestFit="1" customWidth="1"/>
    <col min="13321" max="13321" width="8.42578125" style="262" bestFit="1" customWidth="1"/>
    <col min="13322" max="13322" width="12.140625" style="262" bestFit="1" customWidth="1"/>
    <col min="13323" max="13323" width="8.42578125" style="262" bestFit="1" customWidth="1"/>
    <col min="13324" max="13324" width="12.140625" style="262" bestFit="1" customWidth="1"/>
    <col min="13325" max="13325" width="8.42578125" style="262" bestFit="1" customWidth="1"/>
    <col min="13326" max="13326" width="51" style="262" bestFit="1" customWidth="1"/>
    <col min="13327" max="13327" width="4.7109375" style="262" bestFit="1" customWidth="1"/>
    <col min="13328" max="13568" width="9.140625" style="262"/>
    <col min="13569" max="13569" width="14.7109375" style="262" bestFit="1" customWidth="1"/>
    <col min="13570" max="13570" width="12.140625" style="262" bestFit="1" customWidth="1"/>
    <col min="13571" max="13571" width="9.28515625" style="262" bestFit="1" customWidth="1"/>
    <col min="13572" max="13572" width="12.140625" style="262" bestFit="1" customWidth="1"/>
    <col min="13573" max="13573" width="8.42578125" style="262" bestFit="1" customWidth="1"/>
    <col min="13574" max="13574" width="12.140625" style="262" bestFit="1" customWidth="1"/>
    <col min="13575" max="13575" width="8.42578125" style="262" bestFit="1" customWidth="1"/>
    <col min="13576" max="13576" width="12.140625" style="262" bestFit="1" customWidth="1"/>
    <col min="13577" max="13577" width="8.42578125" style="262" bestFit="1" customWidth="1"/>
    <col min="13578" max="13578" width="12.140625" style="262" bestFit="1" customWidth="1"/>
    <col min="13579" max="13579" width="8.42578125" style="262" bestFit="1" customWidth="1"/>
    <col min="13580" max="13580" width="12.140625" style="262" bestFit="1" customWidth="1"/>
    <col min="13581" max="13581" width="8.42578125" style="262" bestFit="1" customWidth="1"/>
    <col min="13582" max="13582" width="51" style="262" bestFit="1" customWidth="1"/>
    <col min="13583" max="13583" width="4.7109375" style="262" bestFit="1" customWidth="1"/>
    <col min="13584" max="13824" width="9.140625" style="262"/>
    <col min="13825" max="13825" width="14.7109375" style="262" bestFit="1" customWidth="1"/>
    <col min="13826" max="13826" width="12.140625" style="262" bestFit="1" customWidth="1"/>
    <col min="13827" max="13827" width="9.28515625" style="262" bestFit="1" customWidth="1"/>
    <col min="13828" max="13828" width="12.140625" style="262" bestFit="1" customWidth="1"/>
    <col min="13829" max="13829" width="8.42578125" style="262" bestFit="1" customWidth="1"/>
    <col min="13830" max="13830" width="12.140625" style="262" bestFit="1" customWidth="1"/>
    <col min="13831" max="13831" width="8.42578125" style="262" bestFit="1" customWidth="1"/>
    <col min="13832" max="13832" width="12.140625" style="262" bestFit="1" customWidth="1"/>
    <col min="13833" max="13833" width="8.42578125" style="262" bestFit="1" customWidth="1"/>
    <col min="13834" max="13834" width="12.140625" style="262" bestFit="1" customWidth="1"/>
    <col min="13835" max="13835" width="8.42578125" style="262" bestFit="1" customWidth="1"/>
    <col min="13836" max="13836" width="12.140625" style="262" bestFit="1" customWidth="1"/>
    <col min="13837" max="13837" width="8.42578125" style="262" bestFit="1" customWidth="1"/>
    <col min="13838" max="13838" width="51" style="262" bestFit="1" customWidth="1"/>
    <col min="13839" max="13839" width="4.7109375" style="262" bestFit="1" customWidth="1"/>
    <col min="13840" max="14080" width="9.140625" style="262"/>
    <col min="14081" max="14081" width="14.7109375" style="262" bestFit="1" customWidth="1"/>
    <col min="14082" max="14082" width="12.140625" style="262" bestFit="1" customWidth="1"/>
    <col min="14083" max="14083" width="9.28515625" style="262" bestFit="1" customWidth="1"/>
    <col min="14084" max="14084" width="12.140625" style="262" bestFit="1" customWidth="1"/>
    <col min="14085" max="14085" width="8.42578125" style="262" bestFit="1" customWidth="1"/>
    <col min="14086" max="14086" width="12.140625" style="262" bestFit="1" customWidth="1"/>
    <col min="14087" max="14087" width="8.42578125" style="262" bestFit="1" customWidth="1"/>
    <col min="14088" max="14088" width="12.140625" style="262" bestFit="1" customWidth="1"/>
    <col min="14089" max="14089" width="8.42578125" style="262" bestFit="1" customWidth="1"/>
    <col min="14090" max="14090" width="12.140625" style="262" bestFit="1" customWidth="1"/>
    <col min="14091" max="14091" width="8.42578125" style="262" bestFit="1" customWidth="1"/>
    <col min="14092" max="14092" width="12.140625" style="262" bestFit="1" customWidth="1"/>
    <col min="14093" max="14093" width="8.42578125" style="262" bestFit="1" customWidth="1"/>
    <col min="14094" max="14094" width="51" style="262" bestFit="1" customWidth="1"/>
    <col min="14095" max="14095" width="4.7109375" style="262" bestFit="1" customWidth="1"/>
    <col min="14096" max="14336" width="9.140625" style="262"/>
    <col min="14337" max="14337" width="14.7109375" style="262" bestFit="1" customWidth="1"/>
    <col min="14338" max="14338" width="12.140625" style="262" bestFit="1" customWidth="1"/>
    <col min="14339" max="14339" width="9.28515625" style="262" bestFit="1" customWidth="1"/>
    <col min="14340" max="14340" width="12.140625" style="262" bestFit="1" customWidth="1"/>
    <col min="14341" max="14341" width="8.42578125" style="262" bestFit="1" customWidth="1"/>
    <col min="14342" max="14342" width="12.140625" style="262" bestFit="1" customWidth="1"/>
    <col min="14343" max="14343" width="8.42578125" style="262" bestFit="1" customWidth="1"/>
    <col min="14344" max="14344" width="12.140625" style="262" bestFit="1" customWidth="1"/>
    <col min="14345" max="14345" width="8.42578125" style="262" bestFit="1" customWidth="1"/>
    <col min="14346" max="14346" width="12.140625" style="262" bestFit="1" customWidth="1"/>
    <col min="14347" max="14347" width="8.42578125" style="262" bestFit="1" customWidth="1"/>
    <col min="14348" max="14348" width="12.140625" style="262" bestFit="1" customWidth="1"/>
    <col min="14349" max="14349" width="8.42578125" style="262" bestFit="1" customWidth="1"/>
    <col min="14350" max="14350" width="51" style="262" bestFit="1" customWidth="1"/>
    <col min="14351" max="14351" width="4.7109375" style="262" bestFit="1" customWidth="1"/>
    <col min="14352" max="14592" width="9.140625" style="262"/>
    <col min="14593" max="14593" width="14.7109375" style="262" bestFit="1" customWidth="1"/>
    <col min="14594" max="14594" width="12.140625" style="262" bestFit="1" customWidth="1"/>
    <col min="14595" max="14595" width="9.28515625" style="262" bestFit="1" customWidth="1"/>
    <col min="14596" max="14596" width="12.140625" style="262" bestFit="1" customWidth="1"/>
    <col min="14597" max="14597" width="8.42578125" style="262" bestFit="1" customWidth="1"/>
    <col min="14598" max="14598" width="12.140625" style="262" bestFit="1" customWidth="1"/>
    <col min="14599" max="14599" width="8.42578125" style="262" bestFit="1" customWidth="1"/>
    <col min="14600" max="14600" width="12.140625" style="262" bestFit="1" customWidth="1"/>
    <col min="14601" max="14601" width="8.42578125" style="262" bestFit="1" customWidth="1"/>
    <col min="14602" max="14602" width="12.140625" style="262" bestFit="1" customWidth="1"/>
    <col min="14603" max="14603" width="8.42578125" style="262" bestFit="1" customWidth="1"/>
    <col min="14604" max="14604" width="12.140625" style="262" bestFit="1" customWidth="1"/>
    <col min="14605" max="14605" width="8.42578125" style="262" bestFit="1" customWidth="1"/>
    <col min="14606" max="14606" width="51" style="262" bestFit="1" customWidth="1"/>
    <col min="14607" max="14607" width="4.7109375" style="262" bestFit="1" customWidth="1"/>
    <col min="14608" max="14848" width="9.140625" style="262"/>
    <col min="14849" max="14849" width="14.7109375" style="262" bestFit="1" customWidth="1"/>
    <col min="14850" max="14850" width="12.140625" style="262" bestFit="1" customWidth="1"/>
    <col min="14851" max="14851" width="9.28515625" style="262" bestFit="1" customWidth="1"/>
    <col min="14852" max="14852" width="12.140625" style="262" bestFit="1" customWidth="1"/>
    <col min="14853" max="14853" width="8.42578125" style="262" bestFit="1" customWidth="1"/>
    <col min="14854" max="14854" width="12.140625" style="262" bestFit="1" customWidth="1"/>
    <col min="14855" max="14855" width="8.42578125" style="262" bestFit="1" customWidth="1"/>
    <col min="14856" max="14856" width="12.140625" style="262" bestFit="1" customWidth="1"/>
    <col min="14857" max="14857" width="8.42578125" style="262" bestFit="1" customWidth="1"/>
    <col min="14858" max="14858" width="12.140625" style="262" bestFit="1" customWidth="1"/>
    <col min="14859" max="14859" width="8.42578125" style="262" bestFit="1" customWidth="1"/>
    <col min="14860" max="14860" width="12.140625" style="262" bestFit="1" customWidth="1"/>
    <col min="14861" max="14861" width="8.42578125" style="262" bestFit="1" customWidth="1"/>
    <col min="14862" max="14862" width="51" style="262" bestFit="1" customWidth="1"/>
    <col min="14863" max="14863" width="4.7109375" style="262" bestFit="1" customWidth="1"/>
    <col min="14864" max="15104" width="9.140625" style="262"/>
    <col min="15105" max="15105" width="14.7109375" style="262" bestFit="1" customWidth="1"/>
    <col min="15106" max="15106" width="12.140625" style="262" bestFit="1" customWidth="1"/>
    <col min="15107" max="15107" width="9.28515625" style="262" bestFit="1" customWidth="1"/>
    <col min="15108" max="15108" width="12.140625" style="262" bestFit="1" customWidth="1"/>
    <col min="15109" max="15109" width="8.42578125" style="262" bestFit="1" customWidth="1"/>
    <col min="15110" max="15110" width="12.140625" style="262" bestFit="1" customWidth="1"/>
    <col min="15111" max="15111" width="8.42578125" style="262" bestFit="1" customWidth="1"/>
    <col min="15112" max="15112" width="12.140625" style="262" bestFit="1" customWidth="1"/>
    <col min="15113" max="15113" width="8.42578125" style="262" bestFit="1" customWidth="1"/>
    <col min="15114" max="15114" width="12.140625" style="262" bestFit="1" customWidth="1"/>
    <col min="15115" max="15115" width="8.42578125" style="262" bestFit="1" customWidth="1"/>
    <col min="15116" max="15116" width="12.140625" style="262" bestFit="1" customWidth="1"/>
    <col min="15117" max="15117" width="8.42578125" style="262" bestFit="1" customWidth="1"/>
    <col min="15118" max="15118" width="51" style="262" bestFit="1" customWidth="1"/>
    <col min="15119" max="15119" width="4.7109375" style="262" bestFit="1" customWidth="1"/>
    <col min="15120" max="15360" width="9.140625" style="262"/>
    <col min="15361" max="15361" width="14.7109375" style="262" bestFit="1" customWidth="1"/>
    <col min="15362" max="15362" width="12.140625" style="262" bestFit="1" customWidth="1"/>
    <col min="15363" max="15363" width="9.28515625" style="262" bestFit="1" customWidth="1"/>
    <col min="15364" max="15364" width="12.140625" style="262" bestFit="1" customWidth="1"/>
    <col min="15365" max="15365" width="8.42578125" style="262" bestFit="1" customWidth="1"/>
    <col min="15366" max="15366" width="12.140625" style="262" bestFit="1" customWidth="1"/>
    <col min="15367" max="15367" width="8.42578125" style="262" bestFit="1" customWidth="1"/>
    <col min="15368" max="15368" width="12.140625" style="262" bestFit="1" customWidth="1"/>
    <col min="15369" max="15369" width="8.42578125" style="262" bestFit="1" customWidth="1"/>
    <col min="15370" max="15370" width="12.140625" style="262" bestFit="1" customWidth="1"/>
    <col min="15371" max="15371" width="8.42578125" style="262" bestFit="1" customWidth="1"/>
    <col min="15372" max="15372" width="12.140625" style="262" bestFit="1" customWidth="1"/>
    <col min="15373" max="15373" width="8.42578125" style="262" bestFit="1" customWidth="1"/>
    <col min="15374" max="15374" width="51" style="262" bestFit="1" customWidth="1"/>
    <col min="15375" max="15375" width="4.7109375" style="262" bestFit="1" customWidth="1"/>
    <col min="15376" max="15616" width="9.140625" style="262"/>
    <col min="15617" max="15617" width="14.7109375" style="262" bestFit="1" customWidth="1"/>
    <col min="15618" max="15618" width="12.140625" style="262" bestFit="1" customWidth="1"/>
    <col min="15619" max="15619" width="9.28515625" style="262" bestFit="1" customWidth="1"/>
    <col min="15620" max="15620" width="12.140625" style="262" bestFit="1" customWidth="1"/>
    <col min="15621" max="15621" width="8.42578125" style="262" bestFit="1" customWidth="1"/>
    <col min="15622" max="15622" width="12.140625" style="262" bestFit="1" customWidth="1"/>
    <col min="15623" max="15623" width="8.42578125" style="262" bestFit="1" customWidth="1"/>
    <col min="15624" max="15624" width="12.140625" style="262" bestFit="1" customWidth="1"/>
    <col min="15625" max="15625" width="8.42578125" style="262" bestFit="1" customWidth="1"/>
    <col min="15626" max="15626" width="12.140625" style="262" bestFit="1" customWidth="1"/>
    <col min="15627" max="15627" width="8.42578125" style="262" bestFit="1" customWidth="1"/>
    <col min="15628" max="15628" width="12.140625" style="262" bestFit="1" customWidth="1"/>
    <col min="15629" max="15629" width="8.42578125" style="262" bestFit="1" customWidth="1"/>
    <col min="15630" max="15630" width="51" style="262" bestFit="1" customWidth="1"/>
    <col min="15631" max="15631" width="4.7109375" style="262" bestFit="1" customWidth="1"/>
    <col min="15632" max="15872" width="9.140625" style="262"/>
    <col min="15873" max="15873" width="14.7109375" style="262" bestFit="1" customWidth="1"/>
    <col min="15874" max="15874" width="12.140625" style="262" bestFit="1" customWidth="1"/>
    <col min="15875" max="15875" width="9.28515625" style="262" bestFit="1" customWidth="1"/>
    <col min="15876" max="15876" width="12.140625" style="262" bestFit="1" customWidth="1"/>
    <col min="15877" max="15877" width="8.42578125" style="262" bestFit="1" customWidth="1"/>
    <col min="15878" max="15878" width="12.140625" style="262" bestFit="1" customWidth="1"/>
    <col min="15879" max="15879" width="8.42578125" style="262" bestFit="1" customWidth="1"/>
    <col min="15880" max="15880" width="12.140625" style="262" bestFit="1" customWidth="1"/>
    <col min="15881" max="15881" width="8.42578125" style="262" bestFit="1" customWidth="1"/>
    <col min="15882" max="15882" width="12.140625" style="262" bestFit="1" customWidth="1"/>
    <col min="15883" max="15883" width="8.42578125" style="262" bestFit="1" customWidth="1"/>
    <col min="15884" max="15884" width="12.140625" style="262" bestFit="1" customWidth="1"/>
    <col min="15885" max="15885" width="8.42578125" style="262" bestFit="1" customWidth="1"/>
    <col min="15886" max="15886" width="51" style="262" bestFit="1" customWidth="1"/>
    <col min="15887" max="15887" width="4.7109375" style="262" bestFit="1" customWidth="1"/>
    <col min="15888" max="16128" width="9.140625" style="262"/>
    <col min="16129" max="16129" width="14.7109375" style="262" bestFit="1" customWidth="1"/>
    <col min="16130" max="16130" width="12.140625" style="262" bestFit="1" customWidth="1"/>
    <col min="16131" max="16131" width="9.28515625" style="262" bestFit="1" customWidth="1"/>
    <col min="16132" max="16132" width="12.140625" style="262" bestFit="1" customWidth="1"/>
    <col min="16133" max="16133" width="8.42578125" style="262" bestFit="1" customWidth="1"/>
    <col min="16134" max="16134" width="12.140625" style="262" bestFit="1" customWidth="1"/>
    <col min="16135" max="16135" width="8.42578125" style="262" bestFit="1" customWidth="1"/>
    <col min="16136" max="16136" width="12.140625" style="262" bestFit="1" customWidth="1"/>
    <col min="16137" max="16137" width="8.42578125" style="262" bestFit="1" customWidth="1"/>
    <col min="16138" max="16138" width="12.140625" style="262" bestFit="1" customWidth="1"/>
    <col min="16139" max="16139" width="8.42578125" style="262" bestFit="1" customWidth="1"/>
    <col min="16140" max="16140" width="12.140625" style="262" bestFit="1" customWidth="1"/>
    <col min="16141" max="16141" width="8.42578125" style="262" bestFit="1" customWidth="1"/>
    <col min="16142" max="16142" width="51" style="262" bestFit="1" customWidth="1"/>
    <col min="16143" max="16143" width="4.7109375" style="262" bestFit="1" customWidth="1"/>
    <col min="16144" max="16384" width="9.140625" style="262"/>
  </cols>
  <sheetData>
    <row r="1" spans="1:14" ht="15" customHeight="1" x14ac:dyDescent="0.2">
      <c r="A1" s="385" t="s">
        <v>11</v>
      </c>
      <c r="B1" s="385"/>
      <c r="C1" s="385"/>
      <c r="D1" s="385"/>
      <c r="E1" s="385"/>
      <c r="F1" s="385"/>
      <c r="G1" s="385"/>
      <c r="H1" s="385"/>
      <c r="I1" s="385"/>
      <c r="J1" s="385"/>
      <c r="K1" s="385"/>
      <c r="L1" s="385"/>
      <c r="M1" s="385"/>
      <c r="N1" s="385"/>
    </row>
    <row r="2" spans="1:14" s="265" customFormat="1" ht="27" customHeight="1" x14ac:dyDescent="0.2">
      <c r="A2" s="363" t="s">
        <v>147</v>
      </c>
      <c r="B2" s="357" t="s">
        <v>150</v>
      </c>
      <c r="C2" s="358"/>
      <c r="D2" s="357" t="s">
        <v>239</v>
      </c>
      <c r="E2" s="358"/>
      <c r="F2" s="357" t="s">
        <v>240</v>
      </c>
      <c r="G2" s="358"/>
      <c r="H2" s="357" t="s">
        <v>241</v>
      </c>
      <c r="I2" s="358"/>
      <c r="J2" s="357" t="s">
        <v>242</v>
      </c>
      <c r="K2" s="358"/>
      <c r="L2" s="357" t="s">
        <v>243</v>
      </c>
      <c r="M2" s="358"/>
    </row>
    <row r="3" spans="1:14" s="265" customFormat="1" ht="37.5" customHeight="1" x14ac:dyDescent="0.2">
      <c r="A3" s="365"/>
      <c r="B3" s="263" t="s">
        <v>185</v>
      </c>
      <c r="C3" s="270" t="s">
        <v>155</v>
      </c>
      <c r="D3" s="263" t="s">
        <v>185</v>
      </c>
      <c r="E3" s="270" t="s">
        <v>155</v>
      </c>
      <c r="F3" s="263" t="s">
        <v>185</v>
      </c>
      <c r="G3" s="270" t="s">
        <v>155</v>
      </c>
      <c r="H3" s="263" t="s">
        <v>185</v>
      </c>
      <c r="I3" s="270" t="s">
        <v>155</v>
      </c>
      <c r="J3" s="263" t="s">
        <v>185</v>
      </c>
      <c r="K3" s="270" t="s">
        <v>155</v>
      </c>
      <c r="L3" s="263" t="s">
        <v>185</v>
      </c>
      <c r="M3" s="270" t="s">
        <v>155</v>
      </c>
    </row>
    <row r="4" spans="1:14" s="265" customFormat="1" ht="18" customHeight="1" x14ac:dyDescent="0.2">
      <c r="A4" s="266" t="s">
        <v>69</v>
      </c>
      <c r="B4" s="292">
        <v>229</v>
      </c>
      <c r="C4" s="290">
        <v>110359.31</v>
      </c>
      <c r="D4" s="292">
        <v>28</v>
      </c>
      <c r="E4" s="283">
        <v>108.28</v>
      </c>
      <c r="F4" s="292">
        <v>41</v>
      </c>
      <c r="G4" s="283">
        <v>273.58</v>
      </c>
      <c r="H4" s="292">
        <v>90</v>
      </c>
      <c r="I4" s="283">
        <v>1848</v>
      </c>
      <c r="J4" s="292">
        <v>9</v>
      </c>
      <c r="K4" s="283">
        <v>615.59</v>
      </c>
      <c r="L4" s="292">
        <v>61</v>
      </c>
      <c r="M4" s="290">
        <v>107513.86</v>
      </c>
    </row>
    <row r="5" spans="1:14" s="265" customFormat="1" ht="18" customHeight="1" x14ac:dyDescent="0.2">
      <c r="A5" s="266" t="s">
        <v>70</v>
      </c>
      <c r="B5" s="292">
        <v>158</v>
      </c>
      <c r="C5" s="283">
        <v>54916.718820099995</v>
      </c>
      <c r="D5" s="292">
        <v>20</v>
      </c>
      <c r="E5" s="283">
        <v>68.416799999999995</v>
      </c>
      <c r="F5" s="292">
        <v>29</v>
      </c>
      <c r="G5" s="283">
        <v>212.85940000000002</v>
      </c>
      <c r="H5" s="292">
        <v>61</v>
      </c>
      <c r="I5" s="283">
        <v>1355.191</v>
      </c>
      <c r="J5" s="292">
        <v>6</v>
      </c>
      <c r="K5" s="283">
        <v>437.51522</v>
      </c>
      <c r="L5" s="292">
        <v>42</v>
      </c>
      <c r="M5" s="283">
        <v>52842.736400099995</v>
      </c>
    </row>
    <row r="6" spans="1:14" s="265" customFormat="1" ht="18" customHeight="1" x14ac:dyDescent="0.2">
      <c r="A6" s="266" t="s">
        <v>156</v>
      </c>
      <c r="B6" s="292">
        <v>16</v>
      </c>
      <c r="C6" s="283">
        <v>3555.3</v>
      </c>
      <c r="D6" s="292">
        <v>3</v>
      </c>
      <c r="E6" s="283">
        <v>11.9</v>
      </c>
      <c r="F6" s="292">
        <v>4</v>
      </c>
      <c r="G6" s="283">
        <v>24.23</v>
      </c>
      <c r="H6" s="292">
        <v>5</v>
      </c>
      <c r="I6" s="283">
        <v>120.38</v>
      </c>
      <c r="J6" s="292">
        <v>2</v>
      </c>
      <c r="K6" s="283">
        <v>184.52</v>
      </c>
      <c r="L6" s="292">
        <v>2</v>
      </c>
      <c r="M6" s="283">
        <v>3214.27</v>
      </c>
    </row>
    <row r="7" spans="1:14" s="265" customFormat="1" ht="18" customHeight="1" x14ac:dyDescent="0.2">
      <c r="A7" s="266" t="s">
        <v>157</v>
      </c>
      <c r="B7" s="292">
        <v>23</v>
      </c>
      <c r="C7" s="283">
        <v>14429.485360000001</v>
      </c>
      <c r="D7" s="292">
        <v>1</v>
      </c>
      <c r="E7" s="283">
        <v>4.4400000000000004</v>
      </c>
      <c r="F7" s="292">
        <v>8</v>
      </c>
      <c r="G7" s="283">
        <v>64.674000000000007</v>
      </c>
      <c r="H7" s="292">
        <v>9</v>
      </c>
      <c r="I7" s="283">
        <v>233.86135999999999</v>
      </c>
      <c r="J7" s="292">
        <v>1</v>
      </c>
      <c r="K7" s="283">
        <v>77.91</v>
      </c>
      <c r="L7" s="292">
        <v>4</v>
      </c>
      <c r="M7" s="283">
        <v>14048.6</v>
      </c>
    </row>
    <row r="8" spans="1:14" s="265" customFormat="1" ht="18" customHeight="1" x14ac:dyDescent="0.2">
      <c r="A8" s="266" t="s">
        <v>158</v>
      </c>
      <c r="B8" s="292">
        <v>11</v>
      </c>
      <c r="C8" s="283">
        <v>3151.7053999999998</v>
      </c>
      <c r="D8" s="292">
        <v>0</v>
      </c>
      <c r="E8" s="283">
        <v>0</v>
      </c>
      <c r="F8" s="292">
        <v>2</v>
      </c>
      <c r="G8" s="283">
        <v>14.164</v>
      </c>
      <c r="H8" s="292">
        <v>6</v>
      </c>
      <c r="I8" s="283">
        <v>121.3914</v>
      </c>
      <c r="J8" s="292">
        <v>0</v>
      </c>
      <c r="K8" s="283">
        <v>0</v>
      </c>
      <c r="L8" s="292">
        <v>3</v>
      </c>
      <c r="M8" s="283">
        <v>3016.15</v>
      </c>
    </row>
    <row r="9" spans="1:14" s="265" customFormat="1" ht="18" customHeight="1" x14ac:dyDescent="0.2">
      <c r="A9" s="266" t="s">
        <v>159</v>
      </c>
      <c r="B9" s="292">
        <v>15</v>
      </c>
      <c r="C9" s="283">
        <v>10686.031215999999</v>
      </c>
      <c r="D9" s="292">
        <v>1</v>
      </c>
      <c r="E9" s="283">
        <v>4.5084</v>
      </c>
      <c r="F9" s="292">
        <v>3</v>
      </c>
      <c r="G9" s="283">
        <v>22.453399999999998</v>
      </c>
      <c r="H9" s="292">
        <v>4</v>
      </c>
      <c r="I9" s="283">
        <v>66.45384</v>
      </c>
      <c r="J9" s="292">
        <v>1</v>
      </c>
      <c r="K9" s="283">
        <v>60.0075</v>
      </c>
      <c r="L9" s="292">
        <v>6</v>
      </c>
      <c r="M9" s="283">
        <v>10532.608076</v>
      </c>
    </row>
    <row r="10" spans="1:14" s="265" customFormat="1" ht="18" customHeight="1" x14ac:dyDescent="0.2">
      <c r="A10" s="266" t="s">
        <v>160</v>
      </c>
      <c r="B10" s="292">
        <v>11</v>
      </c>
      <c r="C10" s="283">
        <v>1254.1199999999999</v>
      </c>
      <c r="D10" s="292">
        <v>2</v>
      </c>
      <c r="E10" s="283">
        <v>6.13</v>
      </c>
      <c r="F10" s="292">
        <v>2</v>
      </c>
      <c r="G10" s="283">
        <v>15.67</v>
      </c>
      <c r="H10" s="292">
        <v>6</v>
      </c>
      <c r="I10" s="283">
        <v>101.13</v>
      </c>
      <c r="J10" s="292">
        <v>0</v>
      </c>
      <c r="K10" s="283">
        <v>0</v>
      </c>
      <c r="L10" s="292">
        <v>1</v>
      </c>
      <c r="M10" s="283">
        <v>1131.19</v>
      </c>
    </row>
    <row r="11" spans="1:14" s="265" customFormat="1" ht="18" customHeight="1" x14ac:dyDescent="0.2">
      <c r="A11" s="266" t="s">
        <v>161</v>
      </c>
      <c r="B11" s="292">
        <v>20</v>
      </c>
      <c r="C11" s="283">
        <v>8700.7681200000006</v>
      </c>
      <c r="D11" s="292">
        <v>3</v>
      </c>
      <c r="E11" s="283">
        <v>10.718400000000001</v>
      </c>
      <c r="F11" s="292">
        <v>2</v>
      </c>
      <c r="G11" s="283">
        <v>14.268000000000001</v>
      </c>
      <c r="H11" s="292">
        <v>7</v>
      </c>
      <c r="I11" s="283">
        <v>169.17400000000001</v>
      </c>
      <c r="J11" s="292">
        <v>2</v>
      </c>
      <c r="K11" s="283">
        <v>115.07772</v>
      </c>
      <c r="L11" s="292">
        <v>6</v>
      </c>
      <c r="M11" s="283">
        <v>8391.5300000000007</v>
      </c>
    </row>
    <row r="12" spans="1:14" s="265" customFormat="1" ht="18" customHeight="1" x14ac:dyDescent="0.2">
      <c r="A12" s="266" t="s">
        <v>162</v>
      </c>
      <c r="B12" s="292">
        <v>17</v>
      </c>
      <c r="C12" s="283">
        <v>1232.2303999999999</v>
      </c>
      <c r="D12" s="292">
        <v>3</v>
      </c>
      <c r="E12" s="283">
        <v>12.78</v>
      </c>
      <c r="F12" s="292">
        <v>2</v>
      </c>
      <c r="G12" s="283">
        <v>13.5</v>
      </c>
      <c r="H12" s="292">
        <v>9</v>
      </c>
      <c r="I12" s="283">
        <v>155.57040000000001</v>
      </c>
      <c r="J12" s="292">
        <v>0</v>
      </c>
      <c r="K12" s="283">
        <v>0</v>
      </c>
      <c r="L12" s="292">
        <v>3</v>
      </c>
      <c r="M12" s="283">
        <v>1050.3800000000001</v>
      </c>
    </row>
    <row r="13" spans="1:14" s="265" customFormat="1" ht="18" customHeight="1" x14ac:dyDescent="0.2">
      <c r="A13" s="266" t="s">
        <v>163</v>
      </c>
      <c r="B13" s="292">
        <v>6</v>
      </c>
      <c r="C13" s="283">
        <v>317.52</v>
      </c>
      <c r="D13" s="292">
        <v>2</v>
      </c>
      <c r="E13" s="283">
        <v>4.17</v>
      </c>
      <c r="F13" s="292">
        <v>1</v>
      </c>
      <c r="G13" s="283">
        <v>6.51</v>
      </c>
      <c r="H13" s="292">
        <v>2</v>
      </c>
      <c r="I13" s="283">
        <v>44.82</v>
      </c>
      <c r="J13" s="292">
        <v>0</v>
      </c>
      <c r="K13" s="283">
        <v>0</v>
      </c>
      <c r="L13" s="292">
        <v>1</v>
      </c>
      <c r="M13" s="283">
        <v>262.02</v>
      </c>
    </row>
    <row r="14" spans="1:14" s="265" customFormat="1" ht="18" customHeight="1" x14ac:dyDescent="0.2">
      <c r="A14" s="266" t="s">
        <v>164</v>
      </c>
      <c r="B14" s="292">
        <v>5</v>
      </c>
      <c r="C14" s="283">
        <v>1028.2683241</v>
      </c>
      <c r="D14" s="292">
        <v>0</v>
      </c>
      <c r="E14" s="283">
        <v>0</v>
      </c>
      <c r="F14" s="292">
        <v>1</v>
      </c>
      <c r="G14" s="283">
        <v>7.29</v>
      </c>
      <c r="H14" s="292">
        <v>1</v>
      </c>
      <c r="I14" s="283">
        <v>42.12</v>
      </c>
      <c r="J14" s="292">
        <v>0</v>
      </c>
      <c r="K14" s="283">
        <v>0</v>
      </c>
      <c r="L14" s="292">
        <v>3</v>
      </c>
      <c r="M14" s="283">
        <v>978.8583241</v>
      </c>
    </row>
    <row r="15" spans="1:14" s="265" customFormat="1" ht="18" customHeight="1" x14ac:dyDescent="0.2">
      <c r="A15" s="266" t="s">
        <v>165</v>
      </c>
      <c r="B15" s="292">
        <v>13</v>
      </c>
      <c r="C15" s="283">
        <v>6022.49</v>
      </c>
      <c r="D15" s="292">
        <v>0</v>
      </c>
      <c r="E15" s="283">
        <v>0</v>
      </c>
      <c r="F15" s="292">
        <v>1</v>
      </c>
      <c r="G15" s="283">
        <v>5.99</v>
      </c>
      <c r="H15" s="292">
        <v>5</v>
      </c>
      <c r="I15" s="283">
        <v>134.55000000000001</v>
      </c>
      <c r="J15" s="292">
        <v>0</v>
      </c>
      <c r="K15" s="283">
        <v>0</v>
      </c>
      <c r="L15" s="292">
        <v>7</v>
      </c>
      <c r="M15" s="283">
        <v>5881.95</v>
      </c>
    </row>
    <row r="16" spans="1:14" s="265" customFormat="1" ht="18" customHeight="1" x14ac:dyDescent="0.2">
      <c r="A16" s="266" t="s">
        <v>166</v>
      </c>
      <c r="B16" s="292">
        <v>8</v>
      </c>
      <c r="C16" s="283">
        <v>1341.76</v>
      </c>
      <c r="D16" s="292">
        <v>3</v>
      </c>
      <c r="E16" s="283">
        <v>8.02</v>
      </c>
      <c r="F16" s="292">
        <v>1</v>
      </c>
      <c r="G16" s="283">
        <v>8.58</v>
      </c>
      <c r="H16" s="292">
        <v>2</v>
      </c>
      <c r="I16" s="283">
        <v>36.69</v>
      </c>
      <c r="J16" s="292">
        <v>0</v>
      </c>
      <c r="K16" s="283">
        <v>0</v>
      </c>
      <c r="L16" s="292">
        <v>2</v>
      </c>
      <c r="M16" s="283">
        <v>1288.47</v>
      </c>
    </row>
    <row r="17" spans="1:13" s="265" customFormat="1" ht="18" customHeight="1" x14ac:dyDescent="0.2">
      <c r="A17" s="266" t="s">
        <v>167</v>
      </c>
      <c r="B17" s="292">
        <v>13</v>
      </c>
      <c r="C17" s="283">
        <v>3197.04</v>
      </c>
      <c r="D17" s="292">
        <v>2</v>
      </c>
      <c r="E17" s="283">
        <v>5.75</v>
      </c>
      <c r="F17" s="292">
        <v>2</v>
      </c>
      <c r="G17" s="283">
        <v>15.53</v>
      </c>
      <c r="H17" s="292">
        <v>5</v>
      </c>
      <c r="I17" s="283">
        <v>129.05000000000001</v>
      </c>
      <c r="J17" s="292">
        <v>0</v>
      </c>
      <c r="K17" s="283">
        <v>0</v>
      </c>
      <c r="L17" s="292">
        <v>4</v>
      </c>
      <c r="M17" s="283">
        <v>3046.71</v>
      </c>
    </row>
    <row r="18" spans="1:13" s="265" customFormat="1" ht="18.75" customHeight="1" x14ac:dyDescent="0.2">
      <c r="A18" s="353" t="s">
        <v>106</v>
      </c>
      <c r="B18" s="353"/>
      <c r="C18" s="353"/>
    </row>
    <row r="19" spans="1:13" s="265" customFormat="1" ht="18" customHeight="1" x14ac:dyDescent="0.2">
      <c r="A19" s="353" t="s">
        <v>133</v>
      </c>
      <c r="B19" s="353"/>
      <c r="C19" s="353"/>
    </row>
    <row r="20" spans="1:13" s="265" customFormat="1" ht="28.35" customHeight="1" x14ac:dyDescent="0.2"/>
  </sheetData>
  <mergeCells count="10">
    <mergeCell ref="A18:C18"/>
    <mergeCell ref="A19:C19"/>
    <mergeCell ref="A1:N1"/>
    <mergeCell ref="A2:A3"/>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FF00"/>
    <pageSetUpPr fitToPage="1"/>
  </sheetPr>
  <dimension ref="A1:K21"/>
  <sheetViews>
    <sheetView tabSelected="1" workbookViewId="0">
      <selection activeCell="E14" sqref="E14"/>
    </sheetView>
  </sheetViews>
  <sheetFormatPr defaultRowHeight="12.75" x14ac:dyDescent="0.2"/>
  <cols>
    <col min="1" max="1" width="14.7109375" style="262" bestFit="1" customWidth="1"/>
    <col min="2" max="2" width="12.140625" style="262" bestFit="1" customWidth="1"/>
    <col min="3" max="3" width="15.7109375" style="262" bestFit="1" customWidth="1"/>
    <col min="4" max="4" width="12.140625" style="262" bestFit="1" customWidth="1"/>
    <col min="5" max="7" width="15.7109375" style="262" bestFit="1" customWidth="1"/>
    <col min="8" max="9" width="12.140625" style="262" bestFit="1" customWidth="1"/>
    <col min="10" max="11" width="15.7109375" style="262" bestFit="1" customWidth="1"/>
    <col min="12" max="12" width="4.7109375" style="262" bestFit="1" customWidth="1"/>
    <col min="13" max="256" width="9.140625" style="262"/>
    <col min="257" max="257" width="14.7109375" style="262" bestFit="1" customWidth="1"/>
    <col min="258" max="258" width="12.140625" style="262" bestFit="1" customWidth="1"/>
    <col min="259" max="259" width="15.7109375" style="262" bestFit="1" customWidth="1"/>
    <col min="260" max="260" width="12.140625" style="262" bestFit="1" customWidth="1"/>
    <col min="261" max="263" width="15.7109375" style="262" bestFit="1" customWidth="1"/>
    <col min="264" max="265" width="12.140625" style="262" bestFit="1" customWidth="1"/>
    <col min="266" max="267" width="15.7109375" style="262" bestFit="1" customWidth="1"/>
    <col min="268" max="268" width="4.7109375" style="262" bestFit="1" customWidth="1"/>
    <col min="269" max="512" width="9.140625" style="262"/>
    <col min="513" max="513" width="14.7109375" style="262" bestFit="1" customWidth="1"/>
    <col min="514" max="514" width="12.140625" style="262" bestFit="1" customWidth="1"/>
    <col min="515" max="515" width="15.7109375" style="262" bestFit="1" customWidth="1"/>
    <col min="516" max="516" width="12.140625" style="262" bestFit="1" customWidth="1"/>
    <col min="517" max="519" width="15.7109375" style="262" bestFit="1" customWidth="1"/>
    <col min="520" max="521" width="12.140625" style="262" bestFit="1" customWidth="1"/>
    <col min="522" max="523" width="15.7109375" style="262" bestFit="1" customWidth="1"/>
    <col min="524" max="524" width="4.7109375" style="262" bestFit="1" customWidth="1"/>
    <col min="525" max="768" width="9.140625" style="262"/>
    <col min="769" max="769" width="14.7109375" style="262" bestFit="1" customWidth="1"/>
    <col min="770" max="770" width="12.140625" style="262" bestFit="1" customWidth="1"/>
    <col min="771" max="771" width="15.7109375" style="262" bestFit="1" customWidth="1"/>
    <col min="772" max="772" width="12.140625" style="262" bestFit="1" customWidth="1"/>
    <col min="773" max="775" width="15.7109375" style="262" bestFit="1" customWidth="1"/>
    <col min="776" max="777" width="12.140625" style="262" bestFit="1" customWidth="1"/>
    <col min="778" max="779" width="15.7109375" style="262" bestFit="1" customWidth="1"/>
    <col min="780" max="780" width="4.7109375" style="262" bestFit="1" customWidth="1"/>
    <col min="781" max="1024" width="9.140625" style="262"/>
    <col min="1025" max="1025" width="14.7109375" style="262" bestFit="1" customWidth="1"/>
    <col min="1026" max="1026" width="12.140625" style="262" bestFit="1" customWidth="1"/>
    <col min="1027" max="1027" width="15.7109375" style="262" bestFit="1" customWidth="1"/>
    <col min="1028" max="1028" width="12.140625" style="262" bestFit="1" customWidth="1"/>
    <col min="1029" max="1031" width="15.7109375" style="262" bestFit="1" customWidth="1"/>
    <col min="1032" max="1033" width="12.140625" style="262" bestFit="1" customWidth="1"/>
    <col min="1034" max="1035" width="15.7109375" style="262" bestFit="1" customWidth="1"/>
    <col min="1036" max="1036" width="4.7109375" style="262" bestFit="1" customWidth="1"/>
    <col min="1037" max="1280" width="9.140625" style="262"/>
    <col min="1281" max="1281" width="14.7109375" style="262" bestFit="1" customWidth="1"/>
    <col min="1282" max="1282" width="12.140625" style="262" bestFit="1" customWidth="1"/>
    <col min="1283" max="1283" width="15.7109375" style="262" bestFit="1" customWidth="1"/>
    <col min="1284" max="1284" width="12.140625" style="262" bestFit="1" customWidth="1"/>
    <col min="1285" max="1287" width="15.7109375" style="262" bestFit="1" customWidth="1"/>
    <col min="1288" max="1289" width="12.140625" style="262" bestFit="1" customWidth="1"/>
    <col min="1290" max="1291" width="15.7109375" style="262" bestFit="1" customWidth="1"/>
    <col min="1292" max="1292" width="4.7109375" style="262" bestFit="1" customWidth="1"/>
    <col min="1293" max="1536" width="9.140625" style="262"/>
    <col min="1537" max="1537" width="14.7109375" style="262" bestFit="1" customWidth="1"/>
    <col min="1538" max="1538" width="12.140625" style="262" bestFit="1" customWidth="1"/>
    <col min="1539" max="1539" width="15.7109375" style="262" bestFit="1" customWidth="1"/>
    <col min="1540" max="1540" width="12.140625" style="262" bestFit="1" customWidth="1"/>
    <col min="1541" max="1543" width="15.7109375" style="262" bestFit="1" customWidth="1"/>
    <col min="1544" max="1545" width="12.140625" style="262" bestFit="1" customWidth="1"/>
    <col min="1546" max="1547" width="15.7109375" style="262" bestFit="1" customWidth="1"/>
    <col min="1548" max="1548" width="4.7109375" style="262" bestFit="1" customWidth="1"/>
    <col min="1549" max="1792" width="9.140625" style="262"/>
    <col min="1793" max="1793" width="14.7109375" style="262" bestFit="1" customWidth="1"/>
    <col min="1794" max="1794" width="12.140625" style="262" bestFit="1" customWidth="1"/>
    <col min="1795" max="1795" width="15.7109375" style="262" bestFit="1" customWidth="1"/>
    <col min="1796" max="1796" width="12.140625" style="262" bestFit="1" customWidth="1"/>
    <col min="1797" max="1799" width="15.7109375" style="262" bestFit="1" customWidth="1"/>
    <col min="1800" max="1801" width="12.140625" style="262" bestFit="1" customWidth="1"/>
    <col min="1802" max="1803" width="15.7109375" style="262" bestFit="1" customWidth="1"/>
    <col min="1804" max="1804" width="4.7109375" style="262" bestFit="1" customWidth="1"/>
    <col min="1805" max="2048" width="9.140625" style="262"/>
    <col min="2049" max="2049" width="14.7109375" style="262" bestFit="1" customWidth="1"/>
    <col min="2050" max="2050" width="12.140625" style="262" bestFit="1" customWidth="1"/>
    <col min="2051" max="2051" width="15.7109375" style="262" bestFit="1" customWidth="1"/>
    <col min="2052" max="2052" width="12.140625" style="262" bestFit="1" customWidth="1"/>
    <col min="2053" max="2055" width="15.7109375" style="262" bestFit="1" customWidth="1"/>
    <col min="2056" max="2057" width="12.140625" style="262" bestFit="1" customWidth="1"/>
    <col min="2058" max="2059" width="15.7109375" style="262" bestFit="1" customWidth="1"/>
    <col min="2060" max="2060" width="4.7109375" style="262" bestFit="1" customWidth="1"/>
    <col min="2061" max="2304" width="9.140625" style="262"/>
    <col min="2305" max="2305" width="14.7109375" style="262" bestFit="1" customWidth="1"/>
    <col min="2306" max="2306" width="12.140625" style="262" bestFit="1" customWidth="1"/>
    <col min="2307" max="2307" width="15.7109375" style="262" bestFit="1" customWidth="1"/>
    <col min="2308" max="2308" width="12.140625" style="262" bestFit="1" customWidth="1"/>
    <col min="2309" max="2311" width="15.7109375" style="262" bestFit="1" customWidth="1"/>
    <col min="2312" max="2313" width="12.140625" style="262" bestFit="1" customWidth="1"/>
    <col min="2314" max="2315" width="15.7109375" style="262" bestFit="1" customWidth="1"/>
    <col min="2316" max="2316" width="4.7109375" style="262" bestFit="1" customWidth="1"/>
    <col min="2317" max="2560" width="9.140625" style="262"/>
    <col min="2561" max="2561" width="14.7109375" style="262" bestFit="1" customWidth="1"/>
    <col min="2562" max="2562" width="12.140625" style="262" bestFit="1" customWidth="1"/>
    <col min="2563" max="2563" width="15.7109375" style="262" bestFit="1" customWidth="1"/>
    <col min="2564" max="2564" width="12.140625" style="262" bestFit="1" customWidth="1"/>
    <col min="2565" max="2567" width="15.7109375" style="262" bestFit="1" customWidth="1"/>
    <col min="2568" max="2569" width="12.140625" style="262" bestFit="1" customWidth="1"/>
    <col min="2570" max="2571" width="15.7109375" style="262" bestFit="1" customWidth="1"/>
    <col min="2572" max="2572" width="4.7109375" style="262" bestFit="1" customWidth="1"/>
    <col min="2573" max="2816" width="9.140625" style="262"/>
    <col min="2817" max="2817" width="14.7109375" style="262" bestFit="1" customWidth="1"/>
    <col min="2818" max="2818" width="12.140625" style="262" bestFit="1" customWidth="1"/>
    <col min="2819" max="2819" width="15.7109375" style="262" bestFit="1" customWidth="1"/>
    <col min="2820" max="2820" width="12.140625" style="262" bestFit="1" customWidth="1"/>
    <col min="2821" max="2823" width="15.7109375" style="262" bestFit="1" customWidth="1"/>
    <col min="2824" max="2825" width="12.140625" style="262" bestFit="1" customWidth="1"/>
    <col min="2826" max="2827" width="15.7109375" style="262" bestFit="1" customWidth="1"/>
    <col min="2828" max="2828" width="4.7109375" style="262" bestFit="1" customWidth="1"/>
    <col min="2829" max="3072" width="9.140625" style="262"/>
    <col min="3073" max="3073" width="14.7109375" style="262" bestFit="1" customWidth="1"/>
    <col min="3074" max="3074" width="12.140625" style="262" bestFit="1" customWidth="1"/>
    <col min="3075" max="3075" width="15.7109375" style="262" bestFit="1" customWidth="1"/>
    <col min="3076" max="3076" width="12.140625" style="262" bestFit="1" customWidth="1"/>
    <col min="3077" max="3079" width="15.7109375" style="262" bestFit="1" customWidth="1"/>
    <col min="3080" max="3081" width="12.140625" style="262" bestFit="1" customWidth="1"/>
    <col min="3082" max="3083" width="15.7109375" style="262" bestFit="1" customWidth="1"/>
    <col min="3084" max="3084" width="4.7109375" style="262" bestFit="1" customWidth="1"/>
    <col min="3085" max="3328" width="9.140625" style="262"/>
    <col min="3329" max="3329" width="14.7109375" style="262" bestFit="1" customWidth="1"/>
    <col min="3330" max="3330" width="12.140625" style="262" bestFit="1" customWidth="1"/>
    <col min="3331" max="3331" width="15.7109375" style="262" bestFit="1" customWidth="1"/>
    <col min="3332" max="3332" width="12.140625" style="262" bestFit="1" customWidth="1"/>
    <col min="3333" max="3335" width="15.7109375" style="262" bestFit="1" customWidth="1"/>
    <col min="3336" max="3337" width="12.140625" style="262" bestFit="1" customWidth="1"/>
    <col min="3338" max="3339" width="15.7109375" style="262" bestFit="1" customWidth="1"/>
    <col min="3340" max="3340" width="4.7109375" style="262" bestFit="1" customWidth="1"/>
    <col min="3341" max="3584" width="9.140625" style="262"/>
    <col min="3585" max="3585" width="14.7109375" style="262" bestFit="1" customWidth="1"/>
    <col min="3586" max="3586" width="12.140625" style="262" bestFit="1" customWidth="1"/>
    <col min="3587" max="3587" width="15.7109375" style="262" bestFit="1" customWidth="1"/>
    <col min="3588" max="3588" width="12.140625" style="262" bestFit="1" customWidth="1"/>
    <col min="3589" max="3591" width="15.7109375" style="262" bestFit="1" customWidth="1"/>
    <col min="3592" max="3593" width="12.140625" style="262" bestFit="1" customWidth="1"/>
    <col min="3594" max="3595" width="15.7109375" style="262" bestFit="1" customWidth="1"/>
    <col min="3596" max="3596" width="4.7109375" style="262" bestFit="1" customWidth="1"/>
    <col min="3597" max="3840" width="9.140625" style="262"/>
    <col min="3841" max="3841" width="14.7109375" style="262" bestFit="1" customWidth="1"/>
    <col min="3842" max="3842" width="12.140625" style="262" bestFit="1" customWidth="1"/>
    <col min="3843" max="3843" width="15.7109375" style="262" bestFit="1" customWidth="1"/>
    <col min="3844" max="3844" width="12.140625" style="262" bestFit="1" customWidth="1"/>
    <col min="3845" max="3847" width="15.7109375" style="262" bestFit="1" customWidth="1"/>
    <col min="3848" max="3849" width="12.140625" style="262" bestFit="1" customWidth="1"/>
    <col min="3850" max="3851" width="15.7109375" style="262" bestFit="1" customWidth="1"/>
    <col min="3852" max="3852" width="4.7109375" style="262" bestFit="1" customWidth="1"/>
    <col min="3853" max="4096" width="9.140625" style="262"/>
    <col min="4097" max="4097" width="14.7109375" style="262" bestFit="1" customWidth="1"/>
    <col min="4098" max="4098" width="12.140625" style="262" bestFit="1" customWidth="1"/>
    <col min="4099" max="4099" width="15.7109375" style="262" bestFit="1" customWidth="1"/>
    <col min="4100" max="4100" width="12.140625" style="262" bestFit="1" customWidth="1"/>
    <col min="4101" max="4103" width="15.7109375" style="262" bestFit="1" customWidth="1"/>
    <col min="4104" max="4105" width="12.140625" style="262" bestFit="1" customWidth="1"/>
    <col min="4106" max="4107" width="15.7109375" style="262" bestFit="1" customWidth="1"/>
    <col min="4108" max="4108" width="4.7109375" style="262" bestFit="1" customWidth="1"/>
    <col min="4109" max="4352" width="9.140625" style="262"/>
    <col min="4353" max="4353" width="14.7109375" style="262" bestFit="1" customWidth="1"/>
    <col min="4354" max="4354" width="12.140625" style="262" bestFit="1" customWidth="1"/>
    <col min="4355" max="4355" width="15.7109375" style="262" bestFit="1" customWidth="1"/>
    <col min="4356" max="4356" width="12.140625" style="262" bestFit="1" customWidth="1"/>
    <col min="4357" max="4359" width="15.7109375" style="262" bestFit="1" customWidth="1"/>
    <col min="4360" max="4361" width="12.140625" style="262" bestFit="1" customWidth="1"/>
    <col min="4362" max="4363" width="15.7109375" style="262" bestFit="1" customWidth="1"/>
    <col min="4364" max="4364" width="4.7109375" style="262" bestFit="1" customWidth="1"/>
    <col min="4365" max="4608" width="9.140625" style="262"/>
    <col min="4609" max="4609" width="14.7109375" style="262" bestFit="1" customWidth="1"/>
    <col min="4610" max="4610" width="12.140625" style="262" bestFit="1" customWidth="1"/>
    <col min="4611" max="4611" width="15.7109375" style="262" bestFit="1" customWidth="1"/>
    <col min="4612" max="4612" width="12.140625" style="262" bestFit="1" customWidth="1"/>
    <col min="4613" max="4615" width="15.7109375" style="262" bestFit="1" customWidth="1"/>
    <col min="4616" max="4617" width="12.140625" style="262" bestFit="1" customWidth="1"/>
    <col min="4618" max="4619" width="15.7109375" style="262" bestFit="1" customWidth="1"/>
    <col min="4620" max="4620" width="4.7109375" style="262" bestFit="1" customWidth="1"/>
    <col min="4621" max="4864" width="9.140625" style="262"/>
    <col min="4865" max="4865" width="14.7109375" style="262" bestFit="1" customWidth="1"/>
    <col min="4866" max="4866" width="12.140625" style="262" bestFit="1" customWidth="1"/>
    <col min="4867" max="4867" width="15.7109375" style="262" bestFit="1" customWidth="1"/>
    <col min="4868" max="4868" width="12.140625" style="262" bestFit="1" customWidth="1"/>
    <col min="4869" max="4871" width="15.7109375" style="262" bestFit="1" customWidth="1"/>
    <col min="4872" max="4873" width="12.140625" style="262" bestFit="1" customWidth="1"/>
    <col min="4874" max="4875" width="15.7109375" style="262" bestFit="1" customWidth="1"/>
    <col min="4876" max="4876" width="4.7109375" style="262" bestFit="1" customWidth="1"/>
    <col min="4877" max="5120" width="9.140625" style="262"/>
    <col min="5121" max="5121" width="14.7109375" style="262" bestFit="1" customWidth="1"/>
    <col min="5122" max="5122" width="12.140625" style="262" bestFit="1" customWidth="1"/>
    <col min="5123" max="5123" width="15.7109375" style="262" bestFit="1" customWidth="1"/>
    <col min="5124" max="5124" width="12.140625" style="262" bestFit="1" customWidth="1"/>
    <col min="5125" max="5127" width="15.7109375" style="262" bestFit="1" customWidth="1"/>
    <col min="5128" max="5129" width="12.140625" style="262" bestFit="1" customWidth="1"/>
    <col min="5130" max="5131" width="15.7109375" style="262" bestFit="1" customWidth="1"/>
    <col min="5132" max="5132" width="4.7109375" style="262" bestFit="1" customWidth="1"/>
    <col min="5133" max="5376" width="9.140625" style="262"/>
    <col min="5377" max="5377" width="14.7109375" style="262" bestFit="1" customWidth="1"/>
    <col min="5378" max="5378" width="12.140625" style="262" bestFit="1" customWidth="1"/>
    <col min="5379" max="5379" width="15.7109375" style="262" bestFit="1" customWidth="1"/>
    <col min="5380" max="5380" width="12.140625" style="262" bestFit="1" customWidth="1"/>
    <col min="5381" max="5383" width="15.7109375" style="262" bestFit="1" customWidth="1"/>
    <col min="5384" max="5385" width="12.140625" style="262" bestFit="1" customWidth="1"/>
    <col min="5386" max="5387" width="15.7109375" style="262" bestFit="1" customWidth="1"/>
    <col min="5388" max="5388" width="4.7109375" style="262" bestFit="1" customWidth="1"/>
    <col min="5389" max="5632" width="9.140625" style="262"/>
    <col min="5633" max="5633" width="14.7109375" style="262" bestFit="1" customWidth="1"/>
    <col min="5634" max="5634" width="12.140625" style="262" bestFit="1" customWidth="1"/>
    <col min="5635" max="5635" width="15.7109375" style="262" bestFit="1" customWidth="1"/>
    <col min="5636" max="5636" width="12.140625" style="262" bestFit="1" customWidth="1"/>
    <col min="5637" max="5639" width="15.7109375" style="262" bestFit="1" customWidth="1"/>
    <col min="5640" max="5641" width="12.140625" style="262" bestFit="1" customWidth="1"/>
    <col min="5642" max="5643" width="15.7109375" style="262" bestFit="1" customWidth="1"/>
    <col min="5644" max="5644" width="4.7109375" style="262" bestFit="1" customWidth="1"/>
    <col min="5645" max="5888" width="9.140625" style="262"/>
    <col min="5889" max="5889" width="14.7109375" style="262" bestFit="1" customWidth="1"/>
    <col min="5890" max="5890" width="12.140625" style="262" bestFit="1" customWidth="1"/>
    <col min="5891" max="5891" width="15.7109375" style="262" bestFit="1" customWidth="1"/>
    <col min="5892" max="5892" width="12.140625" style="262" bestFit="1" customWidth="1"/>
    <col min="5893" max="5895" width="15.7109375" style="262" bestFit="1" customWidth="1"/>
    <col min="5896" max="5897" width="12.140625" style="262" bestFit="1" customWidth="1"/>
    <col min="5898" max="5899" width="15.7109375" style="262" bestFit="1" customWidth="1"/>
    <col min="5900" max="5900" width="4.7109375" style="262" bestFit="1" customWidth="1"/>
    <col min="5901" max="6144" width="9.140625" style="262"/>
    <col min="6145" max="6145" width="14.7109375" style="262" bestFit="1" customWidth="1"/>
    <col min="6146" max="6146" width="12.140625" style="262" bestFit="1" customWidth="1"/>
    <col min="6147" max="6147" width="15.7109375" style="262" bestFit="1" customWidth="1"/>
    <col min="6148" max="6148" width="12.140625" style="262" bestFit="1" customWidth="1"/>
    <col min="6149" max="6151" width="15.7109375" style="262" bestFit="1" customWidth="1"/>
    <col min="6152" max="6153" width="12.140625" style="262" bestFit="1" customWidth="1"/>
    <col min="6154" max="6155" width="15.7109375" style="262" bestFit="1" customWidth="1"/>
    <col min="6156" max="6156" width="4.7109375" style="262" bestFit="1" customWidth="1"/>
    <col min="6157" max="6400" width="9.140625" style="262"/>
    <col min="6401" max="6401" width="14.7109375" style="262" bestFit="1" customWidth="1"/>
    <col min="6402" max="6402" width="12.140625" style="262" bestFit="1" customWidth="1"/>
    <col min="6403" max="6403" width="15.7109375" style="262" bestFit="1" customWidth="1"/>
    <col min="6404" max="6404" width="12.140625" style="262" bestFit="1" customWidth="1"/>
    <col min="6405" max="6407" width="15.7109375" style="262" bestFit="1" customWidth="1"/>
    <col min="6408" max="6409" width="12.140625" style="262" bestFit="1" customWidth="1"/>
    <col min="6410" max="6411" width="15.7109375" style="262" bestFit="1" customWidth="1"/>
    <col min="6412" max="6412" width="4.7109375" style="262" bestFit="1" customWidth="1"/>
    <col min="6413" max="6656" width="9.140625" style="262"/>
    <col min="6657" max="6657" width="14.7109375" style="262" bestFit="1" customWidth="1"/>
    <col min="6658" max="6658" width="12.140625" style="262" bestFit="1" customWidth="1"/>
    <col min="6659" max="6659" width="15.7109375" style="262" bestFit="1" customWidth="1"/>
    <col min="6660" max="6660" width="12.140625" style="262" bestFit="1" customWidth="1"/>
    <col min="6661" max="6663" width="15.7109375" style="262" bestFit="1" customWidth="1"/>
    <col min="6664" max="6665" width="12.140625" style="262" bestFit="1" customWidth="1"/>
    <col min="6666" max="6667" width="15.7109375" style="262" bestFit="1" customWidth="1"/>
    <col min="6668" max="6668" width="4.7109375" style="262" bestFit="1" customWidth="1"/>
    <col min="6669" max="6912" width="9.140625" style="262"/>
    <col min="6913" max="6913" width="14.7109375" style="262" bestFit="1" customWidth="1"/>
    <col min="6914" max="6914" width="12.140625" style="262" bestFit="1" customWidth="1"/>
    <col min="6915" max="6915" width="15.7109375" style="262" bestFit="1" customWidth="1"/>
    <col min="6916" max="6916" width="12.140625" style="262" bestFit="1" customWidth="1"/>
    <col min="6917" max="6919" width="15.7109375" style="262" bestFit="1" customWidth="1"/>
    <col min="6920" max="6921" width="12.140625" style="262" bestFit="1" customWidth="1"/>
    <col min="6922" max="6923" width="15.7109375" style="262" bestFit="1" customWidth="1"/>
    <col min="6924" max="6924" width="4.7109375" style="262" bestFit="1" customWidth="1"/>
    <col min="6925" max="7168" width="9.140625" style="262"/>
    <col min="7169" max="7169" width="14.7109375" style="262" bestFit="1" customWidth="1"/>
    <col min="7170" max="7170" width="12.140625" style="262" bestFit="1" customWidth="1"/>
    <col min="7171" max="7171" width="15.7109375" style="262" bestFit="1" customWidth="1"/>
    <col min="7172" max="7172" width="12.140625" style="262" bestFit="1" customWidth="1"/>
    <col min="7173" max="7175" width="15.7109375" style="262" bestFit="1" customWidth="1"/>
    <col min="7176" max="7177" width="12.140625" style="262" bestFit="1" customWidth="1"/>
    <col min="7178" max="7179" width="15.7109375" style="262" bestFit="1" customWidth="1"/>
    <col min="7180" max="7180" width="4.7109375" style="262" bestFit="1" customWidth="1"/>
    <col min="7181" max="7424" width="9.140625" style="262"/>
    <col min="7425" max="7425" width="14.7109375" style="262" bestFit="1" customWidth="1"/>
    <col min="7426" max="7426" width="12.140625" style="262" bestFit="1" customWidth="1"/>
    <col min="7427" max="7427" width="15.7109375" style="262" bestFit="1" customWidth="1"/>
    <col min="7428" max="7428" width="12.140625" style="262" bestFit="1" customWidth="1"/>
    <col min="7429" max="7431" width="15.7109375" style="262" bestFit="1" customWidth="1"/>
    <col min="7432" max="7433" width="12.140625" style="262" bestFit="1" customWidth="1"/>
    <col min="7434" max="7435" width="15.7109375" style="262" bestFit="1" customWidth="1"/>
    <col min="7436" max="7436" width="4.7109375" style="262" bestFit="1" customWidth="1"/>
    <col min="7437" max="7680" width="9.140625" style="262"/>
    <col min="7681" max="7681" width="14.7109375" style="262" bestFit="1" customWidth="1"/>
    <col min="7682" max="7682" width="12.140625" style="262" bestFit="1" customWidth="1"/>
    <col min="7683" max="7683" width="15.7109375" style="262" bestFit="1" customWidth="1"/>
    <col min="7684" max="7684" width="12.140625" style="262" bestFit="1" customWidth="1"/>
    <col min="7685" max="7687" width="15.7109375" style="262" bestFit="1" customWidth="1"/>
    <col min="7688" max="7689" width="12.140625" style="262" bestFit="1" customWidth="1"/>
    <col min="7690" max="7691" width="15.7109375" style="262" bestFit="1" customWidth="1"/>
    <col min="7692" max="7692" width="4.7109375" style="262" bestFit="1" customWidth="1"/>
    <col min="7693" max="7936" width="9.140625" style="262"/>
    <col min="7937" max="7937" width="14.7109375" style="262" bestFit="1" customWidth="1"/>
    <col min="7938" max="7938" width="12.140625" style="262" bestFit="1" customWidth="1"/>
    <col min="7939" max="7939" width="15.7109375" style="262" bestFit="1" customWidth="1"/>
    <col min="7940" max="7940" width="12.140625" style="262" bestFit="1" customWidth="1"/>
    <col min="7941" max="7943" width="15.7109375" style="262" bestFit="1" customWidth="1"/>
    <col min="7944" max="7945" width="12.140625" style="262" bestFit="1" customWidth="1"/>
    <col min="7946" max="7947" width="15.7109375" style="262" bestFit="1" customWidth="1"/>
    <col min="7948" max="7948" width="4.7109375" style="262" bestFit="1" customWidth="1"/>
    <col min="7949" max="8192" width="9.140625" style="262"/>
    <col min="8193" max="8193" width="14.7109375" style="262" bestFit="1" customWidth="1"/>
    <col min="8194" max="8194" width="12.140625" style="262" bestFit="1" customWidth="1"/>
    <col min="8195" max="8195" width="15.7109375" style="262" bestFit="1" customWidth="1"/>
    <col min="8196" max="8196" width="12.140625" style="262" bestFit="1" customWidth="1"/>
    <col min="8197" max="8199" width="15.7109375" style="262" bestFit="1" customWidth="1"/>
    <col min="8200" max="8201" width="12.140625" style="262" bestFit="1" customWidth="1"/>
    <col min="8202" max="8203" width="15.7109375" style="262" bestFit="1" customWidth="1"/>
    <col min="8204" max="8204" width="4.7109375" style="262" bestFit="1" customWidth="1"/>
    <col min="8205" max="8448" width="9.140625" style="262"/>
    <col min="8449" max="8449" width="14.7109375" style="262" bestFit="1" customWidth="1"/>
    <col min="8450" max="8450" width="12.140625" style="262" bestFit="1" customWidth="1"/>
    <col min="8451" max="8451" width="15.7109375" style="262" bestFit="1" customWidth="1"/>
    <col min="8452" max="8452" width="12.140625" style="262" bestFit="1" customWidth="1"/>
    <col min="8453" max="8455" width="15.7109375" style="262" bestFit="1" customWidth="1"/>
    <col min="8456" max="8457" width="12.140625" style="262" bestFit="1" customWidth="1"/>
    <col min="8458" max="8459" width="15.7109375" style="262" bestFit="1" customWidth="1"/>
    <col min="8460" max="8460" width="4.7109375" style="262" bestFit="1" customWidth="1"/>
    <col min="8461" max="8704" width="9.140625" style="262"/>
    <col min="8705" max="8705" width="14.7109375" style="262" bestFit="1" customWidth="1"/>
    <col min="8706" max="8706" width="12.140625" style="262" bestFit="1" customWidth="1"/>
    <col min="8707" max="8707" width="15.7109375" style="262" bestFit="1" customWidth="1"/>
    <col min="8708" max="8708" width="12.140625" style="262" bestFit="1" customWidth="1"/>
    <col min="8709" max="8711" width="15.7109375" style="262" bestFit="1" customWidth="1"/>
    <col min="8712" max="8713" width="12.140625" style="262" bestFit="1" customWidth="1"/>
    <col min="8714" max="8715" width="15.7109375" style="262" bestFit="1" customWidth="1"/>
    <col min="8716" max="8716" width="4.7109375" style="262" bestFit="1" customWidth="1"/>
    <col min="8717" max="8960" width="9.140625" style="262"/>
    <col min="8961" max="8961" width="14.7109375" style="262" bestFit="1" customWidth="1"/>
    <col min="8962" max="8962" width="12.140625" style="262" bestFit="1" customWidth="1"/>
    <col min="8963" max="8963" width="15.7109375" style="262" bestFit="1" customWidth="1"/>
    <col min="8964" max="8964" width="12.140625" style="262" bestFit="1" customWidth="1"/>
    <col min="8965" max="8967" width="15.7109375" style="262" bestFit="1" customWidth="1"/>
    <col min="8968" max="8969" width="12.140625" style="262" bestFit="1" customWidth="1"/>
    <col min="8970" max="8971" width="15.7109375" style="262" bestFit="1" customWidth="1"/>
    <col min="8972" max="8972" width="4.7109375" style="262" bestFit="1" customWidth="1"/>
    <col min="8973" max="9216" width="9.140625" style="262"/>
    <col min="9217" max="9217" width="14.7109375" style="262" bestFit="1" customWidth="1"/>
    <col min="9218" max="9218" width="12.140625" style="262" bestFit="1" customWidth="1"/>
    <col min="9219" max="9219" width="15.7109375" style="262" bestFit="1" customWidth="1"/>
    <col min="9220" max="9220" width="12.140625" style="262" bestFit="1" customWidth="1"/>
    <col min="9221" max="9223" width="15.7109375" style="262" bestFit="1" customWidth="1"/>
    <col min="9224" max="9225" width="12.140625" style="262" bestFit="1" customWidth="1"/>
    <col min="9226" max="9227" width="15.7109375" style="262" bestFit="1" customWidth="1"/>
    <col min="9228" max="9228" width="4.7109375" style="262" bestFit="1" customWidth="1"/>
    <col min="9229" max="9472" width="9.140625" style="262"/>
    <col min="9473" max="9473" width="14.7109375" style="262" bestFit="1" customWidth="1"/>
    <col min="9474" max="9474" width="12.140625" style="262" bestFit="1" customWidth="1"/>
    <col min="9475" max="9475" width="15.7109375" style="262" bestFit="1" customWidth="1"/>
    <col min="9476" max="9476" width="12.140625" style="262" bestFit="1" customWidth="1"/>
    <col min="9477" max="9479" width="15.7109375" style="262" bestFit="1" customWidth="1"/>
    <col min="9480" max="9481" width="12.140625" style="262" bestFit="1" customWidth="1"/>
    <col min="9482" max="9483" width="15.7109375" style="262" bestFit="1" customWidth="1"/>
    <col min="9484" max="9484" width="4.7109375" style="262" bestFit="1" customWidth="1"/>
    <col min="9485" max="9728" width="9.140625" style="262"/>
    <col min="9729" max="9729" width="14.7109375" style="262" bestFit="1" customWidth="1"/>
    <col min="9730" max="9730" width="12.140625" style="262" bestFit="1" customWidth="1"/>
    <col min="9731" max="9731" width="15.7109375" style="262" bestFit="1" customWidth="1"/>
    <col min="9732" max="9732" width="12.140625" style="262" bestFit="1" customWidth="1"/>
    <col min="9733" max="9735" width="15.7109375" style="262" bestFit="1" customWidth="1"/>
    <col min="9736" max="9737" width="12.140625" style="262" bestFit="1" customWidth="1"/>
    <col min="9738" max="9739" width="15.7109375" style="262" bestFit="1" customWidth="1"/>
    <col min="9740" max="9740" width="4.7109375" style="262" bestFit="1" customWidth="1"/>
    <col min="9741" max="9984" width="9.140625" style="262"/>
    <col min="9985" max="9985" width="14.7109375" style="262" bestFit="1" customWidth="1"/>
    <col min="9986" max="9986" width="12.140625" style="262" bestFit="1" customWidth="1"/>
    <col min="9987" max="9987" width="15.7109375" style="262" bestFit="1" customWidth="1"/>
    <col min="9988" max="9988" width="12.140625" style="262" bestFit="1" customWidth="1"/>
    <col min="9989" max="9991" width="15.7109375" style="262" bestFit="1" customWidth="1"/>
    <col min="9992" max="9993" width="12.140625" style="262" bestFit="1" customWidth="1"/>
    <col min="9994" max="9995" width="15.7109375" style="262" bestFit="1" customWidth="1"/>
    <col min="9996" max="9996" width="4.7109375" style="262" bestFit="1" customWidth="1"/>
    <col min="9997" max="10240" width="9.140625" style="262"/>
    <col min="10241" max="10241" width="14.7109375" style="262" bestFit="1" customWidth="1"/>
    <col min="10242" max="10242" width="12.140625" style="262" bestFit="1" customWidth="1"/>
    <col min="10243" max="10243" width="15.7109375" style="262" bestFit="1" customWidth="1"/>
    <col min="10244" max="10244" width="12.140625" style="262" bestFit="1" customWidth="1"/>
    <col min="10245" max="10247" width="15.7109375" style="262" bestFit="1" customWidth="1"/>
    <col min="10248" max="10249" width="12.140625" style="262" bestFit="1" customWidth="1"/>
    <col min="10250" max="10251" width="15.7109375" style="262" bestFit="1" customWidth="1"/>
    <col min="10252" max="10252" width="4.7109375" style="262" bestFit="1" customWidth="1"/>
    <col min="10253" max="10496" width="9.140625" style="262"/>
    <col min="10497" max="10497" width="14.7109375" style="262" bestFit="1" customWidth="1"/>
    <col min="10498" max="10498" width="12.140625" style="262" bestFit="1" customWidth="1"/>
    <col min="10499" max="10499" width="15.7109375" style="262" bestFit="1" customWidth="1"/>
    <col min="10500" max="10500" width="12.140625" style="262" bestFit="1" customWidth="1"/>
    <col min="10501" max="10503" width="15.7109375" style="262" bestFit="1" customWidth="1"/>
    <col min="10504" max="10505" width="12.140625" style="262" bestFit="1" customWidth="1"/>
    <col min="10506" max="10507" width="15.7109375" style="262" bestFit="1" customWidth="1"/>
    <col min="10508" max="10508" width="4.7109375" style="262" bestFit="1" customWidth="1"/>
    <col min="10509" max="10752" width="9.140625" style="262"/>
    <col min="10753" max="10753" width="14.7109375" style="262" bestFit="1" customWidth="1"/>
    <col min="10754" max="10754" width="12.140625" style="262" bestFit="1" customWidth="1"/>
    <col min="10755" max="10755" width="15.7109375" style="262" bestFit="1" customWidth="1"/>
    <col min="10756" max="10756" width="12.140625" style="262" bestFit="1" customWidth="1"/>
    <col min="10757" max="10759" width="15.7109375" style="262" bestFit="1" customWidth="1"/>
    <col min="10760" max="10761" width="12.140625" style="262" bestFit="1" customWidth="1"/>
    <col min="10762" max="10763" width="15.7109375" style="262" bestFit="1" customWidth="1"/>
    <col min="10764" max="10764" width="4.7109375" style="262" bestFit="1" customWidth="1"/>
    <col min="10765" max="11008" width="9.140625" style="262"/>
    <col min="11009" max="11009" width="14.7109375" style="262" bestFit="1" customWidth="1"/>
    <col min="11010" max="11010" width="12.140625" style="262" bestFit="1" customWidth="1"/>
    <col min="11011" max="11011" width="15.7109375" style="262" bestFit="1" customWidth="1"/>
    <col min="11012" max="11012" width="12.140625" style="262" bestFit="1" customWidth="1"/>
    <col min="11013" max="11015" width="15.7109375" style="262" bestFit="1" customWidth="1"/>
    <col min="11016" max="11017" width="12.140625" style="262" bestFit="1" customWidth="1"/>
    <col min="11018" max="11019" width="15.7109375" style="262" bestFit="1" customWidth="1"/>
    <col min="11020" max="11020" width="4.7109375" style="262" bestFit="1" customWidth="1"/>
    <col min="11021" max="11264" width="9.140625" style="262"/>
    <col min="11265" max="11265" width="14.7109375" style="262" bestFit="1" customWidth="1"/>
    <col min="11266" max="11266" width="12.140625" style="262" bestFit="1" customWidth="1"/>
    <col min="11267" max="11267" width="15.7109375" style="262" bestFit="1" customWidth="1"/>
    <col min="11268" max="11268" width="12.140625" style="262" bestFit="1" customWidth="1"/>
    <col min="11269" max="11271" width="15.7109375" style="262" bestFit="1" customWidth="1"/>
    <col min="11272" max="11273" width="12.140625" style="262" bestFit="1" customWidth="1"/>
    <col min="11274" max="11275" width="15.7109375" style="262" bestFit="1" customWidth="1"/>
    <col min="11276" max="11276" width="4.7109375" style="262" bestFit="1" customWidth="1"/>
    <col min="11277" max="11520" width="9.140625" style="262"/>
    <col min="11521" max="11521" width="14.7109375" style="262" bestFit="1" customWidth="1"/>
    <col min="11522" max="11522" width="12.140625" style="262" bestFit="1" customWidth="1"/>
    <col min="11523" max="11523" width="15.7109375" style="262" bestFit="1" customWidth="1"/>
    <col min="11524" max="11524" width="12.140625" style="262" bestFit="1" customWidth="1"/>
    <col min="11525" max="11527" width="15.7109375" style="262" bestFit="1" customWidth="1"/>
    <col min="11528" max="11529" width="12.140625" style="262" bestFit="1" customWidth="1"/>
    <col min="11530" max="11531" width="15.7109375" style="262" bestFit="1" customWidth="1"/>
    <col min="11532" max="11532" width="4.7109375" style="262" bestFit="1" customWidth="1"/>
    <col min="11533" max="11776" width="9.140625" style="262"/>
    <col min="11777" max="11777" width="14.7109375" style="262" bestFit="1" customWidth="1"/>
    <col min="11778" max="11778" width="12.140625" style="262" bestFit="1" customWidth="1"/>
    <col min="11779" max="11779" width="15.7109375" style="262" bestFit="1" customWidth="1"/>
    <col min="11780" max="11780" width="12.140625" style="262" bestFit="1" customWidth="1"/>
    <col min="11781" max="11783" width="15.7109375" style="262" bestFit="1" customWidth="1"/>
    <col min="11784" max="11785" width="12.140625" style="262" bestFit="1" customWidth="1"/>
    <col min="11786" max="11787" width="15.7109375" style="262" bestFit="1" customWidth="1"/>
    <col min="11788" max="11788" width="4.7109375" style="262" bestFit="1" customWidth="1"/>
    <col min="11789" max="12032" width="9.140625" style="262"/>
    <col min="12033" max="12033" width="14.7109375" style="262" bestFit="1" customWidth="1"/>
    <col min="12034" max="12034" width="12.140625" style="262" bestFit="1" customWidth="1"/>
    <col min="12035" max="12035" width="15.7109375" style="262" bestFit="1" customWidth="1"/>
    <col min="12036" max="12036" width="12.140625" style="262" bestFit="1" customWidth="1"/>
    <col min="12037" max="12039" width="15.7109375" style="262" bestFit="1" customWidth="1"/>
    <col min="12040" max="12041" width="12.140625" style="262" bestFit="1" customWidth="1"/>
    <col min="12042" max="12043" width="15.7109375" style="262" bestFit="1" customWidth="1"/>
    <col min="12044" max="12044" width="4.7109375" style="262" bestFit="1" customWidth="1"/>
    <col min="12045" max="12288" width="9.140625" style="262"/>
    <col min="12289" max="12289" width="14.7109375" style="262" bestFit="1" customWidth="1"/>
    <col min="12290" max="12290" width="12.140625" style="262" bestFit="1" customWidth="1"/>
    <col min="12291" max="12291" width="15.7109375" style="262" bestFit="1" customWidth="1"/>
    <col min="12292" max="12292" width="12.140625" style="262" bestFit="1" customWidth="1"/>
    <col min="12293" max="12295" width="15.7109375" style="262" bestFit="1" customWidth="1"/>
    <col min="12296" max="12297" width="12.140625" style="262" bestFit="1" customWidth="1"/>
    <col min="12298" max="12299" width="15.7109375" style="262" bestFit="1" customWidth="1"/>
    <col min="12300" max="12300" width="4.7109375" style="262" bestFit="1" customWidth="1"/>
    <col min="12301" max="12544" width="9.140625" style="262"/>
    <col min="12545" max="12545" width="14.7109375" style="262" bestFit="1" customWidth="1"/>
    <col min="12546" max="12546" width="12.140625" style="262" bestFit="1" customWidth="1"/>
    <col min="12547" max="12547" width="15.7109375" style="262" bestFit="1" customWidth="1"/>
    <col min="12548" max="12548" width="12.140625" style="262" bestFit="1" customWidth="1"/>
    <col min="12549" max="12551" width="15.7109375" style="262" bestFit="1" customWidth="1"/>
    <col min="12552" max="12553" width="12.140625" style="262" bestFit="1" customWidth="1"/>
    <col min="12554" max="12555" width="15.7109375" style="262" bestFit="1" customWidth="1"/>
    <col min="12556" max="12556" width="4.7109375" style="262" bestFit="1" customWidth="1"/>
    <col min="12557" max="12800" width="9.140625" style="262"/>
    <col min="12801" max="12801" width="14.7109375" style="262" bestFit="1" customWidth="1"/>
    <col min="12802" max="12802" width="12.140625" style="262" bestFit="1" customWidth="1"/>
    <col min="12803" max="12803" width="15.7109375" style="262" bestFit="1" customWidth="1"/>
    <col min="12804" max="12804" width="12.140625" style="262" bestFit="1" customWidth="1"/>
    <col min="12805" max="12807" width="15.7109375" style="262" bestFit="1" customWidth="1"/>
    <col min="12808" max="12809" width="12.140625" style="262" bestFit="1" customWidth="1"/>
    <col min="12810" max="12811" width="15.7109375" style="262" bestFit="1" customWidth="1"/>
    <col min="12812" max="12812" width="4.7109375" style="262" bestFit="1" customWidth="1"/>
    <col min="12813" max="13056" width="9.140625" style="262"/>
    <col min="13057" max="13057" width="14.7109375" style="262" bestFit="1" customWidth="1"/>
    <col min="13058" max="13058" width="12.140625" style="262" bestFit="1" customWidth="1"/>
    <col min="13059" max="13059" width="15.7109375" style="262" bestFit="1" customWidth="1"/>
    <col min="13060" max="13060" width="12.140625" style="262" bestFit="1" customWidth="1"/>
    <col min="13061" max="13063" width="15.7109375" style="262" bestFit="1" customWidth="1"/>
    <col min="13064" max="13065" width="12.140625" style="262" bestFit="1" customWidth="1"/>
    <col min="13066" max="13067" width="15.7109375" style="262" bestFit="1" customWidth="1"/>
    <col min="13068" max="13068" width="4.7109375" style="262" bestFit="1" customWidth="1"/>
    <col min="13069" max="13312" width="9.140625" style="262"/>
    <col min="13313" max="13313" width="14.7109375" style="262" bestFit="1" customWidth="1"/>
    <col min="13314" max="13314" width="12.140625" style="262" bestFit="1" customWidth="1"/>
    <col min="13315" max="13315" width="15.7109375" style="262" bestFit="1" customWidth="1"/>
    <col min="13316" max="13316" width="12.140625" style="262" bestFit="1" customWidth="1"/>
    <col min="13317" max="13319" width="15.7109375" style="262" bestFit="1" customWidth="1"/>
    <col min="13320" max="13321" width="12.140625" style="262" bestFit="1" customWidth="1"/>
    <col min="13322" max="13323" width="15.7109375" style="262" bestFit="1" customWidth="1"/>
    <col min="13324" max="13324" width="4.7109375" style="262" bestFit="1" customWidth="1"/>
    <col min="13325" max="13568" width="9.140625" style="262"/>
    <col min="13569" max="13569" width="14.7109375" style="262" bestFit="1" customWidth="1"/>
    <col min="13570" max="13570" width="12.140625" style="262" bestFit="1" customWidth="1"/>
    <col min="13571" max="13571" width="15.7109375" style="262" bestFit="1" customWidth="1"/>
    <col min="13572" max="13572" width="12.140625" style="262" bestFit="1" customWidth="1"/>
    <col min="13573" max="13575" width="15.7109375" style="262" bestFit="1" customWidth="1"/>
    <col min="13576" max="13577" width="12.140625" style="262" bestFit="1" customWidth="1"/>
    <col min="13578" max="13579" width="15.7109375" style="262" bestFit="1" customWidth="1"/>
    <col min="13580" max="13580" width="4.7109375" style="262" bestFit="1" customWidth="1"/>
    <col min="13581" max="13824" width="9.140625" style="262"/>
    <col min="13825" max="13825" width="14.7109375" style="262" bestFit="1" customWidth="1"/>
    <col min="13826" max="13826" width="12.140625" style="262" bestFit="1" customWidth="1"/>
    <col min="13827" max="13827" width="15.7109375" style="262" bestFit="1" customWidth="1"/>
    <col min="13828" max="13828" width="12.140625" style="262" bestFit="1" customWidth="1"/>
    <col min="13829" max="13831" width="15.7109375" style="262" bestFit="1" customWidth="1"/>
    <col min="13832" max="13833" width="12.140625" style="262" bestFit="1" customWidth="1"/>
    <col min="13834" max="13835" width="15.7109375" style="262" bestFit="1" customWidth="1"/>
    <col min="13836" max="13836" width="4.7109375" style="262" bestFit="1" customWidth="1"/>
    <col min="13837" max="14080" width="9.140625" style="262"/>
    <col min="14081" max="14081" width="14.7109375" style="262" bestFit="1" customWidth="1"/>
    <col min="14082" max="14082" width="12.140625" style="262" bestFit="1" customWidth="1"/>
    <col min="14083" max="14083" width="15.7109375" style="262" bestFit="1" customWidth="1"/>
    <col min="14084" max="14084" width="12.140625" style="262" bestFit="1" customWidth="1"/>
    <col min="14085" max="14087" width="15.7109375" style="262" bestFit="1" customWidth="1"/>
    <col min="14088" max="14089" width="12.140625" style="262" bestFit="1" customWidth="1"/>
    <col min="14090" max="14091" width="15.7109375" style="262" bestFit="1" customWidth="1"/>
    <col min="14092" max="14092" width="4.7109375" style="262" bestFit="1" customWidth="1"/>
    <col min="14093" max="14336" width="9.140625" style="262"/>
    <col min="14337" max="14337" width="14.7109375" style="262" bestFit="1" customWidth="1"/>
    <col min="14338" max="14338" width="12.140625" style="262" bestFit="1" customWidth="1"/>
    <col min="14339" max="14339" width="15.7109375" style="262" bestFit="1" customWidth="1"/>
    <col min="14340" max="14340" width="12.140625" style="262" bestFit="1" customWidth="1"/>
    <col min="14341" max="14343" width="15.7109375" style="262" bestFit="1" customWidth="1"/>
    <col min="14344" max="14345" width="12.140625" style="262" bestFit="1" customWidth="1"/>
    <col min="14346" max="14347" width="15.7109375" style="262" bestFit="1" customWidth="1"/>
    <col min="14348" max="14348" width="4.7109375" style="262" bestFit="1" customWidth="1"/>
    <col min="14349" max="14592" width="9.140625" style="262"/>
    <col min="14593" max="14593" width="14.7109375" style="262" bestFit="1" customWidth="1"/>
    <col min="14594" max="14594" width="12.140625" style="262" bestFit="1" customWidth="1"/>
    <col min="14595" max="14595" width="15.7109375" style="262" bestFit="1" customWidth="1"/>
    <col min="14596" max="14596" width="12.140625" style="262" bestFit="1" customWidth="1"/>
    <col min="14597" max="14599" width="15.7109375" style="262" bestFit="1" customWidth="1"/>
    <col min="14600" max="14601" width="12.140625" style="262" bestFit="1" customWidth="1"/>
    <col min="14602" max="14603" width="15.7109375" style="262" bestFit="1" customWidth="1"/>
    <col min="14604" max="14604" width="4.7109375" style="262" bestFit="1" customWidth="1"/>
    <col min="14605" max="14848" width="9.140625" style="262"/>
    <col min="14849" max="14849" width="14.7109375" style="262" bestFit="1" customWidth="1"/>
    <col min="14850" max="14850" width="12.140625" style="262" bestFit="1" customWidth="1"/>
    <col min="14851" max="14851" width="15.7109375" style="262" bestFit="1" customWidth="1"/>
    <col min="14852" max="14852" width="12.140625" style="262" bestFit="1" customWidth="1"/>
    <col min="14853" max="14855" width="15.7109375" style="262" bestFit="1" customWidth="1"/>
    <col min="14856" max="14857" width="12.140625" style="262" bestFit="1" customWidth="1"/>
    <col min="14858" max="14859" width="15.7109375" style="262" bestFit="1" customWidth="1"/>
    <col min="14860" max="14860" width="4.7109375" style="262" bestFit="1" customWidth="1"/>
    <col min="14861" max="15104" width="9.140625" style="262"/>
    <col min="15105" max="15105" width="14.7109375" style="262" bestFit="1" customWidth="1"/>
    <col min="15106" max="15106" width="12.140625" style="262" bestFit="1" customWidth="1"/>
    <col min="15107" max="15107" width="15.7109375" style="262" bestFit="1" customWidth="1"/>
    <col min="15108" max="15108" width="12.140625" style="262" bestFit="1" customWidth="1"/>
    <col min="15109" max="15111" width="15.7109375" style="262" bestFit="1" customWidth="1"/>
    <col min="15112" max="15113" width="12.140625" style="262" bestFit="1" customWidth="1"/>
    <col min="15114" max="15115" width="15.7109375" style="262" bestFit="1" customWidth="1"/>
    <col min="15116" max="15116" width="4.7109375" style="262" bestFit="1" customWidth="1"/>
    <col min="15117" max="15360" width="9.140625" style="262"/>
    <col min="15361" max="15361" width="14.7109375" style="262" bestFit="1" customWidth="1"/>
    <col min="15362" max="15362" width="12.140625" style="262" bestFit="1" customWidth="1"/>
    <col min="15363" max="15363" width="15.7109375" style="262" bestFit="1" customWidth="1"/>
    <col min="15364" max="15364" width="12.140625" style="262" bestFit="1" customWidth="1"/>
    <col min="15365" max="15367" width="15.7109375" style="262" bestFit="1" customWidth="1"/>
    <col min="15368" max="15369" width="12.140625" style="262" bestFit="1" customWidth="1"/>
    <col min="15370" max="15371" width="15.7109375" style="262" bestFit="1" customWidth="1"/>
    <col min="15372" max="15372" width="4.7109375" style="262" bestFit="1" customWidth="1"/>
    <col min="15373" max="15616" width="9.140625" style="262"/>
    <col min="15617" max="15617" width="14.7109375" style="262" bestFit="1" customWidth="1"/>
    <col min="15618" max="15618" width="12.140625" style="262" bestFit="1" customWidth="1"/>
    <col min="15619" max="15619" width="15.7109375" style="262" bestFit="1" customWidth="1"/>
    <col min="15620" max="15620" width="12.140625" style="262" bestFit="1" customWidth="1"/>
    <col min="15621" max="15623" width="15.7109375" style="262" bestFit="1" customWidth="1"/>
    <col min="15624" max="15625" width="12.140625" style="262" bestFit="1" customWidth="1"/>
    <col min="15626" max="15627" width="15.7109375" style="262" bestFit="1" customWidth="1"/>
    <col min="15628" max="15628" width="4.7109375" style="262" bestFit="1" customWidth="1"/>
    <col min="15629" max="15872" width="9.140625" style="262"/>
    <col min="15873" max="15873" width="14.7109375" style="262" bestFit="1" customWidth="1"/>
    <col min="15874" max="15874" width="12.140625" style="262" bestFit="1" customWidth="1"/>
    <col min="15875" max="15875" width="15.7109375" style="262" bestFit="1" customWidth="1"/>
    <col min="15876" max="15876" width="12.140625" style="262" bestFit="1" customWidth="1"/>
    <col min="15877" max="15879" width="15.7109375" style="262" bestFit="1" customWidth="1"/>
    <col min="15880" max="15881" width="12.140625" style="262" bestFit="1" customWidth="1"/>
    <col min="15882" max="15883" width="15.7109375" style="262" bestFit="1" customWidth="1"/>
    <col min="15884" max="15884" width="4.7109375" style="262" bestFit="1" customWidth="1"/>
    <col min="15885" max="16128" width="9.140625" style="262"/>
    <col min="16129" max="16129" width="14.7109375" style="262" bestFit="1" customWidth="1"/>
    <col min="16130" max="16130" width="12.140625" style="262" bestFit="1" customWidth="1"/>
    <col min="16131" max="16131" width="15.7109375" style="262" bestFit="1" customWidth="1"/>
    <col min="16132" max="16132" width="12.140625" style="262" bestFit="1" customWidth="1"/>
    <col min="16133" max="16135" width="15.7109375" style="262" bestFit="1" customWidth="1"/>
    <col min="16136" max="16137" width="12.140625" style="262" bestFit="1" customWidth="1"/>
    <col min="16138" max="16139" width="15.7109375" style="262" bestFit="1" customWidth="1"/>
    <col min="16140" max="16140" width="4.7109375" style="262" bestFit="1" customWidth="1"/>
    <col min="16141" max="16384" width="9.140625" style="262"/>
  </cols>
  <sheetData>
    <row r="1" spans="1:11" ht="18.75" customHeight="1" x14ac:dyDescent="0.2">
      <c r="A1" s="385" t="s">
        <v>12</v>
      </c>
      <c r="B1" s="385"/>
      <c r="C1" s="385"/>
      <c r="D1" s="385"/>
      <c r="E1" s="385"/>
      <c r="F1" s="385"/>
      <c r="G1" s="385"/>
      <c r="H1" s="385"/>
      <c r="I1" s="385"/>
    </row>
    <row r="2" spans="1:11" s="265" customFormat="1" ht="18" customHeight="1" x14ac:dyDescent="0.2">
      <c r="A2" s="388" t="s">
        <v>147</v>
      </c>
      <c r="B2" s="386" t="s">
        <v>244</v>
      </c>
      <c r="C2" s="387"/>
      <c r="D2" s="386" t="s">
        <v>245</v>
      </c>
      <c r="E2" s="387"/>
      <c r="F2" s="386" t="s">
        <v>246</v>
      </c>
      <c r="G2" s="387"/>
      <c r="H2" s="386" t="s">
        <v>247</v>
      </c>
      <c r="I2" s="387"/>
      <c r="J2" s="386" t="s">
        <v>150</v>
      </c>
      <c r="K2" s="387"/>
    </row>
    <row r="3" spans="1:11" s="265" customFormat="1" ht="27" customHeight="1" x14ac:dyDescent="0.2">
      <c r="A3" s="389"/>
      <c r="B3" s="293" t="s">
        <v>180</v>
      </c>
      <c r="C3" s="294" t="s">
        <v>238</v>
      </c>
      <c r="D3" s="293" t="s">
        <v>180</v>
      </c>
      <c r="E3" s="294" t="s">
        <v>238</v>
      </c>
      <c r="F3" s="294" t="s">
        <v>180</v>
      </c>
      <c r="G3" s="294" t="s">
        <v>238</v>
      </c>
      <c r="H3" s="293" t="s">
        <v>180</v>
      </c>
      <c r="I3" s="294" t="s">
        <v>238</v>
      </c>
      <c r="J3" s="293" t="s">
        <v>180</v>
      </c>
      <c r="K3" s="294" t="s">
        <v>238</v>
      </c>
    </row>
    <row r="4" spans="1:11" s="265" customFormat="1" ht="18" customHeight="1" x14ac:dyDescent="0.2">
      <c r="A4" s="288" t="s">
        <v>69</v>
      </c>
      <c r="B4" s="295">
        <v>0</v>
      </c>
      <c r="C4" s="267">
        <v>0</v>
      </c>
      <c r="D4" s="295">
        <v>0</v>
      </c>
      <c r="E4" s="267">
        <v>0</v>
      </c>
      <c r="F4" s="268">
        <v>0</v>
      </c>
      <c r="G4" s="268">
        <v>0</v>
      </c>
      <c r="H4" s="295">
        <v>53</v>
      </c>
      <c r="I4" s="267">
        <v>67238</v>
      </c>
      <c r="J4" s="268">
        <v>53</v>
      </c>
      <c r="K4" s="267">
        <v>67238</v>
      </c>
    </row>
    <row r="5" spans="1:11" s="265" customFormat="1" ht="18" customHeight="1" x14ac:dyDescent="0.2">
      <c r="A5" s="288" t="s">
        <v>70</v>
      </c>
      <c r="B5" s="295">
        <v>0</v>
      </c>
      <c r="C5" s="267">
        <v>0</v>
      </c>
      <c r="D5" s="295">
        <v>0</v>
      </c>
      <c r="E5" s="267">
        <v>0</v>
      </c>
      <c r="F5" s="268">
        <v>0</v>
      </c>
      <c r="G5" s="268">
        <v>0</v>
      </c>
      <c r="H5" s="295">
        <v>14</v>
      </c>
      <c r="I5" s="267">
        <v>8678.3213859999996</v>
      </c>
      <c r="J5" s="268">
        <v>14</v>
      </c>
      <c r="K5" s="267">
        <v>0</v>
      </c>
    </row>
    <row r="6" spans="1:11" s="265" customFormat="1" ht="18" customHeight="1" x14ac:dyDescent="0.2">
      <c r="A6" s="288" t="s">
        <v>156</v>
      </c>
      <c r="B6" s="295">
        <v>0</v>
      </c>
      <c r="C6" s="267">
        <v>0</v>
      </c>
      <c r="D6" s="295">
        <v>0</v>
      </c>
      <c r="E6" s="267">
        <v>0</v>
      </c>
      <c r="F6" s="268">
        <v>0</v>
      </c>
      <c r="G6" s="268">
        <v>0</v>
      </c>
      <c r="H6" s="295">
        <v>3</v>
      </c>
      <c r="I6" s="267">
        <v>1862</v>
      </c>
      <c r="J6" s="268">
        <v>3</v>
      </c>
      <c r="K6" s="267">
        <v>1862</v>
      </c>
    </row>
    <row r="7" spans="1:11" s="265" customFormat="1" ht="18" customHeight="1" x14ac:dyDescent="0.2">
      <c r="A7" s="288" t="s">
        <v>157</v>
      </c>
      <c r="B7" s="295">
        <v>0</v>
      </c>
      <c r="C7" s="267">
        <v>0</v>
      </c>
      <c r="D7" s="295">
        <v>0</v>
      </c>
      <c r="E7" s="267">
        <v>0</v>
      </c>
      <c r="F7" s="268">
        <v>0</v>
      </c>
      <c r="G7" s="268">
        <v>0</v>
      </c>
      <c r="H7" s="295">
        <v>5</v>
      </c>
      <c r="I7" s="267">
        <v>1008</v>
      </c>
      <c r="J7" s="268">
        <v>5</v>
      </c>
      <c r="K7" s="267">
        <v>1008</v>
      </c>
    </row>
    <row r="8" spans="1:11" s="265" customFormat="1" ht="18" customHeight="1" x14ac:dyDescent="0.2">
      <c r="A8" s="288" t="s">
        <v>158</v>
      </c>
      <c r="B8" s="295">
        <v>0</v>
      </c>
      <c r="C8" s="267">
        <v>0</v>
      </c>
      <c r="D8" s="295">
        <v>0</v>
      </c>
      <c r="E8" s="267">
        <v>0</v>
      </c>
      <c r="F8" s="268">
        <v>0</v>
      </c>
      <c r="G8" s="268">
        <v>0</v>
      </c>
      <c r="H8" s="295">
        <v>1</v>
      </c>
      <c r="I8" s="267">
        <v>1200</v>
      </c>
      <c r="J8" s="268">
        <v>1</v>
      </c>
      <c r="K8" s="267">
        <v>1200</v>
      </c>
    </row>
    <row r="9" spans="1:11" s="265" customFormat="1" ht="18" customHeight="1" x14ac:dyDescent="0.2">
      <c r="A9" s="288" t="s">
        <v>159</v>
      </c>
      <c r="B9" s="295">
        <v>0</v>
      </c>
      <c r="C9" s="267">
        <v>0</v>
      </c>
      <c r="D9" s="295">
        <v>0</v>
      </c>
      <c r="E9" s="267">
        <v>0</v>
      </c>
      <c r="F9" s="268">
        <v>0</v>
      </c>
      <c r="G9" s="268">
        <v>0</v>
      </c>
      <c r="H9" s="295">
        <v>0</v>
      </c>
      <c r="I9" s="267">
        <v>0</v>
      </c>
      <c r="J9" s="268">
        <v>0</v>
      </c>
      <c r="K9" s="267">
        <v>0</v>
      </c>
    </row>
    <row r="10" spans="1:11" s="265" customFormat="1" ht="18" customHeight="1" x14ac:dyDescent="0.2">
      <c r="A10" s="288" t="s">
        <v>160</v>
      </c>
      <c r="B10" s="295">
        <v>0</v>
      </c>
      <c r="C10" s="267">
        <v>0</v>
      </c>
      <c r="D10" s="295">
        <v>0</v>
      </c>
      <c r="E10" s="267">
        <v>0</v>
      </c>
      <c r="F10" s="268">
        <v>0</v>
      </c>
      <c r="G10" s="268">
        <v>0</v>
      </c>
      <c r="H10" s="295">
        <v>2</v>
      </c>
      <c r="I10" s="267">
        <v>2888</v>
      </c>
      <c r="J10" s="268">
        <v>2</v>
      </c>
      <c r="K10" s="267">
        <v>2888</v>
      </c>
    </row>
    <row r="11" spans="1:11" s="265" customFormat="1" ht="18" customHeight="1" x14ac:dyDescent="0.2">
      <c r="A11" s="288" t="s">
        <v>161</v>
      </c>
      <c r="B11" s="295">
        <v>0</v>
      </c>
      <c r="C11" s="267">
        <v>0</v>
      </c>
      <c r="D11" s="295">
        <v>0</v>
      </c>
      <c r="E11" s="267">
        <v>0</v>
      </c>
      <c r="F11" s="268">
        <v>0</v>
      </c>
      <c r="G11" s="268">
        <v>0</v>
      </c>
      <c r="H11" s="295">
        <v>0</v>
      </c>
      <c r="I11" s="267">
        <v>0</v>
      </c>
      <c r="J11" s="268">
        <v>0</v>
      </c>
      <c r="K11" s="267">
        <v>0</v>
      </c>
    </row>
    <row r="12" spans="1:11" s="265" customFormat="1" ht="18" customHeight="1" x14ac:dyDescent="0.2">
      <c r="A12" s="288" t="s">
        <v>162</v>
      </c>
      <c r="B12" s="295">
        <v>0</v>
      </c>
      <c r="C12" s="267">
        <v>0</v>
      </c>
      <c r="D12" s="295">
        <v>0</v>
      </c>
      <c r="E12" s="267">
        <v>0</v>
      </c>
      <c r="F12" s="268">
        <v>0</v>
      </c>
      <c r="G12" s="268">
        <v>0</v>
      </c>
      <c r="H12" s="295">
        <v>0</v>
      </c>
      <c r="I12" s="267">
        <v>0</v>
      </c>
      <c r="J12" s="268">
        <v>0</v>
      </c>
      <c r="K12" s="267">
        <v>0</v>
      </c>
    </row>
    <row r="13" spans="1:11" s="265" customFormat="1" ht="18" customHeight="1" x14ac:dyDescent="0.2">
      <c r="A13" s="288" t="s">
        <v>163</v>
      </c>
      <c r="B13" s="295">
        <v>0</v>
      </c>
      <c r="C13" s="267">
        <v>0</v>
      </c>
      <c r="D13" s="295">
        <v>0</v>
      </c>
      <c r="E13" s="267">
        <v>0</v>
      </c>
      <c r="F13" s="268">
        <v>0</v>
      </c>
      <c r="G13" s="268">
        <v>0</v>
      </c>
      <c r="H13" s="295">
        <v>0</v>
      </c>
      <c r="I13" s="267">
        <v>0</v>
      </c>
      <c r="J13" s="268">
        <v>0</v>
      </c>
      <c r="K13" s="267">
        <v>0</v>
      </c>
    </row>
    <row r="14" spans="1:11" s="265" customFormat="1" ht="18" customHeight="1" x14ac:dyDescent="0.2">
      <c r="A14" s="288" t="s">
        <v>164</v>
      </c>
      <c r="B14" s="295">
        <v>0</v>
      </c>
      <c r="C14" s="267">
        <v>0</v>
      </c>
      <c r="D14" s="295">
        <v>0</v>
      </c>
      <c r="E14" s="267">
        <v>0</v>
      </c>
      <c r="F14" s="268">
        <v>0</v>
      </c>
      <c r="G14" s="268">
        <v>0</v>
      </c>
      <c r="H14" s="295">
        <v>0</v>
      </c>
      <c r="I14" s="267">
        <v>0</v>
      </c>
      <c r="J14" s="268">
        <v>0</v>
      </c>
      <c r="K14" s="267">
        <v>0</v>
      </c>
    </row>
    <row r="15" spans="1:11" s="265" customFormat="1" ht="18" customHeight="1" x14ac:dyDescent="0.2">
      <c r="A15" s="288" t="s">
        <v>165</v>
      </c>
      <c r="B15" s="295">
        <v>0</v>
      </c>
      <c r="C15" s="267">
        <v>0</v>
      </c>
      <c r="D15" s="295">
        <v>0</v>
      </c>
      <c r="E15" s="267">
        <v>0</v>
      </c>
      <c r="F15" s="268">
        <v>0</v>
      </c>
      <c r="G15" s="268">
        <v>0</v>
      </c>
      <c r="H15" s="295">
        <v>1</v>
      </c>
      <c r="I15" s="267">
        <v>510.78684957999991</v>
      </c>
      <c r="J15" s="295">
        <f>SUM(B15,D15,F15,H15)</f>
        <v>1</v>
      </c>
      <c r="K15" s="267">
        <f>SUM(C15,E15,G15,I15)</f>
        <v>510.78684957999991</v>
      </c>
    </row>
    <row r="16" spans="1:11" s="265" customFormat="1" ht="18" customHeight="1" x14ac:dyDescent="0.2">
      <c r="A16" s="288" t="s">
        <v>166</v>
      </c>
      <c r="B16" s="295">
        <v>0</v>
      </c>
      <c r="C16" s="267">
        <v>0</v>
      </c>
      <c r="D16" s="295">
        <v>0</v>
      </c>
      <c r="E16" s="267">
        <v>0</v>
      </c>
      <c r="F16" s="268">
        <v>0</v>
      </c>
      <c r="G16" s="268">
        <v>0</v>
      </c>
      <c r="H16" s="295">
        <v>0</v>
      </c>
      <c r="I16" s="267">
        <v>0</v>
      </c>
      <c r="J16" s="268">
        <f t="shared" ref="J16:J17" si="0">SUM(B16,D16,F16,H16)</f>
        <v>0</v>
      </c>
      <c r="K16" s="267">
        <f t="shared" ref="K16:K17" si="1">SUM(C16,E16,G16,I16)</f>
        <v>0</v>
      </c>
    </row>
    <row r="17" spans="1:11" s="265" customFormat="1" ht="18" customHeight="1" x14ac:dyDescent="0.2">
      <c r="A17" s="288" t="s">
        <v>167</v>
      </c>
      <c r="B17" s="295">
        <v>0</v>
      </c>
      <c r="C17" s="267">
        <v>0</v>
      </c>
      <c r="D17" s="295">
        <v>0</v>
      </c>
      <c r="E17" s="267">
        <v>0</v>
      </c>
      <c r="F17" s="268">
        <v>0</v>
      </c>
      <c r="G17" s="268">
        <v>0</v>
      </c>
      <c r="H17" s="295">
        <v>2</v>
      </c>
      <c r="I17" s="267">
        <v>1209.5899999999999</v>
      </c>
      <c r="J17" s="268">
        <f t="shared" si="0"/>
        <v>2</v>
      </c>
      <c r="K17" s="267">
        <f t="shared" si="1"/>
        <v>1209.5899999999999</v>
      </c>
    </row>
    <row r="18" spans="1:11" s="265" customFormat="1" ht="24.75" customHeight="1" x14ac:dyDescent="0.2">
      <c r="A18" s="374" t="s">
        <v>248</v>
      </c>
      <c r="B18" s="374"/>
      <c r="C18" s="374"/>
      <c r="D18" s="374"/>
      <c r="E18" s="374"/>
      <c r="F18" s="374"/>
      <c r="G18" s="374"/>
      <c r="H18" s="374"/>
      <c r="I18" s="374"/>
    </row>
    <row r="19" spans="1:11" s="265" customFormat="1" ht="13.5" customHeight="1" x14ac:dyDescent="0.2">
      <c r="A19" s="373" t="s">
        <v>106</v>
      </c>
      <c r="B19" s="373"/>
      <c r="C19" s="373"/>
      <c r="D19" s="373"/>
      <c r="E19" s="373"/>
      <c r="F19" s="373"/>
      <c r="G19" s="373"/>
      <c r="H19" s="373"/>
      <c r="I19" s="373"/>
    </row>
    <row r="20" spans="1:11" s="265" customFormat="1" ht="13.5" customHeight="1" x14ac:dyDescent="0.2">
      <c r="A20" s="373" t="s">
        <v>249</v>
      </c>
      <c r="B20" s="373"/>
      <c r="C20" s="373"/>
      <c r="D20" s="373"/>
      <c r="E20" s="373"/>
      <c r="F20" s="373"/>
      <c r="G20" s="373"/>
      <c r="H20" s="373"/>
      <c r="I20" s="373"/>
    </row>
    <row r="21" spans="1:11" s="265" customFormat="1" ht="24.6" customHeight="1" x14ac:dyDescent="0.2"/>
  </sheetData>
  <mergeCells count="10">
    <mergeCell ref="J2:K2"/>
    <mergeCell ref="A18:I18"/>
    <mergeCell ref="A19:I19"/>
    <mergeCell ref="A20:I20"/>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K20"/>
  <sheetViews>
    <sheetView workbookViewId="0">
      <selection sqref="A1:I1"/>
    </sheetView>
  </sheetViews>
  <sheetFormatPr defaultRowHeight="12.75" x14ac:dyDescent="0.2"/>
  <cols>
    <col min="1" max="2" width="14.7109375" style="262" bestFit="1" customWidth="1"/>
    <col min="3" max="3" width="15.7109375" style="262" bestFit="1" customWidth="1"/>
    <col min="4" max="4" width="14.7109375" style="262" bestFit="1" customWidth="1"/>
    <col min="5" max="5" width="15.7109375" style="262" bestFit="1" customWidth="1"/>
    <col min="6" max="6" width="14.7109375" style="262" bestFit="1" customWidth="1"/>
    <col min="7" max="7" width="15.7109375" style="262" bestFit="1" customWidth="1"/>
    <col min="8" max="8" width="14.7109375" style="262" bestFit="1" customWidth="1"/>
    <col min="9" max="11" width="15.7109375" style="262" bestFit="1" customWidth="1"/>
    <col min="12" max="12" width="4.7109375" style="262" bestFit="1" customWidth="1"/>
    <col min="13" max="256" width="9.140625" style="262"/>
    <col min="257" max="258" width="14.7109375" style="262" bestFit="1" customWidth="1"/>
    <col min="259" max="259" width="15.7109375" style="262" bestFit="1" customWidth="1"/>
    <col min="260" max="260" width="14.7109375" style="262" bestFit="1" customWidth="1"/>
    <col min="261" max="261" width="15.7109375" style="262" bestFit="1" customWidth="1"/>
    <col min="262" max="262" width="14.7109375" style="262" bestFit="1" customWidth="1"/>
    <col min="263" max="263" width="15.7109375" style="262" bestFit="1" customWidth="1"/>
    <col min="264" max="264" width="14.7109375" style="262" bestFit="1" customWidth="1"/>
    <col min="265" max="267" width="15.7109375" style="262" bestFit="1" customWidth="1"/>
    <col min="268" max="268" width="4.7109375" style="262" bestFit="1" customWidth="1"/>
    <col min="269" max="512" width="9.140625" style="262"/>
    <col min="513" max="514" width="14.7109375" style="262" bestFit="1" customWidth="1"/>
    <col min="515" max="515" width="15.7109375" style="262" bestFit="1" customWidth="1"/>
    <col min="516" max="516" width="14.7109375" style="262" bestFit="1" customWidth="1"/>
    <col min="517" max="517" width="15.7109375" style="262" bestFit="1" customWidth="1"/>
    <col min="518" max="518" width="14.7109375" style="262" bestFit="1" customWidth="1"/>
    <col min="519" max="519" width="15.7109375" style="262" bestFit="1" customWidth="1"/>
    <col min="520" max="520" width="14.7109375" style="262" bestFit="1" customWidth="1"/>
    <col min="521" max="523" width="15.7109375" style="262" bestFit="1" customWidth="1"/>
    <col min="524" max="524" width="4.7109375" style="262" bestFit="1" customWidth="1"/>
    <col min="525" max="768" width="9.140625" style="262"/>
    <col min="769" max="770" width="14.7109375" style="262" bestFit="1" customWidth="1"/>
    <col min="771" max="771" width="15.7109375" style="262" bestFit="1" customWidth="1"/>
    <col min="772" max="772" width="14.7109375" style="262" bestFit="1" customWidth="1"/>
    <col min="773" max="773" width="15.7109375" style="262" bestFit="1" customWidth="1"/>
    <col min="774" max="774" width="14.7109375" style="262" bestFit="1" customWidth="1"/>
    <col min="775" max="775" width="15.7109375" style="262" bestFit="1" customWidth="1"/>
    <col min="776" max="776" width="14.7109375" style="262" bestFit="1" customWidth="1"/>
    <col min="777" max="779" width="15.7109375" style="262" bestFit="1" customWidth="1"/>
    <col min="780" max="780" width="4.7109375" style="262" bestFit="1" customWidth="1"/>
    <col min="781" max="1024" width="9.140625" style="262"/>
    <col min="1025" max="1026" width="14.7109375" style="262" bestFit="1" customWidth="1"/>
    <col min="1027" max="1027" width="15.7109375" style="262" bestFit="1" customWidth="1"/>
    <col min="1028" max="1028" width="14.7109375" style="262" bestFit="1" customWidth="1"/>
    <col min="1029" max="1029" width="15.7109375" style="262" bestFit="1" customWidth="1"/>
    <col min="1030" max="1030" width="14.7109375" style="262" bestFit="1" customWidth="1"/>
    <col min="1031" max="1031" width="15.7109375" style="262" bestFit="1" customWidth="1"/>
    <col min="1032" max="1032" width="14.7109375" style="262" bestFit="1" customWidth="1"/>
    <col min="1033" max="1035" width="15.7109375" style="262" bestFit="1" customWidth="1"/>
    <col min="1036" max="1036" width="4.7109375" style="262" bestFit="1" customWidth="1"/>
    <col min="1037" max="1280" width="9.140625" style="262"/>
    <col min="1281" max="1282" width="14.7109375" style="262" bestFit="1" customWidth="1"/>
    <col min="1283" max="1283" width="15.7109375" style="262" bestFit="1" customWidth="1"/>
    <col min="1284" max="1284" width="14.7109375" style="262" bestFit="1" customWidth="1"/>
    <col min="1285" max="1285" width="15.7109375" style="262" bestFit="1" customWidth="1"/>
    <col min="1286" max="1286" width="14.7109375" style="262" bestFit="1" customWidth="1"/>
    <col min="1287" max="1287" width="15.7109375" style="262" bestFit="1" customWidth="1"/>
    <col min="1288" max="1288" width="14.7109375" style="262" bestFit="1" customWidth="1"/>
    <col min="1289" max="1291" width="15.7109375" style="262" bestFit="1" customWidth="1"/>
    <col min="1292" max="1292" width="4.7109375" style="262" bestFit="1" customWidth="1"/>
    <col min="1293" max="1536" width="9.140625" style="262"/>
    <col min="1537" max="1538" width="14.7109375" style="262" bestFit="1" customWidth="1"/>
    <col min="1539" max="1539" width="15.7109375" style="262" bestFit="1" customWidth="1"/>
    <col min="1540" max="1540" width="14.7109375" style="262" bestFit="1" customWidth="1"/>
    <col min="1541" max="1541" width="15.7109375" style="262" bestFit="1" customWidth="1"/>
    <col min="1542" max="1542" width="14.7109375" style="262" bestFit="1" customWidth="1"/>
    <col min="1543" max="1543" width="15.7109375" style="262" bestFit="1" customWidth="1"/>
    <col min="1544" max="1544" width="14.7109375" style="262" bestFit="1" customWidth="1"/>
    <col min="1545" max="1547" width="15.7109375" style="262" bestFit="1" customWidth="1"/>
    <col min="1548" max="1548" width="4.7109375" style="262" bestFit="1" customWidth="1"/>
    <col min="1549" max="1792" width="9.140625" style="262"/>
    <col min="1793" max="1794" width="14.7109375" style="262" bestFit="1" customWidth="1"/>
    <col min="1795" max="1795" width="15.7109375" style="262" bestFit="1" customWidth="1"/>
    <col min="1796" max="1796" width="14.7109375" style="262" bestFit="1" customWidth="1"/>
    <col min="1797" max="1797" width="15.7109375" style="262" bestFit="1" customWidth="1"/>
    <col min="1798" max="1798" width="14.7109375" style="262" bestFit="1" customWidth="1"/>
    <col min="1799" max="1799" width="15.7109375" style="262" bestFit="1" customWidth="1"/>
    <col min="1800" max="1800" width="14.7109375" style="262" bestFit="1" customWidth="1"/>
    <col min="1801" max="1803" width="15.7109375" style="262" bestFit="1" customWidth="1"/>
    <col min="1804" max="1804" width="4.7109375" style="262" bestFit="1" customWidth="1"/>
    <col min="1805" max="2048" width="9.140625" style="262"/>
    <col min="2049" max="2050" width="14.7109375" style="262" bestFit="1" customWidth="1"/>
    <col min="2051" max="2051" width="15.7109375" style="262" bestFit="1" customWidth="1"/>
    <col min="2052" max="2052" width="14.7109375" style="262" bestFit="1" customWidth="1"/>
    <col min="2053" max="2053" width="15.7109375" style="262" bestFit="1" customWidth="1"/>
    <col min="2054" max="2054" width="14.7109375" style="262" bestFit="1" customWidth="1"/>
    <col min="2055" max="2055" width="15.7109375" style="262" bestFit="1" customWidth="1"/>
    <col min="2056" max="2056" width="14.7109375" style="262" bestFit="1" customWidth="1"/>
    <col min="2057" max="2059" width="15.7109375" style="262" bestFit="1" customWidth="1"/>
    <col min="2060" max="2060" width="4.7109375" style="262" bestFit="1" customWidth="1"/>
    <col min="2061" max="2304" width="9.140625" style="262"/>
    <col min="2305" max="2306" width="14.7109375" style="262" bestFit="1" customWidth="1"/>
    <col min="2307" max="2307" width="15.7109375" style="262" bestFit="1" customWidth="1"/>
    <col min="2308" max="2308" width="14.7109375" style="262" bestFit="1" customWidth="1"/>
    <col min="2309" max="2309" width="15.7109375" style="262" bestFit="1" customWidth="1"/>
    <col min="2310" max="2310" width="14.7109375" style="262" bestFit="1" customWidth="1"/>
    <col min="2311" max="2311" width="15.7109375" style="262" bestFit="1" customWidth="1"/>
    <col min="2312" max="2312" width="14.7109375" style="262" bestFit="1" customWidth="1"/>
    <col min="2313" max="2315" width="15.7109375" style="262" bestFit="1" customWidth="1"/>
    <col min="2316" max="2316" width="4.7109375" style="262" bestFit="1" customWidth="1"/>
    <col min="2317" max="2560" width="9.140625" style="262"/>
    <col min="2561" max="2562" width="14.7109375" style="262" bestFit="1" customWidth="1"/>
    <col min="2563" max="2563" width="15.7109375" style="262" bestFit="1" customWidth="1"/>
    <col min="2564" max="2564" width="14.7109375" style="262" bestFit="1" customWidth="1"/>
    <col min="2565" max="2565" width="15.7109375" style="262" bestFit="1" customWidth="1"/>
    <col min="2566" max="2566" width="14.7109375" style="262" bestFit="1" customWidth="1"/>
    <col min="2567" max="2567" width="15.7109375" style="262" bestFit="1" customWidth="1"/>
    <col min="2568" max="2568" width="14.7109375" style="262" bestFit="1" customWidth="1"/>
    <col min="2569" max="2571" width="15.7109375" style="262" bestFit="1" customWidth="1"/>
    <col min="2572" max="2572" width="4.7109375" style="262" bestFit="1" customWidth="1"/>
    <col min="2573" max="2816" width="9.140625" style="262"/>
    <col min="2817" max="2818" width="14.7109375" style="262" bestFit="1" customWidth="1"/>
    <col min="2819" max="2819" width="15.7109375" style="262" bestFit="1" customWidth="1"/>
    <col min="2820" max="2820" width="14.7109375" style="262" bestFit="1" customWidth="1"/>
    <col min="2821" max="2821" width="15.7109375" style="262" bestFit="1" customWidth="1"/>
    <col min="2822" max="2822" width="14.7109375" style="262" bestFit="1" customWidth="1"/>
    <col min="2823" max="2823" width="15.7109375" style="262" bestFit="1" customWidth="1"/>
    <col min="2824" max="2824" width="14.7109375" style="262" bestFit="1" customWidth="1"/>
    <col min="2825" max="2827" width="15.7109375" style="262" bestFit="1" customWidth="1"/>
    <col min="2828" max="2828" width="4.7109375" style="262" bestFit="1" customWidth="1"/>
    <col min="2829" max="3072" width="9.140625" style="262"/>
    <col min="3073" max="3074" width="14.7109375" style="262" bestFit="1" customWidth="1"/>
    <col min="3075" max="3075" width="15.7109375" style="262" bestFit="1" customWidth="1"/>
    <col min="3076" max="3076" width="14.7109375" style="262" bestFit="1" customWidth="1"/>
    <col min="3077" max="3077" width="15.7109375" style="262" bestFit="1" customWidth="1"/>
    <col min="3078" max="3078" width="14.7109375" style="262" bestFit="1" customWidth="1"/>
    <col min="3079" max="3079" width="15.7109375" style="262" bestFit="1" customWidth="1"/>
    <col min="3080" max="3080" width="14.7109375" style="262" bestFit="1" customWidth="1"/>
    <col min="3081" max="3083" width="15.7109375" style="262" bestFit="1" customWidth="1"/>
    <col min="3084" max="3084" width="4.7109375" style="262" bestFit="1" customWidth="1"/>
    <col min="3085" max="3328" width="9.140625" style="262"/>
    <col min="3329" max="3330" width="14.7109375" style="262" bestFit="1" customWidth="1"/>
    <col min="3331" max="3331" width="15.7109375" style="262" bestFit="1" customWidth="1"/>
    <col min="3332" max="3332" width="14.7109375" style="262" bestFit="1" customWidth="1"/>
    <col min="3333" max="3333" width="15.7109375" style="262" bestFit="1" customWidth="1"/>
    <col min="3334" max="3334" width="14.7109375" style="262" bestFit="1" customWidth="1"/>
    <col min="3335" max="3335" width="15.7109375" style="262" bestFit="1" customWidth="1"/>
    <col min="3336" max="3336" width="14.7109375" style="262" bestFit="1" customWidth="1"/>
    <col min="3337" max="3339" width="15.7109375" style="262" bestFit="1" customWidth="1"/>
    <col min="3340" max="3340" width="4.7109375" style="262" bestFit="1" customWidth="1"/>
    <col min="3341" max="3584" width="9.140625" style="262"/>
    <col min="3585" max="3586" width="14.7109375" style="262" bestFit="1" customWidth="1"/>
    <col min="3587" max="3587" width="15.7109375" style="262" bestFit="1" customWidth="1"/>
    <col min="3588" max="3588" width="14.7109375" style="262" bestFit="1" customWidth="1"/>
    <col min="3589" max="3589" width="15.7109375" style="262" bestFit="1" customWidth="1"/>
    <col min="3590" max="3590" width="14.7109375" style="262" bestFit="1" customWidth="1"/>
    <col min="3591" max="3591" width="15.7109375" style="262" bestFit="1" customWidth="1"/>
    <col min="3592" max="3592" width="14.7109375" style="262" bestFit="1" customWidth="1"/>
    <col min="3593" max="3595" width="15.7109375" style="262" bestFit="1" customWidth="1"/>
    <col min="3596" max="3596" width="4.7109375" style="262" bestFit="1" customWidth="1"/>
    <col min="3597" max="3840" width="9.140625" style="262"/>
    <col min="3841" max="3842" width="14.7109375" style="262" bestFit="1" customWidth="1"/>
    <col min="3843" max="3843" width="15.7109375" style="262" bestFit="1" customWidth="1"/>
    <col min="3844" max="3844" width="14.7109375" style="262" bestFit="1" customWidth="1"/>
    <col min="3845" max="3845" width="15.7109375" style="262" bestFit="1" customWidth="1"/>
    <col min="3846" max="3846" width="14.7109375" style="262" bestFit="1" customWidth="1"/>
    <col min="3847" max="3847" width="15.7109375" style="262" bestFit="1" customWidth="1"/>
    <col min="3848" max="3848" width="14.7109375" style="262" bestFit="1" customWidth="1"/>
    <col min="3849" max="3851" width="15.7109375" style="262" bestFit="1" customWidth="1"/>
    <col min="3852" max="3852" width="4.7109375" style="262" bestFit="1" customWidth="1"/>
    <col min="3853" max="4096" width="9.140625" style="262"/>
    <col min="4097" max="4098" width="14.7109375" style="262" bestFit="1" customWidth="1"/>
    <col min="4099" max="4099" width="15.7109375" style="262" bestFit="1" customWidth="1"/>
    <col min="4100" max="4100" width="14.7109375" style="262" bestFit="1" customWidth="1"/>
    <col min="4101" max="4101" width="15.7109375" style="262" bestFit="1" customWidth="1"/>
    <col min="4102" max="4102" width="14.7109375" style="262" bestFit="1" customWidth="1"/>
    <col min="4103" max="4103" width="15.7109375" style="262" bestFit="1" customWidth="1"/>
    <col min="4104" max="4104" width="14.7109375" style="262" bestFit="1" customWidth="1"/>
    <col min="4105" max="4107" width="15.7109375" style="262" bestFit="1" customWidth="1"/>
    <col min="4108" max="4108" width="4.7109375" style="262" bestFit="1" customWidth="1"/>
    <col min="4109" max="4352" width="9.140625" style="262"/>
    <col min="4353" max="4354" width="14.7109375" style="262" bestFit="1" customWidth="1"/>
    <col min="4355" max="4355" width="15.7109375" style="262" bestFit="1" customWidth="1"/>
    <col min="4356" max="4356" width="14.7109375" style="262" bestFit="1" customWidth="1"/>
    <col min="4357" max="4357" width="15.7109375" style="262" bestFit="1" customWidth="1"/>
    <col min="4358" max="4358" width="14.7109375" style="262" bestFit="1" customWidth="1"/>
    <col min="4359" max="4359" width="15.7109375" style="262" bestFit="1" customWidth="1"/>
    <col min="4360" max="4360" width="14.7109375" style="262" bestFit="1" customWidth="1"/>
    <col min="4361" max="4363" width="15.7109375" style="262" bestFit="1" customWidth="1"/>
    <col min="4364" max="4364" width="4.7109375" style="262" bestFit="1" customWidth="1"/>
    <col min="4365" max="4608" width="9.140625" style="262"/>
    <col min="4609" max="4610" width="14.7109375" style="262" bestFit="1" customWidth="1"/>
    <col min="4611" max="4611" width="15.7109375" style="262" bestFit="1" customWidth="1"/>
    <col min="4612" max="4612" width="14.7109375" style="262" bestFit="1" customWidth="1"/>
    <col min="4613" max="4613" width="15.7109375" style="262" bestFit="1" customWidth="1"/>
    <col min="4614" max="4614" width="14.7109375" style="262" bestFit="1" customWidth="1"/>
    <col min="4615" max="4615" width="15.7109375" style="262" bestFit="1" customWidth="1"/>
    <col min="4616" max="4616" width="14.7109375" style="262" bestFit="1" customWidth="1"/>
    <col min="4617" max="4619" width="15.7109375" style="262" bestFit="1" customWidth="1"/>
    <col min="4620" max="4620" width="4.7109375" style="262" bestFit="1" customWidth="1"/>
    <col min="4621" max="4864" width="9.140625" style="262"/>
    <col min="4865" max="4866" width="14.7109375" style="262" bestFit="1" customWidth="1"/>
    <col min="4867" max="4867" width="15.7109375" style="262" bestFit="1" customWidth="1"/>
    <col min="4868" max="4868" width="14.7109375" style="262" bestFit="1" customWidth="1"/>
    <col min="4869" max="4869" width="15.7109375" style="262" bestFit="1" customWidth="1"/>
    <col min="4870" max="4870" width="14.7109375" style="262" bestFit="1" customWidth="1"/>
    <col min="4871" max="4871" width="15.7109375" style="262" bestFit="1" customWidth="1"/>
    <col min="4872" max="4872" width="14.7109375" style="262" bestFit="1" customWidth="1"/>
    <col min="4873" max="4875" width="15.7109375" style="262" bestFit="1" customWidth="1"/>
    <col min="4876" max="4876" width="4.7109375" style="262" bestFit="1" customWidth="1"/>
    <col min="4877" max="5120" width="9.140625" style="262"/>
    <col min="5121" max="5122" width="14.7109375" style="262" bestFit="1" customWidth="1"/>
    <col min="5123" max="5123" width="15.7109375" style="262" bestFit="1" customWidth="1"/>
    <col min="5124" max="5124" width="14.7109375" style="262" bestFit="1" customWidth="1"/>
    <col min="5125" max="5125" width="15.7109375" style="262" bestFit="1" customWidth="1"/>
    <col min="5126" max="5126" width="14.7109375" style="262" bestFit="1" customWidth="1"/>
    <col min="5127" max="5127" width="15.7109375" style="262" bestFit="1" customWidth="1"/>
    <col min="5128" max="5128" width="14.7109375" style="262" bestFit="1" customWidth="1"/>
    <col min="5129" max="5131" width="15.7109375" style="262" bestFit="1" customWidth="1"/>
    <col min="5132" max="5132" width="4.7109375" style="262" bestFit="1" customWidth="1"/>
    <col min="5133" max="5376" width="9.140625" style="262"/>
    <col min="5377" max="5378" width="14.7109375" style="262" bestFit="1" customWidth="1"/>
    <col min="5379" max="5379" width="15.7109375" style="262" bestFit="1" customWidth="1"/>
    <col min="5380" max="5380" width="14.7109375" style="262" bestFit="1" customWidth="1"/>
    <col min="5381" max="5381" width="15.7109375" style="262" bestFit="1" customWidth="1"/>
    <col min="5382" max="5382" width="14.7109375" style="262" bestFit="1" customWidth="1"/>
    <col min="5383" max="5383" width="15.7109375" style="262" bestFit="1" customWidth="1"/>
    <col min="5384" max="5384" width="14.7109375" style="262" bestFit="1" customWidth="1"/>
    <col min="5385" max="5387" width="15.7109375" style="262" bestFit="1" customWidth="1"/>
    <col min="5388" max="5388" width="4.7109375" style="262" bestFit="1" customWidth="1"/>
    <col min="5389" max="5632" width="9.140625" style="262"/>
    <col min="5633" max="5634" width="14.7109375" style="262" bestFit="1" customWidth="1"/>
    <col min="5635" max="5635" width="15.7109375" style="262" bestFit="1" customWidth="1"/>
    <col min="5636" max="5636" width="14.7109375" style="262" bestFit="1" customWidth="1"/>
    <col min="5637" max="5637" width="15.7109375" style="262" bestFit="1" customWidth="1"/>
    <col min="5638" max="5638" width="14.7109375" style="262" bestFit="1" customWidth="1"/>
    <col min="5639" max="5639" width="15.7109375" style="262" bestFit="1" customWidth="1"/>
    <col min="5640" max="5640" width="14.7109375" style="262" bestFit="1" customWidth="1"/>
    <col min="5641" max="5643" width="15.7109375" style="262" bestFit="1" customWidth="1"/>
    <col min="5644" max="5644" width="4.7109375" style="262" bestFit="1" customWidth="1"/>
    <col min="5645" max="5888" width="9.140625" style="262"/>
    <col min="5889" max="5890" width="14.7109375" style="262" bestFit="1" customWidth="1"/>
    <col min="5891" max="5891" width="15.7109375" style="262" bestFit="1" customWidth="1"/>
    <col min="5892" max="5892" width="14.7109375" style="262" bestFit="1" customWidth="1"/>
    <col min="5893" max="5893" width="15.7109375" style="262" bestFit="1" customWidth="1"/>
    <col min="5894" max="5894" width="14.7109375" style="262" bestFit="1" customWidth="1"/>
    <col min="5895" max="5895" width="15.7109375" style="262" bestFit="1" customWidth="1"/>
    <col min="5896" max="5896" width="14.7109375" style="262" bestFit="1" customWidth="1"/>
    <col min="5897" max="5899" width="15.7109375" style="262" bestFit="1" customWidth="1"/>
    <col min="5900" max="5900" width="4.7109375" style="262" bestFit="1" customWidth="1"/>
    <col min="5901" max="6144" width="9.140625" style="262"/>
    <col min="6145" max="6146" width="14.7109375" style="262" bestFit="1" customWidth="1"/>
    <col min="6147" max="6147" width="15.7109375" style="262" bestFit="1" customWidth="1"/>
    <col min="6148" max="6148" width="14.7109375" style="262" bestFit="1" customWidth="1"/>
    <col min="6149" max="6149" width="15.7109375" style="262" bestFit="1" customWidth="1"/>
    <col min="6150" max="6150" width="14.7109375" style="262" bestFit="1" customWidth="1"/>
    <col min="6151" max="6151" width="15.7109375" style="262" bestFit="1" customWidth="1"/>
    <col min="6152" max="6152" width="14.7109375" style="262" bestFit="1" customWidth="1"/>
    <col min="6153" max="6155" width="15.7109375" style="262" bestFit="1" customWidth="1"/>
    <col min="6156" max="6156" width="4.7109375" style="262" bestFit="1" customWidth="1"/>
    <col min="6157" max="6400" width="9.140625" style="262"/>
    <col min="6401" max="6402" width="14.7109375" style="262" bestFit="1" customWidth="1"/>
    <col min="6403" max="6403" width="15.7109375" style="262" bestFit="1" customWidth="1"/>
    <col min="6404" max="6404" width="14.7109375" style="262" bestFit="1" customWidth="1"/>
    <col min="6405" max="6405" width="15.7109375" style="262" bestFit="1" customWidth="1"/>
    <col min="6406" max="6406" width="14.7109375" style="262" bestFit="1" customWidth="1"/>
    <col min="6407" max="6407" width="15.7109375" style="262" bestFit="1" customWidth="1"/>
    <col min="6408" max="6408" width="14.7109375" style="262" bestFit="1" customWidth="1"/>
    <col min="6409" max="6411" width="15.7109375" style="262" bestFit="1" customWidth="1"/>
    <col min="6412" max="6412" width="4.7109375" style="262" bestFit="1" customWidth="1"/>
    <col min="6413" max="6656" width="9.140625" style="262"/>
    <col min="6657" max="6658" width="14.7109375" style="262" bestFit="1" customWidth="1"/>
    <col min="6659" max="6659" width="15.7109375" style="262" bestFit="1" customWidth="1"/>
    <col min="6660" max="6660" width="14.7109375" style="262" bestFit="1" customWidth="1"/>
    <col min="6661" max="6661" width="15.7109375" style="262" bestFit="1" customWidth="1"/>
    <col min="6662" max="6662" width="14.7109375" style="262" bestFit="1" customWidth="1"/>
    <col min="6663" max="6663" width="15.7109375" style="262" bestFit="1" customWidth="1"/>
    <col min="6664" max="6664" width="14.7109375" style="262" bestFit="1" customWidth="1"/>
    <col min="6665" max="6667" width="15.7109375" style="262" bestFit="1" customWidth="1"/>
    <col min="6668" max="6668" width="4.7109375" style="262" bestFit="1" customWidth="1"/>
    <col min="6669" max="6912" width="9.140625" style="262"/>
    <col min="6913" max="6914" width="14.7109375" style="262" bestFit="1" customWidth="1"/>
    <col min="6915" max="6915" width="15.7109375" style="262" bestFit="1" customWidth="1"/>
    <col min="6916" max="6916" width="14.7109375" style="262" bestFit="1" customWidth="1"/>
    <col min="6917" max="6917" width="15.7109375" style="262" bestFit="1" customWidth="1"/>
    <col min="6918" max="6918" width="14.7109375" style="262" bestFit="1" customWidth="1"/>
    <col min="6919" max="6919" width="15.7109375" style="262" bestFit="1" customWidth="1"/>
    <col min="6920" max="6920" width="14.7109375" style="262" bestFit="1" customWidth="1"/>
    <col min="6921" max="6923" width="15.7109375" style="262" bestFit="1" customWidth="1"/>
    <col min="6924" max="6924" width="4.7109375" style="262" bestFit="1" customWidth="1"/>
    <col min="6925" max="7168" width="9.140625" style="262"/>
    <col min="7169" max="7170" width="14.7109375" style="262" bestFit="1" customWidth="1"/>
    <col min="7171" max="7171" width="15.7109375" style="262" bestFit="1" customWidth="1"/>
    <col min="7172" max="7172" width="14.7109375" style="262" bestFit="1" customWidth="1"/>
    <col min="7173" max="7173" width="15.7109375" style="262" bestFit="1" customWidth="1"/>
    <col min="7174" max="7174" width="14.7109375" style="262" bestFit="1" customWidth="1"/>
    <col min="7175" max="7175" width="15.7109375" style="262" bestFit="1" customWidth="1"/>
    <col min="7176" max="7176" width="14.7109375" style="262" bestFit="1" customWidth="1"/>
    <col min="7177" max="7179" width="15.7109375" style="262" bestFit="1" customWidth="1"/>
    <col min="7180" max="7180" width="4.7109375" style="262" bestFit="1" customWidth="1"/>
    <col min="7181" max="7424" width="9.140625" style="262"/>
    <col min="7425" max="7426" width="14.7109375" style="262" bestFit="1" customWidth="1"/>
    <col min="7427" max="7427" width="15.7109375" style="262" bestFit="1" customWidth="1"/>
    <col min="7428" max="7428" width="14.7109375" style="262" bestFit="1" customWidth="1"/>
    <col min="7429" max="7429" width="15.7109375" style="262" bestFit="1" customWidth="1"/>
    <col min="7430" max="7430" width="14.7109375" style="262" bestFit="1" customWidth="1"/>
    <col min="7431" max="7431" width="15.7109375" style="262" bestFit="1" customWidth="1"/>
    <col min="7432" max="7432" width="14.7109375" style="262" bestFit="1" customWidth="1"/>
    <col min="7433" max="7435" width="15.7109375" style="262" bestFit="1" customWidth="1"/>
    <col min="7436" max="7436" width="4.7109375" style="262" bestFit="1" customWidth="1"/>
    <col min="7437" max="7680" width="9.140625" style="262"/>
    <col min="7681" max="7682" width="14.7109375" style="262" bestFit="1" customWidth="1"/>
    <col min="7683" max="7683" width="15.7109375" style="262" bestFit="1" customWidth="1"/>
    <col min="7684" max="7684" width="14.7109375" style="262" bestFit="1" customWidth="1"/>
    <col min="7685" max="7685" width="15.7109375" style="262" bestFit="1" customWidth="1"/>
    <col min="7686" max="7686" width="14.7109375" style="262" bestFit="1" customWidth="1"/>
    <col min="7687" max="7687" width="15.7109375" style="262" bestFit="1" customWidth="1"/>
    <col min="7688" max="7688" width="14.7109375" style="262" bestFit="1" customWidth="1"/>
    <col min="7689" max="7691" width="15.7109375" style="262" bestFit="1" customWidth="1"/>
    <col min="7692" max="7692" width="4.7109375" style="262" bestFit="1" customWidth="1"/>
    <col min="7693" max="7936" width="9.140625" style="262"/>
    <col min="7937" max="7938" width="14.7109375" style="262" bestFit="1" customWidth="1"/>
    <col min="7939" max="7939" width="15.7109375" style="262" bestFit="1" customWidth="1"/>
    <col min="7940" max="7940" width="14.7109375" style="262" bestFit="1" customWidth="1"/>
    <col min="7941" max="7941" width="15.7109375" style="262" bestFit="1" customWidth="1"/>
    <col min="7942" max="7942" width="14.7109375" style="262" bestFit="1" customWidth="1"/>
    <col min="7943" max="7943" width="15.7109375" style="262" bestFit="1" customWidth="1"/>
    <col min="7944" max="7944" width="14.7109375" style="262" bestFit="1" customWidth="1"/>
    <col min="7945" max="7947" width="15.7109375" style="262" bestFit="1" customWidth="1"/>
    <col min="7948" max="7948" width="4.7109375" style="262" bestFit="1" customWidth="1"/>
    <col min="7949" max="8192" width="9.140625" style="262"/>
    <col min="8193" max="8194" width="14.7109375" style="262" bestFit="1" customWidth="1"/>
    <col min="8195" max="8195" width="15.7109375" style="262" bestFit="1" customWidth="1"/>
    <col min="8196" max="8196" width="14.7109375" style="262" bestFit="1" customWidth="1"/>
    <col min="8197" max="8197" width="15.7109375" style="262" bestFit="1" customWidth="1"/>
    <col min="8198" max="8198" width="14.7109375" style="262" bestFit="1" customWidth="1"/>
    <col min="8199" max="8199" width="15.7109375" style="262" bestFit="1" customWidth="1"/>
    <col min="8200" max="8200" width="14.7109375" style="262" bestFit="1" customWidth="1"/>
    <col min="8201" max="8203" width="15.7109375" style="262" bestFit="1" customWidth="1"/>
    <col min="8204" max="8204" width="4.7109375" style="262" bestFit="1" customWidth="1"/>
    <col min="8205" max="8448" width="9.140625" style="262"/>
    <col min="8449" max="8450" width="14.7109375" style="262" bestFit="1" customWidth="1"/>
    <col min="8451" max="8451" width="15.7109375" style="262" bestFit="1" customWidth="1"/>
    <col min="8452" max="8452" width="14.7109375" style="262" bestFit="1" customWidth="1"/>
    <col min="8453" max="8453" width="15.7109375" style="262" bestFit="1" customWidth="1"/>
    <col min="8454" max="8454" width="14.7109375" style="262" bestFit="1" customWidth="1"/>
    <col min="8455" max="8455" width="15.7109375" style="262" bestFit="1" customWidth="1"/>
    <col min="8456" max="8456" width="14.7109375" style="262" bestFit="1" customWidth="1"/>
    <col min="8457" max="8459" width="15.7109375" style="262" bestFit="1" customWidth="1"/>
    <col min="8460" max="8460" width="4.7109375" style="262" bestFit="1" customWidth="1"/>
    <col min="8461" max="8704" width="9.140625" style="262"/>
    <col min="8705" max="8706" width="14.7109375" style="262" bestFit="1" customWidth="1"/>
    <col min="8707" max="8707" width="15.7109375" style="262" bestFit="1" customWidth="1"/>
    <col min="8708" max="8708" width="14.7109375" style="262" bestFit="1" customWidth="1"/>
    <col min="8709" max="8709" width="15.7109375" style="262" bestFit="1" customWidth="1"/>
    <col min="8710" max="8710" width="14.7109375" style="262" bestFit="1" customWidth="1"/>
    <col min="8711" max="8711" width="15.7109375" style="262" bestFit="1" customWidth="1"/>
    <col min="8712" max="8712" width="14.7109375" style="262" bestFit="1" customWidth="1"/>
    <col min="8713" max="8715" width="15.7109375" style="262" bestFit="1" customWidth="1"/>
    <col min="8716" max="8716" width="4.7109375" style="262" bestFit="1" customWidth="1"/>
    <col min="8717" max="8960" width="9.140625" style="262"/>
    <col min="8961" max="8962" width="14.7109375" style="262" bestFit="1" customWidth="1"/>
    <col min="8963" max="8963" width="15.7109375" style="262" bestFit="1" customWidth="1"/>
    <col min="8964" max="8964" width="14.7109375" style="262" bestFit="1" customWidth="1"/>
    <col min="8965" max="8965" width="15.7109375" style="262" bestFit="1" customWidth="1"/>
    <col min="8966" max="8966" width="14.7109375" style="262" bestFit="1" customWidth="1"/>
    <col min="8967" max="8967" width="15.7109375" style="262" bestFit="1" customWidth="1"/>
    <col min="8968" max="8968" width="14.7109375" style="262" bestFit="1" customWidth="1"/>
    <col min="8969" max="8971" width="15.7109375" style="262" bestFit="1" customWidth="1"/>
    <col min="8972" max="8972" width="4.7109375" style="262" bestFit="1" customWidth="1"/>
    <col min="8973" max="9216" width="9.140625" style="262"/>
    <col min="9217" max="9218" width="14.7109375" style="262" bestFit="1" customWidth="1"/>
    <col min="9219" max="9219" width="15.7109375" style="262" bestFit="1" customWidth="1"/>
    <col min="9220" max="9220" width="14.7109375" style="262" bestFit="1" customWidth="1"/>
    <col min="9221" max="9221" width="15.7109375" style="262" bestFit="1" customWidth="1"/>
    <col min="9222" max="9222" width="14.7109375" style="262" bestFit="1" customWidth="1"/>
    <col min="9223" max="9223" width="15.7109375" style="262" bestFit="1" customWidth="1"/>
    <col min="9224" max="9224" width="14.7109375" style="262" bestFit="1" customWidth="1"/>
    <col min="9225" max="9227" width="15.7109375" style="262" bestFit="1" customWidth="1"/>
    <col min="9228" max="9228" width="4.7109375" style="262" bestFit="1" customWidth="1"/>
    <col min="9229" max="9472" width="9.140625" style="262"/>
    <col min="9473" max="9474" width="14.7109375" style="262" bestFit="1" customWidth="1"/>
    <col min="9475" max="9475" width="15.7109375" style="262" bestFit="1" customWidth="1"/>
    <col min="9476" max="9476" width="14.7109375" style="262" bestFit="1" customWidth="1"/>
    <col min="9477" max="9477" width="15.7109375" style="262" bestFit="1" customWidth="1"/>
    <col min="9478" max="9478" width="14.7109375" style="262" bestFit="1" customWidth="1"/>
    <col min="9479" max="9479" width="15.7109375" style="262" bestFit="1" customWidth="1"/>
    <col min="9480" max="9480" width="14.7109375" style="262" bestFit="1" customWidth="1"/>
    <col min="9481" max="9483" width="15.7109375" style="262" bestFit="1" customWidth="1"/>
    <col min="9484" max="9484" width="4.7109375" style="262" bestFit="1" customWidth="1"/>
    <col min="9485" max="9728" width="9.140625" style="262"/>
    <col min="9729" max="9730" width="14.7109375" style="262" bestFit="1" customWidth="1"/>
    <col min="9731" max="9731" width="15.7109375" style="262" bestFit="1" customWidth="1"/>
    <col min="9732" max="9732" width="14.7109375" style="262" bestFit="1" customWidth="1"/>
    <col min="9733" max="9733" width="15.7109375" style="262" bestFit="1" customWidth="1"/>
    <col min="9734" max="9734" width="14.7109375" style="262" bestFit="1" customWidth="1"/>
    <col min="9735" max="9735" width="15.7109375" style="262" bestFit="1" customWidth="1"/>
    <col min="9736" max="9736" width="14.7109375" style="262" bestFit="1" customWidth="1"/>
    <col min="9737" max="9739" width="15.7109375" style="262" bestFit="1" customWidth="1"/>
    <col min="9740" max="9740" width="4.7109375" style="262" bestFit="1" customWidth="1"/>
    <col min="9741" max="9984" width="9.140625" style="262"/>
    <col min="9985" max="9986" width="14.7109375" style="262" bestFit="1" customWidth="1"/>
    <col min="9987" max="9987" width="15.7109375" style="262" bestFit="1" customWidth="1"/>
    <col min="9988" max="9988" width="14.7109375" style="262" bestFit="1" customWidth="1"/>
    <col min="9989" max="9989" width="15.7109375" style="262" bestFit="1" customWidth="1"/>
    <col min="9990" max="9990" width="14.7109375" style="262" bestFit="1" customWidth="1"/>
    <col min="9991" max="9991" width="15.7109375" style="262" bestFit="1" customWidth="1"/>
    <col min="9992" max="9992" width="14.7109375" style="262" bestFit="1" customWidth="1"/>
    <col min="9993" max="9995" width="15.7109375" style="262" bestFit="1" customWidth="1"/>
    <col min="9996" max="9996" width="4.7109375" style="262" bestFit="1" customWidth="1"/>
    <col min="9997" max="10240" width="9.140625" style="262"/>
    <col min="10241" max="10242" width="14.7109375" style="262" bestFit="1" customWidth="1"/>
    <col min="10243" max="10243" width="15.7109375" style="262" bestFit="1" customWidth="1"/>
    <col min="10244" max="10244" width="14.7109375" style="262" bestFit="1" customWidth="1"/>
    <col min="10245" max="10245" width="15.7109375" style="262" bestFit="1" customWidth="1"/>
    <col min="10246" max="10246" width="14.7109375" style="262" bestFit="1" customWidth="1"/>
    <col min="10247" max="10247" width="15.7109375" style="262" bestFit="1" customWidth="1"/>
    <col min="10248" max="10248" width="14.7109375" style="262" bestFit="1" customWidth="1"/>
    <col min="10249" max="10251" width="15.7109375" style="262" bestFit="1" customWidth="1"/>
    <col min="10252" max="10252" width="4.7109375" style="262" bestFit="1" customWidth="1"/>
    <col min="10253" max="10496" width="9.140625" style="262"/>
    <col min="10497" max="10498" width="14.7109375" style="262" bestFit="1" customWidth="1"/>
    <col min="10499" max="10499" width="15.7109375" style="262" bestFit="1" customWidth="1"/>
    <col min="10500" max="10500" width="14.7109375" style="262" bestFit="1" customWidth="1"/>
    <col min="10501" max="10501" width="15.7109375" style="262" bestFit="1" customWidth="1"/>
    <col min="10502" max="10502" width="14.7109375" style="262" bestFit="1" customWidth="1"/>
    <col min="10503" max="10503" width="15.7109375" style="262" bestFit="1" customWidth="1"/>
    <col min="10504" max="10504" width="14.7109375" style="262" bestFit="1" customWidth="1"/>
    <col min="10505" max="10507" width="15.7109375" style="262" bestFit="1" customWidth="1"/>
    <col min="10508" max="10508" width="4.7109375" style="262" bestFit="1" customWidth="1"/>
    <col min="10509" max="10752" width="9.140625" style="262"/>
    <col min="10753" max="10754" width="14.7109375" style="262" bestFit="1" customWidth="1"/>
    <col min="10755" max="10755" width="15.7109375" style="262" bestFit="1" customWidth="1"/>
    <col min="10756" max="10756" width="14.7109375" style="262" bestFit="1" customWidth="1"/>
    <col min="10757" max="10757" width="15.7109375" style="262" bestFit="1" customWidth="1"/>
    <col min="10758" max="10758" width="14.7109375" style="262" bestFit="1" customWidth="1"/>
    <col min="10759" max="10759" width="15.7109375" style="262" bestFit="1" customWidth="1"/>
    <col min="10760" max="10760" width="14.7109375" style="262" bestFit="1" customWidth="1"/>
    <col min="10761" max="10763" width="15.7109375" style="262" bestFit="1" customWidth="1"/>
    <col min="10764" max="10764" width="4.7109375" style="262" bestFit="1" customWidth="1"/>
    <col min="10765" max="11008" width="9.140625" style="262"/>
    <col min="11009" max="11010" width="14.7109375" style="262" bestFit="1" customWidth="1"/>
    <col min="11011" max="11011" width="15.7109375" style="262" bestFit="1" customWidth="1"/>
    <col min="11012" max="11012" width="14.7109375" style="262" bestFit="1" customWidth="1"/>
    <col min="11013" max="11013" width="15.7109375" style="262" bestFit="1" customWidth="1"/>
    <col min="11014" max="11014" width="14.7109375" style="262" bestFit="1" customWidth="1"/>
    <col min="11015" max="11015" width="15.7109375" style="262" bestFit="1" customWidth="1"/>
    <col min="11016" max="11016" width="14.7109375" style="262" bestFit="1" customWidth="1"/>
    <col min="11017" max="11019" width="15.7109375" style="262" bestFit="1" customWidth="1"/>
    <col min="11020" max="11020" width="4.7109375" style="262" bestFit="1" customWidth="1"/>
    <col min="11021" max="11264" width="9.140625" style="262"/>
    <col min="11265" max="11266" width="14.7109375" style="262" bestFit="1" customWidth="1"/>
    <col min="11267" max="11267" width="15.7109375" style="262" bestFit="1" customWidth="1"/>
    <col min="11268" max="11268" width="14.7109375" style="262" bestFit="1" customWidth="1"/>
    <col min="11269" max="11269" width="15.7109375" style="262" bestFit="1" customWidth="1"/>
    <col min="11270" max="11270" width="14.7109375" style="262" bestFit="1" customWidth="1"/>
    <col min="11271" max="11271" width="15.7109375" style="262" bestFit="1" customWidth="1"/>
    <col min="11272" max="11272" width="14.7109375" style="262" bestFit="1" customWidth="1"/>
    <col min="11273" max="11275" width="15.7109375" style="262" bestFit="1" customWidth="1"/>
    <col min="11276" max="11276" width="4.7109375" style="262" bestFit="1" customWidth="1"/>
    <col min="11277" max="11520" width="9.140625" style="262"/>
    <col min="11521" max="11522" width="14.7109375" style="262" bestFit="1" customWidth="1"/>
    <col min="11523" max="11523" width="15.7109375" style="262" bestFit="1" customWidth="1"/>
    <col min="11524" max="11524" width="14.7109375" style="262" bestFit="1" customWidth="1"/>
    <col min="11525" max="11525" width="15.7109375" style="262" bestFit="1" customWidth="1"/>
    <col min="11526" max="11526" width="14.7109375" style="262" bestFit="1" customWidth="1"/>
    <col min="11527" max="11527" width="15.7109375" style="262" bestFit="1" customWidth="1"/>
    <col min="11528" max="11528" width="14.7109375" style="262" bestFit="1" customWidth="1"/>
    <col min="11529" max="11531" width="15.7109375" style="262" bestFit="1" customWidth="1"/>
    <col min="11532" max="11532" width="4.7109375" style="262" bestFit="1" customWidth="1"/>
    <col min="11533" max="11776" width="9.140625" style="262"/>
    <col min="11777" max="11778" width="14.7109375" style="262" bestFit="1" customWidth="1"/>
    <col min="11779" max="11779" width="15.7109375" style="262" bestFit="1" customWidth="1"/>
    <col min="11780" max="11780" width="14.7109375" style="262" bestFit="1" customWidth="1"/>
    <col min="11781" max="11781" width="15.7109375" style="262" bestFit="1" customWidth="1"/>
    <col min="11782" max="11782" width="14.7109375" style="262" bestFit="1" customWidth="1"/>
    <col min="11783" max="11783" width="15.7109375" style="262" bestFit="1" customWidth="1"/>
    <col min="11784" max="11784" width="14.7109375" style="262" bestFit="1" customWidth="1"/>
    <col min="11785" max="11787" width="15.7109375" style="262" bestFit="1" customWidth="1"/>
    <col min="11788" max="11788" width="4.7109375" style="262" bestFit="1" customWidth="1"/>
    <col min="11789" max="12032" width="9.140625" style="262"/>
    <col min="12033" max="12034" width="14.7109375" style="262" bestFit="1" customWidth="1"/>
    <col min="12035" max="12035" width="15.7109375" style="262" bestFit="1" customWidth="1"/>
    <col min="12036" max="12036" width="14.7109375" style="262" bestFit="1" customWidth="1"/>
    <col min="12037" max="12037" width="15.7109375" style="262" bestFit="1" customWidth="1"/>
    <col min="12038" max="12038" width="14.7109375" style="262" bestFit="1" customWidth="1"/>
    <col min="12039" max="12039" width="15.7109375" style="262" bestFit="1" customWidth="1"/>
    <col min="12040" max="12040" width="14.7109375" style="262" bestFit="1" customWidth="1"/>
    <col min="12041" max="12043" width="15.7109375" style="262" bestFit="1" customWidth="1"/>
    <col min="12044" max="12044" width="4.7109375" style="262" bestFit="1" customWidth="1"/>
    <col min="12045" max="12288" width="9.140625" style="262"/>
    <col min="12289" max="12290" width="14.7109375" style="262" bestFit="1" customWidth="1"/>
    <col min="12291" max="12291" width="15.7109375" style="262" bestFit="1" customWidth="1"/>
    <col min="12292" max="12292" width="14.7109375" style="262" bestFit="1" customWidth="1"/>
    <col min="12293" max="12293" width="15.7109375" style="262" bestFit="1" customWidth="1"/>
    <col min="12294" max="12294" width="14.7109375" style="262" bestFit="1" customWidth="1"/>
    <col min="12295" max="12295" width="15.7109375" style="262" bestFit="1" customWidth="1"/>
    <col min="12296" max="12296" width="14.7109375" style="262" bestFit="1" customWidth="1"/>
    <col min="12297" max="12299" width="15.7109375" style="262" bestFit="1" customWidth="1"/>
    <col min="12300" max="12300" width="4.7109375" style="262" bestFit="1" customWidth="1"/>
    <col min="12301" max="12544" width="9.140625" style="262"/>
    <col min="12545" max="12546" width="14.7109375" style="262" bestFit="1" customWidth="1"/>
    <col min="12547" max="12547" width="15.7109375" style="262" bestFit="1" customWidth="1"/>
    <col min="12548" max="12548" width="14.7109375" style="262" bestFit="1" customWidth="1"/>
    <col min="12549" max="12549" width="15.7109375" style="262" bestFit="1" customWidth="1"/>
    <col min="12550" max="12550" width="14.7109375" style="262" bestFit="1" customWidth="1"/>
    <col min="12551" max="12551" width="15.7109375" style="262" bestFit="1" customWidth="1"/>
    <col min="12552" max="12552" width="14.7109375" style="262" bestFit="1" customWidth="1"/>
    <col min="12553" max="12555" width="15.7109375" style="262" bestFit="1" customWidth="1"/>
    <col min="12556" max="12556" width="4.7109375" style="262" bestFit="1" customWidth="1"/>
    <col min="12557" max="12800" width="9.140625" style="262"/>
    <col min="12801" max="12802" width="14.7109375" style="262" bestFit="1" customWidth="1"/>
    <col min="12803" max="12803" width="15.7109375" style="262" bestFit="1" customWidth="1"/>
    <col min="12804" max="12804" width="14.7109375" style="262" bestFit="1" customWidth="1"/>
    <col min="12805" max="12805" width="15.7109375" style="262" bestFit="1" customWidth="1"/>
    <col min="12806" max="12806" width="14.7109375" style="262" bestFit="1" customWidth="1"/>
    <col min="12807" max="12807" width="15.7109375" style="262" bestFit="1" customWidth="1"/>
    <col min="12808" max="12808" width="14.7109375" style="262" bestFit="1" customWidth="1"/>
    <col min="12809" max="12811" width="15.7109375" style="262" bestFit="1" customWidth="1"/>
    <col min="12812" max="12812" width="4.7109375" style="262" bestFit="1" customWidth="1"/>
    <col min="12813" max="13056" width="9.140625" style="262"/>
    <col min="13057" max="13058" width="14.7109375" style="262" bestFit="1" customWidth="1"/>
    <col min="13059" max="13059" width="15.7109375" style="262" bestFit="1" customWidth="1"/>
    <col min="13060" max="13060" width="14.7109375" style="262" bestFit="1" customWidth="1"/>
    <col min="13061" max="13061" width="15.7109375" style="262" bestFit="1" customWidth="1"/>
    <col min="13062" max="13062" width="14.7109375" style="262" bestFit="1" customWidth="1"/>
    <col min="13063" max="13063" width="15.7109375" style="262" bestFit="1" customWidth="1"/>
    <col min="13064" max="13064" width="14.7109375" style="262" bestFit="1" customWidth="1"/>
    <col min="13065" max="13067" width="15.7109375" style="262" bestFit="1" customWidth="1"/>
    <col min="13068" max="13068" width="4.7109375" style="262" bestFit="1" customWidth="1"/>
    <col min="13069" max="13312" width="9.140625" style="262"/>
    <col min="13313" max="13314" width="14.7109375" style="262" bestFit="1" customWidth="1"/>
    <col min="13315" max="13315" width="15.7109375" style="262" bestFit="1" customWidth="1"/>
    <col min="13316" max="13316" width="14.7109375" style="262" bestFit="1" customWidth="1"/>
    <col min="13317" max="13317" width="15.7109375" style="262" bestFit="1" customWidth="1"/>
    <col min="13318" max="13318" width="14.7109375" style="262" bestFit="1" customWidth="1"/>
    <col min="13319" max="13319" width="15.7109375" style="262" bestFit="1" customWidth="1"/>
    <col min="13320" max="13320" width="14.7109375" style="262" bestFit="1" customWidth="1"/>
    <col min="13321" max="13323" width="15.7109375" style="262" bestFit="1" customWidth="1"/>
    <col min="13324" max="13324" width="4.7109375" style="262" bestFit="1" customWidth="1"/>
    <col min="13325" max="13568" width="9.140625" style="262"/>
    <col min="13569" max="13570" width="14.7109375" style="262" bestFit="1" customWidth="1"/>
    <col min="13571" max="13571" width="15.7109375" style="262" bestFit="1" customWidth="1"/>
    <col min="13572" max="13572" width="14.7109375" style="262" bestFit="1" customWidth="1"/>
    <col min="13573" max="13573" width="15.7109375" style="262" bestFit="1" customWidth="1"/>
    <col min="13574" max="13574" width="14.7109375" style="262" bestFit="1" customWidth="1"/>
    <col min="13575" max="13575" width="15.7109375" style="262" bestFit="1" customWidth="1"/>
    <col min="13576" max="13576" width="14.7109375" style="262" bestFit="1" customWidth="1"/>
    <col min="13577" max="13579" width="15.7109375" style="262" bestFit="1" customWidth="1"/>
    <col min="13580" max="13580" width="4.7109375" style="262" bestFit="1" customWidth="1"/>
    <col min="13581" max="13824" width="9.140625" style="262"/>
    <col min="13825" max="13826" width="14.7109375" style="262" bestFit="1" customWidth="1"/>
    <col min="13827" max="13827" width="15.7109375" style="262" bestFit="1" customWidth="1"/>
    <col min="13828" max="13828" width="14.7109375" style="262" bestFit="1" customWidth="1"/>
    <col min="13829" max="13829" width="15.7109375" style="262" bestFit="1" customWidth="1"/>
    <col min="13830" max="13830" width="14.7109375" style="262" bestFit="1" customWidth="1"/>
    <col min="13831" max="13831" width="15.7109375" style="262" bestFit="1" customWidth="1"/>
    <col min="13832" max="13832" width="14.7109375" style="262" bestFit="1" customWidth="1"/>
    <col min="13833" max="13835" width="15.7109375" style="262" bestFit="1" customWidth="1"/>
    <col min="13836" max="13836" width="4.7109375" style="262" bestFit="1" customWidth="1"/>
    <col min="13837" max="14080" width="9.140625" style="262"/>
    <col min="14081" max="14082" width="14.7109375" style="262" bestFit="1" customWidth="1"/>
    <col min="14083" max="14083" width="15.7109375" style="262" bestFit="1" customWidth="1"/>
    <col min="14084" max="14084" width="14.7109375" style="262" bestFit="1" customWidth="1"/>
    <col min="14085" max="14085" width="15.7109375" style="262" bestFit="1" customWidth="1"/>
    <col min="14086" max="14086" width="14.7109375" style="262" bestFit="1" customWidth="1"/>
    <col min="14087" max="14087" width="15.7109375" style="262" bestFit="1" customWidth="1"/>
    <col min="14088" max="14088" width="14.7109375" style="262" bestFit="1" customWidth="1"/>
    <col min="14089" max="14091" width="15.7109375" style="262" bestFit="1" customWidth="1"/>
    <col min="14092" max="14092" width="4.7109375" style="262" bestFit="1" customWidth="1"/>
    <col min="14093" max="14336" width="9.140625" style="262"/>
    <col min="14337" max="14338" width="14.7109375" style="262" bestFit="1" customWidth="1"/>
    <col min="14339" max="14339" width="15.7109375" style="262" bestFit="1" customWidth="1"/>
    <col min="14340" max="14340" width="14.7109375" style="262" bestFit="1" customWidth="1"/>
    <col min="14341" max="14341" width="15.7109375" style="262" bestFit="1" customWidth="1"/>
    <col min="14342" max="14342" width="14.7109375" style="262" bestFit="1" customWidth="1"/>
    <col min="14343" max="14343" width="15.7109375" style="262" bestFit="1" customWidth="1"/>
    <col min="14344" max="14344" width="14.7109375" style="262" bestFit="1" customWidth="1"/>
    <col min="14345" max="14347" width="15.7109375" style="262" bestFit="1" customWidth="1"/>
    <col min="14348" max="14348" width="4.7109375" style="262" bestFit="1" customWidth="1"/>
    <col min="14349" max="14592" width="9.140625" style="262"/>
    <col min="14593" max="14594" width="14.7109375" style="262" bestFit="1" customWidth="1"/>
    <col min="14595" max="14595" width="15.7109375" style="262" bestFit="1" customWidth="1"/>
    <col min="14596" max="14596" width="14.7109375" style="262" bestFit="1" customWidth="1"/>
    <col min="14597" max="14597" width="15.7109375" style="262" bestFit="1" customWidth="1"/>
    <col min="14598" max="14598" width="14.7109375" style="262" bestFit="1" customWidth="1"/>
    <col min="14599" max="14599" width="15.7109375" style="262" bestFit="1" customWidth="1"/>
    <col min="14600" max="14600" width="14.7109375" style="262" bestFit="1" customWidth="1"/>
    <col min="14601" max="14603" width="15.7109375" style="262" bestFit="1" customWidth="1"/>
    <col min="14604" max="14604" width="4.7109375" style="262" bestFit="1" customWidth="1"/>
    <col min="14605" max="14848" width="9.140625" style="262"/>
    <col min="14849" max="14850" width="14.7109375" style="262" bestFit="1" customWidth="1"/>
    <col min="14851" max="14851" width="15.7109375" style="262" bestFit="1" customWidth="1"/>
    <col min="14852" max="14852" width="14.7109375" style="262" bestFit="1" customWidth="1"/>
    <col min="14853" max="14853" width="15.7109375" style="262" bestFit="1" customWidth="1"/>
    <col min="14854" max="14854" width="14.7109375" style="262" bestFit="1" customWidth="1"/>
    <col min="14855" max="14855" width="15.7109375" style="262" bestFit="1" customWidth="1"/>
    <col min="14856" max="14856" width="14.7109375" style="262" bestFit="1" customWidth="1"/>
    <col min="14857" max="14859" width="15.7109375" style="262" bestFit="1" customWidth="1"/>
    <col min="14860" max="14860" width="4.7109375" style="262" bestFit="1" customWidth="1"/>
    <col min="14861" max="15104" width="9.140625" style="262"/>
    <col min="15105" max="15106" width="14.7109375" style="262" bestFit="1" customWidth="1"/>
    <col min="15107" max="15107" width="15.7109375" style="262" bestFit="1" customWidth="1"/>
    <col min="15108" max="15108" width="14.7109375" style="262" bestFit="1" customWidth="1"/>
    <col min="15109" max="15109" width="15.7109375" style="262" bestFit="1" customWidth="1"/>
    <col min="15110" max="15110" width="14.7109375" style="262" bestFit="1" customWidth="1"/>
    <col min="15111" max="15111" width="15.7109375" style="262" bestFit="1" customWidth="1"/>
    <col min="15112" max="15112" width="14.7109375" style="262" bestFit="1" customWidth="1"/>
    <col min="15113" max="15115" width="15.7109375" style="262" bestFit="1" customWidth="1"/>
    <col min="15116" max="15116" width="4.7109375" style="262" bestFit="1" customWidth="1"/>
    <col min="15117" max="15360" width="9.140625" style="262"/>
    <col min="15361" max="15362" width="14.7109375" style="262" bestFit="1" customWidth="1"/>
    <col min="15363" max="15363" width="15.7109375" style="262" bestFit="1" customWidth="1"/>
    <col min="15364" max="15364" width="14.7109375" style="262" bestFit="1" customWidth="1"/>
    <col min="15365" max="15365" width="15.7109375" style="262" bestFit="1" customWidth="1"/>
    <col min="15366" max="15366" width="14.7109375" style="262" bestFit="1" customWidth="1"/>
    <col min="15367" max="15367" width="15.7109375" style="262" bestFit="1" customWidth="1"/>
    <col min="15368" max="15368" width="14.7109375" style="262" bestFit="1" customWidth="1"/>
    <col min="15369" max="15371" width="15.7109375" style="262" bestFit="1" customWidth="1"/>
    <col min="15372" max="15372" width="4.7109375" style="262" bestFit="1" customWidth="1"/>
    <col min="15373" max="15616" width="9.140625" style="262"/>
    <col min="15617" max="15618" width="14.7109375" style="262" bestFit="1" customWidth="1"/>
    <col min="15619" max="15619" width="15.7109375" style="262" bestFit="1" customWidth="1"/>
    <col min="15620" max="15620" width="14.7109375" style="262" bestFit="1" customWidth="1"/>
    <col min="15621" max="15621" width="15.7109375" style="262" bestFit="1" customWidth="1"/>
    <col min="15622" max="15622" width="14.7109375" style="262" bestFit="1" customWidth="1"/>
    <col min="15623" max="15623" width="15.7109375" style="262" bestFit="1" customWidth="1"/>
    <col min="15624" max="15624" width="14.7109375" style="262" bestFit="1" customWidth="1"/>
    <col min="15625" max="15627" width="15.7109375" style="262" bestFit="1" customWidth="1"/>
    <col min="15628" max="15628" width="4.7109375" style="262" bestFit="1" customWidth="1"/>
    <col min="15629" max="15872" width="9.140625" style="262"/>
    <col min="15873" max="15874" width="14.7109375" style="262" bestFit="1" customWidth="1"/>
    <col min="15875" max="15875" width="15.7109375" style="262" bestFit="1" customWidth="1"/>
    <col min="15876" max="15876" width="14.7109375" style="262" bestFit="1" customWidth="1"/>
    <col min="15877" max="15877" width="15.7109375" style="262" bestFit="1" customWidth="1"/>
    <col min="15878" max="15878" width="14.7109375" style="262" bestFit="1" customWidth="1"/>
    <col min="15879" max="15879" width="15.7109375" style="262" bestFit="1" customWidth="1"/>
    <col min="15880" max="15880" width="14.7109375" style="262" bestFit="1" customWidth="1"/>
    <col min="15881" max="15883" width="15.7109375" style="262" bestFit="1" customWidth="1"/>
    <col min="15884" max="15884" width="4.7109375" style="262" bestFit="1" customWidth="1"/>
    <col min="15885" max="16128" width="9.140625" style="262"/>
    <col min="16129" max="16130" width="14.7109375" style="262" bestFit="1" customWidth="1"/>
    <col min="16131" max="16131" width="15.7109375" style="262" bestFit="1" customWidth="1"/>
    <col min="16132" max="16132" width="14.7109375" style="262" bestFit="1" customWidth="1"/>
    <col min="16133" max="16133" width="15.7109375" style="262" bestFit="1" customWidth="1"/>
    <col min="16134" max="16134" width="14.7109375" style="262" bestFit="1" customWidth="1"/>
    <col min="16135" max="16135" width="15.7109375" style="262" bestFit="1" customWidth="1"/>
    <col min="16136" max="16136" width="14.7109375" style="262" bestFit="1" customWidth="1"/>
    <col min="16137" max="16139" width="15.7109375" style="262" bestFit="1" customWidth="1"/>
    <col min="16140" max="16140" width="4.7109375" style="262" bestFit="1" customWidth="1"/>
    <col min="16141" max="16384" width="9.140625" style="262"/>
  </cols>
  <sheetData>
    <row r="1" spans="1:11" ht="14.25" customHeight="1" x14ac:dyDescent="0.2">
      <c r="A1" s="385" t="s">
        <v>13</v>
      </c>
      <c r="B1" s="385"/>
      <c r="C1" s="385"/>
      <c r="D1" s="385"/>
      <c r="E1" s="385"/>
      <c r="F1" s="385"/>
      <c r="G1" s="385"/>
      <c r="H1" s="385"/>
      <c r="I1" s="385"/>
    </row>
    <row r="2" spans="1:11" s="265" customFormat="1" ht="15.75" customHeight="1" x14ac:dyDescent="0.2">
      <c r="A2" s="363" t="s">
        <v>250</v>
      </c>
      <c r="B2" s="375" t="s">
        <v>244</v>
      </c>
      <c r="C2" s="377"/>
      <c r="D2" s="375" t="s">
        <v>245</v>
      </c>
      <c r="E2" s="377"/>
      <c r="F2" s="375" t="s">
        <v>246</v>
      </c>
      <c r="G2" s="377"/>
      <c r="H2" s="375" t="s">
        <v>247</v>
      </c>
      <c r="I2" s="377"/>
      <c r="J2" s="375" t="s">
        <v>150</v>
      </c>
      <c r="K2" s="377"/>
    </row>
    <row r="3" spans="1:11" s="265" customFormat="1" ht="25.5" customHeight="1" x14ac:dyDescent="0.2">
      <c r="A3" s="365"/>
      <c r="B3" s="263" t="s">
        <v>251</v>
      </c>
      <c r="C3" s="270" t="s">
        <v>238</v>
      </c>
      <c r="D3" s="263" t="s">
        <v>251</v>
      </c>
      <c r="E3" s="270" t="s">
        <v>238</v>
      </c>
      <c r="F3" s="263" t="s">
        <v>251</v>
      </c>
      <c r="G3" s="270" t="s">
        <v>237</v>
      </c>
      <c r="H3" s="263" t="s">
        <v>251</v>
      </c>
      <c r="I3" s="270" t="s">
        <v>252</v>
      </c>
      <c r="J3" s="269" t="s">
        <v>180</v>
      </c>
      <c r="K3" s="270" t="s">
        <v>237</v>
      </c>
    </row>
    <row r="4" spans="1:11" s="265" customFormat="1" ht="18" customHeight="1" x14ac:dyDescent="0.2">
      <c r="A4" s="296" t="s">
        <v>69</v>
      </c>
      <c r="B4" s="271">
        <v>189</v>
      </c>
      <c r="C4" s="284">
        <v>2563.36</v>
      </c>
      <c r="D4" s="271">
        <v>18</v>
      </c>
      <c r="E4" s="292">
        <v>715.86699999999996</v>
      </c>
      <c r="F4" s="271">
        <v>8</v>
      </c>
      <c r="G4" s="284">
        <v>27.73</v>
      </c>
      <c r="H4" s="271">
        <v>200</v>
      </c>
      <c r="I4" s="292">
        <v>56193.110970000002</v>
      </c>
      <c r="J4" s="271">
        <v>407</v>
      </c>
      <c r="K4" s="284">
        <v>59472.647969999998</v>
      </c>
    </row>
    <row r="5" spans="1:11" s="265" customFormat="1" ht="18" customHeight="1" x14ac:dyDescent="0.2">
      <c r="A5" s="296" t="s">
        <v>70</v>
      </c>
      <c r="B5" s="271">
        <v>209</v>
      </c>
      <c r="C5" s="284">
        <v>10825.77</v>
      </c>
      <c r="D5" s="271">
        <v>21</v>
      </c>
      <c r="E5" s="292">
        <v>8033.07</v>
      </c>
      <c r="F5" s="271">
        <v>0</v>
      </c>
      <c r="G5" s="284">
        <v>0</v>
      </c>
      <c r="H5" s="271">
        <v>170</v>
      </c>
      <c r="I5" s="271">
        <v>191280.36</v>
      </c>
      <c r="J5" s="271">
        <v>400</v>
      </c>
      <c r="K5" s="285">
        <v>210139.2</v>
      </c>
    </row>
    <row r="6" spans="1:11" s="265" customFormat="1" ht="18" customHeight="1" x14ac:dyDescent="0.2">
      <c r="A6" s="296" t="s">
        <v>156</v>
      </c>
      <c r="B6" s="271">
        <v>17</v>
      </c>
      <c r="C6" s="284">
        <v>3359.53</v>
      </c>
      <c r="D6" s="271">
        <v>3</v>
      </c>
      <c r="E6" s="292">
        <v>1931.55</v>
      </c>
      <c r="F6" s="271">
        <v>1</v>
      </c>
      <c r="G6" s="284">
        <v>13.7</v>
      </c>
      <c r="H6" s="271">
        <v>39</v>
      </c>
      <c r="I6" s="292">
        <v>67145.289999999994</v>
      </c>
      <c r="J6" s="271">
        <v>60</v>
      </c>
      <c r="K6" s="284">
        <v>72450.070000000007</v>
      </c>
    </row>
    <row r="7" spans="1:11" s="265" customFormat="1" ht="18" customHeight="1" x14ac:dyDescent="0.2">
      <c r="A7" s="296" t="s">
        <v>157</v>
      </c>
      <c r="B7" s="271">
        <v>14</v>
      </c>
      <c r="C7" s="284">
        <v>2131.5</v>
      </c>
      <c r="D7" s="271">
        <v>1</v>
      </c>
      <c r="E7" s="292">
        <v>52.43</v>
      </c>
      <c r="F7" s="271">
        <v>0</v>
      </c>
      <c r="G7" s="284">
        <v>0</v>
      </c>
      <c r="H7" s="271">
        <v>10</v>
      </c>
      <c r="I7" s="292">
        <v>627.91</v>
      </c>
      <c r="J7" s="271">
        <v>25</v>
      </c>
      <c r="K7" s="284">
        <v>2811.84</v>
      </c>
    </row>
    <row r="8" spans="1:11" s="265" customFormat="1" ht="18" customHeight="1" x14ac:dyDescent="0.2">
      <c r="A8" s="296" t="s">
        <v>158</v>
      </c>
      <c r="B8" s="271">
        <v>23</v>
      </c>
      <c r="C8" s="284">
        <v>2906.38</v>
      </c>
      <c r="D8" s="271">
        <v>0</v>
      </c>
      <c r="E8" s="292">
        <v>0</v>
      </c>
      <c r="F8" s="271">
        <v>1</v>
      </c>
      <c r="G8" s="284">
        <v>2.64</v>
      </c>
      <c r="H8" s="271">
        <v>16</v>
      </c>
      <c r="I8" s="292">
        <v>21640.46</v>
      </c>
      <c r="J8" s="271">
        <v>40</v>
      </c>
      <c r="K8" s="284">
        <v>24549.48</v>
      </c>
    </row>
    <row r="9" spans="1:11" s="265" customFormat="1" ht="18" customHeight="1" x14ac:dyDescent="0.2">
      <c r="A9" s="296" t="s">
        <v>159</v>
      </c>
      <c r="B9" s="271">
        <v>30</v>
      </c>
      <c r="C9" s="284">
        <v>530.4</v>
      </c>
      <c r="D9" s="271">
        <v>4</v>
      </c>
      <c r="E9" s="292">
        <v>15</v>
      </c>
      <c r="F9" s="271">
        <v>0</v>
      </c>
      <c r="G9" s="284">
        <v>0</v>
      </c>
      <c r="H9" s="271">
        <v>14</v>
      </c>
      <c r="I9" s="292">
        <v>10815.83</v>
      </c>
      <c r="J9" s="271">
        <v>48</v>
      </c>
      <c r="K9" s="284">
        <v>11361.23</v>
      </c>
    </row>
    <row r="10" spans="1:11" s="265" customFormat="1" ht="18" customHeight="1" x14ac:dyDescent="0.2">
      <c r="A10" s="296" t="s">
        <v>160</v>
      </c>
      <c r="B10" s="271">
        <v>17</v>
      </c>
      <c r="C10" s="284">
        <v>386.8</v>
      </c>
      <c r="D10" s="271">
        <v>3</v>
      </c>
      <c r="E10" s="292">
        <v>3272.27</v>
      </c>
      <c r="F10" s="271">
        <v>0</v>
      </c>
      <c r="G10" s="284">
        <v>0</v>
      </c>
      <c r="H10" s="271">
        <v>14</v>
      </c>
      <c r="I10" s="292">
        <v>579.6</v>
      </c>
      <c r="J10" s="271">
        <v>34</v>
      </c>
      <c r="K10" s="284">
        <v>4238.67</v>
      </c>
    </row>
    <row r="11" spans="1:11" s="265" customFormat="1" ht="18" customHeight="1" x14ac:dyDescent="0.2">
      <c r="A11" s="296" t="s">
        <v>161</v>
      </c>
      <c r="B11" s="271">
        <v>15</v>
      </c>
      <c r="C11" s="284">
        <v>261.87</v>
      </c>
      <c r="D11" s="271">
        <v>2</v>
      </c>
      <c r="E11" s="292">
        <v>2710.08</v>
      </c>
      <c r="F11" s="271">
        <v>0</v>
      </c>
      <c r="G11" s="284">
        <v>0</v>
      </c>
      <c r="H11" s="271">
        <v>5</v>
      </c>
      <c r="I11" s="292">
        <v>440.22</v>
      </c>
      <c r="J11" s="271">
        <v>22</v>
      </c>
      <c r="K11" s="284">
        <v>3412.17</v>
      </c>
    </row>
    <row r="12" spans="1:11" s="265" customFormat="1" ht="18" customHeight="1" x14ac:dyDescent="0.2">
      <c r="A12" s="296" t="s">
        <v>162</v>
      </c>
      <c r="B12" s="271">
        <v>17</v>
      </c>
      <c r="C12" s="284">
        <v>140.82</v>
      </c>
      <c r="D12" s="271">
        <v>0</v>
      </c>
      <c r="E12" s="292">
        <v>0</v>
      </c>
      <c r="F12" s="271">
        <v>1</v>
      </c>
      <c r="G12" s="284">
        <v>1.94</v>
      </c>
      <c r="H12" s="271">
        <v>12</v>
      </c>
      <c r="I12" s="292">
        <v>3504.63</v>
      </c>
      <c r="J12" s="271">
        <v>30</v>
      </c>
      <c r="K12" s="284">
        <v>3647.39</v>
      </c>
    </row>
    <row r="13" spans="1:11" s="265" customFormat="1" ht="18" customHeight="1" x14ac:dyDescent="0.2">
      <c r="A13" s="296" t="s">
        <v>163</v>
      </c>
      <c r="B13" s="271">
        <v>14</v>
      </c>
      <c r="C13" s="284">
        <v>219.02</v>
      </c>
      <c r="D13" s="271">
        <v>3</v>
      </c>
      <c r="E13" s="292">
        <v>18.940000000000001</v>
      </c>
      <c r="F13" s="271">
        <v>0</v>
      </c>
      <c r="G13" s="284">
        <v>0</v>
      </c>
      <c r="H13" s="271">
        <v>17</v>
      </c>
      <c r="I13" s="292">
        <v>24021.51</v>
      </c>
      <c r="J13" s="271">
        <v>34</v>
      </c>
      <c r="K13" s="284">
        <v>24259.47</v>
      </c>
    </row>
    <row r="14" spans="1:11" s="265" customFormat="1" ht="18" customHeight="1" x14ac:dyDescent="0.2">
      <c r="A14" s="296" t="s">
        <v>164</v>
      </c>
      <c r="B14" s="271">
        <v>22</v>
      </c>
      <c r="C14" s="284">
        <v>425.95</v>
      </c>
      <c r="D14" s="271">
        <v>0</v>
      </c>
      <c r="E14" s="292">
        <v>0</v>
      </c>
      <c r="F14" s="271">
        <v>1</v>
      </c>
      <c r="G14" s="284">
        <v>5.31</v>
      </c>
      <c r="H14" s="271">
        <v>13</v>
      </c>
      <c r="I14" s="292">
        <v>2784.12</v>
      </c>
      <c r="J14" s="271">
        <v>36</v>
      </c>
      <c r="K14" s="284">
        <v>3215.38</v>
      </c>
    </row>
    <row r="15" spans="1:11" s="265" customFormat="1" ht="18" customHeight="1" x14ac:dyDescent="0.2">
      <c r="A15" s="296" t="s">
        <v>165</v>
      </c>
      <c r="B15" s="271">
        <v>15</v>
      </c>
      <c r="C15" s="284">
        <v>201.42</v>
      </c>
      <c r="D15" s="271">
        <v>1</v>
      </c>
      <c r="E15" s="292">
        <v>7.32</v>
      </c>
      <c r="F15" s="271">
        <v>0</v>
      </c>
      <c r="G15" s="284">
        <v>0</v>
      </c>
      <c r="H15" s="271">
        <v>10</v>
      </c>
      <c r="I15" s="292">
        <v>19635.740000000002</v>
      </c>
      <c r="J15" s="271">
        <v>26</v>
      </c>
      <c r="K15" s="284">
        <v>19844.48</v>
      </c>
    </row>
    <row r="16" spans="1:11" s="265" customFormat="1" ht="18" customHeight="1" x14ac:dyDescent="0.2">
      <c r="A16" s="296" t="s">
        <v>166</v>
      </c>
      <c r="B16" s="271">
        <v>16</v>
      </c>
      <c r="C16" s="284">
        <v>168.53</v>
      </c>
      <c r="D16" s="271">
        <v>2</v>
      </c>
      <c r="E16" s="292">
        <v>23</v>
      </c>
      <c r="F16" s="271">
        <v>0</v>
      </c>
      <c r="G16" s="284">
        <v>0</v>
      </c>
      <c r="H16" s="271">
        <v>9</v>
      </c>
      <c r="I16" s="292">
        <v>12805.19</v>
      </c>
      <c r="J16" s="271">
        <v>27</v>
      </c>
      <c r="K16" s="284">
        <v>12996.72</v>
      </c>
    </row>
    <row r="17" spans="1:11" s="265" customFormat="1" ht="18" customHeight="1" x14ac:dyDescent="0.2">
      <c r="A17" s="296" t="s">
        <v>167</v>
      </c>
      <c r="B17" s="271">
        <v>9</v>
      </c>
      <c r="C17" s="284">
        <v>93.55</v>
      </c>
      <c r="D17" s="271">
        <v>2</v>
      </c>
      <c r="E17" s="292">
        <v>2.48</v>
      </c>
      <c r="F17" s="271">
        <v>0</v>
      </c>
      <c r="G17" s="284">
        <v>0</v>
      </c>
      <c r="H17" s="271">
        <v>11</v>
      </c>
      <c r="I17" s="292">
        <v>27279.86</v>
      </c>
      <c r="J17" s="271">
        <v>22</v>
      </c>
      <c r="K17" s="284">
        <v>27375.89</v>
      </c>
    </row>
    <row r="18" spans="1:11" s="265" customFormat="1" ht="14.25" customHeight="1" x14ac:dyDescent="0.2">
      <c r="A18" s="353" t="s">
        <v>106</v>
      </c>
      <c r="B18" s="353"/>
    </row>
    <row r="19" spans="1:11" s="265" customFormat="1" ht="13.5" customHeight="1" x14ac:dyDescent="0.2">
      <c r="A19" s="353" t="s">
        <v>249</v>
      </c>
      <c r="B19" s="353"/>
    </row>
    <row r="20" spans="1:11" s="265" customFormat="1" ht="28.35" customHeight="1" x14ac:dyDescent="0.2"/>
  </sheetData>
  <mergeCells count="9">
    <mergeCell ref="J2:K2"/>
    <mergeCell ref="A18:B18"/>
    <mergeCell ref="A19:B19"/>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I20"/>
  <sheetViews>
    <sheetView workbookViewId="0">
      <selection sqref="A1:I1"/>
    </sheetView>
  </sheetViews>
  <sheetFormatPr defaultRowHeight="12.75" x14ac:dyDescent="0.2"/>
  <cols>
    <col min="1" max="2" width="14.7109375" style="262" bestFit="1" customWidth="1"/>
    <col min="3" max="3" width="15.85546875" style="262" bestFit="1" customWidth="1"/>
    <col min="4" max="4" width="14.7109375" style="262" bestFit="1" customWidth="1"/>
    <col min="5" max="5" width="15.85546875" style="262" bestFit="1" customWidth="1"/>
    <col min="6" max="6" width="14.7109375" style="262" bestFit="1" customWidth="1"/>
    <col min="7" max="7" width="15.85546875" style="262" bestFit="1" customWidth="1"/>
    <col min="8" max="8" width="14.7109375" style="262" bestFit="1" customWidth="1"/>
    <col min="9" max="9" width="15.85546875" style="262" bestFit="1" customWidth="1"/>
    <col min="10" max="10" width="4.7109375" style="262" bestFit="1" customWidth="1"/>
    <col min="11" max="256" width="9.140625" style="262"/>
    <col min="257" max="258" width="14.7109375" style="262" bestFit="1" customWidth="1"/>
    <col min="259" max="259" width="15.85546875" style="262" bestFit="1" customWidth="1"/>
    <col min="260" max="260" width="14.7109375" style="262" bestFit="1" customWidth="1"/>
    <col min="261" max="261" width="15.85546875" style="262" bestFit="1" customWidth="1"/>
    <col min="262" max="262" width="14.7109375" style="262" bestFit="1" customWidth="1"/>
    <col min="263" max="263" width="15.85546875" style="262" bestFit="1" customWidth="1"/>
    <col min="264" max="264" width="14.7109375" style="262" bestFit="1" customWidth="1"/>
    <col min="265" max="265" width="15.85546875" style="262" bestFit="1" customWidth="1"/>
    <col min="266" max="266" width="4.7109375" style="262" bestFit="1" customWidth="1"/>
    <col min="267" max="512" width="9.140625" style="262"/>
    <col min="513" max="514" width="14.7109375" style="262" bestFit="1" customWidth="1"/>
    <col min="515" max="515" width="15.85546875" style="262" bestFit="1" customWidth="1"/>
    <col min="516" max="516" width="14.7109375" style="262" bestFit="1" customWidth="1"/>
    <col min="517" max="517" width="15.85546875" style="262" bestFit="1" customWidth="1"/>
    <col min="518" max="518" width="14.7109375" style="262" bestFit="1" customWidth="1"/>
    <col min="519" max="519" width="15.85546875" style="262" bestFit="1" customWidth="1"/>
    <col min="520" max="520" width="14.7109375" style="262" bestFit="1" customWidth="1"/>
    <col min="521" max="521" width="15.85546875" style="262" bestFit="1" customWidth="1"/>
    <col min="522" max="522" width="4.7109375" style="262" bestFit="1" customWidth="1"/>
    <col min="523" max="768" width="9.140625" style="262"/>
    <col min="769" max="770" width="14.7109375" style="262" bestFit="1" customWidth="1"/>
    <col min="771" max="771" width="15.85546875" style="262" bestFit="1" customWidth="1"/>
    <col min="772" max="772" width="14.7109375" style="262" bestFit="1" customWidth="1"/>
    <col min="773" max="773" width="15.85546875" style="262" bestFit="1" customWidth="1"/>
    <col min="774" max="774" width="14.7109375" style="262" bestFit="1" customWidth="1"/>
    <col min="775" max="775" width="15.85546875" style="262" bestFit="1" customWidth="1"/>
    <col min="776" max="776" width="14.7109375" style="262" bestFit="1" customWidth="1"/>
    <col min="777" max="777" width="15.85546875" style="262" bestFit="1" customWidth="1"/>
    <col min="778" max="778" width="4.7109375" style="262" bestFit="1" customWidth="1"/>
    <col min="779" max="1024" width="9.140625" style="262"/>
    <col min="1025" max="1026" width="14.7109375" style="262" bestFit="1" customWidth="1"/>
    <col min="1027" max="1027" width="15.85546875" style="262" bestFit="1" customWidth="1"/>
    <col min="1028" max="1028" width="14.7109375" style="262" bestFit="1" customWidth="1"/>
    <col min="1029" max="1029" width="15.85546875" style="262" bestFit="1" customWidth="1"/>
    <col min="1030" max="1030" width="14.7109375" style="262" bestFit="1" customWidth="1"/>
    <col min="1031" max="1031" width="15.85546875" style="262" bestFit="1" customWidth="1"/>
    <col min="1032" max="1032" width="14.7109375" style="262" bestFit="1" customWidth="1"/>
    <col min="1033" max="1033" width="15.85546875" style="262" bestFit="1" customWidth="1"/>
    <col min="1034" max="1034" width="4.7109375" style="262" bestFit="1" customWidth="1"/>
    <col min="1035" max="1280" width="9.140625" style="262"/>
    <col min="1281" max="1282" width="14.7109375" style="262" bestFit="1" customWidth="1"/>
    <col min="1283" max="1283" width="15.85546875" style="262" bestFit="1" customWidth="1"/>
    <col min="1284" max="1284" width="14.7109375" style="262" bestFit="1" customWidth="1"/>
    <col min="1285" max="1285" width="15.85546875" style="262" bestFit="1" customWidth="1"/>
    <col min="1286" max="1286" width="14.7109375" style="262" bestFit="1" customWidth="1"/>
    <col min="1287" max="1287" width="15.85546875" style="262" bestFit="1" customWidth="1"/>
    <col min="1288" max="1288" width="14.7109375" style="262" bestFit="1" customWidth="1"/>
    <col min="1289" max="1289" width="15.85546875" style="262" bestFit="1" customWidth="1"/>
    <col min="1290" max="1290" width="4.7109375" style="262" bestFit="1" customWidth="1"/>
    <col min="1291" max="1536" width="9.140625" style="262"/>
    <col min="1537" max="1538" width="14.7109375" style="262" bestFit="1" customWidth="1"/>
    <col min="1539" max="1539" width="15.85546875" style="262" bestFit="1" customWidth="1"/>
    <col min="1540" max="1540" width="14.7109375" style="262" bestFit="1" customWidth="1"/>
    <col min="1541" max="1541" width="15.85546875" style="262" bestFit="1" customWidth="1"/>
    <col min="1542" max="1542" width="14.7109375" style="262" bestFit="1" customWidth="1"/>
    <col min="1543" max="1543" width="15.85546875" style="262" bestFit="1" customWidth="1"/>
    <col min="1544" max="1544" width="14.7109375" style="262" bestFit="1" customWidth="1"/>
    <col min="1545" max="1545" width="15.85546875" style="262" bestFit="1" customWidth="1"/>
    <col min="1546" max="1546" width="4.7109375" style="262" bestFit="1" customWidth="1"/>
    <col min="1547" max="1792" width="9.140625" style="262"/>
    <col min="1793" max="1794" width="14.7109375" style="262" bestFit="1" customWidth="1"/>
    <col min="1795" max="1795" width="15.85546875" style="262" bestFit="1" customWidth="1"/>
    <col min="1796" max="1796" width="14.7109375" style="262" bestFit="1" customWidth="1"/>
    <col min="1797" max="1797" width="15.85546875" style="262" bestFit="1" customWidth="1"/>
    <col min="1798" max="1798" width="14.7109375" style="262" bestFit="1" customWidth="1"/>
    <col min="1799" max="1799" width="15.85546875" style="262" bestFit="1" customWidth="1"/>
    <col min="1800" max="1800" width="14.7109375" style="262" bestFit="1" customWidth="1"/>
    <col min="1801" max="1801" width="15.85546875" style="262" bestFit="1" customWidth="1"/>
    <col min="1802" max="1802" width="4.7109375" style="262" bestFit="1" customWidth="1"/>
    <col min="1803" max="2048" width="9.140625" style="262"/>
    <col min="2049" max="2050" width="14.7109375" style="262" bestFit="1" customWidth="1"/>
    <col min="2051" max="2051" width="15.85546875" style="262" bestFit="1" customWidth="1"/>
    <col min="2052" max="2052" width="14.7109375" style="262" bestFit="1" customWidth="1"/>
    <col min="2053" max="2053" width="15.85546875" style="262" bestFit="1" customWidth="1"/>
    <col min="2054" max="2054" width="14.7109375" style="262" bestFit="1" customWidth="1"/>
    <col min="2055" max="2055" width="15.85546875" style="262" bestFit="1" customWidth="1"/>
    <col min="2056" max="2056" width="14.7109375" style="262" bestFit="1" customWidth="1"/>
    <col min="2057" max="2057" width="15.85546875" style="262" bestFit="1" customWidth="1"/>
    <col min="2058" max="2058" width="4.7109375" style="262" bestFit="1" customWidth="1"/>
    <col min="2059" max="2304" width="9.140625" style="262"/>
    <col min="2305" max="2306" width="14.7109375" style="262" bestFit="1" customWidth="1"/>
    <col min="2307" max="2307" width="15.85546875" style="262" bestFit="1" customWidth="1"/>
    <col min="2308" max="2308" width="14.7109375" style="262" bestFit="1" customWidth="1"/>
    <col min="2309" max="2309" width="15.85546875" style="262" bestFit="1" customWidth="1"/>
    <col min="2310" max="2310" width="14.7109375" style="262" bestFit="1" customWidth="1"/>
    <col min="2311" max="2311" width="15.85546875" style="262" bestFit="1" customWidth="1"/>
    <col min="2312" max="2312" width="14.7109375" style="262" bestFit="1" customWidth="1"/>
    <col min="2313" max="2313" width="15.85546875" style="262" bestFit="1" customWidth="1"/>
    <col min="2314" max="2314" width="4.7109375" style="262" bestFit="1" customWidth="1"/>
    <col min="2315" max="2560" width="9.140625" style="262"/>
    <col min="2561" max="2562" width="14.7109375" style="262" bestFit="1" customWidth="1"/>
    <col min="2563" max="2563" width="15.85546875" style="262" bestFit="1" customWidth="1"/>
    <col min="2564" max="2564" width="14.7109375" style="262" bestFit="1" customWidth="1"/>
    <col min="2565" max="2565" width="15.85546875" style="262" bestFit="1" customWidth="1"/>
    <col min="2566" max="2566" width="14.7109375" style="262" bestFit="1" customWidth="1"/>
    <col min="2567" max="2567" width="15.85546875" style="262" bestFit="1" customWidth="1"/>
    <col min="2568" max="2568" width="14.7109375" style="262" bestFit="1" customWidth="1"/>
    <col min="2569" max="2569" width="15.85546875" style="262" bestFit="1" customWidth="1"/>
    <col min="2570" max="2570" width="4.7109375" style="262" bestFit="1" customWidth="1"/>
    <col min="2571" max="2816" width="9.140625" style="262"/>
    <col min="2817" max="2818" width="14.7109375" style="262" bestFit="1" customWidth="1"/>
    <col min="2819" max="2819" width="15.85546875" style="262" bestFit="1" customWidth="1"/>
    <col min="2820" max="2820" width="14.7109375" style="262" bestFit="1" customWidth="1"/>
    <col min="2821" max="2821" width="15.85546875" style="262" bestFit="1" customWidth="1"/>
    <col min="2822" max="2822" width="14.7109375" style="262" bestFit="1" customWidth="1"/>
    <col min="2823" max="2823" width="15.85546875" style="262" bestFit="1" customWidth="1"/>
    <col min="2824" max="2824" width="14.7109375" style="262" bestFit="1" customWidth="1"/>
    <col min="2825" max="2825" width="15.85546875" style="262" bestFit="1" customWidth="1"/>
    <col min="2826" max="2826" width="4.7109375" style="262" bestFit="1" customWidth="1"/>
    <col min="2827" max="3072" width="9.140625" style="262"/>
    <col min="3073" max="3074" width="14.7109375" style="262" bestFit="1" customWidth="1"/>
    <col min="3075" max="3075" width="15.85546875" style="262" bestFit="1" customWidth="1"/>
    <col min="3076" max="3076" width="14.7109375" style="262" bestFit="1" customWidth="1"/>
    <col min="3077" max="3077" width="15.85546875" style="262" bestFit="1" customWidth="1"/>
    <col min="3078" max="3078" width="14.7109375" style="262" bestFit="1" customWidth="1"/>
    <col min="3079" max="3079" width="15.85546875" style="262" bestFit="1" customWidth="1"/>
    <col min="3080" max="3080" width="14.7109375" style="262" bestFit="1" customWidth="1"/>
    <col min="3081" max="3081" width="15.85546875" style="262" bestFit="1" customWidth="1"/>
    <col min="3082" max="3082" width="4.7109375" style="262" bestFit="1" customWidth="1"/>
    <col min="3083" max="3328" width="9.140625" style="262"/>
    <col min="3329" max="3330" width="14.7109375" style="262" bestFit="1" customWidth="1"/>
    <col min="3331" max="3331" width="15.85546875" style="262" bestFit="1" customWidth="1"/>
    <col min="3332" max="3332" width="14.7109375" style="262" bestFit="1" customWidth="1"/>
    <col min="3333" max="3333" width="15.85546875" style="262" bestFit="1" customWidth="1"/>
    <col min="3334" max="3334" width="14.7109375" style="262" bestFit="1" customWidth="1"/>
    <col min="3335" max="3335" width="15.85546875" style="262" bestFit="1" customWidth="1"/>
    <col min="3336" max="3336" width="14.7109375" style="262" bestFit="1" customWidth="1"/>
    <col min="3337" max="3337" width="15.85546875" style="262" bestFit="1" customWidth="1"/>
    <col min="3338" max="3338" width="4.7109375" style="262" bestFit="1" customWidth="1"/>
    <col min="3339" max="3584" width="9.140625" style="262"/>
    <col min="3585" max="3586" width="14.7109375" style="262" bestFit="1" customWidth="1"/>
    <col min="3587" max="3587" width="15.85546875" style="262" bestFit="1" customWidth="1"/>
    <col min="3588" max="3588" width="14.7109375" style="262" bestFit="1" customWidth="1"/>
    <col min="3589" max="3589" width="15.85546875" style="262" bestFit="1" customWidth="1"/>
    <col min="3590" max="3590" width="14.7109375" style="262" bestFit="1" customWidth="1"/>
    <col min="3591" max="3591" width="15.85546875" style="262" bestFit="1" customWidth="1"/>
    <col min="3592" max="3592" width="14.7109375" style="262" bestFit="1" customWidth="1"/>
    <col min="3593" max="3593" width="15.85546875" style="262" bestFit="1" customWidth="1"/>
    <col min="3594" max="3594" width="4.7109375" style="262" bestFit="1" customWidth="1"/>
    <col min="3595" max="3840" width="9.140625" style="262"/>
    <col min="3841" max="3842" width="14.7109375" style="262" bestFit="1" customWidth="1"/>
    <col min="3843" max="3843" width="15.85546875" style="262" bestFit="1" customWidth="1"/>
    <col min="3844" max="3844" width="14.7109375" style="262" bestFit="1" customWidth="1"/>
    <col min="3845" max="3845" width="15.85546875" style="262" bestFit="1" customWidth="1"/>
    <col min="3846" max="3846" width="14.7109375" style="262" bestFit="1" customWidth="1"/>
    <col min="3847" max="3847" width="15.85546875" style="262" bestFit="1" customWidth="1"/>
    <col min="3848" max="3848" width="14.7109375" style="262" bestFit="1" customWidth="1"/>
    <col min="3849" max="3849" width="15.85546875" style="262" bestFit="1" customWidth="1"/>
    <col min="3850" max="3850" width="4.7109375" style="262" bestFit="1" customWidth="1"/>
    <col min="3851" max="4096" width="9.140625" style="262"/>
    <col min="4097" max="4098" width="14.7109375" style="262" bestFit="1" customWidth="1"/>
    <col min="4099" max="4099" width="15.85546875" style="262" bestFit="1" customWidth="1"/>
    <col min="4100" max="4100" width="14.7109375" style="262" bestFit="1" customWidth="1"/>
    <col min="4101" max="4101" width="15.85546875" style="262" bestFit="1" customWidth="1"/>
    <col min="4102" max="4102" width="14.7109375" style="262" bestFit="1" customWidth="1"/>
    <col min="4103" max="4103" width="15.85546875" style="262" bestFit="1" customWidth="1"/>
    <col min="4104" max="4104" width="14.7109375" style="262" bestFit="1" customWidth="1"/>
    <col min="4105" max="4105" width="15.85546875" style="262" bestFit="1" customWidth="1"/>
    <col min="4106" max="4106" width="4.7109375" style="262" bestFit="1" customWidth="1"/>
    <col min="4107" max="4352" width="9.140625" style="262"/>
    <col min="4353" max="4354" width="14.7109375" style="262" bestFit="1" customWidth="1"/>
    <col min="4355" max="4355" width="15.85546875" style="262" bestFit="1" customWidth="1"/>
    <col min="4356" max="4356" width="14.7109375" style="262" bestFit="1" customWidth="1"/>
    <col min="4357" max="4357" width="15.85546875" style="262" bestFit="1" customWidth="1"/>
    <col min="4358" max="4358" width="14.7109375" style="262" bestFit="1" customWidth="1"/>
    <col min="4359" max="4359" width="15.85546875" style="262" bestFit="1" customWidth="1"/>
    <col min="4360" max="4360" width="14.7109375" style="262" bestFit="1" customWidth="1"/>
    <col min="4361" max="4361" width="15.85546875" style="262" bestFit="1" customWidth="1"/>
    <col min="4362" max="4362" width="4.7109375" style="262" bestFit="1" customWidth="1"/>
    <col min="4363" max="4608" width="9.140625" style="262"/>
    <col min="4609" max="4610" width="14.7109375" style="262" bestFit="1" customWidth="1"/>
    <col min="4611" max="4611" width="15.85546875" style="262" bestFit="1" customWidth="1"/>
    <col min="4612" max="4612" width="14.7109375" style="262" bestFit="1" customWidth="1"/>
    <col min="4613" max="4613" width="15.85546875" style="262" bestFit="1" customWidth="1"/>
    <col min="4614" max="4614" width="14.7109375" style="262" bestFit="1" customWidth="1"/>
    <col min="4615" max="4615" width="15.85546875" style="262" bestFit="1" customWidth="1"/>
    <col min="4616" max="4616" width="14.7109375" style="262" bestFit="1" customWidth="1"/>
    <col min="4617" max="4617" width="15.85546875" style="262" bestFit="1" customWidth="1"/>
    <col min="4618" max="4618" width="4.7109375" style="262" bestFit="1" customWidth="1"/>
    <col min="4619" max="4864" width="9.140625" style="262"/>
    <col min="4865" max="4866" width="14.7109375" style="262" bestFit="1" customWidth="1"/>
    <col min="4867" max="4867" width="15.85546875" style="262" bestFit="1" customWidth="1"/>
    <col min="4868" max="4868" width="14.7109375" style="262" bestFit="1" customWidth="1"/>
    <col min="4869" max="4869" width="15.85546875" style="262" bestFit="1" customWidth="1"/>
    <col min="4870" max="4870" width="14.7109375" style="262" bestFit="1" customWidth="1"/>
    <col min="4871" max="4871" width="15.85546875" style="262" bestFit="1" customWidth="1"/>
    <col min="4872" max="4872" width="14.7109375" style="262" bestFit="1" customWidth="1"/>
    <col min="4873" max="4873" width="15.85546875" style="262" bestFit="1" customWidth="1"/>
    <col min="4874" max="4874" width="4.7109375" style="262" bestFit="1" customWidth="1"/>
    <col min="4875" max="5120" width="9.140625" style="262"/>
    <col min="5121" max="5122" width="14.7109375" style="262" bestFit="1" customWidth="1"/>
    <col min="5123" max="5123" width="15.85546875" style="262" bestFit="1" customWidth="1"/>
    <col min="5124" max="5124" width="14.7109375" style="262" bestFit="1" customWidth="1"/>
    <col min="5125" max="5125" width="15.85546875" style="262" bestFit="1" customWidth="1"/>
    <col min="5126" max="5126" width="14.7109375" style="262" bestFit="1" customWidth="1"/>
    <col min="5127" max="5127" width="15.85546875" style="262" bestFit="1" customWidth="1"/>
    <col min="5128" max="5128" width="14.7109375" style="262" bestFit="1" customWidth="1"/>
    <col min="5129" max="5129" width="15.85546875" style="262" bestFit="1" customWidth="1"/>
    <col min="5130" max="5130" width="4.7109375" style="262" bestFit="1" customWidth="1"/>
    <col min="5131" max="5376" width="9.140625" style="262"/>
    <col min="5377" max="5378" width="14.7109375" style="262" bestFit="1" customWidth="1"/>
    <col min="5379" max="5379" width="15.85546875" style="262" bestFit="1" customWidth="1"/>
    <col min="5380" max="5380" width="14.7109375" style="262" bestFit="1" customWidth="1"/>
    <col min="5381" max="5381" width="15.85546875" style="262" bestFit="1" customWidth="1"/>
    <col min="5382" max="5382" width="14.7109375" style="262" bestFit="1" customWidth="1"/>
    <col min="5383" max="5383" width="15.85546875" style="262" bestFit="1" customWidth="1"/>
    <col min="5384" max="5384" width="14.7109375" style="262" bestFit="1" customWidth="1"/>
    <col min="5385" max="5385" width="15.85546875" style="262" bestFit="1" customWidth="1"/>
    <col min="5386" max="5386" width="4.7109375" style="262" bestFit="1" customWidth="1"/>
    <col min="5387" max="5632" width="9.140625" style="262"/>
    <col min="5633" max="5634" width="14.7109375" style="262" bestFit="1" customWidth="1"/>
    <col min="5635" max="5635" width="15.85546875" style="262" bestFit="1" customWidth="1"/>
    <col min="5636" max="5636" width="14.7109375" style="262" bestFit="1" customWidth="1"/>
    <col min="5637" max="5637" width="15.85546875" style="262" bestFit="1" customWidth="1"/>
    <col min="5638" max="5638" width="14.7109375" style="262" bestFit="1" customWidth="1"/>
    <col min="5639" max="5639" width="15.85546875" style="262" bestFit="1" customWidth="1"/>
    <col min="5640" max="5640" width="14.7109375" style="262" bestFit="1" customWidth="1"/>
    <col min="5641" max="5641" width="15.85546875" style="262" bestFit="1" customWidth="1"/>
    <col min="5642" max="5642" width="4.7109375" style="262" bestFit="1" customWidth="1"/>
    <col min="5643" max="5888" width="9.140625" style="262"/>
    <col min="5889" max="5890" width="14.7109375" style="262" bestFit="1" customWidth="1"/>
    <col min="5891" max="5891" width="15.85546875" style="262" bestFit="1" customWidth="1"/>
    <col min="5892" max="5892" width="14.7109375" style="262" bestFit="1" customWidth="1"/>
    <col min="5893" max="5893" width="15.85546875" style="262" bestFit="1" customWidth="1"/>
    <col min="5894" max="5894" width="14.7109375" style="262" bestFit="1" customWidth="1"/>
    <col min="5895" max="5895" width="15.85546875" style="262" bestFit="1" customWidth="1"/>
    <col min="5896" max="5896" width="14.7109375" style="262" bestFit="1" customWidth="1"/>
    <col min="5897" max="5897" width="15.85546875" style="262" bestFit="1" customWidth="1"/>
    <col min="5898" max="5898" width="4.7109375" style="262" bestFit="1" customWidth="1"/>
    <col min="5899" max="6144" width="9.140625" style="262"/>
    <col min="6145" max="6146" width="14.7109375" style="262" bestFit="1" customWidth="1"/>
    <col min="6147" max="6147" width="15.85546875" style="262" bestFit="1" customWidth="1"/>
    <col min="6148" max="6148" width="14.7109375" style="262" bestFit="1" customWidth="1"/>
    <col min="6149" max="6149" width="15.85546875" style="262" bestFit="1" customWidth="1"/>
    <col min="6150" max="6150" width="14.7109375" style="262" bestFit="1" customWidth="1"/>
    <col min="6151" max="6151" width="15.85546875" style="262" bestFit="1" customWidth="1"/>
    <col min="6152" max="6152" width="14.7109375" style="262" bestFit="1" customWidth="1"/>
    <col min="6153" max="6153" width="15.85546875" style="262" bestFit="1" customWidth="1"/>
    <col min="6154" max="6154" width="4.7109375" style="262" bestFit="1" customWidth="1"/>
    <col min="6155" max="6400" width="9.140625" style="262"/>
    <col min="6401" max="6402" width="14.7109375" style="262" bestFit="1" customWidth="1"/>
    <col min="6403" max="6403" width="15.85546875" style="262" bestFit="1" customWidth="1"/>
    <col min="6404" max="6404" width="14.7109375" style="262" bestFit="1" customWidth="1"/>
    <col min="6405" max="6405" width="15.85546875" style="262" bestFit="1" customWidth="1"/>
    <col min="6406" max="6406" width="14.7109375" style="262" bestFit="1" customWidth="1"/>
    <col min="6407" max="6407" width="15.85546875" style="262" bestFit="1" customWidth="1"/>
    <col min="6408" max="6408" width="14.7109375" style="262" bestFit="1" customWidth="1"/>
    <col min="6409" max="6409" width="15.85546875" style="262" bestFit="1" customWidth="1"/>
    <col min="6410" max="6410" width="4.7109375" style="262" bestFit="1" customWidth="1"/>
    <col min="6411" max="6656" width="9.140625" style="262"/>
    <col min="6657" max="6658" width="14.7109375" style="262" bestFit="1" customWidth="1"/>
    <col min="6659" max="6659" width="15.85546875" style="262" bestFit="1" customWidth="1"/>
    <col min="6660" max="6660" width="14.7109375" style="262" bestFit="1" customWidth="1"/>
    <col min="6661" max="6661" width="15.85546875" style="262" bestFit="1" customWidth="1"/>
    <col min="6662" max="6662" width="14.7109375" style="262" bestFit="1" customWidth="1"/>
    <col min="6663" max="6663" width="15.85546875" style="262" bestFit="1" customWidth="1"/>
    <col min="6664" max="6664" width="14.7109375" style="262" bestFit="1" customWidth="1"/>
    <col min="6665" max="6665" width="15.85546875" style="262" bestFit="1" customWidth="1"/>
    <col min="6666" max="6666" width="4.7109375" style="262" bestFit="1" customWidth="1"/>
    <col min="6667" max="6912" width="9.140625" style="262"/>
    <col min="6913" max="6914" width="14.7109375" style="262" bestFit="1" customWidth="1"/>
    <col min="6915" max="6915" width="15.85546875" style="262" bestFit="1" customWidth="1"/>
    <col min="6916" max="6916" width="14.7109375" style="262" bestFit="1" customWidth="1"/>
    <col min="6917" max="6917" width="15.85546875" style="262" bestFit="1" customWidth="1"/>
    <col min="6918" max="6918" width="14.7109375" style="262" bestFit="1" customWidth="1"/>
    <col min="6919" max="6919" width="15.85546875" style="262" bestFit="1" customWidth="1"/>
    <col min="6920" max="6920" width="14.7109375" style="262" bestFit="1" customWidth="1"/>
    <col min="6921" max="6921" width="15.85546875" style="262" bestFit="1" customWidth="1"/>
    <col min="6922" max="6922" width="4.7109375" style="262" bestFit="1" customWidth="1"/>
    <col min="6923" max="7168" width="9.140625" style="262"/>
    <col min="7169" max="7170" width="14.7109375" style="262" bestFit="1" customWidth="1"/>
    <col min="7171" max="7171" width="15.85546875" style="262" bestFit="1" customWidth="1"/>
    <col min="7172" max="7172" width="14.7109375" style="262" bestFit="1" customWidth="1"/>
    <col min="7173" max="7173" width="15.85546875" style="262" bestFit="1" customWidth="1"/>
    <col min="7174" max="7174" width="14.7109375" style="262" bestFit="1" customWidth="1"/>
    <col min="7175" max="7175" width="15.85546875" style="262" bestFit="1" customWidth="1"/>
    <col min="7176" max="7176" width="14.7109375" style="262" bestFit="1" customWidth="1"/>
    <col min="7177" max="7177" width="15.85546875" style="262" bestFit="1" customWidth="1"/>
    <col min="7178" max="7178" width="4.7109375" style="262" bestFit="1" customWidth="1"/>
    <col min="7179" max="7424" width="9.140625" style="262"/>
    <col min="7425" max="7426" width="14.7109375" style="262" bestFit="1" customWidth="1"/>
    <col min="7427" max="7427" width="15.85546875" style="262" bestFit="1" customWidth="1"/>
    <col min="7428" max="7428" width="14.7109375" style="262" bestFit="1" customWidth="1"/>
    <col min="7429" max="7429" width="15.85546875" style="262" bestFit="1" customWidth="1"/>
    <col min="7430" max="7430" width="14.7109375" style="262" bestFit="1" customWidth="1"/>
    <col min="7431" max="7431" width="15.85546875" style="262" bestFit="1" customWidth="1"/>
    <col min="7432" max="7432" width="14.7109375" style="262" bestFit="1" customWidth="1"/>
    <col min="7433" max="7433" width="15.85546875" style="262" bestFit="1" customWidth="1"/>
    <col min="7434" max="7434" width="4.7109375" style="262" bestFit="1" customWidth="1"/>
    <col min="7435" max="7680" width="9.140625" style="262"/>
    <col min="7681" max="7682" width="14.7109375" style="262" bestFit="1" customWidth="1"/>
    <col min="7683" max="7683" width="15.85546875" style="262" bestFit="1" customWidth="1"/>
    <col min="7684" max="7684" width="14.7109375" style="262" bestFit="1" customWidth="1"/>
    <col min="7685" max="7685" width="15.85546875" style="262" bestFit="1" customWidth="1"/>
    <col min="7686" max="7686" width="14.7109375" style="262" bestFit="1" customWidth="1"/>
    <col min="7687" max="7687" width="15.85546875" style="262" bestFit="1" customWidth="1"/>
    <col min="7688" max="7688" width="14.7109375" style="262" bestFit="1" customWidth="1"/>
    <col min="7689" max="7689" width="15.85546875" style="262" bestFit="1" customWidth="1"/>
    <col min="7690" max="7690" width="4.7109375" style="262" bestFit="1" customWidth="1"/>
    <col min="7691" max="7936" width="9.140625" style="262"/>
    <col min="7937" max="7938" width="14.7109375" style="262" bestFit="1" customWidth="1"/>
    <col min="7939" max="7939" width="15.85546875" style="262" bestFit="1" customWidth="1"/>
    <col min="7940" max="7940" width="14.7109375" style="262" bestFit="1" customWidth="1"/>
    <col min="7941" max="7941" width="15.85546875" style="262" bestFit="1" customWidth="1"/>
    <col min="7942" max="7942" width="14.7109375" style="262" bestFit="1" customWidth="1"/>
    <col min="7943" max="7943" width="15.85546875" style="262" bestFit="1" customWidth="1"/>
    <col min="7944" max="7944" width="14.7109375" style="262" bestFit="1" customWidth="1"/>
    <col min="7945" max="7945" width="15.85546875" style="262" bestFit="1" customWidth="1"/>
    <col min="7946" max="7946" width="4.7109375" style="262" bestFit="1" customWidth="1"/>
    <col min="7947" max="8192" width="9.140625" style="262"/>
    <col min="8193" max="8194" width="14.7109375" style="262" bestFit="1" customWidth="1"/>
    <col min="8195" max="8195" width="15.85546875" style="262" bestFit="1" customWidth="1"/>
    <col min="8196" max="8196" width="14.7109375" style="262" bestFit="1" customWidth="1"/>
    <col min="8197" max="8197" width="15.85546875" style="262" bestFit="1" customWidth="1"/>
    <col min="8198" max="8198" width="14.7109375" style="262" bestFit="1" customWidth="1"/>
    <col min="8199" max="8199" width="15.85546875" style="262" bestFit="1" customWidth="1"/>
    <col min="8200" max="8200" width="14.7109375" style="262" bestFit="1" customWidth="1"/>
    <col min="8201" max="8201" width="15.85546875" style="262" bestFit="1" customWidth="1"/>
    <col min="8202" max="8202" width="4.7109375" style="262" bestFit="1" customWidth="1"/>
    <col min="8203" max="8448" width="9.140625" style="262"/>
    <col min="8449" max="8450" width="14.7109375" style="262" bestFit="1" customWidth="1"/>
    <col min="8451" max="8451" width="15.85546875" style="262" bestFit="1" customWidth="1"/>
    <col min="8452" max="8452" width="14.7109375" style="262" bestFit="1" customWidth="1"/>
    <col min="8453" max="8453" width="15.85546875" style="262" bestFit="1" customWidth="1"/>
    <col min="8454" max="8454" width="14.7109375" style="262" bestFit="1" customWidth="1"/>
    <col min="8455" max="8455" width="15.85546875" style="262" bestFit="1" customWidth="1"/>
    <col min="8456" max="8456" width="14.7109375" style="262" bestFit="1" customWidth="1"/>
    <col min="8457" max="8457" width="15.85546875" style="262" bestFit="1" customWidth="1"/>
    <col min="8458" max="8458" width="4.7109375" style="262" bestFit="1" customWidth="1"/>
    <col min="8459" max="8704" width="9.140625" style="262"/>
    <col min="8705" max="8706" width="14.7109375" style="262" bestFit="1" customWidth="1"/>
    <col min="8707" max="8707" width="15.85546875" style="262" bestFit="1" customWidth="1"/>
    <col min="8708" max="8708" width="14.7109375" style="262" bestFit="1" customWidth="1"/>
    <col min="8709" max="8709" width="15.85546875" style="262" bestFit="1" customWidth="1"/>
    <col min="8710" max="8710" width="14.7109375" style="262" bestFit="1" customWidth="1"/>
    <col min="8711" max="8711" width="15.85546875" style="262" bestFit="1" customWidth="1"/>
    <col min="8712" max="8712" width="14.7109375" style="262" bestFit="1" customWidth="1"/>
    <col min="8713" max="8713" width="15.85546875" style="262" bestFit="1" customWidth="1"/>
    <col min="8714" max="8714" width="4.7109375" style="262" bestFit="1" customWidth="1"/>
    <col min="8715" max="8960" width="9.140625" style="262"/>
    <col min="8961" max="8962" width="14.7109375" style="262" bestFit="1" customWidth="1"/>
    <col min="8963" max="8963" width="15.85546875" style="262" bestFit="1" customWidth="1"/>
    <col min="8964" max="8964" width="14.7109375" style="262" bestFit="1" customWidth="1"/>
    <col min="8965" max="8965" width="15.85546875" style="262" bestFit="1" customWidth="1"/>
    <col min="8966" max="8966" width="14.7109375" style="262" bestFit="1" customWidth="1"/>
    <col min="8967" max="8967" width="15.85546875" style="262" bestFit="1" customWidth="1"/>
    <col min="8968" max="8968" width="14.7109375" style="262" bestFit="1" customWidth="1"/>
    <col min="8969" max="8969" width="15.85546875" style="262" bestFit="1" customWidth="1"/>
    <col min="8970" max="8970" width="4.7109375" style="262" bestFit="1" customWidth="1"/>
    <col min="8971" max="9216" width="9.140625" style="262"/>
    <col min="9217" max="9218" width="14.7109375" style="262" bestFit="1" customWidth="1"/>
    <col min="9219" max="9219" width="15.85546875" style="262" bestFit="1" customWidth="1"/>
    <col min="9220" max="9220" width="14.7109375" style="262" bestFit="1" customWidth="1"/>
    <col min="9221" max="9221" width="15.85546875" style="262" bestFit="1" customWidth="1"/>
    <col min="9222" max="9222" width="14.7109375" style="262" bestFit="1" customWidth="1"/>
    <col min="9223" max="9223" width="15.85546875" style="262" bestFit="1" customWidth="1"/>
    <col min="9224" max="9224" width="14.7109375" style="262" bestFit="1" customWidth="1"/>
    <col min="9225" max="9225" width="15.85546875" style="262" bestFit="1" customWidth="1"/>
    <col min="9226" max="9226" width="4.7109375" style="262" bestFit="1" customWidth="1"/>
    <col min="9227" max="9472" width="9.140625" style="262"/>
    <col min="9473" max="9474" width="14.7109375" style="262" bestFit="1" customWidth="1"/>
    <col min="9475" max="9475" width="15.85546875" style="262" bestFit="1" customWidth="1"/>
    <col min="9476" max="9476" width="14.7109375" style="262" bestFit="1" customWidth="1"/>
    <col min="9477" max="9477" width="15.85546875" style="262" bestFit="1" customWidth="1"/>
    <col min="9478" max="9478" width="14.7109375" style="262" bestFit="1" customWidth="1"/>
    <col min="9479" max="9479" width="15.85546875" style="262" bestFit="1" customWidth="1"/>
    <col min="9480" max="9480" width="14.7109375" style="262" bestFit="1" customWidth="1"/>
    <col min="9481" max="9481" width="15.85546875" style="262" bestFit="1" customWidth="1"/>
    <col min="9482" max="9482" width="4.7109375" style="262" bestFit="1" customWidth="1"/>
    <col min="9483" max="9728" width="9.140625" style="262"/>
    <col min="9729" max="9730" width="14.7109375" style="262" bestFit="1" customWidth="1"/>
    <col min="9731" max="9731" width="15.85546875" style="262" bestFit="1" customWidth="1"/>
    <col min="9732" max="9732" width="14.7109375" style="262" bestFit="1" customWidth="1"/>
    <col min="9733" max="9733" width="15.85546875" style="262" bestFit="1" customWidth="1"/>
    <col min="9734" max="9734" width="14.7109375" style="262" bestFit="1" customWidth="1"/>
    <col min="9735" max="9735" width="15.85546875" style="262" bestFit="1" customWidth="1"/>
    <col min="9736" max="9736" width="14.7109375" style="262" bestFit="1" customWidth="1"/>
    <col min="9737" max="9737" width="15.85546875" style="262" bestFit="1" customWidth="1"/>
    <col min="9738" max="9738" width="4.7109375" style="262" bestFit="1" customWidth="1"/>
    <col min="9739" max="9984" width="9.140625" style="262"/>
    <col min="9985" max="9986" width="14.7109375" style="262" bestFit="1" customWidth="1"/>
    <col min="9987" max="9987" width="15.85546875" style="262" bestFit="1" customWidth="1"/>
    <col min="9988" max="9988" width="14.7109375" style="262" bestFit="1" customWidth="1"/>
    <col min="9989" max="9989" width="15.85546875" style="262" bestFit="1" customWidth="1"/>
    <col min="9990" max="9990" width="14.7109375" style="262" bestFit="1" customWidth="1"/>
    <col min="9991" max="9991" width="15.85546875" style="262" bestFit="1" customWidth="1"/>
    <col min="9992" max="9992" width="14.7109375" style="262" bestFit="1" customWidth="1"/>
    <col min="9993" max="9993" width="15.85546875" style="262" bestFit="1" customWidth="1"/>
    <col min="9994" max="9994" width="4.7109375" style="262" bestFit="1" customWidth="1"/>
    <col min="9995" max="10240" width="9.140625" style="262"/>
    <col min="10241" max="10242" width="14.7109375" style="262" bestFit="1" customWidth="1"/>
    <col min="10243" max="10243" width="15.85546875" style="262" bestFit="1" customWidth="1"/>
    <col min="10244" max="10244" width="14.7109375" style="262" bestFit="1" customWidth="1"/>
    <col min="10245" max="10245" width="15.85546875" style="262" bestFit="1" customWidth="1"/>
    <col min="10246" max="10246" width="14.7109375" style="262" bestFit="1" customWidth="1"/>
    <col min="10247" max="10247" width="15.85546875" style="262" bestFit="1" customWidth="1"/>
    <col min="10248" max="10248" width="14.7109375" style="262" bestFit="1" customWidth="1"/>
    <col min="10249" max="10249" width="15.85546875" style="262" bestFit="1" customWidth="1"/>
    <col min="10250" max="10250" width="4.7109375" style="262" bestFit="1" customWidth="1"/>
    <col min="10251" max="10496" width="9.140625" style="262"/>
    <col min="10497" max="10498" width="14.7109375" style="262" bestFit="1" customWidth="1"/>
    <col min="10499" max="10499" width="15.85546875" style="262" bestFit="1" customWidth="1"/>
    <col min="10500" max="10500" width="14.7109375" style="262" bestFit="1" customWidth="1"/>
    <col min="10501" max="10501" width="15.85546875" style="262" bestFit="1" customWidth="1"/>
    <col min="10502" max="10502" width="14.7109375" style="262" bestFit="1" customWidth="1"/>
    <col min="10503" max="10503" width="15.85546875" style="262" bestFit="1" customWidth="1"/>
    <col min="10504" max="10504" width="14.7109375" style="262" bestFit="1" customWidth="1"/>
    <col min="10505" max="10505" width="15.85546875" style="262" bestFit="1" customWidth="1"/>
    <col min="10506" max="10506" width="4.7109375" style="262" bestFit="1" customWidth="1"/>
    <col min="10507" max="10752" width="9.140625" style="262"/>
    <col min="10753" max="10754" width="14.7109375" style="262" bestFit="1" customWidth="1"/>
    <col min="10755" max="10755" width="15.85546875" style="262" bestFit="1" customWidth="1"/>
    <col min="10756" max="10756" width="14.7109375" style="262" bestFit="1" customWidth="1"/>
    <col min="10757" max="10757" width="15.85546875" style="262" bestFit="1" customWidth="1"/>
    <col min="10758" max="10758" width="14.7109375" style="262" bestFit="1" customWidth="1"/>
    <col min="10759" max="10759" width="15.85546875" style="262" bestFit="1" customWidth="1"/>
    <col min="10760" max="10760" width="14.7109375" style="262" bestFit="1" customWidth="1"/>
    <col min="10761" max="10761" width="15.85546875" style="262" bestFit="1" customWidth="1"/>
    <col min="10762" max="10762" width="4.7109375" style="262" bestFit="1" customWidth="1"/>
    <col min="10763" max="11008" width="9.140625" style="262"/>
    <col min="11009" max="11010" width="14.7109375" style="262" bestFit="1" customWidth="1"/>
    <col min="11011" max="11011" width="15.85546875" style="262" bestFit="1" customWidth="1"/>
    <col min="11012" max="11012" width="14.7109375" style="262" bestFit="1" customWidth="1"/>
    <col min="11013" max="11013" width="15.85546875" style="262" bestFit="1" customWidth="1"/>
    <col min="11014" max="11014" width="14.7109375" style="262" bestFit="1" customWidth="1"/>
    <col min="11015" max="11015" width="15.85546875" style="262" bestFit="1" customWidth="1"/>
    <col min="11016" max="11016" width="14.7109375" style="262" bestFit="1" customWidth="1"/>
    <col min="11017" max="11017" width="15.85546875" style="262" bestFit="1" customWidth="1"/>
    <col min="11018" max="11018" width="4.7109375" style="262" bestFit="1" customWidth="1"/>
    <col min="11019" max="11264" width="9.140625" style="262"/>
    <col min="11265" max="11266" width="14.7109375" style="262" bestFit="1" customWidth="1"/>
    <col min="11267" max="11267" width="15.85546875" style="262" bestFit="1" customWidth="1"/>
    <col min="11268" max="11268" width="14.7109375" style="262" bestFit="1" customWidth="1"/>
    <col min="11269" max="11269" width="15.85546875" style="262" bestFit="1" customWidth="1"/>
    <col min="11270" max="11270" width="14.7109375" style="262" bestFit="1" customWidth="1"/>
    <col min="11271" max="11271" width="15.85546875" style="262" bestFit="1" customWidth="1"/>
    <col min="11272" max="11272" width="14.7109375" style="262" bestFit="1" customWidth="1"/>
    <col min="11273" max="11273" width="15.85546875" style="262" bestFit="1" customWidth="1"/>
    <col min="11274" max="11274" width="4.7109375" style="262" bestFit="1" customWidth="1"/>
    <col min="11275" max="11520" width="9.140625" style="262"/>
    <col min="11521" max="11522" width="14.7109375" style="262" bestFit="1" customWidth="1"/>
    <col min="11523" max="11523" width="15.85546875" style="262" bestFit="1" customWidth="1"/>
    <col min="11524" max="11524" width="14.7109375" style="262" bestFit="1" customWidth="1"/>
    <col min="11525" max="11525" width="15.85546875" style="262" bestFit="1" customWidth="1"/>
    <col min="11526" max="11526" width="14.7109375" style="262" bestFit="1" customWidth="1"/>
    <col min="11527" max="11527" width="15.85546875" style="262" bestFit="1" customWidth="1"/>
    <col min="11528" max="11528" width="14.7109375" style="262" bestFit="1" customWidth="1"/>
    <col min="11529" max="11529" width="15.85546875" style="262" bestFit="1" customWidth="1"/>
    <col min="11530" max="11530" width="4.7109375" style="262" bestFit="1" customWidth="1"/>
    <col min="11531" max="11776" width="9.140625" style="262"/>
    <col min="11777" max="11778" width="14.7109375" style="262" bestFit="1" customWidth="1"/>
    <col min="11779" max="11779" width="15.85546875" style="262" bestFit="1" customWidth="1"/>
    <col min="11780" max="11780" width="14.7109375" style="262" bestFit="1" customWidth="1"/>
    <col min="11781" max="11781" width="15.85546875" style="262" bestFit="1" customWidth="1"/>
    <col min="11782" max="11782" width="14.7109375" style="262" bestFit="1" customWidth="1"/>
    <col min="11783" max="11783" width="15.85546875" style="262" bestFit="1" customWidth="1"/>
    <col min="11784" max="11784" width="14.7109375" style="262" bestFit="1" customWidth="1"/>
    <col min="11785" max="11785" width="15.85546875" style="262" bestFit="1" customWidth="1"/>
    <col min="11786" max="11786" width="4.7109375" style="262" bestFit="1" customWidth="1"/>
    <col min="11787" max="12032" width="9.140625" style="262"/>
    <col min="12033" max="12034" width="14.7109375" style="262" bestFit="1" customWidth="1"/>
    <col min="12035" max="12035" width="15.85546875" style="262" bestFit="1" customWidth="1"/>
    <col min="12036" max="12036" width="14.7109375" style="262" bestFit="1" customWidth="1"/>
    <col min="12037" max="12037" width="15.85546875" style="262" bestFit="1" customWidth="1"/>
    <col min="12038" max="12038" width="14.7109375" style="262" bestFit="1" customWidth="1"/>
    <col min="12039" max="12039" width="15.85546875" style="262" bestFit="1" customWidth="1"/>
    <col min="12040" max="12040" width="14.7109375" style="262" bestFit="1" customWidth="1"/>
    <col min="12041" max="12041" width="15.85546875" style="262" bestFit="1" customWidth="1"/>
    <col min="12042" max="12042" width="4.7109375" style="262" bestFit="1" customWidth="1"/>
    <col min="12043" max="12288" width="9.140625" style="262"/>
    <col min="12289" max="12290" width="14.7109375" style="262" bestFit="1" customWidth="1"/>
    <col min="12291" max="12291" width="15.85546875" style="262" bestFit="1" customWidth="1"/>
    <col min="12292" max="12292" width="14.7109375" style="262" bestFit="1" customWidth="1"/>
    <col min="12293" max="12293" width="15.85546875" style="262" bestFit="1" customWidth="1"/>
    <col min="12294" max="12294" width="14.7109375" style="262" bestFit="1" customWidth="1"/>
    <col min="12295" max="12295" width="15.85546875" style="262" bestFit="1" customWidth="1"/>
    <col min="12296" max="12296" width="14.7109375" style="262" bestFit="1" customWidth="1"/>
    <col min="12297" max="12297" width="15.85546875" style="262" bestFit="1" customWidth="1"/>
    <col min="12298" max="12298" width="4.7109375" style="262" bestFit="1" customWidth="1"/>
    <col min="12299" max="12544" width="9.140625" style="262"/>
    <col min="12545" max="12546" width="14.7109375" style="262" bestFit="1" customWidth="1"/>
    <col min="12547" max="12547" width="15.85546875" style="262" bestFit="1" customWidth="1"/>
    <col min="12548" max="12548" width="14.7109375" style="262" bestFit="1" customWidth="1"/>
    <col min="12549" max="12549" width="15.85546875" style="262" bestFit="1" customWidth="1"/>
    <col min="12550" max="12550" width="14.7109375" style="262" bestFit="1" customWidth="1"/>
    <col min="12551" max="12551" width="15.85546875" style="262" bestFit="1" customWidth="1"/>
    <col min="12552" max="12552" width="14.7109375" style="262" bestFit="1" customWidth="1"/>
    <col min="12553" max="12553" width="15.85546875" style="262" bestFit="1" customWidth="1"/>
    <col min="12554" max="12554" width="4.7109375" style="262" bestFit="1" customWidth="1"/>
    <col min="12555" max="12800" width="9.140625" style="262"/>
    <col min="12801" max="12802" width="14.7109375" style="262" bestFit="1" customWidth="1"/>
    <col min="12803" max="12803" width="15.85546875" style="262" bestFit="1" customWidth="1"/>
    <col min="12804" max="12804" width="14.7109375" style="262" bestFit="1" customWidth="1"/>
    <col min="12805" max="12805" width="15.85546875" style="262" bestFit="1" customWidth="1"/>
    <col min="12806" max="12806" width="14.7109375" style="262" bestFit="1" customWidth="1"/>
    <col min="12807" max="12807" width="15.85546875" style="262" bestFit="1" customWidth="1"/>
    <col min="12808" max="12808" width="14.7109375" style="262" bestFit="1" customWidth="1"/>
    <col min="12809" max="12809" width="15.85546875" style="262" bestFit="1" customWidth="1"/>
    <col min="12810" max="12810" width="4.7109375" style="262" bestFit="1" customWidth="1"/>
    <col min="12811" max="13056" width="9.140625" style="262"/>
    <col min="13057" max="13058" width="14.7109375" style="262" bestFit="1" customWidth="1"/>
    <col min="13059" max="13059" width="15.85546875" style="262" bestFit="1" customWidth="1"/>
    <col min="13060" max="13060" width="14.7109375" style="262" bestFit="1" customWidth="1"/>
    <col min="13061" max="13061" width="15.85546875" style="262" bestFit="1" customWidth="1"/>
    <col min="13062" max="13062" width="14.7109375" style="262" bestFit="1" customWidth="1"/>
    <col min="13063" max="13063" width="15.85546875" style="262" bestFit="1" customWidth="1"/>
    <col min="13064" max="13064" width="14.7109375" style="262" bestFit="1" customWidth="1"/>
    <col min="13065" max="13065" width="15.85546875" style="262" bestFit="1" customWidth="1"/>
    <col min="13066" max="13066" width="4.7109375" style="262" bestFit="1" customWidth="1"/>
    <col min="13067" max="13312" width="9.140625" style="262"/>
    <col min="13313" max="13314" width="14.7109375" style="262" bestFit="1" customWidth="1"/>
    <col min="13315" max="13315" width="15.85546875" style="262" bestFit="1" customWidth="1"/>
    <col min="13316" max="13316" width="14.7109375" style="262" bestFit="1" customWidth="1"/>
    <col min="13317" max="13317" width="15.85546875" style="262" bestFit="1" customWidth="1"/>
    <col min="13318" max="13318" width="14.7109375" style="262" bestFit="1" customWidth="1"/>
    <col min="13319" max="13319" width="15.85546875" style="262" bestFit="1" customWidth="1"/>
    <col min="13320" max="13320" width="14.7109375" style="262" bestFit="1" customWidth="1"/>
    <col min="13321" max="13321" width="15.85546875" style="262" bestFit="1" customWidth="1"/>
    <col min="13322" max="13322" width="4.7109375" style="262" bestFit="1" customWidth="1"/>
    <col min="13323" max="13568" width="9.140625" style="262"/>
    <col min="13569" max="13570" width="14.7109375" style="262" bestFit="1" customWidth="1"/>
    <col min="13571" max="13571" width="15.85546875" style="262" bestFit="1" customWidth="1"/>
    <col min="13572" max="13572" width="14.7109375" style="262" bestFit="1" customWidth="1"/>
    <col min="13573" max="13573" width="15.85546875" style="262" bestFit="1" customWidth="1"/>
    <col min="13574" max="13574" width="14.7109375" style="262" bestFit="1" customWidth="1"/>
    <col min="13575" max="13575" width="15.85546875" style="262" bestFit="1" customWidth="1"/>
    <col min="13576" max="13576" width="14.7109375" style="262" bestFit="1" customWidth="1"/>
    <col min="13577" max="13577" width="15.85546875" style="262" bestFit="1" customWidth="1"/>
    <col min="13578" max="13578" width="4.7109375" style="262" bestFit="1" customWidth="1"/>
    <col min="13579" max="13824" width="9.140625" style="262"/>
    <col min="13825" max="13826" width="14.7109375" style="262" bestFit="1" customWidth="1"/>
    <col min="13827" max="13827" width="15.85546875" style="262" bestFit="1" customWidth="1"/>
    <col min="13828" max="13828" width="14.7109375" style="262" bestFit="1" customWidth="1"/>
    <col min="13829" max="13829" width="15.85546875" style="262" bestFit="1" customWidth="1"/>
    <col min="13830" max="13830" width="14.7109375" style="262" bestFit="1" customWidth="1"/>
    <col min="13831" max="13831" width="15.85546875" style="262" bestFit="1" customWidth="1"/>
    <col min="13832" max="13832" width="14.7109375" style="262" bestFit="1" customWidth="1"/>
    <col min="13833" max="13833" width="15.85546875" style="262" bestFit="1" customWidth="1"/>
    <col min="13834" max="13834" width="4.7109375" style="262" bestFit="1" customWidth="1"/>
    <col min="13835" max="14080" width="9.140625" style="262"/>
    <col min="14081" max="14082" width="14.7109375" style="262" bestFit="1" customWidth="1"/>
    <col min="14083" max="14083" width="15.85546875" style="262" bestFit="1" customWidth="1"/>
    <col min="14084" max="14084" width="14.7109375" style="262" bestFit="1" customWidth="1"/>
    <col min="14085" max="14085" width="15.85546875" style="262" bestFit="1" customWidth="1"/>
    <col min="14086" max="14086" width="14.7109375" style="262" bestFit="1" customWidth="1"/>
    <col min="14087" max="14087" width="15.85546875" style="262" bestFit="1" customWidth="1"/>
    <col min="14088" max="14088" width="14.7109375" style="262" bestFit="1" customWidth="1"/>
    <col min="14089" max="14089" width="15.85546875" style="262" bestFit="1" customWidth="1"/>
    <col min="14090" max="14090" width="4.7109375" style="262" bestFit="1" customWidth="1"/>
    <col min="14091" max="14336" width="9.140625" style="262"/>
    <col min="14337" max="14338" width="14.7109375" style="262" bestFit="1" customWidth="1"/>
    <col min="14339" max="14339" width="15.85546875" style="262" bestFit="1" customWidth="1"/>
    <col min="14340" max="14340" width="14.7109375" style="262" bestFit="1" customWidth="1"/>
    <col min="14341" max="14341" width="15.85546875" style="262" bestFit="1" customWidth="1"/>
    <col min="14342" max="14342" width="14.7109375" style="262" bestFit="1" customWidth="1"/>
    <col min="14343" max="14343" width="15.85546875" style="262" bestFit="1" customWidth="1"/>
    <col min="14344" max="14344" width="14.7109375" style="262" bestFit="1" customWidth="1"/>
    <col min="14345" max="14345" width="15.85546875" style="262" bestFit="1" customWidth="1"/>
    <col min="14346" max="14346" width="4.7109375" style="262" bestFit="1" customWidth="1"/>
    <col min="14347" max="14592" width="9.140625" style="262"/>
    <col min="14593" max="14594" width="14.7109375" style="262" bestFit="1" customWidth="1"/>
    <col min="14595" max="14595" width="15.85546875" style="262" bestFit="1" customWidth="1"/>
    <col min="14596" max="14596" width="14.7109375" style="262" bestFit="1" customWidth="1"/>
    <col min="14597" max="14597" width="15.85546875" style="262" bestFit="1" customWidth="1"/>
    <col min="14598" max="14598" width="14.7109375" style="262" bestFit="1" customWidth="1"/>
    <col min="14599" max="14599" width="15.85546875" style="262" bestFit="1" customWidth="1"/>
    <col min="14600" max="14600" width="14.7109375" style="262" bestFit="1" customWidth="1"/>
    <col min="14601" max="14601" width="15.85546875" style="262" bestFit="1" customWidth="1"/>
    <col min="14602" max="14602" width="4.7109375" style="262" bestFit="1" customWidth="1"/>
    <col min="14603" max="14848" width="9.140625" style="262"/>
    <col min="14849" max="14850" width="14.7109375" style="262" bestFit="1" customWidth="1"/>
    <col min="14851" max="14851" width="15.85546875" style="262" bestFit="1" customWidth="1"/>
    <col min="14852" max="14852" width="14.7109375" style="262" bestFit="1" customWidth="1"/>
    <col min="14853" max="14853" width="15.85546875" style="262" bestFit="1" customWidth="1"/>
    <col min="14854" max="14854" width="14.7109375" style="262" bestFit="1" customWidth="1"/>
    <col min="14855" max="14855" width="15.85546875" style="262" bestFit="1" customWidth="1"/>
    <col min="14856" max="14856" width="14.7109375" style="262" bestFit="1" customWidth="1"/>
    <col min="14857" max="14857" width="15.85546875" style="262" bestFit="1" customWidth="1"/>
    <col min="14858" max="14858" width="4.7109375" style="262" bestFit="1" customWidth="1"/>
    <col min="14859" max="15104" width="9.140625" style="262"/>
    <col min="15105" max="15106" width="14.7109375" style="262" bestFit="1" customWidth="1"/>
    <col min="15107" max="15107" width="15.85546875" style="262" bestFit="1" customWidth="1"/>
    <col min="15108" max="15108" width="14.7109375" style="262" bestFit="1" customWidth="1"/>
    <col min="15109" max="15109" width="15.85546875" style="262" bestFit="1" customWidth="1"/>
    <col min="15110" max="15110" width="14.7109375" style="262" bestFit="1" customWidth="1"/>
    <col min="15111" max="15111" width="15.85546875" style="262" bestFit="1" customWidth="1"/>
    <col min="15112" max="15112" width="14.7109375" style="262" bestFit="1" customWidth="1"/>
    <col min="15113" max="15113" width="15.85546875" style="262" bestFit="1" customWidth="1"/>
    <col min="15114" max="15114" width="4.7109375" style="262" bestFit="1" customWidth="1"/>
    <col min="15115" max="15360" width="9.140625" style="262"/>
    <col min="15361" max="15362" width="14.7109375" style="262" bestFit="1" customWidth="1"/>
    <col min="15363" max="15363" width="15.85546875" style="262" bestFit="1" customWidth="1"/>
    <col min="15364" max="15364" width="14.7109375" style="262" bestFit="1" customWidth="1"/>
    <col min="15365" max="15365" width="15.85546875" style="262" bestFit="1" customWidth="1"/>
    <col min="15366" max="15366" width="14.7109375" style="262" bestFit="1" customWidth="1"/>
    <col min="15367" max="15367" width="15.85546875" style="262" bestFit="1" customWidth="1"/>
    <col min="15368" max="15368" width="14.7109375" style="262" bestFit="1" customWidth="1"/>
    <col min="15369" max="15369" width="15.85546875" style="262" bestFit="1" customWidth="1"/>
    <col min="15370" max="15370" width="4.7109375" style="262" bestFit="1" customWidth="1"/>
    <col min="15371" max="15616" width="9.140625" style="262"/>
    <col min="15617" max="15618" width="14.7109375" style="262" bestFit="1" customWidth="1"/>
    <col min="15619" max="15619" width="15.85546875" style="262" bestFit="1" customWidth="1"/>
    <col min="15620" max="15620" width="14.7109375" style="262" bestFit="1" customWidth="1"/>
    <col min="15621" max="15621" width="15.85546875" style="262" bestFit="1" customWidth="1"/>
    <col min="15622" max="15622" width="14.7109375" style="262" bestFit="1" customWidth="1"/>
    <col min="15623" max="15623" width="15.85546875" style="262" bestFit="1" customWidth="1"/>
    <col min="15624" max="15624" width="14.7109375" style="262" bestFit="1" customWidth="1"/>
    <col min="15625" max="15625" width="15.85546875" style="262" bestFit="1" customWidth="1"/>
    <col min="15626" max="15626" width="4.7109375" style="262" bestFit="1" customWidth="1"/>
    <col min="15627" max="15872" width="9.140625" style="262"/>
    <col min="15873" max="15874" width="14.7109375" style="262" bestFit="1" customWidth="1"/>
    <col min="15875" max="15875" width="15.85546875" style="262" bestFit="1" customWidth="1"/>
    <col min="15876" max="15876" width="14.7109375" style="262" bestFit="1" customWidth="1"/>
    <col min="15877" max="15877" width="15.85546875" style="262" bestFit="1" customWidth="1"/>
    <col min="15878" max="15878" width="14.7109375" style="262" bestFit="1" customWidth="1"/>
    <col min="15879" max="15879" width="15.85546875" style="262" bestFit="1" customWidth="1"/>
    <col min="15880" max="15880" width="14.7109375" style="262" bestFit="1" customWidth="1"/>
    <col min="15881" max="15881" width="15.85546875" style="262" bestFit="1" customWidth="1"/>
    <col min="15882" max="15882" width="4.7109375" style="262" bestFit="1" customWidth="1"/>
    <col min="15883" max="16128" width="9.140625" style="262"/>
    <col min="16129" max="16130" width="14.7109375" style="262" bestFit="1" customWidth="1"/>
    <col min="16131" max="16131" width="15.85546875" style="262" bestFit="1" customWidth="1"/>
    <col min="16132" max="16132" width="14.7109375" style="262" bestFit="1" customWidth="1"/>
    <col min="16133" max="16133" width="15.85546875" style="262" bestFit="1" customWidth="1"/>
    <col min="16134" max="16134" width="14.7109375" style="262" bestFit="1" customWidth="1"/>
    <col min="16135" max="16135" width="15.85546875" style="262" bestFit="1" customWidth="1"/>
    <col min="16136" max="16136" width="14.7109375" style="262" bestFit="1" customWidth="1"/>
    <col min="16137" max="16137" width="15.85546875" style="262" bestFit="1" customWidth="1"/>
    <col min="16138" max="16138" width="4.7109375" style="262" bestFit="1" customWidth="1"/>
    <col min="16139" max="16384" width="9.140625" style="262"/>
  </cols>
  <sheetData>
    <row r="1" spans="1:9" ht="15.75" customHeight="1" x14ac:dyDescent="0.2">
      <c r="A1" s="390" t="s">
        <v>14</v>
      </c>
      <c r="B1" s="390"/>
      <c r="C1" s="390"/>
      <c r="D1" s="390"/>
      <c r="E1" s="390"/>
      <c r="F1" s="390"/>
      <c r="G1" s="390"/>
      <c r="H1" s="390"/>
      <c r="I1" s="390"/>
    </row>
    <row r="2" spans="1:9" s="265" customFormat="1" ht="18" customHeight="1" x14ac:dyDescent="0.2">
      <c r="A2" s="391" t="s">
        <v>250</v>
      </c>
      <c r="B2" s="369" t="s">
        <v>244</v>
      </c>
      <c r="C2" s="370"/>
      <c r="D2" s="369" t="s">
        <v>245</v>
      </c>
      <c r="E2" s="370"/>
      <c r="F2" s="369" t="s">
        <v>247</v>
      </c>
      <c r="G2" s="370"/>
      <c r="H2" s="369" t="s">
        <v>253</v>
      </c>
      <c r="I2" s="370"/>
    </row>
    <row r="3" spans="1:9" s="265" customFormat="1" ht="27" customHeight="1" x14ac:dyDescent="0.2">
      <c r="A3" s="392"/>
      <c r="B3" s="286" t="s">
        <v>254</v>
      </c>
      <c r="C3" s="287" t="s">
        <v>237</v>
      </c>
      <c r="D3" s="286" t="s">
        <v>254</v>
      </c>
      <c r="E3" s="287" t="s">
        <v>238</v>
      </c>
      <c r="F3" s="286" t="s">
        <v>254</v>
      </c>
      <c r="G3" s="287" t="s">
        <v>238</v>
      </c>
      <c r="H3" s="286" t="s">
        <v>254</v>
      </c>
      <c r="I3" s="287" t="s">
        <v>238</v>
      </c>
    </row>
    <row r="4" spans="1:9" s="265" customFormat="1" ht="18" customHeight="1" x14ac:dyDescent="0.2">
      <c r="A4" s="266" t="s">
        <v>69</v>
      </c>
      <c r="B4" s="297">
        <v>721</v>
      </c>
      <c r="C4" s="290">
        <v>170834.77</v>
      </c>
      <c r="D4" s="297">
        <v>1812</v>
      </c>
      <c r="E4" s="290">
        <v>234614.24</v>
      </c>
      <c r="F4" s="297">
        <v>173</v>
      </c>
      <c r="G4" s="290">
        <v>193698</v>
      </c>
      <c r="H4" s="297">
        <v>2706</v>
      </c>
      <c r="I4" s="290">
        <v>599147.01</v>
      </c>
    </row>
    <row r="5" spans="1:9" s="265" customFormat="1" ht="18" customHeight="1" x14ac:dyDescent="0.2">
      <c r="A5" s="266" t="s">
        <v>70</v>
      </c>
      <c r="B5" s="297">
        <v>479</v>
      </c>
      <c r="C5" s="290">
        <v>177592.58790000001</v>
      </c>
      <c r="D5" s="297">
        <v>1703</v>
      </c>
      <c r="E5" s="290">
        <v>247190.35226000001</v>
      </c>
      <c r="F5" s="297">
        <v>176</v>
      </c>
      <c r="G5" s="290">
        <v>185274.02249999999</v>
      </c>
      <c r="H5" s="297">
        <v>2358</v>
      </c>
      <c r="I5" s="290">
        <v>579424.55266000004</v>
      </c>
    </row>
    <row r="6" spans="1:9" s="265" customFormat="1" ht="18" customHeight="1" x14ac:dyDescent="0.2">
      <c r="A6" s="266" t="s">
        <v>156</v>
      </c>
      <c r="B6" s="297">
        <v>42</v>
      </c>
      <c r="C6" s="283">
        <v>18516.740000000002</v>
      </c>
      <c r="D6" s="297">
        <v>214</v>
      </c>
      <c r="E6" s="283">
        <v>31435</v>
      </c>
      <c r="F6" s="297">
        <v>16</v>
      </c>
      <c r="G6" s="283">
        <v>16187</v>
      </c>
      <c r="H6" s="297">
        <v>272</v>
      </c>
      <c r="I6" s="283">
        <v>66138.740000000005</v>
      </c>
    </row>
    <row r="7" spans="1:9" s="265" customFormat="1" ht="18" customHeight="1" x14ac:dyDescent="0.2">
      <c r="A7" s="266" t="s">
        <v>157</v>
      </c>
      <c r="B7" s="297">
        <v>15</v>
      </c>
      <c r="C7" s="283">
        <v>1924</v>
      </c>
      <c r="D7" s="297">
        <v>104</v>
      </c>
      <c r="E7" s="283">
        <v>7114.98</v>
      </c>
      <c r="F7" s="297">
        <v>3</v>
      </c>
      <c r="G7" s="283">
        <v>1500</v>
      </c>
      <c r="H7" s="297">
        <v>122</v>
      </c>
      <c r="I7" s="283">
        <v>10538.98</v>
      </c>
    </row>
    <row r="8" spans="1:9" s="265" customFormat="1" ht="18" customHeight="1" x14ac:dyDescent="0.2">
      <c r="A8" s="266" t="s">
        <v>158</v>
      </c>
      <c r="B8" s="297">
        <v>33</v>
      </c>
      <c r="C8" s="283">
        <v>11031.46</v>
      </c>
      <c r="D8" s="297">
        <v>92</v>
      </c>
      <c r="E8" s="283">
        <v>7838.36</v>
      </c>
      <c r="F8" s="297">
        <v>9</v>
      </c>
      <c r="G8" s="283">
        <v>4863.5</v>
      </c>
      <c r="H8" s="297">
        <v>134</v>
      </c>
      <c r="I8" s="283">
        <v>23733.32</v>
      </c>
    </row>
    <row r="9" spans="1:9" s="265" customFormat="1" ht="18" customHeight="1" x14ac:dyDescent="0.2">
      <c r="A9" s="266" t="s">
        <v>159</v>
      </c>
      <c r="B9" s="297">
        <v>48</v>
      </c>
      <c r="C9" s="283">
        <v>11555.75</v>
      </c>
      <c r="D9" s="297">
        <v>161</v>
      </c>
      <c r="E9" s="283">
        <v>19076.66</v>
      </c>
      <c r="F9" s="297">
        <v>12</v>
      </c>
      <c r="G9" s="283">
        <v>1319.4</v>
      </c>
      <c r="H9" s="297">
        <v>221</v>
      </c>
      <c r="I9" s="283">
        <v>1319.4</v>
      </c>
    </row>
    <row r="10" spans="1:9" s="265" customFormat="1" ht="18" customHeight="1" x14ac:dyDescent="0.2">
      <c r="A10" s="266" t="s">
        <v>160</v>
      </c>
      <c r="B10" s="297">
        <v>48</v>
      </c>
      <c r="C10" s="283">
        <v>11382.65</v>
      </c>
      <c r="D10" s="297">
        <v>159</v>
      </c>
      <c r="E10" s="283">
        <v>17721.12</v>
      </c>
      <c r="F10" s="297">
        <v>13</v>
      </c>
      <c r="G10" s="283">
        <v>7812.3</v>
      </c>
      <c r="H10" s="297">
        <v>220</v>
      </c>
      <c r="I10" s="283">
        <v>36916.07</v>
      </c>
    </row>
    <row r="11" spans="1:9" s="265" customFormat="1" ht="18" customHeight="1" x14ac:dyDescent="0.2">
      <c r="A11" s="266" t="s">
        <v>161</v>
      </c>
      <c r="B11" s="297">
        <v>45</v>
      </c>
      <c r="C11" s="283">
        <v>10823.91</v>
      </c>
      <c r="D11" s="297">
        <v>152</v>
      </c>
      <c r="E11" s="283">
        <v>19543.599999999999</v>
      </c>
      <c r="F11" s="297">
        <v>7</v>
      </c>
      <c r="G11" s="283">
        <v>1434.2</v>
      </c>
      <c r="H11" s="297">
        <v>204</v>
      </c>
      <c r="I11" s="283">
        <v>31801.71</v>
      </c>
    </row>
    <row r="12" spans="1:9" s="265" customFormat="1" ht="18" customHeight="1" x14ac:dyDescent="0.2">
      <c r="A12" s="266" t="s">
        <v>162</v>
      </c>
      <c r="B12" s="297">
        <v>31</v>
      </c>
      <c r="C12" s="283">
        <v>11145.59</v>
      </c>
      <c r="D12" s="297">
        <v>116</v>
      </c>
      <c r="E12" s="283">
        <v>5589.39</v>
      </c>
      <c r="F12" s="297">
        <v>8</v>
      </c>
      <c r="G12" s="283">
        <v>15159</v>
      </c>
      <c r="H12" s="297">
        <v>155</v>
      </c>
      <c r="I12" s="283">
        <v>31893.98</v>
      </c>
    </row>
    <row r="13" spans="1:9" s="265" customFormat="1" ht="18" customHeight="1" x14ac:dyDescent="0.2">
      <c r="A13" s="266" t="s">
        <v>163</v>
      </c>
      <c r="B13" s="297">
        <v>34</v>
      </c>
      <c r="C13" s="283">
        <v>16814.55</v>
      </c>
      <c r="D13" s="297">
        <v>104</v>
      </c>
      <c r="E13" s="283">
        <v>18366.16</v>
      </c>
      <c r="F13" s="297">
        <v>20</v>
      </c>
      <c r="G13" s="283">
        <v>20034.099999999999</v>
      </c>
      <c r="H13" s="297">
        <v>158</v>
      </c>
      <c r="I13" s="283">
        <v>55214.81</v>
      </c>
    </row>
    <row r="14" spans="1:9" s="265" customFormat="1" ht="18" customHeight="1" x14ac:dyDescent="0.2">
      <c r="A14" s="266" t="s">
        <v>164</v>
      </c>
      <c r="B14" s="297">
        <v>52</v>
      </c>
      <c r="C14" s="283">
        <v>28334.722000000002</v>
      </c>
      <c r="D14" s="297">
        <v>109</v>
      </c>
      <c r="E14" s="283">
        <v>25663.85</v>
      </c>
      <c r="F14" s="297">
        <v>24</v>
      </c>
      <c r="G14" s="283">
        <v>30926.5</v>
      </c>
      <c r="H14" s="297">
        <v>185</v>
      </c>
      <c r="I14" s="283">
        <v>84925.072</v>
      </c>
    </row>
    <row r="15" spans="1:9" s="265" customFormat="1" ht="18" customHeight="1" x14ac:dyDescent="0.2">
      <c r="A15" s="266" t="s">
        <v>165</v>
      </c>
      <c r="B15" s="297">
        <v>59</v>
      </c>
      <c r="C15" s="283">
        <v>18057</v>
      </c>
      <c r="D15" s="297">
        <v>192</v>
      </c>
      <c r="E15" s="283">
        <v>33432.89</v>
      </c>
      <c r="F15" s="297">
        <v>33</v>
      </c>
      <c r="G15" s="283">
        <v>32097.328000000001</v>
      </c>
      <c r="H15" s="297">
        <v>284</v>
      </c>
      <c r="I15" s="283">
        <v>83587.217999999993</v>
      </c>
    </row>
    <row r="16" spans="1:9" s="265" customFormat="1" ht="18" customHeight="1" x14ac:dyDescent="0.2">
      <c r="A16" s="266" t="s">
        <v>166</v>
      </c>
      <c r="B16" s="297">
        <v>29</v>
      </c>
      <c r="C16" s="283">
        <v>13113.615900000001</v>
      </c>
      <c r="D16" s="297">
        <v>140</v>
      </c>
      <c r="E16" s="283">
        <v>16589.472259999999</v>
      </c>
      <c r="F16" s="297">
        <v>14</v>
      </c>
      <c r="G16" s="283">
        <v>9595.3945000000003</v>
      </c>
      <c r="H16" s="297">
        <v>183</v>
      </c>
      <c r="I16" s="283">
        <v>39298.482660000001</v>
      </c>
    </row>
    <row r="17" spans="1:9" s="265" customFormat="1" ht="18" customHeight="1" x14ac:dyDescent="0.2">
      <c r="A17" s="266" t="s">
        <v>167</v>
      </c>
      <c r="B17" s="297">
        <v>43</v>
      </c>
      <c r="C17" s="283">
        <v>24892.6</v>
      </c>
      <c r="D17" s="297">
        <v>160</v>
      </c>
      <c r="E17" s="283">
        <v>44818.87</v>
      </c>
      <c r="F17" s="297">
        <v>17</v>
      </c>
      <c r="G17" s="283">
        <v>44345.3</v>
      </c>
      <c r="H17" s="297">
        <v>220</v>
      </c>
      <c r="I17" s="290">
        <v>114056.77</v>
      </c>
    </row>
    <row r="18" spans="1:9" s="265" customFormat="1" ht="15" customHeight="1" x14ac:dyDescent="0.2">
      <c r="A18" s="353" t="s">
        <v>255</v>
      </c>
      <c r="B18" s="353"/>
    </row>
    <row r="19" spans="1:9" s="265" customFormat="1" ht="13.5" customHeight="1" x14ac:dyDescent="0.2">
      <c r="A19" s="353" t="s">
        <v>256</v>
      </c>
      <c r="B19" s="353"/>
    </row>
    <row r="20" spans="1:9" s="265" customFormat="1" ht="27.6" customHeight="1" x14ac:dyDescent="0.2"/>
  </sheetData>
  <mergeCells count="8">
    <mergeCell ref="A18:B18"/>
    <mergeCell ref="A19:B19"/>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rgb="FFFFFF00"/>
    <pageSetUpPr fitToPage="1"/>
  </sheetPr>
  <dimension ref="A1:J20"/>
  <sheetViews>
    <sheetView workbookViewId="0">
      <selection activeCell="I4" sqref="I4:J4"/>
    </sheetView>
  </sheetViews>
  <sheetFormatPr defaultRowHeight="12.75" x14ac:dyDescent="0.2"/>
  <cols>
    <col min="1" max="2" width="14.7109375" style="262" bestFit="1" customWidth="1"/>
    <col min="3" max="3" width="19.42578125" style="262" bestFit="1" customWidth="1"/>
    <col min="4" max="4" width="14.7109375" style="262" bestFit="1" customWidth="1"/>
    <col min="5" max="5" width="19.42578125" style="262" bestFit="1" customWidth="1"/>
    <col min="6" max="6" width="7.42578125" style="262" bestFit="1" customWidth="1"/>
    <col min="7" max="7" width="16.7109375" style="262" bestFit="1" customWidth="1"/>
    <col min="8" max="8" width="9.7109375" style="262" bestFit="1" customWidth="1"/>
    <col min="9" max="9" width="2.7109375" style="262" bestFit="1" customWidth="1"/>
    <col min="10" max="10" width="13.28515625" style="262" bestFit="1" customWidth="1"/>
    <col min="11" max="11" width="4.7109375" style="262" bestFit="1" customWidth="1"/>
    <col min="12" max="256" width="9.140625" style="262"/>
    <col min="257" max="258" width="14.7109375" style="262" bestFit="1" customWidth="1"/>
    <col min="259" max="259" width="19.42578125" style="262" bestFit="1" customWidth="1"/>
    <col min="260" max="260" width="14.7109375" style="262" bestFit="1" customWidth="1"/>
    <col min="261" max="261" width="19.42578125" style="262" bestFit="1" customWidth="1"/>
    <col min="262" max="262" width="7.42578125" style="262" bestFit="1" customWidth="1"/>
    <col min="263" max="263" width="16.7109375" style="262" bestFit="1" customWidth="1"/>
    <col min="264" max="264" width="9.7109375" style="262" bestFit="1" customWidth="1"/>
    <col min="265" max="265" width="2.7109375" style="262" bestFit="1" customWidth="1"/>
    <col min="266" max="266" width="13.28515625" style="262" bestFit="1" customWidth="1"/>
    <col min="267" max="267" width="4.7109375" style="262" bestFit="1" customWidth="1"/>
    <col min="268" max="512" width="9.140625" style="262"/>
    <col min="513" max="514" width="14.7109375" style="262" bestFit="1" customWidth="1"/>
    <col min="515" max="515" width="19.42578125" style="262" bestFit="1" customWidth="1"/>
    <col min="516" max="516" width="14.7109375" style="262" bestFit="1" customWidth="1"/>
    <col min="517" max="517" width="19.42578125" style="262" bestFit="1" customWidth="1"/>
    <col min="518" max="518" width="7.42578125" style="262" bestFit="1" customWidth="1"/>
    <col min="519" max="519" width="16.7109375" style="262" bestFit="1" customWidth="1"/>
    <col min="520" max="520" width="9.7109375" style="262" bestFit="1" customWidth="1"/>
    <col min="521" max="521" width="2.7109375" style="262" bestFit="1" customWidth="1"/>
    <col min="522" max="522" width="13.28515625" style="262" bestFit="1" customWidth="1"/>
    <col min="523" max="523" width="4.7109375" style="262" bestFit="1" customWidth="1"/>
    <col min="524" max="768" width="9.140625" style="262"/>
    <col min="769" max="770" width="14.7109375" style="262" bestFit="1" customWidth="1"/>
    <col min="771" max="771" width="19.42578125" style="262" bestFit="1" customWidth="1"/>
    <col min="772" max="772" width="14.7109375" style="262" bestFit="1" customWidth="1"/>
    <col min="773" max="773" width="19.42578125" style="262" bestFit="1" customWidth="1"/>
    <col min="774" max="774" width="7.42578125" style="262" bestFit="1" customWidth="1"/>
    <col min="775" max="775" width="16.7109375" style="262" bestFit="1" customWidth="1"/>
    <col min="776" max="776" width="9.7109375" style="262" bestFit="1" customWidth="1"/>
    <col min="777" max="777" width="2.7109375" style="262" bestFit="1" customWidth="1"/>
    <col min="778" max="778" width="13.28515625" style="262" bestFit="1" customWidth="1"/>
    <col min="779" max="779" width="4.7109375" style="262" bestFit="1" customWidth="1"/>
    <col min="780" max="1024" width="9.140625" style="262"/>
    <col min="1025" max="1026" width="14.7109375" style="262" bestFit="1" customWidth="1"/>
    <col min="1027" max="1027" width="19.42578125" style="262" bestFit="1" customWidth="1"/>
    <col min="1028" max="1028" width="14.7109375" style="262" bestFit="1" customWidth="1"/>
    <col min="1029" max="1029" width="19.42578125" style="262" bestFit="1" customWidth="1"/>
    <col min="1030" max="1030" width="7.42578125" style="262" bestFit="1" customWidth="1"/>
    <col min="1031" max="1031" width="16.7109375" style="262" bestFit="1" customWidth="1"/>
    <col min="1032" max="1032" width="9.7109375" style="262" bestFit="1" customWidth="1"/>
    <col min="1033" max="1033" width="2.7109375" style="262" bestFit="1" customWidth="1"/>
    <col min="1034" max="1034" width="13.28515625" style="262" bestFit="1" customWidth="1"/>
    <col min="1035" max="1035" width="4.7109375" style="262" bestFit="1" customWidth="1"/>
    <col min="1036" max="1280" width="9.140625" style="262"/>
    <col min="1281" max="1282" width="14.7109375" style="262" bestFit="1" customWidth="1"/>
    <col min="1283" max="1283" width="19.42578125" style="262" bestFit="1" customWidth="1"/>
    <col min="1284" max="1284" width="14.7109375" style="262" bestFit="1" customWidth="1"/>
    <col min="1285" max="1285" width="19.42578125" style="262" bestFit="1" customWidth="1"/>
    <col min="1286" max="1286" width="7.42578125" style="262" bestFit="1" customWidth="1"/>
    <col min="1287" max="1287" width="16.7109375" style="262" bestFit="1" customWidth="1"/>
    <col min="1288" max="1288" width="9.7109375" style="262" bestFit="1" customWidth="1"/>
    <col min="1289" max="1289" width="2.7109375" style="262" bestFit="1" customWidth="1"/>
    <col min="1290" max="1290" width="13.28515625" style="262" bestFit="1" customWidth="1"/>
    <col min="1291" max="1291" width="4.7109375" style="262" bestFit="1" customWidth="1"/>
    <col min="1292" max="1536" width="9.140625" style="262"/>
    <col min="1537" max="1538" width="14.7109375" style="262" bestFit="1" customWidth="1"/>
    <col min="1539" max="1539" width="19.42578125" style="262" bestFit="1" customWidth="1"/>
    <col min="1540" max="1540" width="14.7109375" style="262" bestFit="1" customWidth="1"/>
    <col min="1541" max="1541" width="19.42578125" style="262" bestFit="1" customWidth="1"/>
    <col min="1542" max="1542" width="7.42578125" style="262" bestFit="1" customWidth="1"/>
    <col min="1543" max="1543" width="16.7109375" style="262" bestFit="1" customWidth="1"/>
    <col min="1544" max="1544" width="9.7109375" style="262" bestFit="1" customWidth="1"/>
    <col min="1545" max="1545" width="2.7109375" style="262" bestFit="1" customWidth="1"/>
    <col min="1546" max="1546" width="13.28515625" style="262" bestFit="1" customWidth="1"/>
    <col min="1547" max="1547" width="4.7109375" style="262" bestFit="1" customWidth="1"/>
    <col min="1548" max="1792" width="9.140625" style="262"/>
    <col min="1793" max="1794" width="14.7109375" style="262" bestFit="1" customWidth="1"/>
    <col min="1795" max="1795" width="19.42578125" style="262" bestFit="1" customWidth="1"/>
    <col min="1796" max="1796" width="14.7109375" style="262" bestFit="1" customWidth="1"/>
    <col min="1797" max="1797" width="19.42578125" style="262" bestFit="1" customWidth="1"/>
    <col min="1798" max="1798" width="7.42578125" style="262" bestFit="1" customWidth="1"/>
    <col min="1799" max="1799" width="16.7109375" style="262" bestFit="1" customWidth="1"/>
    <col min="1800" max="1800" width="9.7109375" style="262" bestFit="1" customWidth="1"/>
    <col min="1801" max="1801" width="2.7109375" style="262" bestFit="1" customWidth="1"/>
    <col min="1802" max="1802" width="13.28515625" style="262" bestFit="1" customWidth="1"/>
    <col min="1803" max="1803" width="4.7109375" style="262" bestFit="1" customWidth="1"/>
    <col min="1804" max="2048" width="9.140625" style="262"/>
    <col min="2049" max="2050" width="14.7109375" style="262" bestFit="1" customWidth="1"/>
    <col min="2051" max="2051" width="19.42578125" style="262" bestFit="1" customWidth="1"/>
    <col min="2052" max="2052" width="14.7109375" style="262" bestFit="1" customWidth="1"/>
    <col min="2053" max="2053" width="19.42578125" style="262" bestFit="1" customWidth="1"/>
    <col min="2054" max="2054" width="7.42578125" style="262" bestFit="1" customWidth="1"/>
    <col min="2055" max="2055" width="16.7109375" style="262" bestFit="1" customWidth="1"/>
    <col min="2056" max="2056" width="9.7109375" style="262" bestFit="1" customWidth="1"/>
    <col min="2057" max="2057" width="2.7109375" style="262" bestFit="1" customWidth="1"/>
    <col min="2058" max="2058" width="13.28515625" style="262" bestFit="1" customWidth="1"/>
    <col min="2059" max="2059" width="4.7109375" style="262" bestFit="1" customWidth="1"/>
    <col min="2060" max="2304" width="9.140625" style="262"/>
    <col min="2305" max="2306" width="14.7109375" style="262" bestFit="1" customWidth="1"/>
    <col min="2307" max="2307" width="19.42578125" style="262" bestFit="1" customWidth="1"/>
    <col min="2308" max="2308" width="14.7109375" style="262" bestFit="1" customWidth="1"/>
    <col min="2309" max="2309" width="19.42578125" style="262" bestFit="1" customWidth="1"/>
    <col min="2310" max="2310" width="7.42578125" style="262" bestFit="1" customWidth="1"/>
    <col min="2311" max="2311" width="16.7109375" style="262" bestFit="1" customWidth="1"/>
    <col min="2312" max="2312" width="9.7109375" style="262" bestFit="1" customWidth="1"/>
    <col min="2313" max="2313" width="2.7109375" style="262" bestFit="1" customWidth="1"/>
    <col min="2314" max="2314" width="13.28515625" style="262" bestFit="1" customWidth="1"/>
    <col min="2315" max="2315" width="4.7109375" style="262" bestFit="1" customWidth="1"/>
    <col min="2316" max="2560" width="9.140625" style="262"/>
    <col min="2561" max="2562" width="14.7109375" style="262" bestFit="1" customWidth="1"/>
    <col min="2563" max="2563" width="19.42578125" style="262" bestFit="1" customWidth="1"/>
    <col min="2564" max="2564" width="14.7109375" style="262" bestFit="1" customWidth="1"/>
    <col min="2565" max="2565" width="19.42578125" style="262" bestFit="1" customWidth="1"/>
    <col min="2566" max="2566" width="7.42578125" style="262" bestFit="1" customWidth="1"/>
    <col min="2567" max="2567" width="16.7109375" style="262" bestFit="1" customWidth="1"/>
    <col min="2568" max="2568" width="9.7109375" style="262" bestFit="1" customWidth="1"/>
    <col min="2569" max="2569" width="2.7109375" style="262" bestFit="1" customWidth="1"/>
    <col min="2570" max="2570" width="13.28515625" style="262" bestFit="1" customWidth="1"/>
    <col min="2571" max="2571" width="4.7109375" style="262" bestFit="1" customWidth="1"/>
    <col min="2572" max="2816" width="9.140625" style="262"/>
    <col min="2817" max="2818" width="14.7109375" style="262" bestFit="1" customWidth="1"/>
    <col min="2819" max="2819" width="19.42578125" style="262" bestFit="1" customWidth="1"/>
    <col min="2820" max="2820" width="14.7109375" style="262" bestFit="1" customWidth="1"/>
    <col min="2821" max="2821" width="19.42578125" style="262" bestFit="1" customWidth="1"/>
    <col min="2822" max="2822" width="7.42578125" style="262" bestFit="1" customWidth="1"/>
    <col min="2823" max="2823" width="16.7109375" style="262" bestFit="1" customWidth="1"/>
    <col min="2824" max="2824" width="9.7109375" style="262" bestFit="1" customWidth="1"/>
    <col min="2825" max="2825" width="2.7109375" style="262" bestFit="1" customWidth="1"/>
    <col min="2826" max="2826" width="13.28515625" style="262" bestFit="1" customWidth="1"/>
    <col min="2827" max="2827" width="4.7109375" style="262" bestFit="1" customWidth="1"/>
    <col min="2828" max="3072" width="9.140625" style="262"/>
    <col min="3073" max="3074" width="14.7109375" style="262" bestFit="1" customWidth="1"/>
    <col min="3075" max="3075" width="19.42578125" style="262" bestFit="1" customWidth="1"/>
    <col min="3076" max="3076" width="14.7109375" style="262" bestFit="1" customWidth="1"/>
    <col min="3077" max="3077" width="19.42578125" style="262" bestFit="1" customWidth="1"/>
    <col min="3078" max="3078" width="7.42578125" style="262" bestFit="1" customWidth="1"/>
    <col min="3079" max="3079" width="16.7109375" style="262" bestFit="1" customWidth="1"/>
    <col min="3080" max="3080" width="9.7109375" style="262" bestFit="1" customWidth="1"/>
    <col min="3081" max="3081" width="2.7109375" style="262" bestFit="1" customWidth="1"/>
    <col min="3082" max="3082" width="13.28515625" style="262" bestFit="1" customWidth="1"/>
    <col min="3083" max="3083" width="4.7109375" style="262" bestFit="1" customWidth="1"/>
    <col min="3084" max="3328" width="9.140625" style="262"/>
    <col min="3329" max="3330" width="14.7109375" style="262" bestFit="1" customWidth="1"/>
    <col min="3331" max="3331" width="19.42578125" style="262" bestFit="1" customWidth="1"/>
    <col min="3332" max="3332" width="14.7109375" style="262" bestFit="1" customWidth="1"/>
    <col min="3333" max="3333" width="19.42578125" style="262" bestFit="1" customWidth="1"/>
    <col min="3334" max="3334" width="7.42578125" style="262" bestFit="1" customWidth="1"/>
    <col min="3335" max="3335" width="16.7109375" style="262" bestFit="1" customWidth="1"/>
    <col min="3336" max="3336" width="9.7109375" style="262" bestFit="1" customWidth="1"/>
    <col min="3337" max="3337" width="2.7109375" style="262" bestFit="1" customWidth="1"/>
    <col min="3338" max="3338" width="13.28515625" style="262" bestFit="1" customWidth="1"/>
    <col min="3339" max="3339" width="4.7109375" style="262" bestFit="1" customWidth="1"/>
    <col min="3340" max="3584" width="9.140625" style="262"/>
    <col min="3585" max="3586" width="14.7109375" style="262" bestFit="1" customWidth="1"/>
    <col min="3587" max="3587" width="19.42578125" style="262" bestFit="1" customWidth="1"/>
    <col min="3588" max="3588" width="14.7109375" style="262" bestFit="1" customWidth="1"/>
    <col min="3589" max="3589" width="19.42578125" style="262" bestFit="1" customWidth="1"/>
    <col min="3590" max="3590" width="7.42578125" style="262" bestFit="1" customWidth="1"/>
    <col min="3591" max="3591" width="16.7109375" style="262" bestFit="1" customWidth="1"/>
    <col min="3592" max="3592" width="9.7109375" style="262" bestFit="1" customWidth="1"/>
    <col min="3593" max="3593" width="2.7109375" style="262" bestFit="1" customWidth="1"/>
    <col min="3594" max="3594" width="13.28515625" style="262" bestFit="1" customWidth="1"/>
    <col min="3595" max="3595" width="4.7109375" style="262" bestFit="1" customWidth="1"/>
    <col min="3596" max="3840" width="9.140625" style="262"/>
    <col min="3841" max="3842" width="14.7109375" style="262" bestFit="1" customWidth="1"/>
    <col min="3843" max="3843" width="19.42578125" style="262" bestFit="1" customWidth="1"/>
    <col min="3844" max="3844" width="14.7109375" style="262" bestFit="1" customWidth="1"/>
    <col min="3845" max="3845" width="19.42578125" style="262" bestFit="1" customWidth="1"/>
    <col min="3846" max="3846" width="7.42578125" style="262" bestFit="1" customWidth="1"/>
    <col min="3847" max="3847" width="16.7109375" style="262" bestFit="1" customWidth="1"/>
    <col min="3848" max="3848" width="9.7109375" style="262" bestFit="1" customWidth="1"/>
    <col min="3849" max="3849" width="2.7109375" style="262" bestFit="1" customWidth="1"/>
    <col min="3850" max="3850" width="13.28515625" style="262" bestFit="1" customWidth="1"/>
    <col min="3851" max="3851" width="4.7109375" style="262" bestFit="1" customWidth="1"/>
    <col min="3852" max="4096" width="9.140625" style="262"/>
    <col min="4097" max="4098" width="14.7109375" style="262" bestFit="1" customWidth="1"/>
    <col min="4099" max="4099" width="19.42578125" style="262" bestFit="1" customWidth="1"/>
    <col min="4100" max="4100" width="14.7109375" style="262" bestFit="1" customWidth="1"/>
    <col min="4101" max="4101" width="19.42578125" style="262" bestFit="1" customWidth="1"/>
    <col min="4102" max="4102" width="7.42578125" style="262" bestFit="1" customWidth="1"/>
    <col min="4103" max="4103" width="16.7109375" style="262" bestFit="1" customWidth="1"/>
    <col min="4104" max="4104" width="9.7109375" style="262" bestFit="1" customWidth="1"/>
    <col min="4105" max="4105" width="2.7109375" style="262" bestFit="1" customWidth="1"/>
    <col min="4106" max="4106" width="13.28515625" style="262" bestFit="1" customWidth="1"/>
    <col min="4107" max="4107" width="4.7109375" style="262" bestFit="1" customWidth="1"/>
    <col min="4108" max="4352" width="9.140625" style="262"/>
    <col min="4353" max="4354" width="14.7109375" style="262" bestFit="1" customWidth="1"/>
    <col min="4355" max="4355" width="19.42578125" style="262" bestFit="1" customWidth="1"/>
    <col min="4356" max="4356" width="14.7109375" style="262" bestFit="1" customWidth="1"/>
    <col min="4357" max="4357" width="19.42578125" style="262" bestFit="1" customWidth="1"/>
    <col min="4358" max="4358" width="7.42578125" style="262" bestFit="1" customWidth="1"/>
    <col min="4359" max="4359" width="16.7109375" style="262" bestFit="1" customWidth="1"/>
    <col min="4360" max="4360" width="9.7109375" style="262" bestFit="1" customWidth="1"/>
    <col min="4361" max="4361" width="2.7109375" style="262" bestFit="1" customWidth="1"/>
    <col min="4362" max="4362" width="13.28515625" style="262" bestFit="1" customWidth="1"/>
    <col min="4363" max="4363" width="4.7109375" style="262" bestFit="1" customWidth="1"/>
    <col min="4364" max="4608" width="9.140625" style="262"/>
    <col min="4609" max="4610" width="14.7109375" style="262" bestFit="1" customWidth="1"/>
    <col min="4611" max="4611" width="19.42578125" style="262" bestFit="1" customWidth="1"/>
    <col min="4612" max="4612" width="14.7109375" style="262" bestFit="1" customWidth="1"/>
    <col min="4613" max="4613" width="19.42578125" style="262" bestFit="1" customWidth="1"/>
    <col min="4614" max="4614" width="7.42578125" style="262" bestFit="1" customWidth="1"/>
    <col min="4615" max="4615" width="16.7109375" style="262" bestFit="1" customWidth="1"/>
    <col min="4616" max="4616" width="9.7109375" style="262" bestFit="1" customWidth="1"/>
    <col min="4617" max="4617" width="2.7109375" style="262" bestFit="1" customWidth="1"/>
    <col min="4618" max="4618" width="13.28515625" style="262" bestFit="1" customWidth="1"/>
    <col min="4619" max="4619" width="4.7109375" style="262" bestFit="1" customWidth="1"/>
    <col min="4620" max="4864" width="9.140625" style="262"/>
    <col min="4865" max="4866" width="14.7109375" style="262" bestFit="1" customWidth="1"/>
    <col min="4867" max="4867" width="19.42578125" style="262" bestFit="1" customWidth="1"/>
    <col min="4868" max="4868" width="14.7109375" style="262" bestFit="1" customWidth="1"/>
    <col min="4869" max="4869" width="19.42578125" style="262" bestFit="1" customWidth="1"/>
    <col min="4870" max="4870" width="7.42578125" style="262" bestFit="1" customWidth="1"/>
    <col min="4871" max="4871" width="16.7109375" style="262" bestFit="1" customWidth="1"/>
    <col min="4872" max="4872" width="9.7109375" style="262" bestFit="1" customWidth="1"/>
    <col min="4873" max="4873" width="2.7109375" style="262" bestFit="1" customWidth="1"/>
    <col min="4874" max="4874" width="13.28515625" style="262" bestFit="1" customWidth="1"/>
    <col min="4875" max="4875" width="4.7109375" style="262" bestFit="1" customWidth="1"/>
    <col min="4876" max="5120" width="9.140625" style="262"/>
    <col min="5121" max="5122" width="14.7109375" style="262" bestFit="1" customWidth="1"/>
    <col min="5123" max="5123" width="19.42578125" style="262" bestFit="1" customWidth="1"/>
    <col min="5124" max="5124" width="14.7109375" style="262" bestFit="1" customWidth="1"/>
    <col min="5125" max="5125" width="19.42578125" style="262" bestFit="1" customWidth="1"/>
    <col min="5126" max="5126" width="7.42578125" style="262" bestFit="1" customWidth="1"/>
    <col min="5127" max="5127" width="16.7109375" style="262" bestFit="1" customWidth="1"/>
    <col min="5128" max="5128" width="9.7109375" style="262" bestFit="1" customWidth="1"/>
    <col min="5129" max="5129" width="2.7109375" style="262" bestFit="1" customWidth="1"/>
    <col min="5130" max="5130" width="13.28515625" style="262" bestFit="1" customWidth="1"/>
    <col min="5131" max="5131" width="4.7109375" style="262" bestFit="1" customWidth="1"/>
    <col min="5132" max="5376" width="9.140625" style="262"/>
    <col min="5377" max="5378" width="14.7109375" style="262" bestFit="1" customWidth="1"/>
    <col min="5379" max="5379" width="19.42578125" style="262" bestFit="1" customWidth="1"/>
    <col min="5380" max="5380" width="14.7109375" style="262" bestFit="1" customWidth="1"/>
    <col min="5381" max="5381" width="19.42578125" style="262" bestFit="1" customWidth="1"/>
    <col min="5382" max="5382" width="7.42578125" style="262" bestFit="1" customWidth="1"/>
    <col min="5383" max="5383" width="16.7109375" style="262" bestFit="1" customWidth="1"/>
    <col min="5384" max="5384" width="9.7109375" style="262" bestFit="1" customWidth="1"/>
    <col min="5385" max="5385" width="2.7109375" style="262" bestFit="1" customWidth="1"/>
    <col min="5386" max="5386" width="13.28515625" style="262" bestFit="1" customWidth="1"/>
    <col min="5387" max="5387" width="4.7109375" style="262" bestFit="1" customWidth="1"/>
    <col min="5388" max="5632" width="9.140625" style="262"/>
    <col min="5633" max="5634" width="14.7109375" style="262" bestFit="1" customWidth="1"/>
    <col min="5635" max="5635" width="19.42578125" style="262" bestFit="1" customWidth="1"/>
    <col min="5636" max="5636" width="14.7109375" style="262" bestFit="1" customWidth="1"/>
    <col min="5637" max="5637" width="19.42578125" style="262" bestFit="1" customWidth="1"/>
    <col min="5638" max="5638" width="7.42578125" style="262" bestFit="1" customWidth="1"/>
    <col min="5639" max="5639" width="16.7109375" style="262" bestFit="1" customWidth="1"/>
    <col min="5640" max="5640" width="9.7109375" style="262" bestFit="1" customWidth="1"/>
    <col min="5641" max="5641" width="2.7109375" style="262" bestFit="1" customWidth="1"/>
    <col min="5642" max="5642" width="13.28515625" style="262" bestFit="1" customWidth="1"/>
    <col min="5643" max="5643" width="4.7109375" style="262" bestFit="1" customWidth="1"/>
    <col min="5644" max="5888" width="9.140625" style="262"/>
    <col min="5889" max="5890" width="14.7109375" style="262" bestFit="1" customWidth="1"/>
    <col min="5891" max="5891" width="19.42578125" style="262" bestFit="1" customWidth="1"/>
    <col min="5892" max="5892" width="14.7109375" style="262" bestFit="1" customWidth="1"/>
    <col min="5893" max="5893" width="19.42578125" style="262" bestFit="1" customWidth="1"/>
    <col min="5894" max="5894" width="7.42578125" style="262" bestFit="1" customWidth="1"/>
    <col min="5895" max="5895" width="16.7109375" style="262" bestFit="1" customWidth="1"/>
    <col min="5896" max="5896" width="9.7109375" style="262" bestFit="1" customWidth="1"/>
    <col min="5897" max="5897" width="2.7109375" style="262" bestFit="1" customWidth="1"/>
    <col min="5898" max="5898" width="13.28515625" style="262" bestFit="1" customWidth="1"/>
    <col min="5899" max="5899" width="4.7109375" style="262" bestFit="1" customWidth="1"/>
    <col min="5900" max="6144" width="9.140625" style="262"/>
    <col min="6145" max="6146" width="14.7109375" style="262" bestFit="1" customWidth="1"/>
    <col min="6147" max="6147" width="19.42578125" style="262" bestFit="1" customWidth="1"/>
    <col min="6148" max="6148" width="14.7109375" style="262" bestFit="1" customWidth="1"/>
    <col min="6149" max="6149" width="19.42578125" style="262" bestFit="1" customWidth="1"/>
    <col min="6150" max="6150" width="7.42578125" style="262" bestFit="1" customWidth="1"/>
    <col min="6151" max="6151" width="16.7109375" style="262" bestFit="1" customWidth="1"/>
    <col min="6152" max="6152" width="9.7109375" style="262" bestFit="1" customWidth="1"/>
    <col min="6153" max="6153" width="2.7109375" style="262" bestFit="1" customWidth="1"/>
    <col min="6154" max="6154" width="13.28515625" style="262" bestFit="1" customWidth="1"/>
    <col min="6155" max="6155" width="4.7109375" style="262" bestFit="1" customWidth="1"/>
    <col min="6156" max="6400" width="9.140625" style="262"/>
    <col min="6401" max="6402" width="14.7109375" style="262" bestFit="1" customWidth="1"/>
    <col min="6403" max="6403" width="19.42578125" style="262" bestFit="1" customWidth="1"/>
    <col min="6404" max="6404" width="14.7109375" style="262" bestFit="1" customWidth="1"/>
    <col min="6405" max="6405" width="19.42578125" style="262" bestFit="1" customWidth="1"/>
    <col min="6406" max="6406" width="7.42578125" style="262" bestFit="1" customWidth="1"/>
    <col min="6407" max="6407" width="16.7109375" style="262" bestFit="1" customWidth="1"/>
    <col min="6408" max="6408" width="9.7109375" style="262" bestFit="1" customWidth="1"/>
    <col min="6409" max="6409" width="2.7109375" style="262" bestFit="1" customWidth="1"/>
    <col min="6410" max="6410" width="13.28515625" style="262" bestFit="1" customWidth="1"/>
    <col min="6411" max="6411" width="4.7109375" style="262" bestFit="1" customWidth="1"/>
    <col min="6412" max="6656" width="9.140625" style="262"/>
    <col min="6657" max="6658" width="14.7109375" style="262" bestFit="1" customWidth="1"/>
    <col min="6659" max="6659" width="19.42578125" style="262" bestFit="1" customWidth="1"/>
    <col min="6660" max="6660" width="14.7109375" style="262" bestFit="1" customWidth="1"/>
    <col min="6661" max="6661" width="19.42578125" style="262" bestFit="1" customWidth="1"/>
    <col min="6662" max="6662" width="7.42578125" style="262" bestFit="1" customWidth="1"/>
    <col min="6663" max="6663" width="16.7109375" style="262" bestFit="1" customWidth="1"/>
    <col min="6664" max="6664" width="9.7109375" style="262" bestFit="1" customWidth="1"/>
    <col min="6665" max="6665" width="2.7109375" style="262" bestFit="1" customWidth="1"/>
    <col min="6666" max="6666" width="13.28515625" style="262" bestFit="1" customWidth="1"/>
    <col min="6667" max="6667" width="4.7109375" style="262" bestFit="1" customWidth="1"/>
    <col min="6668" max="6912" width="9.140625" style="262"/>
    <col min="6913" max="6914" width="14.7109375" style="262" bestFit="1" customWidth="1"/>
    <col min="6915" max="6915" width="19.42578125" style="262" bestFit="1" customWidth="1"/>
    <col min="6916" max="6916" width="14.7109375" style="262" bestFit="1" customWidth="1"/>
    <col min="6917" max="6917" width="19.42578125" style="262" bestFit="1" customWidth="1"/>
    <col min="6918" max="6918" width="7.42578125" style="262" bestFit="1" customWidth="1"/>
    <col min="6919" max="6919" width="16.7109375" style="262" bestFit="1" customWidth="1"/>
    <col min="6920" max="6920" width="9.7109375" style="262" bestFit="1" customWidth="1"/>
    <col min="6921" max="6921" width="2.7109375" style="262" bestFit="1" customWidth="1"/>
    <col min="6922" max="6922" width="13.28515625" style="262" bestFit="1" customWidth="1"/>
    <col min="6923" max="6923" width="4.7109375" style="262" bestFit="1" customWidth="1"/>
    <col min="6924" max="7168" width="9.140625" style="262"/>
    <col min="7169" max="7170" width="14.7109375" style="262" bestFit="1" customWidth="1"/>
    <col min="7171" max="7171" width="19.42578125" style="262" bestFit="1" customWidth="1"/>
    <col min="7172" max="7172" width="14.7109375" style="262" bestFit="1" customWidth="1"/>
    <col min="7173" max="7173" width="19.42578125" style="262" bestFit="1" customWidth="1"/>
    <col min="7174" max="7174" width="7.42578125" style="262" bestFit="1" customWidth="1"/>
    <col min="7175" max="7175" width="16.7109375" style="262" bestFit="1" customWidth="1"/>
    <col min="7176" max="7176" width="9.7109375" style="262" bestFit="1" customWidth="1"/>
    <col min="7177" max="7177" width="2.7109375" style="262" bestFit="1" customWidth="1"/>
    <col min="7178" max="7178" width="13.28515625" style="262" bestFit="1" customWidth="1"/>
    <col min="7179" max="7179" width="4.7109375" style="262" bestFit="1" customWidth="1"/>
    <col min="7180" max="7424" width="9.140625" style="262"/>
    <col min="7425" max="7426" width="14.7109375" style="262" bestFit="1" customWidth="1"/>
    <col min="7427" max="7427" width="19.42578125" style="262" bestFit="1" customWidth="1"/>
    <col min="7428" max="7428" width="14.7109375" style="262" bestFit="1" customWidth="1"/>
    <col min="7429" max="7429" width="19.42578125" style="262" bestFit="1" customWidth="1"/>
    <col min="7430" max="7430" width="7.42578125" style="262" bestFit="1" customWidth="1"/>
    <col min="7431" max="7431" width="16.7109375" style="262" bestFit="1" customWidth="1"/>
    <col min="7432" max="7432" width="9.7109375" style="262" bestFit="1" customWidth="1"/>
    <col min="7433" max="7433" width="2.7109375" style="262" bestFit="1" customWidth="1"/>
    <col min="7434" max="7434" width="13.28515625" style="262" bestFit="1" customWidth="1"/>
    <col min="7435" max="7435" width="4.7109375" style="262" bestFit="1" customWidth="1"/>
    <col min="7436" max="7680" width="9.140625" style="262"/>
    <col min="7681" max="7682" width="14.7109375" style="262" bestFit="1" customWidth="1"/>
    <col min="7683" max="7683" width="19.42578125" style="262" bestFit="1" customWidth="1"/>
    <col min="7684" max="7684" width="14.7109375" style="262" bestFit="1" customWidth="1"/>
    <col min="7685" max="7685" width="19.42578125" style="262" bestFit="1" customWidth="1"/>
    <col min="7686" max="7686" width="7.42578125" style="262" bestFit="1" customWidth="1"/>
    <col min="7687" max="7687" width="16.7109375" style="262" bestFit="1" customWidth="1"/>
    <col min="7688" max="7688" width="9.7109375" style="262" bestFit="1" customWidth="1"/>
    <col min="7689" max="7689" width="2.7109375" style="262" bestFit="1" customWidth="1"/>
    <col min="7690" max="7690" width="13.28515625" style="262" bestFit="1" customWidth="1"/>
    <col min="7691" max="7691" width="4.7109375" style="262" bestFit="1" customWidth="1"/>
    <col min="7692" max="7936" width="9.140625" style="262"/>
    <col min="7937" max="7938" width="14.7109375" style="262" bestFit="1" customWidth="1"/>
    <col min="7939" max="7939" width="19.42578125" style="262" bestFit="1" customWidth="1"/>
    <col min="7940" max="7940" width="14.7109375" style="262" bestFit="1" customWidth="1"/>
    <col min="7941" max="7941" width="19.42578125" style="262" bestFit="1" customWidth="1"/>
    <col min="7942" max="7942" width="7.42578125" style="262" bestFit="1" customWidth="1"/>
    <col min="7943" max="7943" width="16.7109375" style="262" bestFit="1" customWidth="1"/>
    <col min="7944" max="7944" width="9.7109375" style="262" bestFit="1" customWidth="1"/>
    <col min="7945" max="7945" width="2.7109375" style="262" bestFit="1" customWidth="1"/>
    <col min="7946" max="7946" width="13.28515625" style="262" bestFit="1" customWidth="1"/>
    <col min="7947" max="7947" width="4.7109375" style="262" bestFit="1" customWidth="1"/>
    <col min="7948" max="8192" width="9.140625" style="262"/>
    <col min="8193" max="8194" width="14.7109375" style="262" bestFit="1" customWidth="1"/>
    <col min="8195" max="8195" width="19.42578125" style="262" bestFit="1" customWidth="1"/>
    <col min="8196" max="8196" width="14.7109375" style="262" bestFit="1" customWidth="1"/>
    <col min="8197" max="8197" width="19.42578125" style="262" bestFit="1" customWidth="1"/>
    <col min="8198" max="8198" width="7.42578125" style="262" bestFit="1" customWidth="1"/>
    <col min="8199" max="8199" width="16.7109375" style="262" bestFit="1" customWidth="1"/>
    <col min="8200" max="8200" width="9.7109375" style="262" bestFit="1" customWidth="1"/>
    <col min="8201" max="8201" width="2.7109375" style="262" bestFit="1" customWidth="1"/>
    <col min="8202" max="8202" width="13.28515625" style="262" bestFit="1" customWidth="1"/>
    <col min="8203" max="8203" width="4.7109375" style="262" bestFit="1" customWidth="1"/>
    <col min="8204" max="8448" width="9.140625" style="262"/>
    <col min="8449" max="8450" width="14.7109375" style="262" bestFit="1" customWidth="1"/>
    <col min="8451" max="8451" width="19.42578125" style="262" bestFit="1" customWidth="1"/>
    <col min="8452" max="8452" width="14.7109375" style="262" bestFit="1" customWidth="1"/>
    <col min="8453" max="8453" width="19.42578125" style="262" bestFit="1" customWidth="1"/>
    <col min="8454" max="8454" width="7.42578125" style="262" bestFit="1" customWidth="1"/>
    <col min="8455" max="8455" width="16.7109375" style="262" bestFit="1" customWidth="1"/>
    <col min="8456" max="8456" width="9.7109375" style="262" bestFit="1" customWidth="1"/>
    <col min="8457" max="8457" width="2.7109375" style="262" bestFit="1" customWidth="1"/>
    <col min="8458" max="8458" width="13.28515625" style="262" bestFit="1" customWidth="1"/>
    <col min="8459" max="8459" width="4.7109375" style="262" bestFit="1" customWidth="1"/>
    <col min="8460" max="8704" width="9.140625" style="262"/>
    <col min="8705" max="8706" width="14.7109375" style="262" bestFit="1" customWidth="1"/>
    <col min="8707" max="8707" width="19.42578125" style="262" bestFit="1" customWidth="1"/>
    <col min="8708" max="8708" width="14.7109375" style="262" bestFit="1" customWidth="1"/>
    <col min="8709" max="8709" width="19.42578125" style="262" bestFit="1" customWidth="1"/>
    <col min="8710" max="8710" width="7.42578125" style="262" bestFit="1" customWidth="1"/>
    <col min="8711" max="8711" width="16.7109375" style="262" bestFit="1" customWidth="1"/>
    <col min="8712" max="8712" width="9.7109375" style="262" bestFit="1" customWidth="1"/>
    <col min="8713" max="8713" width="2.7109375" style="262" bestFit="1" customWidth="1"/>
    <col min="8714" max="8714" width="13.28515625" style="262" bestFit="1" customWidth="1"/>
    <col min="8715" max="8715" width="4.7109375" style="262" bestFit="1" customWidth="1"/>
    <col min="8716" max="8960" width="9.140625" style="262"/>
    <col min="8961" max="8962" width="14.7109375" style="262" bestFit="1" customWidth="1"/>
    <col min="8963" max="8963" width="19.42578125" style="262" bestFit="1" customWidth="1"/>
    <col min="8964" max="8964" width="14.7109375" style="262" bestFit="1" customWidth="1"/>
    <col min="8965" max="8965" width="19.42578125" style="262" bestFit="1" customWidth="1"/>
    <col min="8966" max="8966" width="7.42578125" style="262" bestFit="1" customWidth="1"/>
    <col min="8967" max="8967" width="16.7109375" style="262" bestFit="1" customWidth="1"/>
    <col min="8968" max="8968" width="9.7109375" style="262" bestFit="1" customWidth="1"/>
    <col min="8969" max="8969" width="2.7109375" style="262" bestFit="1" customWidth="1"/>
    <col min="8970" max="8970" width="13.28515625" style="262" bestFit="1" customWidth="1"/>
    <col min="8971" max="8971" width="4.7109375" style="262" bestFit="1" customWidth="1"/>
    <col min="8972" max="9216" width="9.140625" style="262"/>
    <col min="9217" max="9218" width="14.7109375" style="262" bestFit="1" customWidth="1"/>
    <col min="9219" max="9219" width="19.42578125" style="262" bestFit="1" customWidth="1"/>
    <col min="9220" max="9220" width="14.7109375" style="262" bestFit="1" customWidth="1"/>
    <col min="9221" max="9221" width="19.42578125" style="262" bestFit="1" customWidth="1"/>
    <col min="9222" max="9222" width="7.42578125" style="262" bestFit="1" customWidth="1"/>
    <col min="9223" max="9223" width="16.7109375" style="262" bestFit="1" customWidth="1"/>
    <col min="9224" max="9224" width="9.7109375" style="262" bestFit="1" customWidth="1"/>
    <col min="9225" max="9225" width="2.7109375" style="262" bestFit="1" customWidth="1"/>
    <col min="9226" max="9226" width="13.28515625" style="262" bestFit="1" customWidth="1"/>
    <col min="9227" max="9227" width="4.7109375" style="262" bestFit="1" customWidth="1"/>
    <col min="9228" max="9472" width="9.140625" style="262"/>
    <col min="9473" max="9474" width="14.7109375" style="262" bestFit="1" customWidth="1"/>
    <col min="9475" max="9475" width="19.42578125" style="262" bestFit="1" customWidth="1"/>
    <col min="9476" max="9476" width="14.7109375" style="262" bestFit="1" customWidth="1"/>
    <col min="9477" max="9477" width="19.42578125" style="262" bestFit="1" customWidth="1"/>
    <col min="9478" max="9478" width="7.42578125" style="262" bestFit="1" customWidth="1"/>
    <col min="9479" max="9479" width="16.7109375" style="262" bestFit="1" customWidth="1"/>
    <col min="9480" max="9480" width="9.7109375" style="262" bestFit="1" customWidth="1"/>
    <col min="9481" max="9481" width="2.7109375" style="262" bestFit="1" customWidth="1"/>
    <col min="9482" max="9482" width="13.28515625" style="262" bestFit="1" customWidth="1"/>
    <col min="9483" max="9483" width="4.7109375" style="262" bestFit="1" customWidth="1"/>
    <col min="9484" max="9728" width="9.140625" style="262"/>
    <col min="9729" max="9730" width="14.7109375" style="262" bestFit="1" customWidth="1"/>
    <col min="9731" max="9731" width="19.42578125" style="262" bestFit="1" customWidth="1"/>
    <col min="9732" max="9732" width="14.7109375" style="262" bestFit="1" customWidth="1"/>
    <col min="9733" max="9733" width="19.42578125" style="262" bestFit="1" customWidth="1"/>
    <col min="9734" max="9734" width="7.42578125" style="262" bestFit="1" customWidth="1"/>
    <col min="9735" max="9735" width="16.7109375" style="262" bestFit="1" customWidth="1"/>
    <col min="9736" max="9736" width="9.7109375" style="262" bestFit="1" customWidth="1"/>
    <col min="9737" max="9737" width="2.7109375" style="262" bestFit="1" customWidth="1"/>
    <col min="9738" max="9738" width="13.28515625" style="262" bestFit="1" customWidth="1"/>
    <col min="9739" max="9739" width="4.7109375" style="262" bestFit="1" customWidth="1"/>
    <col min="9740" max="9984" width="9.140625" style="262"/>
    <col min="9985" max="9986" width="14.7109375" style="262" bestFit="1" customWidth="1"/>
    <col min="9987" max="9987" width="19.42578125" style="262" bestFit="1" customWidth="1"/>
    <col min="9988" max="9988" width="14.7109375" style="262" bestFit="1" customWidth="1"/>
    <col min="9989" max="9989" width="19.42578125" style="262" bestFit="1" customWidth="1"/>
    <col min="9990" max="9990" width="7.42578125" style="262" bestFit="1" customWidth="1"/>
    <col min="9991" max="9991" width="16.7109375" style="262" bestFit="1" customWidth="1"/>
    <col min="9992" max="9992" width="9.7109375" style="262" bestFit="1" customWidth="1"/>
    <col min="9993" max="9993" width="2.7109375" style="262" bestFit="1" customWidth="1"/>
    <col min="9994" max="9994" width="13.28515625" style="262" bestFit="1" customWidth="1"/>
    <col min="9995" max="9995" width="4.7109375" style="262" bestFit="1" customWidth="1"/>
    <col min="9996" max="10240" width="9.140625" style="262"/>
    <col min="10241" max="10242" width="14.7109375" style="262" bestFit="1" customWidth="1"/>
    <col min="10243" max="10243" width="19.42578125" style="262" bestFit="1" customWidth="1"/>
    <col min="10244" max="10244" width="14.7109375" style="262" bestFit="1" customWidth="1"/>
    <col min="10245" max="10245" width="19.42578125" style="262" bestFit="1" customWidth="1"/>
    <col min="10246" max="10246" width="7.42578125" style="262" bestFit="1" customWidth="1"/>
    <col min="10247" max="10247" width="16.7109375" style="262" bestFit="1" customWidth="1"/>
    <col min="10248" max="10248" width="9.7109375" style="262" bestFit="1" customWidth="1"/>
    <col min="10249" max="10249" width="2.7109375" style="262" bestFit="1" customWidth="1"/>
    <col min="10250" max="10250" width="13.28515625" style="262" bestFit="1" customWidth="1"/>
    <col min="10251" max="10251" width="4.7109375" style="262" bestFit="1" customWidth="1"/>
    <col min="10252" max="10496" width="9.140625" style="262"/>
    <col min="10497" max="10498" width="14.7109375" style="262" bestFit="1" customWidth="1"/>
    <col min="10499" max="10499" width="19.42578125" style="262" bestFit="1" customWidth="1"/>
    <col min="10500" max="10500" width="14.7109375" style="262" bestFit="1" customWidth="1"/>
    <col min="10501" max="10501" width="19.42578125" style="262" bestFit="1" customWidth="1"/>
    <col min="10502" max="10502" width="7.42578125" style="262" bestFit="1" customWidth="1"/>
    <col min="10503" max="10503" width="16.7109375" style="262" bestFit="1" customWidth="1"/>
    <col min="10504" max="10504" width="9.7109375" style="262" bestFit="1" customWidth="1"/>
    <col min="10505" max="10505" width="2.7109375" style="262" bestFit="1" customWidth="1"/>
    <col min="10506" max="10506" width="13.28515625" style="262" bestFit="1" customWidth="1"/>
    <col min="10507" max="10507" width="4.7109375" style="262" bestFit="1" customWidth="1"/>
    <col min="10508" max="10752" width="9.140625" style="262"/>
    <col min="10753" max="10754" width="14.7109375" style="262" bestFit="1" customWidth="1"/>
    <col min="10755" max="10755" width="19.42578125" style="262" bestFit="1" customWidth="1"/>
    <col min="10756" max="10756" width="14.7109375" style="262" bestFit="1" customWidth="1"/>
    <col min="10757" max="10757" width="19.42578125" style="262" bestFit="1" customWidth="1"/>
    <col min="10758" max="10758" width="7.42578125" style="262" bestFit="1" customWidth="1"/>
    <col min="10759" max="10759" width="16.7109375" style="262" bestFit="1" customWidth="1"/>
    <col min="10760" max="10760" width="9.7109375" style="262" bestFit="1" customWidth="1"/>
    <col min="10761" max="10761" width="2.7109375" style="262" bestFit="1" customWidth="1"/>
    <col min="10762" max="10762" width="13.28515625" style="262" bestFit="1" customWidth="1"/>
    <col min="10763" max="10763" width="4.7109375" style="262" bestFit="1" customWidth="1"/>
    <col min="10764" max="11008" width="9.140625" style="262"/>
    <col min="11009" max="11010" width="14.7109375" style="262" bestFit="1" customWidth="1"/>
    <col min="11011" max="11011" width="19.42578125" style="262" bestFit="1" customWidth="1"/>
    <col min="11012" max="11012" width="14.7109375" style="262" bestFit="1" customWidth="1"/>
    <col min="11013" max="11013" width="19.42578125" style="262" bestFit="1" customWidth="1"/>
    <col min="11014" max="11014" width="7.42578125" style="262" bestFit="1" customWidth="1"/>
    <col min="11015" max="11015" width="16.7109375" style="262" bestFit="1" customWidth="1"/>
    <col min="11016" max="11016" width="9.7109375" style="262" bestFit="1" customWidth="1"/>
    <col min="11017" max="11017" width="2.7109375" style="262" bestFit="1" customWidth="1"/>
    <col min="11018" max="11018" width="13.28515625" style="262" bestFit="1" customWidth="1"/>
    <col min="11019" max="11019" width="4.7109375" style="262" bestFit="1" customWidth="1"/>
    <col min="11020" max="11264" width="9.140625" style="262"/>
    <col min="11265" max="11266" width="14.7109375" style="262" bestFit="1" customWidth="1"/>
    <col min="11267" max="11267" width="19.42578125" style="262" bestFit="1" customWidth="1"/>
    <col min="11268" max="11268" width="14.7109375" style="262" bestFit="1" customWidth="1"/>
    <col min="11269" max="11269" width="19.42578125" style="262" bestFit="1" customWidth="1"/>
    <col min="11270" max="11270" width="7.42578125" style="262" bestFit="1" customWidth="1"/>
    <col min="11271" max="11271" width="16.7109375" style="262" bestFit="1" customWidth="1"/>
    <col min="11272" max="11272" width="9.7109375" style="262" bestFit="1" customWidth="1"/>
    <col min="11273" max="11273" width="2.7109375" style="262" bestFit="1" customWidth="1"/>
    <col min="11274" max="11274" width="13.28515625" style="262" bestFit="1" customWidth="1"/>
    <col min="11275" max="11275" width="4.7109375" style="262" bestFit="1" customWidth="1"/>
    <col min="11276" max="11520" width="9.140625" style="262"/>
    <col min="11521" max="11522" width="14.7109375" style="262" bestFit="1" customWidth="1"/>
    <col min="11523" max="11523" width="19.42578125" style="262" bestFit="1" customWidth="1"/>
    <col min="11524" max="11524" width="14.7109375" style="262" bestFit="1" customWidth="1"/>
    <col min="11525" max="11525" width="19.42578125" style="262" bestFit="1" customWidth="1"/>
    <col min="11526" max="11526" width="7.42578125" style="262" bestFit="1" customWidth="1"/>
    <col min="11527" max="11527" width="16.7109375" style="262" bestFit="1" customWidth="1"/>
    <col min="11528" max="11528" width="9.7109375" style="262" bestFit="1" customWidth="1"/>
    <col min="11529" max="11529" width="2.7109375" style="262" bestFit="1" customWidth="1"/>
    <col min="11530" max="11530" width="13.28515625" style="262" bestFit="1" customWidth="1"/>
    <col min="11531" max="11531" width="4.7109375" style="262" bestFit="1" customWidth="1"/>
    <col min="11532" max="11776" width="9.140625" style="262"/>
    <col min="11777" max="11778" width="14.7109375" style="262" bestFit="1" customWidth="1"/>
    <col min="11779" max="11779" width="19.42578125" style="262" bestFit="1" customWidth="1"/>
    <col min="11780" max="11780" width="14.7109375" style="262" bestFit="1" customWidth="1"/>
    <col min="11781" max="11781" width="19.42578125" style="262" bestFit="1" customWidth="1"/>
    <col min="11782" max="11782" width="7.42578125" style="262" bestFit="1" customWidth="1"/>
    <col min="11783" max="11783" width="16.7109375" style="262" bestFit="1" customWidth="1"/>
    <col min="11784" max="11784" width="9.7109375" style="262" bestFit="1" customWidth="1"/>
    <col min="11785" max="11785" width="2.7109375" style="262" bestFit="1" customWidth="1"/>
    <col min="11786" max="11786" width="13.28515625" style="262" bestFit="1" customWidth="1"/>
    <col min="11787" max="11787" width="4.7109375" style="262" bestFit="1" customWidth="1"/>
    <col min="11788" max="12032" width="9.140625" style="262"/>
    <col min="12033" max="12034" width="14.7109375" style="262" bestFit="1" customWidth="1"/>
    <col min="12035" max="12035" width="19.42578125" style="262" bestFit="1" customWidth="1"/>
    <col min="12036" max="12036" width="14.7109375" style="262" bestFit="1" customWidth="1"/>
    <col min="12037" max="12037" width="19.42578125" style="262" bestFit="1" customWidth="1"/>
    <col min="12038" max="12038" width="7.42578125" style="262" bestFit="1" customWidth="1"/>
    <col min="12039" max="12039" width="16.7109375" style="262" bestFit="1" customWidth="1"/>
    <col min="12040" max="12040" width="9.7109375" style="262" bestFit="1" customWidth="1"/>
    <col min="12041" max="12041" width="2.7109375" style="262" bestFit="1" customWidth="1"/>
    <col min="12042" max="12042" width="13.28515625" style="262" bestFit="1" customWidth="1"/>
    <col min="12043" max="12043" width="4.7109375" style="262" bestFit="1" customWidth="1"/>
    <col min="12044" max="12288" width="9.140625" style="262"/>
    <col min="12289" max="12290" width="14.7109375" style="262" bestFit="1" customWidth="1"/>
    <col min="12291" max="12291" width="19.42578125" style="262" bestFit="1" customWidth="1"/>
    <col min="12292" max="12292" width="14.7109375" style="262" bestFit="1" customWidth="1"/>
    <col min="12293" max="12293" width="19.42578125" style="262" bestFit="1" customWidth="1"/>
    <col min="12294" max="12294" width="7.42578125" style="262" bestFit="1" customWidth="1"/>
    <col min="12295" max="12295" width="16.7109375" style="262" bestFit="1" customWidth="1"/>
    <col min="12296" max="12296" width="9.7109375" style="262" bestFit="1" customWidth="1"/>
    <col min="12297" max="12297" width="2.7109375" style="262" bestFit="1" customWidth="1"/>
    <col min="12298" max="12298" width="13.28515625" style="262" bestFit="1" customWidth="1"/>
    <col min="12299" max="12299" width="4.7109375" style="262" bestFit="1" customWidth="1"/>
    <col min="12300" max="12544" width="9.140625" style="262"/>
    <col min="12545" max="12546" width="14.7109375" style="262" bestFit="1" customWidth="1"/>
    <col min="12547" max="12547" width="19.42578125" style="262" bestFit="1" customWidth="1"/>
    <col min="12548" max="12548" width="14.7109375" style="262" bestFit="1" customWidth="1"/>
    <col min="12549" max="12549" width="19.42578125" style="262" bestFit="1" customWidth="1"/>
    <col min="12550" max="12550" width="7.42578125" style="262" bestFit="1" customWidth="1"/>
    <col min="12551" max="12551" width="16.7109375" style="262" bestFit="1" customWidth="1"/>
    <col min="12552" max="12552" width="9.7109375" style="262" bestFit="1" customWidth="1"/>
    <col min="12553" max="12553" width="2.7109375" style="262" bestFit="1" customWidth="1"/>
    <col min="12554" max="12554" width="13.28515625" style="262" bestFit="1" customWidth="1"/>
    <col min="12555" max="12555" width="4.7109375" style="262" bestFit="1" customWidth="1"/>
    <col min="12556" max="12800" width="9.140625" style="262"/>
    <col min="12801" max="12802" width="14.7109375" style="262" bestFit="1" customWidth="1"/>
    <col min="12803" max="12803" width="19.42578125" style="262" bestFit="1" customWidth="1"/>
    <col min="12804" max="12804" width="14.7109375" style="262" bestFit="1" customWidth="1"/>
    <col min="12805" max="12805" width="19.42578125" style="262" bestFit="1" customWidth="1"/>
    <col min="12806" max="12806" width="7.42578125" style="262" bestFit="1" customWidth="1"/>
    <col min="12807" max="12807" width="16.7109375" style="262" bestFit="1" customWidth="1"/>
    <col min="12808" max="12808" width="9.7109375" style="262" bestFit="1" customWidth="1"/>
    <col min="12809" max="12809" width="2.7109375" style="262" bestFit="1" customWidth="1"/>
    <col min="12810" max="12810" width="13.28515625" style="262" bestFit="1" customWidth="1"/>
    <col min="12811" max="12811" width="4.7109375" style="262" bestFit="1" customWidth="1"/>
    <col min="12812" max="13056" width="9.140625" style="262"/>
    <col min="13057" max="13058" width="14.7109375" style="262" bestFit="1" customWidth="1"/>
    <col min="13059" max="13059" width="19.42578125" style="262" bestFit="1" customWidth="1"/>
    <col min="13060" max="13060" width="14.7109375" style="262" bestFit="1" customWidth="1"/>
    <col min="13061" max="13061" width="19.42578125" style="262" bestFit="1" customWidth="1"/>
    <col min="13062" max="13062" width="7.42578125" style="262" bestFit="1" customWidth="1"/>
    <col min="13063" max="13063" width="16.7109375" style="262" bestFit="1" customWidth="1"/>
    <col min="13064" max="13064" width="9.7109375" style="262" bestFit="1" customWidth="1"/>
    <col min="13065" max="13065" width="2.7109375" style="262" bestFit="1" customWidth="1"/>
    <col min="13066" max="13066" width="13.28515625" style="262" bestFit="1" customWidth="1"/>
    <col min="13067" max="13067" width="4.7109375" style="262" bestFit="1" customWidth="1"/>
    <col min="13068" max="13312" width="9.140625" style="262"/>
    <col min="13313" max="13314" width="14.7109375" style="262" bestFit="1" customWidth="1"/>
    <col min="13315" max="13315" width="19.42578125" style="262" bestFit="1" customWidth="1"/>
    <col min="13316" max="13316" width="14.7109375" style="262" bestFit="1" customWidth="1"/>
    <col min="13317" max="13317" width="19.42578125" style="262" bestFit="1" customWidth="1"/>
    <col min="13318" max="13318" width="7.42578125" style="262" bestFit="1" customWidth="1"/>
    <col min="13319" max="13319" width="16.7109375" style="262" bestFit="1" customWidth="1"/>
    <col min="13320" max="13320" width="9.7109375" style="262" bestFit="1" customWidth="1"/>
    <col min="13321" max="13321" width="2.7109375" style="262" bestFit="1" customWidth="1"/>
    <col min="13322" max="13322" width="13.28515625" style="262" bestFit="1" customWidth="1"/>
    <col min="13323" max="13323" width="4.7109375" style="262" bestFit="1" customWidth="1"/>
    <col min="13324" max="13568" width="9.140625" style="262"/>
    <col min="13569" max="13570" width="14.7109375" style="262" bestFit="1" customWidth="1"/>
    <col min="13571" max="13571" width="19.42578125" style="262" bestFit="1" customWidth="1"/>
    <col min="13572" max="13572" width="14.7109375" style="262" bestFit="1" customWidth="1"/>
    <col min="13573" max="13573" width="19.42578125" style="262" bestFit="1" customWidth="1"/>
    <col min="13574" max="13574" width="7.42578125" style="262" bestFit="1" customWidth="1"/>
    <col min="13575" max="13575" width="16.7109375" style="262" bestFit="1" customWidth="1"/>
    <col min="13576" max="13576" width="9.7109375" style="262" bestFit="1" customWidth="1"/>
    <col min="13577" max="13577" width="2.7109375" style="262" bestFit="1" customWidth="1"/>
    <col min="13578" max="13578" width="13.28515625" style="262" bestFit="1" customWidth="1"/>
    <col min="13579" max="13579" width="4.7109375" style="262" bestFit="1" customWidth="1"/>
    <col min="13580" max="13824" width="9.140625" style="262"/>
    <col min="13825" max="13826" width="14.7109375" style="262" bestFit="1" customWidth="1"/>
    <col min="13827" max="13827" width="19.42578125" style="262" bestFit="1" customWidth="1"/>
    <col min="13828" max="13828" width="14.7109375" style="262" bestFit="1" customWidth="1"/>
    <col min="13829" max="13829" width="19.42578125" style="262" bestFit="1" customWidth="1"/>
    <col min="13830" max="13830" width="7.42578125" style="262" bestFit="1" customWidth="1"/>
    <col min="13831" max="13831" width="16.7109375" style="262" bestFit="1" customWidth="1"/>
    <col min="13832" max="13832" width="9.7109375" style="262" bestFit="1" customWidth="1"/>
    <col min="13833" max="13833" width="2.7109375" style="262" bestFit="1" customWidth="1"/>
    <col min="13834" max="13834" width="13.28515625" style="262" bestFit="1" customWidth="1"/>
    <col min="13835" max="13835" width="4.7109375" style="262" bestFit="1" customWidth="1"/>
    <col min="13836" max="14080" width="9.140625" style="262"/>
    <col min="14081" max="14082" width="14.7109375" style="262" bestFit="1" customWidth="1"/>
    <col min="14083" max="14083" width="19.42578125" style="262" bestFit="1" customWidth="1"/>
    <col min="14084" max="14084" width="14.7109375" style="262" bestFit="1" customWidth="1"/>
    <col min="14085" max="14085" width="19.42578125" style="262" bestFit="1" customWidth="1"/>
    <col min="14086" max="14086" width="7.42578125" style="262" bestFit="1" customWidth="1"/>
    <col min="14087" max="14087" width="16.7109375" style="262" bestFit="1" customWidth="1"/>
    <col min="14088" max="14088" width="9.7109375" style="262" bestFit="1" customWidth="1"/>
    <col min="14089" max="14089" width="2.7109375" style="262" bestFit="1" customWidth="1"/>
    <col min="14090" max="14090" width="13.28515625" style="262" bestFit="1" customWidth="1"/>
    <col min="14091" max="14091" width="4.7109375" style="262" bestFit="1" customWidth="1"/>
    <col min="14092" max="14336" width="9.140625" style="262"/>
    <col min="14337" max="14338" width="14.7109375" style="262" bestFit="1" customWidth="1"/>
    <col min="14339" max="14339" width="19.42578125" style="262" bestFit="1" customWidth="1"/>
    <col min="14340" max="14340" width="14.7109375" style="262" bestFit="1" customWidth="1"/>
    <col min="14341" max="14341" width="19.42578125" style="262" bestFit="1" customWidth="1"/>
    <col min="14342" max="14342" width="7.42578125" style="262" bestFit="1" customWidth="1"/>
    <col min="14343" max="14343" width="16.7109375" style="262" bestFit="1" customWidth="1"/>
    <col min="14344" max="14344" width="9.7109375" style="262" bestFit="1" customWidth="1"/>
    <col min="14345" max="14345" width="2.7109375" style="262" bestFit="1" customWidth="1"/>
    <col min="14346" max="14346" width="13.28515625" style="262" bestFit="1" customWidth="1"/>
    <col min="14347" max="14347" width="4.7109375" style="262" bestFit="1" customWidth="1"/>
    <col min="14348" max="14592" width="9.140625" style="262"/>
    <col min="14593" max="14594" width="14.7109375" style="262" bestFit="1" customWidth="1"/>
    <col min="14595" max="14595" width="19.42578125" style="262" bestFit="1" customWidth="1"/>
    <col min="14596" max="14596" width="14.7109375" style="262" bestFit="1" customWidth="1"/>
    <col min="14597" max="14597" width="19.42578125" style="262" bestFit="1" customWidth="1"/>
    <col min="14598" max="14598" width="7.42578125" style="262" bestFit="1" customWidth="1"/>
    <col min="14599" max="14599" width="16.7109375" style="262" bestFit="1" customWidth="1"/>
    <col min="14600" max="14600" width="9.7109375" style="262" bestFit="1" customWidth="1"/>
    <col min="14601" max="14601" width="2.7109375" style="262" bestFit="1" customWidth="1"/>
    <col min="14602" max="14602" width="13.28515625" style="262" bestFit="1" customWidth="1"/>
    <col min="14603" max="14603" width="4.7109375" style="262" bestFit="1" customWidth="1"/>
    <col min="14604" max="14848" width="9.140625" style="262"/>
    <col min="14849" max="14850" width="14.7109375" style="262" bestFit="1" customWidth="1"/>
    <col min="14851" max="14851" width="19.42578125" style="262" bestFit="1" customWidth="1"/>
    <col min="14852" max="14852" width="14.7109375" style="262" bestFit="1" customWidth="1"/>
    <col min="14853" max="14853" width="19.42578125" style="262" bestFit="1" customWidth="1"/>
    <col min="14854" max="14854" width="7.42578125" style="262" bestFit="1" customWidth="1"/>
    <col min="14855" max="14855" width="16.7109375" style="262" bestFit="1" customWidth="1"/>
    <col min="14856" max="14856" width="9.7109375" style="262" bestFit="1" customWidth="1"/>
    <col min="14857" max="14857" width="2.7109375" style="262" bestFit="1" customWidth="1"/>
    <col min="14858" max="14858" width="13.28515625" style="262" bestFit="1" customWidth="1"/>
    <col min="14859" max="14859" width="4.7109375" style="262" bestFit="1" customWidth="1"/>
    <col min="14860" max="15104" width="9.140625" style="262"/>
    <col min="15105" max="15106" width="14.7109375" style="262" bestFit="1" customWidth="1"/>
    <col min="15107" max="15107" width="19.42578125" style="262" bestFit="1" customWidth="1"/>
    <col min="15108" max="15108" width="14.7109375" style="262" bestFit="1" customWidth="1"/>
    <col min="15109" max="15109" width="19.42578125" style="262" bestFit="1" customWidth="1"/>
    <col min="15110" max="15110" width="7.42578125" style="262" bestFit="1" customWidth="1"/>
    <col min="15111" max="15111" width="16.7109375" style="262" bestFit="1" customWidth="1"/>
    <col min="15112" max="15112" width="9.7109375" style="262" bestFit="1" customWidth="1"/>
    <col min="15113" max="15113" width="2.7109375" style="262" bestFit="1" customWidth="1"/>
    <col min="15114" max="15114" width="13.28515625" style="262" bestFit="1" customWidth="1"/>
    <col min="15115" max="15115" width="4.7109375" style="262" bestFit="1" customWidth="1"/>
    <col min="15116" max="15360" width="9.140625" style="262"/>
    <col min="15361" max="15362" width="14.7109375" style="262" bestFit="1" customWidth="1"/>
    <col min="15363" max="15363" width="19.42578125" style="262" bestFit="1" customWidth="1"/>
    <col min="15364" max="15364" width="14.7109375" style="262" bestFit="1" customWidth="1"/>
    <col min="15365" max="15365" width="19.42578125" style="262" bestFit="1" customWidth="1"/>
    <col min="15366" max="15366" width="7.42578125" style="262" bestFit="1" customWidth="1"/>
    <col min="15367" max="15367" width="16.7109375" style="262" bestFit="1" customWidth="1"/>
    <col min="15368" max="15368" width="9.7109375" style="262" bestFit="1" customWidth="1"/>
    <col min="15369" max="15369" width="2.7109375" style="262" bestFit="1" customWidth="1"/>
    <col min="15370" max="15370" width="13.28515625" style="262" bestFit="1" customWidth="1"/>
    <col min="15371" max="15371" width="4.7109375" style="262" bestFit="1" customWidth="1"/>
    <col min="15372" max="15616" width="9.140625" style="262"/>
    <col min="15617" max="15618" width="14.7109375" style="262" bestFit="1" customWidth="1"/>
    <col min="15619" max="15619" width="19.42578125" style="262" bestFit="1" customWidth="1"/>
    <col min="15620" max="15620" width="14.7109375" style="262" bestFit="1" customWidth="1"/>
    <col min="15621" max="15621" width="19.42578125" style="262" bestFit="1" customWidth="1"/>
    <col min="15622" max="15622" width="7.42578125" style="262" bestFit="1" customWidth="1"/>
    <col min="15623" max="15623" width="16.7109375" style="262" bestFit="1" customWidth="1"/>
    <col min="15624" max="15624" width="9.7109375" style="262" bestFit="1" customWidth="1"/>
    <col min="15625" max="15625" width="2.7109375" style="262" bestFit="1" customWidth="1"/>
    <col min="15626" max="15626" width="13.28515625" style="262" bestFit="1" customWidth="1"/>
    <col min="15627" max="15627" width="4.7109375" style="262" bestFit="1" customWidth="1"/>
    <col min="15628" max="15872" width="9.140625" style="262"/>
    <col min="15873" max="15874" width="14.7109375" style="262" bestFit="1" customWidth="1"/>
    <col min="15875" max="15875" width="19.42578125" style="262" bestFit="1" customWidth="1"/>
    <col min="15876" max="15876" width="14.7109375" style="262" bestFit="1" customWidth="1"/>
    <col min="15877" max="15877" width="19.42578125" style="262" bestFit="1" customWidth="1"/>
    <col min="15878" max="15878" width="7.42578125" style="262" bestFit="1" customWidth="1"/>
    <col min="15879" max="15879" width="16.7109375" style="262" bestFit="1" customWidth="1"/>
    <col min="15880" max="15880" width="9.7109375" style="262" bestFit="1" customWidth="1"/>
    <col min="15881" max="15881" width="2.7109375" style="262" bestFit="1" customWidth="1"/>
    <col min="15882" max="15882" width="13.28515625" style="262" bestFit="1" customWidth="1"/>
    <col min="15883" max="15883" width="4.7109375" style="262" bestFit="1" customWidth="1"/>
    <col min="15884" max="16128" width="9.140625" style="262"/>
    <col min="16129" max="16130" width="14.7109375" style="262" bestFit="1" customWidth="1"/>
    <col min="16131" max="16131" width="19.42578125" style="262" bestFit="1" customWidth="1"/>
    <col min="16132" max="16132" width="14.7109375" style="262" bestFit="1" customWidth="1"/>
    <col min="16133" max="16133" width="19.42578125" style="262" bestFit="1" customWidth="1"/>
    <col min="16134" max="16134" width="7.42578125" style="262" bestFit="1" customWidth="1"/>
    <col min="16135" max="16135" width="16.7109375" style="262" bestFit="1" customWidth="1"/>
    <col min="16136" max="16136" width="9.7109375" style="262" bestFit="1" customWidth="1"/>
    <col min="16137" max="16137" width="2.7109375" style="262" bestFit="1" customWidth="1"/>
    <col min="16138" max="16138" width="13.28515625" style="262" bestFit="1" customWidth="1"/>
    <col min="16139" max="16139" width="4.7109375" style="262" bestFit="1" customWidth="1"/>
    <col min="16140" max="16384" width="9.140625" style="262"/>
  </cols>
  <sheetData>
    <row r="1" spans="1:10" ht="15" customHeight="1" x14ac:dyDescent="0.2">
      <c r="A1" s="385" t="s">
        <v>15</v>
      </c>
      <c r="B1" s="385"/>
      <c r="C1" s="385"/>
      <c r="D1" s="385"/>
      <c r="E1" s="385"/>
      <c r="F1" s="385"/>
      <c r="G1" s="385"/>
      <c r="H1" s="385"/>
      <c r="I1" s="385"/>
    </row>
    <row r="2" spans="1:10" s="265" customFormat="1" ht="18" customHeight="1" x14ac:dyDescent="0.2">
      <c r="A2" s="363" t="s">
        <v>147</v>
      </c>
      <c r="B2" s="369" t="s">
        <v>257</v>
      </c>
      <c r="C2" s="370"/>
      <c r="D2" s="369" t="s">
        <v>258</v>
      </c>
      <c r="E2" s="370"/>
      <c r="F2" s="369" t="s">
        <v>259</v>
      </c>
      <c r="G2" s="370"/>
      <c r="H2" s="369" t="s">
        <v>150</v>
      </c>
      <c r="I2" s="395"/>
      <c r="J2" s="370"/>
    </row>
    <row r="3" spans="1:10" s="265" customFormat="1" ht="27" customHeight="1" x14ac:dyDescent="0.2">
      <c r="A3" s="365"/>
      <c r="B3" s="269" t="s">
        <v>260</v>
      </c>
      <c r="C3" s="270" t="s">
        <v>261</v>
      </c>
      <c r="D3" s="269" t="s">
        <v>260</v>
      </c>
      <c r="E3" s="270" t="s">
        <v>261</v>
      </c>
      <c r="F3" s="269" t="s">
        <v>260</v>
      </c>
      <c r="G3" s="287" t="s">
        <v>261</v>
      </c>
      <c r="H3" s="286" t="s">
        <v>260</v>
      </c>
      <c r="I3" s="396" t="s">
        <v>261</v>
      </c>
      <c r="J3" s="397"/>
    </row>
    <row r="4" spans="1:10" s="265" customFormat="1" ht="18" customHeight="1" x14ac:dyDescent="0.2">
      <c r="A4" s="266" t="s">
        <v>69</v>
      </c>
      <c r="B4" s="283">
        <v>30008</v>
      </c>
      <c r="C4" s="290">
        <v>494674.7</v>
      </c>
      <c r="D4" s="283">
        <v>61395</v>
      </c>
      <c r="E4" s="290">
        <v>1303423.44</v>
      </c>
      <c r="F4" s="292">
        <v>1</v>
      </c>
      <c r="G4" s="292">
        <v>0.22</v>
      </c>
      <c r="H4" s="283">
        <v>91404</v>
      </c>
      <c r="I4" s="393">
        <v>1798098.14</v>
      </c>
      <c r="J4" s="394"/>
    </row>
    <row r="5" spans="1:10" s="265" customFormat="1" ht="18" customHeight="1" x14ac:dyDescent="0.2">
      <c r="A5" s="266" t="s">
        <v>70</v>
      </c>
      <c r="B5" s="283">
        <v>43157</v>
      </c>
      <c r="C5" s="290">
        <v>631252.22</v>
      </c>
      <c r="D5" s="283">
        <v>60370</v>
      </c>
      <c r="E5" s="290">
        <v>1168407.6599999999</v>
      </c>
      <c r="F5" s="292">
        <v>0</v>
      </c>
      <c r="G5" s="292">
        <v>0</v>
      </c>
      <c r="H5" s="290">
        <v>103527</v>
      </c>
      <c r="I5" s="393">
        <v>1799659.88</v>
      </c>
      <c r="J5" s="394"/>
    </row>
    <row r="6" spans="1:10" s="265" customFormat="1" ht="18" customHeight="1" x14ac:dyDescent="0.2">
      <c r="A6" s="266" t="s">
        <v>156</v>
      </c>
      <c r="B6" s="283">
        <v>3442</v>
      </c>
      <c r="C6" s="283">
        <v>48912.74</v>
      </c>
      <c r="D6" s="283">
        <v>5588</v>
      </c>
      <c r="E6" s="290">
        <v>113974.59</v>
      </c>
      <c r="F6" s="292">
        <v>0</v>
      </c>
      <c r="G6" s="292">
        <v>0</v>
      </c>
      <c r="H6" s="283">
        <v>9030</v>
      </c>
      <c r="I6" s="393">
        <v>162887.32999999999</v>
      </c>
      <c r="J6" s="394"/>
    </row>
    <row r="7" spans="1:10" s="265" customFormat="1" ht="18" customHeight="1" x14ac:dyDescent="0.2">
      <c r="A7" s="266" t="s">
        <v>157</v>
      </c>
      <c r="B7" s="283">
        <v>4470</v>
      </c>
      <c r="C7" s="283">
        <v>87009.74</v>
      </c>
      <c r="D7" s="283">
        <v>1770</v>
      </c>
      <c r="E7" s="283">
        <v>22494.35</v>
      </c>
      <c r="F7" s="292">
        <v>0</v>
      </c>
      <c r="G7" s="292">
        <v>0</v>
      </c>
      <c r="H7" s="283">
        <v>6240</v>
      </c>
      <c r="I7" s="393">
        <v>109504.09</v>
      </c>
      <c r="J7" s="394"/>
    </row>
    <row r="8" spans="1:10" s="265" customFormat="1" ht="18" customHeight="1" x14ac:dyDescent="0.2">
      <c r="A8" s="266" t="s">
        <v>158</v>
      </c>
      <c r="B8" s="283">
        <v>3067</v>
      </c>
      <c r="C8" s="283">
        <v>53079.63</v>
      </c>
      <c r="D8" s="283">
        <v>5252</v>
      </c>
      <c r="E8" s="290">
        <v>103335.67</v>
      </c>
      <c r="F8" s="292">
        <v>0</v>
      </c>
      <c r="G8" s="292">
        <v>0</v>
      </c>
      <c r="H8" s="283">
        <v>8319</v>
      </c>
      <c r="I8" s="393">
        <v>156415.29999999999</v>
      </c>
      <c r="J8" s="394"/>
    </row>
    <row r="9" spans="1:10" s="265" customFormat="1" ht="18" customHeight="1" x14ac:dyDescent="0.2">
      <c r="A9" s="266" t="s">
        <v>159</v>
      </c>
      <c r="B9" s="283">
        <v>3122</v>
      </c>
      <c r="C9" s="283">
        <v>54314.01</v>
      </c>
      <c r="D9" s="283">
        <v>4535</v>
      </c>
      <c r="E9" s="283">
        <v>91539.73</v>
      </c>
      <c r="F9" s="292">
        <v>0</v>
      </c>
      <c r="G9" s="292">
        <v>0</v>
      </c>
      <c r="H9" s="283">
        <v>7657</v>
      </c>
      <c r="I9" s="393">
        <v>145853.74</v>
      </c>
      <c r="J9" s="394"/>
    </row>
    <row r="10" spans="1:10" s="265" customFormat="1" ht="18" customHeight="1" x14ac:dyDescent="0.2">
      <c r="A10" s="266" t="s">
        <v>160</v>
      </c>
      <c r="B10" s="283">
        <v>3534</v>
      </c>
      <c r="C10" s="283">
        <v>43548.04</v>
      </c>
      <c r="D10" s="283">
        <v>5036</v>
      </c>
      <c r="E10" s="283">
        <v>92454.69</v>
      </c>
      <c r="F10" s="292">
        <v>0</v>
      </c>
      <c r="G10" s="292">
        <v>0</v>
      </c>
      <c r="H10" s="283">
        <v>8570</v>
      </c>
      <c r="I10" s="393">
        <v>136002.73000000001</v>
      </c>
      <c r="J10" s="394"/>
    </row>
    <row r="11" spans="1:10" s="265" customFormat="1" ht="18" customHeight="1" x14ac:dyDescent="0.2">
      <c r="A11" s="266" t="s">
        <v>161</v>
      </c>
      <c r="B11" s="283">
        <v>2840</v>
      </c>
      <c r="C11" s="283">
        <v>37394.78</v>
      </c>
      <c r="D11" s="283">
        <v>4388</v>
      </c>
      <c r="E11" s="283">
        <v>85624.29</v>
      </c>
      <c r="F11" s="292">
        <v>0</v>
      </c>
      <c r="G11" s="292">
        <v>0</v>
      </c>
      <c r="H11" s="283">
        <v>7228</v>
      </c>
      <c r="I11" s="393">
        <v>123019.07</v>
      </c>
      <c r="J11" s="394"/>
    </row>
    <row r="12" spans="1:10" s="265" customFormat="1" ht="18" customHeight="1" x14ac:dyDescent="0.2">
      <c r="A12" s="266" t="s">
        <v>162</v>
      </c>
      <c r="B12" s="283">
        <v>2958</v>
      </c>
      <c r="C12" s="283">
        <v>35876.15</v>
      </c>
      <c r="D12" s="283">
        <v>4572</v>
      </c>
      <c r="E12" s="283">
        <v>85078.91</v>
      </c>
      <c r="F12" s="292">
        <v>0</v>
      </c>
      <c r="G12" s="292">
        <v>0</v>
      </c>
      <c r="H12" s="283">
        <v>7530</v>
      </c>
      <c r="I12" s="393">
        <v>120955.06</v>
      </c>
      <c r="J12" s="394"/>
    </row>
    <row r="13" spans="1:10" s="265" customFormat="1" ht="18" customHeight="1" x14ac:dyDescent="0.2">
      <c r="A13" s="266" t="s">
        <v>163</v>
      </c>
      <c r="B13" s="283">
        <v>2921</v>
      </c>
      <c r="C13" s="283">
        <v>40772.97</v>
      </c>
      <c r="D13" s="283">
        <v>4214</v>
      </c>
      <c r="E13" s="283">
        <v>82928.38</v>
      </c>
      <c r="F13" s="292">
        <v>0</v>
      </c>
      <c r="G13" s="292">
        <v>0</v>
      </c>
      <c r="H13" s="283">
        <v>7135</v>
      </c>
      <c r="I13" s="393">
        <v>123701.35</v>
      </c>
      <c r="J13" s="394"/>
    </row>
    <row r="14" spans="1:10" s="265" customFormat="1" ht="18" customHeight="1" x14ac:dyDescent="0.2">
      <c r="A14" s="266" t="s">
        <v>164</v>
      </c>
      <c r="B14" s="283">
        <v>3626</v>
      </c>
      <c r="C14" s="283">
        <v>56467.11</v>
      </c>
      <c r="D14" s="283">
        <v>5903</v>
      </c>
      <c r="E14" s="290">
        <v>123701.67</v>
      </c>
      <c r="F14" s="292">
        <v>0</v>
      </c>
      <c r="G14" s="292">
        <v>0</v>
      </c>
      <c r="H14" s="283">
        <v>9529</v>
      </c>
      <c r="I14" s="393">
        <v>180168.78</v>
      </c>
      <c r="J14" s="394"/>
    </row>
    <row r="15" spans="1:10" s="265" customFormat="1" ht="18" customHeight="1" x14ac:dyDescent="0.2">
      <c r="A15" s="266" t="s">
        <v>165</v>
      </c>
      <c r="B15" s="283">
        <v>4416</v>
      </c>
      <c r="C15" s="283">
        <v>55223.13</v>
      </c>
      <c r="D15" s="283">
        <v>6164</v>
      </c>
      <c r="E15" s="290">
        <v>109125.49</v>
      </c>
      <c r="F15" s="292">
        <v>0</v>
      </c>
      <c r="G15" s="292">
        <v>0</v>
      </c>
      <c r="H15" s="283">
        <v>10580</v>
      </c>
      <c r="I15" s="393">
        <v>164348.62</v>
      </c>
      <c r="J15" s="394"/>
    </row>
    <row r="16" spans="1:10" s="265" customFormat="1" ht="18" customHeight="1" x14ac:dyDescent="0.2">
      <c r="A16" s="266" t="s">
        <v>166</v>
      </c>
      <c r="B16" s="283">
        <v>3556</v>
      </c>
      <c r="C16" s="283">
        <v>40132.83</v>
      </c>
      <c r="D16" s="283">
        <v>4826</v>
      </c>
      <c r="E16" s="283">
        <v>82490.67</v>
      </c>
      <c r="F16" s="292">
        <v>0</v>
      </c>
      <c r="G16" s="292">
        <v>0</v>
      </c>
      <c r="H16" s="283">
        <v>8382</v>
      </c>
      <c r="I16" s="393">
        <v>122623.5</v>
      </c>
      <c r="J16" s="394"/>
    </row>
    <row r="17" spans="1:10" s="265" customFormat="1" ht="18" customHeight="1" x14ac:dyDescent="0.2">
      <c r="A17" s="266" t="s">
        <v>167</v>
      </c>
      <c r="B17" s="283">
        <v>5205</v>
      </c>
      <c r="C17" s="283">
        <v>78521.09</v>
      </c>
      <c r="D17" s="283">
        <v>8122</v>
      </c>
      <c r="E17" s="290">
        <v>175659.22</v>
      </c>
      <c r="F17" s="292">
        <v>0</v>
      </c>
      <c r="G17" s="292">
        <v>0</v>
      </c>
      <c r="H17" s="283">
        <v>13327</v>
      </c>
      <c r="I17" s="393">
        <v>254180.31</v>
      </c>
      <c r="J17" s="394"/>
    </row>
    <row r="18" spans="1:10" s="265" customFormat="1" ht="18.75" customHeight="1" x14ac:dyDescent="0.2">
      <c r="A18" s="353" t="s">
        <v>255</v>
      </c>
      <c r="B18" s="353"/>
    </row>
    <row r="19" spans="1:10" s="265" customFormat="1" ht="18" customHeight="1" x14ac:dyDescent="0.2">
      <c r="A19" s="353" t="s">
        <v>249</v>
      </c>
      <c r="B19" s="353"/>
    </row>
    <row r="20" spans="1:10" s="265" customFormat="1" ht="28.35" customHeight="1" x14ac:dyDescent="0.2"/>
  </sheetData>
  <mergeCells count="23">
    <mergeCell ref="I9:J9"/>
    <mergeCell ref="A1:I1"/>
    <mergeCell ref="A2:A3"/>
    <mergeCell ref="B2:C2"/>
    <mergeCell ref="D2:E2"/>
    <mergeCell ref="F2:G2"/>
    <mergeCell ref="H2:J2"/>
    <mergeCell ref="I3:J3"/>
    <mergeCell ref="I4:J4"/>
    <mergeCell ref="I5:J5"/>
    <mergeCell ref="I6:J6"/>
    <mergeCell ref="I7:J7"/>
    <mergeCell ref="I8:J8"/>
    <mergeCell ref="I16:J16"/>
    <mergeCell ref="I17:J17"/>
    <mergeCell ref="A18:B18"/>
    <mergeCell ref="A19:B19"/>
    <mergeCell ref="I10:J10"/>
    <mergeCell ref="I11:J11"/>
    <mergeCell ref="I12:J12"/>
    <mergeCell ref="I13:J13"/>
    <mergeCell ref="I14:J14"/>
    <mergeCell ref="I15:J1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M21"/>
  <sheetViews>
    <sheetView workbookViewId="0">
      <selection sqref="A1:M1"/>
    </sheetView>
  </sheetViews>
  <sheetFormatPr defaultRowHeight="12.75" x14ac:dyDescent="0.2"/>
  <cols>
    <col min="1" max="1" width="10.7109375" style="262" bestFit="1" customWidth="1"/>
    <col min="2" max="13" width="14.7109375" style="262" bestFit="1" customWidth="1"/>
    <col min="14" max="14" width="4.7109375" style="262" bestFit="1" customWidth="1"/>
    <col min="15" max="256" width="9.140625" style="262"/>
    <col min="257" max="257" width="10.7109375" style="262" bestFit="1" customWidth="1"/>
    <col min="258" max="269" width="14.7109375" style="262" bestFit="1" customWidth="1"/>
    <col min="270" max="270" width="4.7109375" style="262" bestFit="1" customWidth="1"/>
    <col min="271" max="512" width="9.140625" style="262"/>
    <col min="513" max="513" width="10.7109375" style="262" bestFit="1" customWidth="1"/>
    <col min="514" max="525" width="14.7109375" style="262" bestFit="1" customWidth="1"/>
    <col min="526" max="526" width="4.7109375" style="262" bestFit="1" customWidth="1"/>
    <col min="527" max="768" width="9.140625" style="262"/>
    <col min="769" max="769" width="10.7109375" style="262" bestFit="1" customWidth="1"/>
    <col min="770" max="781" width="14.7109375" style="262" bestFit="1" customWidth="1"/>
    <col min="782" max="782" width="4.7109375" style="262" bestFit="1" customWidth="1"/>
    <col min="783" max="1024" width="9.140625" style="262"/>
    <col min="1025" max="1025" width="10.7109375" style="262" bestFit="1" customWidth="1"/>
    <col min="1026" max="1037" width="14.7109375" style="262" bestFit="1" customWidth="1"/>
    <col min="1038" max="1038" width="4.7109375" style="262" bestFit="1" customWidth="1"/>
    <col min="1039" max="1280" width="9.140625" style="262"/>
    <col min="1281" max="1281" width="10.7109375" style="262" bestFit="1" customWidth="1"/>
    <col min="1282" max="1293" width="14.7109375" style="262" bestFit="1" customWidth="1"/>
    <col min="1294" max="1294" width="4.7109375" style="262" bestFit="1" customWidth="1"/>
    <col min="1295" max="1536" width="9.140625" style="262"/>
    <col min="1537" max="1537" width="10.7109375" style="262" bestFit="1" customWidth="1"/>
    <col min="1538" max="1549" width="14.7109375" style="262" bestFit="1" customWidth="1"/>
    <col min="1550" max="1550" width="4.7109375" style="262" bestFit="1" customWidth="1"/>
    <col min="1551" max="1792" width="9.140625" style="262"/>
    <col min="1793" max="1793" width="10.7109375" style="262" bestFit="1" customWidth="1"/>
    <col min="1794" max="1805" width="14.7109375" style="262" bestFit="1" customWidth="1"/>
    <col min="1806" max="1806" width="4.7109375" style="262" bestFit="1" customWidth="1"/>
    <col min="1807" max="2048" width="9.140625" style="262"/>
    <col min="2049" max="2049" width="10.7109375" style="262" bestFit="1" customWidth="1"/>
    <col min="2050" max="2061" width="14.7109375" style="262" bestFit="1" customWidth="1"/>
    <col min="2062" max="2062" width="4.7109375" style="262" bestFit="1" customWidth="1"/>
    <col min="2063" max="2304" width="9.140625" style="262"/>
    <col min="2305" max="2305" width="10.7109375" style="262" bestFit="1" customWidth="1"/>
    <col min="2306" max="2317" width="14.7109375" style="262" bestFit="1" customWidth="1"/>
    <col min="2318" max="2318" width="4.7109375" style="262" bestFit="1" customWidth="1"/>
    <col min="2319" max="2560" width="9.140625" style="262"/>
    <col min="2561" max="2561" width="10.7109375" style="262" bestFit="1" customWidth="1"/>
    <col min="2562" max="2573" width="14.7109375" style="262" bestFit="1" customWidth="1"/>
    <col min="2574" max="2574" width="4.7109375" style="262" bestFit="1" customWidth="1"/>
    <col min="2575" max="2816" width="9.140625" style="262"/>
    <col min="2817" max="2817" width="10.7109375" style="262" bestFit="1" customWidth="1"/>
    <col min="2818" max="2829" width="14.7109375" style="262" bestFit="1" customWidth="1"/>
    <col min="2830" max="2830" width="4.7109375" style="262" bestFit="1" customWidth="1"/>
    <col min="2831" max="3072" width="9.140625" style="262"/>
    <col min="3073" max="3073" width="10.7109375" style="262" bestFit="1" customWidth="1"/>
    <col min="3074" max="3085" width="14.7109375" style="262" bestFit="1" customWidth="1"/>
    <col min="3086" max="3086" width="4.7109375" style="262" bestFit="1" customWidth="1"/>
    <col min="3087" max="3328" width="9.140625" style="262"/>
    <col min="3329" max="3329" width="10.7109375" style="262" bestFit="1" customWidth="1"/>
    <col min="3330" max="3341" width="14.7109375" style="262" bestFit="1" customWidth="1"/>
    <col min="3342" max="3342" width="4.7109375" style="262" bestFit="1" customWidth="1"/>
    <col min="3343" max="3584" width="9.140625" style="262"/>
    <col min="3585" max="3585" width="10.7109375" style="262" bestFit="1" customWidth="1"/>
    <col min="3586" max="3597" width="14.7109375" style="262" bestFit="1" customWidth="1"/>
    <col min="3598" max="3598" width="4.7109375" style="262" bestFit="1" customWidth="1"/>
    <col min="3599" max="3840" width="9.140625" style="262"/>
    <col min="3841" max="3841" width="10.7109375" style="262" bestFit="1" customWidth="1"/>
    <col min="3842" max="3853" width="14.7109375" style="262" bestFit="1" customWidth="1"/>
    <col min="3854" max="3854" width="4.7109375" style="262" bestFit="1" customWidth="1"/>
    <col min="3855" max="4096" width="9.140625" style="262"/>
    <col min="4097" max="4097" width="10.7109375" style="262" bestFit="1" customWidth="1"/>
    <col min="4098" max="4109" width="14.7109375" style="262" bestFit="1" customWidth="1"/>
    <col min="4110" max="4110" width="4.7109375" style="262" bestFit="1" customWidth="1"/>
    <col min="4111" max="4352" width="9.140625" style="262"/>
    <col min="4353" max="4353" width="10.7109375" style="262" bestFit="1" customWidth="1"/>
    <col min="4354" max="4365" width="14.7109375" style="262" bestFit="1" customWidth="1"/>
    <col min="4366" max="4366" width="4.7109375" style="262" bestFit="1" customWidth="1"/>
    <col min="4367" max="4608" width="9.140625" style="262"/>
    <col min="4609" max="4609" width="10.7109375" style="262" bestFit="1" customWidth="1"/>
    <col min="4610" max="4621" width="14.7109375" style="262" bestFit="1" customWidth="1"/>
    <col min="4622" max="4622" width="4.7109375" style="262" bestFit="1" customWidth="1"/>
    <col min="4623" max="4864" width="9.140625" style="262"/>
    <col min="4865" max="4865" width="10.7109375" style="262" bestFit="1" customWidth="1"/>
    <col min="4866" max="4877" width="14.7109375" style="262" bestFit="1" customWidth="1"/>
    <col min="4878" max="4878" width="4.7109375" style="262" bestFit="1" customWidth="1"/>
    <col min="4879" max="5120" width="9.140625" style="262"/>
    <col min="5121" max="5121" width="10.7109375" style="262" bestFit="1" customWidth="1"/>
    <col min="5122" max="5133" width="14.7109375" style="262" bestFit="1" customWidth="1"/>
    <col min="5134" max="5134" width="4.7109375" style="262" bestFit="1" customWidth="1"/>
    <col min="5135" max="5376" width="9.140625" style="262"/>
    <col min="5377" max="5377" width="10.7109375" style="262" bestFit="1" customWidth="1"/>
    <col min="5378" max="5389" width="14.7109375" style="262" bestFit="1" customWidth="1"/>
    <col min="5390" max="5390" width="4.7109375" style="262" bestFit="1" customWidth="1"/>
    <col min="5391" max="5632" width="9.140625" style="262"/>
    <col min="5633" max="5633" width="10.7109375" style="262" bestFit="1" customWidth="1"/>
    <col min="5634" max="5645" width="14.7109375" style="262" bestFit="1" customWidth="1"/>
    <col min="5646" max="5646" width="4.7109375" style="262" bestFit="1" customWidth="1"/>
    <col min="5647" max="5888" width="9.140625" style="262"/>
    <col min="5889" max="5889" width="10.7109375" style="262" bestFit="1" customWidth="1"/>
    <col min="5890" max="5901" width="14.7109375" style="262" bestFit="1" customWidth="1"/>
    <col min="5902" max="5902" width="4.7109375" style="262" bestFit="1" customWidth="1"/>
    <col min="5903" max="6144" width="9.140625" style="262"/>
    <col min="6145" max="6145" width="10.7109375" style="262" bestFit="1" customWidth="1"/>
    <col min="6146" max="6157" width="14.7109375" style="262" bestFit="1" customWidth="1"/>
    <col min="6158" max="6158" width="4.7109375" style="262" bestFit="1" customWidth="1"/>
    <col min="6159" max="6400" width="9.140625" style="262"/>
    <col min="6401" max="6401" width="10.7109375" style="262" bestFit="1" customWidth="1"/>
    <col min="6402" max="6413" width="14.7109375" style="262" bestFit="1" customWidth="1"/>
    <col min="6414" max="6414" width="4.7109375" style="262" bestFit="1" customWidth="1"/>
    <col min="6415" max="6656" width="9.140625" style="262"/>
    <col min="6657" max="6657" width="10.7109375" style="262" bestFit="1" customWidth="1"/>
    <col min="6658" max="6669" width="14.7109375" style="262" bestFit="1" customWidth="1"/>
    <col min="6670" max="6670" width="4.7109375" style="262" bestFit="1" customWidth="1"/>
    <col min="6671" max="6912" width="9.140625" style="262"/>
    <col min="6913" max="6913" width="10.7109375" style="262" bestFit="1" customWidth="1"/>
    <col min="6914" max="6925" width="14.7109375" style="262" bestFit="1" customWidth="1"/>
    <col min="6926" max="6926" width="4.7109375" style="262" bestFit="1" customWidth="1"/>
    <col min="6927" max="7168" width="9.140625" style="262"/>
    <col min="7169" max="7169" width="10.7109375" style="262" bestFit="1" customWidth="1"/>
    <col min="7170" max="7181" width="14.7109375" style="262" bestFit="1" customWidth="1"/>
    <col min="7182" max="7182" width="4.7109375" style="262" bestFit="1" customWidth="1"/>
    <col min="7183" max="7424" width="9.140625" style="262"/>
    <col min="7425" max="7425" width="10.7109375" style="262" bestFit="1" customWidth="1"/>
    <col min="7426" max="7437" width="14.7109375" style="262" bestFit="1" customWidth="1"/>
    <col min="7438" max="7438" width="4.7109375" style="262" bestFit="1" customWidth="1"/>
    <col min="7439" max="7680" width="9.140625" style="262"/>
    <col min="7681" max="7681" width="10.7109375" style="262" bestFit="1" customWidth="1"/>
    <col min="7682" max="7693" width="14.7109375" style="262" bestFit="1" customWidth="1"/>
    <col min="7694" max="7694" width="4.7109375" style="262" bestFit="1" customWidth="1"/>
    <col min="7695" max="7936" width="9.140625" style="262"/>
    <col min="7937" max="7937" width="10.7109375" style="262" bestFit="1" customWidth="1"/>
    <col min="7938" max="7949" width="14.7109375" style="262" bestFit="1" customWidth="1"/>
    <col min="7950" max="7950" width="4.7109375" style="262" bestFit="1" customWidth="1"/>
    <col min="7951" max="8192" width="9.140625" style="262"/>
    <col min="8193" max="8193" width="10.7109375" style="262" bestFit="1" customWidth="1"/>
    <col min="8194" max="8205" width="14.7109375" style="262" bestFit="1" customWidth="1"/>
    <col min="8206" max="8206" width="4.7109375" style="262" bestFit="1" customWidth="1"/>
    <col min="8207" max="8448" width="9.140625" style="262"/>
    <col min="8449" max="8449" width="10.7109375" style="262" bestFit="1" customWidth="1"/>
    <col min="8450" max="8461" width="14.7109375" style="262" bestFit="1" customWidth="1"/>
    <col min="8462" max="8462" width="4.7109375" style="262" bestFit="1" customWidth="1"/>
    <col min="8463" max="8704" width="9.140625" style="262"/>
    <col min="8705" max="8705" width="10.7109375" style="262" bestFit="1" customWidth="1"/>
    <col min="8706" max="8717" width="14.7109375" style="262" bestFit="1" customWidth="1"/>
    <col min="8718" max="8718" width="4.7109375" style="262" bestFit="1" customWidth="1"/>
    <col min="8719" max="8960" width="9.140625" style="262"/>
    <col min="8961" max="8961" width="10.7109375" style="262" bestFit="1" customWidth="1"/>
    <col min="8962" max="8973" width="14.7109375" style="262" bestFit="1" customWidth="1"/>
    <col min="8974" max="8974" width="4.7109375" style="262" bestFit="1" customWidth="1"/>
    <col min="8975" max="9216" width="9.140625" style="262"/>
    <col min="9217" max="9217" width="10.7109375" style="262" bestFit="1" customWidth="1"/>
    <col min="9218" max="9229" width="14.7109375" style="262" bestFit="1" customWidth="1"/>
    <col min="9230" max="9230" width="4.7109375" style="262" bestFit="1" customWidth="1"/>
    <col min="9231" max="9472" width="9.140625" style="262"/>
    <col min="9473" max="9473" width="10.7109375" style="262" bestFit="1" customWidth="1"/>
    <col min="9474" max="9485" width="14.7109375" style="262" bestFit="1" customWidth="1"/>
    <col min="9486" max="9486" width="4.7109375" style="262" bestFit="1" customWidth="1"/>
    <col min="9487" max="9728" width="9.140625" style="262"/>
    <col min="9729" max="9729" width="10.7109375" style="262" bestFit="1" customWidth="1"/>
    <col min="9730" max="9741" width="14.7109375" style="262" bestFit="1" customWidth="1"/>
    <col min="9742" max="9742" width="4.7109375" style="262" bestFit="1" customWidth="1"/>
    <col min="9743" max="9984" width="9.140625" style="262"/>
    <col min="9985" max="9985" width="10.7109375" style="262" bestFit="1" customWidth="1"/>
    <col min="9986" max="9997" width="14.7109375" style="262" bestFit="1" customWidth="1"/>
    <col min="9998" max="9998" width="4.7109375" style="262" bestFit="1" customWidth="1"/>
    <col min="9999" max="10240" width="9.140625" style="262"/>
    <col min="10241" max="10241" width="10.7109375" style="262" bestFit="1" customWidth="1"/>
    <col min="10242" max="10253" width="14.7109375" style="262" bestFit="1" customWidth="1"/>
    <col min="10254" max="10254" width="4.7109375" style="262" bestFit="1" customWidth="1"/>
    <col min="10255" max="10496" width="9.140625" style="262"/>
    <col min="10497" max="10497" width="10.7109375" style="262" bestFit="1" customWidth="1"/>
    <col min="10498" max="10509" width="14.7109375" style="262" bestFit="1" customWidth="1"/>
    <col min="10510" max="10510" width="4.7109375" style="262" bestFit="1" customWidth="1"/>
    <col min="10511" max="10752" width="9.140625" style="262"/>
    <col min="10753" max="10753" width="10.7109375" style="262" bestFit="1" customWidth="1"/>
    <col min="10754" max="10765" width="14.7109375" style="262" bestFit="1" customWidth="1"/>
    <col min="10766" max="10766" width="4.7109375" style="262" bestFit="1" customWidth="1"/>
    <col min="10767" max="11008" width="9.140625" style="262"/>
    <col min="11009" max="11009" width="10.7109375" style="262" bestFit="1" customWidth="1"/>
    <col min="11010" max="11021" width="14.7109375" style="262" bestFit="1" customWidth="1"/>
    <col min="11022" max="11022" width="4.7109375" style="262" bestFit="1" customWidth="1"/>
    <col min="11023" max="11264" width="9.140625" style="262"/>
    <col min="11265" max="11265" width="10.7109375" style="262" bestFit="1" customWidth="1"/>
    <col min="11266" max="11277" width="14.7109375" style="262" bestFit="1" customWidth="1"/>
    <col min="11278" max="11278" width="4.7109375" style="262" bestFit="1" customWidth="1"/>
    <col min="11279" max="11520" width="9.140625" style="262"/>
    <col min="11521" max="11521" width="10.7109375" style="262" bestFit="1" customWidth="1"/>
    <col min="11522" max="11533" width="14.7109375" style="262" bestFit="1" customWidth="1"/>
    <col min="11534" max="11534" width="4.7109375" style="262" bestFit="1" customWidth="1"/>
    <col min="11535" max="11776" width="9.140625" style="262"/>
    <col min="11777" max="11777" width="10.7109375" style="262" bestFit="1" customWidth="1"/>
    <col min="11778" max="11789" width="14.7109375" style="262" bestFit="1" customWidth="1"/>
    <col min="11790" max="11790" width="4.7109375" style="262" bestFit="1" customWidth="1"/>
    <col min="11791" max="12032" width="9.140625" style="262"/>
    <col min="12033" max="12033" width="10.7109375" style="262" bestFit="1" customWidth="1"/>
    <col min="12034" max="12045" width="14.7109375" style="262" bestFit="1" customWidth="1"/>
    <col min="12046" max="12046" width="4.7109375" style="262" bestFit="1" customWidth="1"/>
    <col min="12047" max="12288" width="9.140625" style="262"/>
    <col min="12289" max="12289" width="10.7109375" style="262" bestFit="1" customWidth="1"/>
    <col min="12290" max="12301" width="14.7109375" style="262" bestFit="1" customWidth="1"/>
    <col min="12302" max="12302" width="4.7109375" style="262" bestFit="1" customWidth="1"/>
    <col min="12303" max="12544" width="9.140625" style="262"/>
    <col min="12545" max="12545" width="10.7109375" style="262" bestFit="1" customWidth="1"/>
    <col min="12546" max="12557" width="14.7109375" style="262" bestFit="1" customWidth="1"/>
    <col min="12558" max="12558" width="4.7109375" style="262" bestFit="1" customWidth="1"/>
    <col min="12559" max="12800" width="9.140625" style="262"/>
    <col min="12801" max="12801" width="10.7109375" style="262" bestFit="1" customWidth="1"/>
    <col min="12802" max="12813" width="14.7109375" style="262" bestFit="1" customWidth="1"/>
    <col min="12814" max="12814" width="4.7109375" style="262" bestFit="1" customWidth="1"/>
    <col min="12815" max="13056" width="9.140625" style="262"/>
    <col min="13057" max="13057" width="10.7109375" style="262" bestFit="1" customWidth="1"/>
    <col min="13058" max="13069" width="14.7109375" style="262" bestFit="1" customWidth="1"/>
    <col min="13070" max="13070" width="4.7109375" style="262" bestFit="1" customWidth="1"/>
    <col min="13071" max="13312" width="9.140625" style="262"/>
    <col min="13313" max="13313" width="10.7109375" style="262" bestFit="1" customWidth="1"/>
    <col min="13314" max="13325" width="14.7109375" style="262" bestFit="1" customWidth="1"/>
    <col min="13326" max="13326" width="4.7109375" style="262" bestFit="1" customWidth="1"/>
    <col min="13327" max="13568" width="9.140625" style="262"/>
    <col min="13569" max="13569" width="10.7109375" style="262" bestFit="1" customWidth="1"/>
    <col min="13570" max="13581" width="14.7109375" style="262" bestFit="1" customWidth="1"/>
    <col min="13582" max="13582" width="4.7109375" style="262" bestFit="1" customWidth="1"/>
    <col min="13583" max="13824" width="9.140625" style="262"/>
    <col min="13825" max="13825" width="10.7109375" style="262" bestFit="1" customWidth="1"/>
    <col min="13826" max="13837" width="14.7109375" style="262" bestFit="1" customWidth="1"/>
    <col min="13838" max="13838" width="4.7109375" style="262" bestFit="1" customWidth="1"/>
    <col min="13839" max="14080" width="9.140625" style="262"/>
    <col min="14081" max="14081" width="10.7109375" style="262" bestFit="1" customWidth="1"/>
    <col min="14082" max="14093" width="14.7109375" style="262" bestFit="1" customWidth="1"/>
    <col min="14094" max="14094" width="4.7109375" style="262" bestFit="1" customWidth="1"/>
    <col min="14095" max="14336" width="9.140625" style="262"/>
    <col min="14337" max="14337" width="10.7109375" style="262" bestFit="1" customWidth="1"/>
    <col min="14338" max="14349" width="14.7109375" style="262" bestFit="1" customWidth="1"/>
    <col min="14350" max="14350" width="4.7109375" style="262" bestFit="1" customWidth="1"/>
    <col min="14351" max="14592" width="9.140625" style="262"/>
    <col min="14593" max="14593" width="10.7109375" style="262" bestFit="1" customWidth="1"/>
    <col min="14594" max="14605" width="14.7109375" style="262" bestFit="1" customWidth="1"/>
    <col min="14606" max="14606" width="4.7109375" style="262" bestFit="1" customWidth="1"/>
    <col min="14607" max="14848" width="9.140625" style="262"/>
    <col min="14849" max="14849" width="10.7109375" style="262" bestFit="1" customWidth="1"/>
    <col min="14850" max="14861" width="14.7109375" style="262" bestFit="1" customWidth="1"/>
    <col min="14862" max="14862" width="4.7109375" style="262" bestFit="1" customWidth="1"/>
    <col min="14863" max="15104" width="9.140625" style="262"/>
    <col min="15105" max="15105" width="10.7109375" style="262" bestFit="1" customWidth="1"/>
    <col min="15106" max="15117" width="14.7109375" style="262" bestFit="1" customWidth="1"/>
    <col min="15118" max="15118" width="4.7109375" style="262" bestFit="1" customWidth="1"/>
    <col min="15119" max="15360" width="9.140625" style="262"/>
    <col min="15361" max="15361" width="10.7109375" style="262" bestFit="1" customWidth="1"/>
    <col min="15362" max="15373" width="14.7109375" style="262" bestFit="1" customWidth="1"/>
    <col min="15374" max="15374" width="4.7109375" style="262" bestFit="1" customWidth="1"/>
    <col min="15375" max="15616" width="9.140625" style="262"/>
    <col min="15617" max="15617" width="10.7109375" style="262" bestFit="1" customWidth="1"/>
    <col min="15618" max="15629" width="14.7109375" style="262" bestFit="1" customWidth="1"/>
    <col min="15630" max="15630" width="4.7109375" style="262" bestFit="1" customWidth="1"/>
    <col min="15631" max="15872" width="9.140625" style="262"/>
    <col min="15873" max="15873" width="10.7109375" style="262" bestFit="1" customWidth="1"/>
    <col min="15874" max="15885" width="14.7109375" style="262" bestFit="1" customWidth="1"/>
    <col min="15886" max="15886" width="4.7109375" style="262" bestFit="1" customWidth="1"/>
    <col min="15887" max="16128" width="9.140625" style="262"/>
    <col min="16129" max="16129" width="10.7109375" style="262" bestFit="1" customWidth="1"/>
    <col min="16130" max="16141" width="14.7109375" style="262" bestFit="1" customWidth="1"/>
    <col min="16142" max="16142" width="4.7109375" style="262" bestFit="1" customWidth="1"/>
    <col min="16143" max="16384" width="9.140625" style="262"/>
  </cols>
  <sheetData>
    <row r="1" spans="1:13" ht="16.5" customHeight="1" x14ac:dyDescent="0.2">
      <c r="A1" s="385" t="s">
        <v>262</v>
      </c>
      <c r="B1" s="385"/>
      <c r="C1" s="385"/>
      <c r="D1" s="385"/>
      <c r="E1" s="385"/>
      <c r="F1" s="385"/>
      <c r="G1" s="385"/>
      <c r="H1" s="385"/>
      <c r="I1" s="385"/>
      <c r="J1" s="385"/>
      <c r="K1" s="385"/>
      <c r="L1" s="385"/>
      <c r="M1" s="385"/>
    </row>
    <row r="2" spans="1:13" s="265" customFormat="1" ht="18" customHeight="1" x14ac:dyDescent="0.2">
      <c r="A2" s="398" t="s">
        <v>263</v>
      </c>
      <c r="B2" s="369" t="s">
        <v>264</v>
      </c>
      <c r="C2" s="395"/>
      <c r="D2" s="395"/>
      <c r="E2" s="395"/>
      <c r="F2" s="395"/>
      <c r="G2" s="395"/>
      <c r="H2" s="395"/>
      <c r="I2" s="370"/>
      <c r="J2" s="378" t="s">
        <v>265</v>
      </c>
      <c r="K2" s="379"/>
      <c r="L2" s="378" t="s">
        <v>150</v>
      </c>
      <c r="M2" s="379"/>
    </row>
    <row r="3" spans="1:13" s="265" customFormat="1" ht="18" customHeight="1" x14ac:dyDescent="0.2">
      <c r="A3" s="399"/>
      <c r="B3" s="369" t="s">
        <v>266</v>
      </c>
      <c r="C3" s="370"/>
      <c r="D3" s="369" t="s">
        <v>267</v>
      </c>
      <c r="E3" s="370"/>
      <c r="F3" s="369" t="s">
        <v>268</v>
      </c>
      <c r="G3" s="370"/>
      <c r="H3" s="369" t="s">
        <v>269</v>
      </c>
      <c r="I3" s="370"/>
      <c r="J3" s="380"/>
      <c r="K3" s="381"/>
      <c r="L3" s="380"/>
      <c r="M3" s="381"/>
    </row>
    <row r="4" spans="1:13" s="265" customFormat="1" ht="27" customHeight="1" x14ac:dyDescent="0.2">
      <c r="A4" s="298" t="s">
        <v>270</v>
      </c>
      <c r="B4" s="299" t="s">
        <v>185</v>
      </c>
      <c r="C4" s="287" t="s">
        <v>186</v>
      </c>
      <c r="D4" s="299" t="s">
        <v>185</v>
      </c>
      <c r="E4" s="287" t="s">
        <v>271</v>
      </c>
      <c r="F4" s="299" t="s">
        <v>185</v>
      </c>
      <c r="G4" s="287" t="s">
        <v>271</v>
      </c>
      <c r="H4" s="299" t="s">
        <v>185</v>
      </c>
      <c r="I4" s="287" t="s">
        <v>271</v>
      </c>
      <c r="J4" s="299" t="s">
        <v>185</v>
      </c>
      <c r="K4" s="287" t="s">
        <v>271</v>
      </c>
      <c r="L4" s="299" t="s">
        <v>185</v>
      </c>
      <c r="M4" s="287" t="s">
        <v>271</v>
      </c>
    </row>
    <row r="5" spans="1:13" s="265" customFormat="1" ht="18" customHeight="1" x14ac:dyDescent="0.2">
      <c r="A5" s="266" t="s">
        <v>69</v>
      </c>
      <c r="B5" s="283">
        <v>280</v>
      </c>
      <c r="C5" s="290">
        <v>1596761.05</v>
      </c>
      <c r="D5" s="283">
        <v>538</v>
      </c>
      <c r="E5" s="290">
        <v>408841.17</v>
      </c>
      <c r="F5" s="283">
        <v>322</v>
      </c>
      <c r="G5" s="290">
        <v>104834</v>
      </c>
      <c r="H5" s="283">
        <v>216</v>
      </c>
      <c r="I5" s="283">
        <v>16271.32</v>
      </c>
      <c r="J5" s="283">
        <v>88</v>
      </c>
      <c r="K5" s="283">
        <v>10928.98</v>
      </c>
      <c r="L5" s="283">
        <v>1444</v>
      </c>
      <c r="M5" s="290">
        <v>2137636.52</v>
      </c>
    </row>
    <row r="6" spans="1:13" s="265" customFormat="1" ht="18" customHeight="1" x14ac:dyDescent="0.2">
      <c r="A6" s="266" t="s">
        <v>70</v>
      </c>
      <c r="B6" s="283">
        <v>279</v>
      </c>
      <c r="C6" s="290">
        <v>2080535.77</v>
      </c>
      <c r="D6" s="283">
        <v>400</v>
      </c>
      <c r="E6" s="290">
        <v>324988.84000000003</v>
      </c>
      <c r="F6" s="283">
        <v>349</v>
      </c>
      <c r="G6" s="290">
        <v>104665.52</v>
      </c>
      <c r="H6" s="283">
        <v>241</v>
      </c>
      <c r="I6" s="283">
        <v>20878.506000000001</v>
      </c>
      <c r="J6" s="283">
        <v>57</v>
      </c>
      <c r="K6" s="283">
        <v>12738.1</v>
      </c>
      <c r="L6" s="283">
        <v>1326</v>
      </c>
      <c r="M6" s="290">
        <v>2543806.736</v>
      </c>
    </row>
    <row r="7" spans="1:13" s="265" customFormat="1" ht="18" customHeight="1" x14ac:dyDescent="0.2">
      <c r="A7" s="266" t="s">
        <v>156</v>
      </c>
      <c r="B7" s="283">
        <v>21</v>
      </c>
      <c r="C7" s="283">
        <v>85560.55</v>
      </c>
      <c r="D7" s="283">
        <v>22</v>
      </c>
      <c r="E7" s="283">
        <v>16730</v>
      </c>
      <c r="F7" s="283">
        <v>13</v>
      </c>
      <c r="G7" s="283">
        <v>7273.57</v>
      </c>
      <c r="H7" s="283">
        <v>9</v>
      </c>
      <c r="I7" s="283">
        <v>1837.03</v>
      </c>
      <c r="J7" s="283">
        <v>3</v>
      </c>
      <c r="K7" s="283">
        <v>1496.41</v>
      </c>
      <c r="L7" s="283">
        <v>68</v>
      </c>
      <c r="M7" s="290">
        <v>112897.56</v>
      </c>
    </row>
    <row r="8" spans="1:13" s="265" customFormat="1" ht="18" customHeight="1" x14ac:dyDescent="0.2">
      <c r="A8" s="266" t="s">
        <v>157</v>
      </c>
      <c r="B8" s="283">
        <v>15</v>
      </c>
      <c r="C8" s="283">
        <v>89278.02</v>
      </c>
      <c r="D8" s="283">
        <v>22</v>
      </c>
      <c r="E8" s="283">
        <v>8175</v>
      </c>
      <c r="F8" s="283">
        <v>16</v>
      </c>
      <c r="G8" s="283">
        <v>3913.14</v>
      </c>
      <c r="H8" s="283">
        <v>11</v>
      </c>
      <c r="I8" s="283">
        <v>1455.11</v>
      </c>
      <c r="J8" s="283">
        <v>2</v>
      </c>
      <c r="K8" s="283">
        <v>151</v>
      </c>
      <c r="L8" s="283">
        <v>66</v>
      </c>
      <c r="M8" s="290">
        <v>102972.27</v>
      </c>
    </row>
    <row r="9" spans="1:13" s="265" customFormat="1" ht="18" customHeight="1" x14ac:dyDescent="0.2">
      <c r="A9" s="266" t="s">
        <v>158</v>
      </c>
      <c r="B9" s="283">
        <v>12</v>
      </c>
      <c r="C9" s="283">
        <v>35060.97</v>
      </c>
      <c r="D9" s="283">
        <v>32</v>
      </c>
      <c r="E9" s="283">
        <v>29036.61</v>
      </c>
      <c r="F9" s="283">
        <v>28</v>
      </c>
      <c r="G9" s="283">
        <v>8958.5499999999993</v>
      </c>
      <c r="H9" s="283">
        <v>15</v>
      </c>
      <c r="I9" s="283">
        <v>2349.19</v>
      </c>
      <c r="J9" s="283">
        <v>7</v>
      </c>
      <c r="K9" s="283">
        <v>664.43</v>
      </c>
      <c r="L9" s="283">
        <v>94</v>
      </c>
      <c r="M9" s="283">
        <v>76069.75</v>
      </c>
    </row>
    <row r="10" spans="1:13" s="265" customFormat="1" ht="18" customHeight="1" x14ac:dyDescent="0.2">
      <c r="A10" s="266" t="s">
        <v>159</v>
      </c>
      <c r="B10" s="283">
        <v>21</v>
      </c>
      <c r="C10" s="283">
        <v>74224.460000000006</v>
      </c>
      <c r="D10" s="283">
        <v>29</v>
      </c>
      <c r="E10" s="283">
        <v>33412.129999999997</v>
      </c>
      <c r="F10" s="283">
        <v>24</v>
      </c>
      <c r="G10" s="283">
        <v>3184.32</v>
      </c>
      <c r="H10" s="283">
        <v>14</v>
      </c>
      <c r="I10" s="283">
        <v>1432.0260000000001</v>
      </c>
      <c r="J10" s="283">
        <v>3</v>
      </c>
      <c r="K10" s="283">
        <v>42.76</v>
      </c>
      <c r="L10" s="283">
        <v>91</v>
      </c>
      <c r="M10" s="290">
        <v>112295.696</v>
      </c>
    </row>
    <row r="11" spans="1:13" s="265" customFormat="1" ht="18" customHeight="1" x14ac:dyDescent="0.2">
      <c r="A11" s="266" t="s">
        <v>160</v>
      </c>
      <c r="B11" s="283">
        <v>23</v>
      </c>
      <c r="C11" s="290">
        <v>150168.39000000001</v>
      </c>
      <c r="D11" s="283">
        <v>41</v>
      </c>
      <c r="E11" s="283">
        <v>44267.69</v>
      </c>
      <c r="F11" s="283">
        <v>31</v>
      </c>
      <c r="G11" s="283">
        <v>5276.04</v>
      </c>
      <c r="H11" s="283">
        <v>18</v>
      </c>
      <c r="I11" s="283">
        <v>1549.69</v>
      </c>
      <c r="J11" s="283">
        <v>5</v>
      </c>
      <c r="K11" s="283">
        <v>4729.1000000000004</v>
      </c>
      <c r="L11" s="283">
        <v>118</v>
      </c>
      <c r="M11" s="290">
        <v>205990.91</v>
      </c>
    </row>
    <row r="12" spans="1:13" s="265" customFormat="1" ht="18" customHeight="1" x14ac:dyDescent="0.2">
      <c r="A12" s="266" t="s">
        <v>161</v>
      </c>
      <c r="B12" s="283">
        <v>19</v>
      </c>
      <c r="C12" s="283">
        <v>44744.61</v>
      </c>
      <c r="D12" s="283">
        <v>34</v>
      </c>
      <c r="E12" s="283">
        <v>16583.669999999998</v>
      </c>
      <c r="F12" s="283">
        <v>25</v>
      </c>
      <c r="G12" s="283">
        <v>4558.79</v>
      </c>
      <c r="H12" s="283">
        <v>19</v>
      </c>
      <c r="I12" s="283">
        <v>1307.9100000000001</v>
      </c>
      <c r="J12" s="283">
        <v>3</v>
      </c>
      <c r="K12" s="283">
        <v>580</v>
      </c>
      <c r="L12" s="283">
        <v>100</v>
      </c>
      <c r="M12" s="283">
        <v>67774.98</v>
      </c>
    </row>
    <row r="13" spans="1:13" s="265" customFormat="1" ht="18" customHeight="1" x14ac:dyDescent="0.2">
      <c r="A13" s="266" t="s">
        <v>162</v>
      </c>
      <c r="B13" s="283">
        <v>24</v>
      </c>
      <c r="C13" s="290">
        <v>228957.98</v>
      </c>
      <c r="D13" s="283">
        <v>25</v>
      </c>
      <c r="E13" s="283">
        <v>32123.03</v>
      </c>
      <c r="F13" s="283">
        <v>14</v>
      </c>
      <c r="G13" s="283">
        <v>2177.16</v>
      </c>
      <c r="H13" s="283">
        <v>19</v>
      </c>
      <c r="I13" s="283">
        <v>492.77</v>
      </c>
      <c r="J13" s="283">
        <v>1</v>
      </c>
      <c r="K13" s="283">
        <v>28</v>
      </c>
      <c r="L13" s="283">
        <v>83</v>
      </c>
      <c r="M13" s="290">
        <v>263778.94</v>
      </c>
    </row>
    <row r="14" spans="1:13" s="265" customFormat="1" ht="18" customHeight="1" x14ac:dyDescent="0.2">
      <c r="A14" s="266" t="s">
        <v>163</v>
      </c>
      <c r="B14" s="283">
        <v>17</v>
      </c>
      <c r="C14" s="283">
        <v>34811.129999999997</v>
      </c>
      <c r="D14" s="283">
        <v>44</v>
      </c>
      <c r="E14" s="283">
        <v>35696.019999999997</v>
      </c>
      <c r="F14" s="283">
        <v>21</v>
      </c>
      <c r="G14" s="283">
        <v>7363.66</v>
      </c>
      <c r="H14" s="283">
        <v>18</v>
      </c>
      <c r="I14" s="283">
        <v>1231.0999999999999</v>
      </c>
      <c r="J14" s="283">
        <v>5</v>
      </c>
      <c r="K14" s="283">
        <v>225.66</v>
      </c>
      <c r="L14" s="283">
        <v>105</v>
      </c>
      <c r="M14" s="283">
        <v>79327.570000000007</v>
      </c>
    </row>
    <row r="15" spans="1:13" s="265" customFormat="1" ht="18" customHeight="1" x14ac:dyDescent="0.2">
      <c r="A15" s="266" t="s">
        <v>164</v>
      </c>
      <c r="B15" s="283">
        <v>33</v>
      </c>
      <c r="C15" s="290">
        <v>201626.46</v>
      </c>
      <c r="D15" s="283">
        <v>34</v>
      </c>
      <c r="E15" s="283">
        <v>34743.620000000003</v>
      </c>
      <c r="F15" s="283">
        <v>26</v>
      </c>
      <c r="G15" s="283">
        <v>5800.35</v>
      </c>
      <c r="H15" s="283">
        <v>20</v>
      </c>
      <c r="I15" s="283">
        <v>696.74</v>
      </c>
      <c r="J15" s="283">
        <v>4</v>
      </c>
      <c r="K15" s="283">
        <v>457</v>
      </c>
      <c r="L15" s="283">
        <v>117</v>
      </c>
      <c r="M15" s="290">
        <v>243324.17</v>
      </c>
    </row>
    <row r="16" spans="1:13" s="265" customFormat="1" ht="18" customHeight="1" x14ac:dyDescent="0.2">
      <c r="A16" s="266" t="s">
        <v>165</v>
      </c>
      <c r="B16" s="283">
        <v>26</v>
      </c>
      <c r="C16" s="283">
        <v>74616.84</v>
      </c>
      <c r="D16" s="283">
        <v>34</v>
      </c>
      <c r="E16" s="283">
        <v>18764.150000000001</v>
      </c>
      <c r="F16" s="283">
        <v>80</v>
      </c>
      <c r="G16" s="283">
        <v>36700.69</v>
      </c>
      <c r="H16" s="283">
        <v>43</v>
      </c>
      <c r="I16" s="283">
        <v>6252.83</v>
      </c>
      <c r="J16" s="283">
        <v>10</v>
      </c>
      <c r="K16" s="283">
        <v>2694.2</v>
      </c>
      <c r="L16" s="283">
        <v>193</v>
      </c>
      <c r="M16" s="290">
        <v>139028.71</v>
      </c>
    </row>
    <row r="17" spans="1:13" s="265" customFormat="1" ht="18" customHeight="1" x14ac:dyDescent="0.2">
      <c r="A17" s="266" t="s">
        <v>166</v>
      </c>
      <c r="B17" s="283">
        <v>29</v>
      </c>
      <c r="C17" s="290">
        <v>251335.39</v>
      </c>
      <c r="D17" s="283">
        <v>30</v>
      </c>
      <c r="E17" s="283">
        <v>16956.53</v>
      </c>
      <c r="F17" s="283">
        <v>28</v>
      </c>
      <c r="G17" s="283">
        <v>7942.65</v>
      </c>
      <c r="H17" s="283">
        <v>21</v>
      </c>
      <c r="I17" s="283">
        <v>552.23</v>
      </c>
      <c r="J17" s="283">
        <v>3</v>
      </c>
      <c r="K17" s="283">
        <v>370</v>
      </c>
      <c r="L17" s="283">
        <v>111</v>
      </c>
      <c r="M17" s="290">
        <v>277156.8</v>
      </c>
    </row>
    <row r="18" spans="1:13" s="265" customFormat="1" ht="18" customHeight="1" x14ac:dyDescent="0.2">
      <c r="A18" s="266" t="s">
        <v>167</v>
      </c>
      <c r="B18" s="283">
        <v>39</v>
      </c>
      <c r="C18" s="290">
        <v>810150.97</v>
      </c>
      <c r="D18" s="283">
        <v>53</v>
      </c>
      <c r="E18" s="283">
        <v>38500.39</v>
      </c>
      <c r="F18" s="283">
        <v>43</v>
      </c>
      <c r="G18" s="283">
        <v>11516.6</v>
      </c>
      <c r="H18" s="283">
        <v>34</v>
      </c>
      <c r="I18" s="283">
        <v>1721.88</v>
      </c>
      <c r="J18" s="283">
        <v>11</v>
      </c>
      <c r="K18" s="283">
        <v>1299.54</v>
      </c>
      <c r="L18" s="283">
        <v>180</v>
      </c>
      <c r="M18" s="290">
        <v>863189.38</v>
      </c>
    </row>
    <row r="19" spans="1:13" s="265" customFormat="1" ht="15" customHeight="1" x14ac:dyDescent="0.2">
      <c r="A19" s="353" t="s">
        <v>106</v>
      </c>
      <c r="B19" s="353"/>
      <c r="C19" s="353"/>
      <c r="D19" s="353"/>
      <c r="E19" s="353"/>
      <c r="F19" s="353"/>
    </row>
    <row r="20" spans="1:13" s="265" customFormat="1" ht="13.5" customHeight="1" x14ac:dyDescent="0.2">
      <c r="A20" s="353" t="s">
        <v>272</v>
      </c>
      <c r="B20" s="353"/>
      <c r="C20" s="353"/>
      <c r="D20" s="353"/>
      <c r="E20" s="353"/>
      <c r="F20" s="353"/>
    </row>
    <row r="21" spans="1:13" s="265" customFormat="1" ht="26.85" customHeight="1" x14ac:dyDescent="0.2"/>
  </sheetData>
  <mergeCells count="11">
    <mergeCell ref="A19:F19"/>
    <mergeCell ref="A20:F20"/>
    <mergeCell ref="A1:M1"/>
    <mergeCell ref="A2:A3"/>
    <mergeCell ref="B2:I2"/>
    <mergeCell ref="J2:K3"/>
    <mergeCell ref="L2:M3"/>
    <mergeCell ref="B3:C3"/>
    <mergeCell ref="D3:E3"/>
    <mergeCell ref="F3:G3"/>
    <mergeCell ref="H3:I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M20"/>
  <sheetViews>
    <sheetView workbookViewId="0">
      <selection sqref="A1:M1"/>
    </sheetView>
  </sheetViews>
  <sheetFormatPr defaultRowHeight="12.75" x14ac:dyDescent="0.2"/>
  <cols>
    <col min="1" max="13" width="14.7109375" style="262" bestFit="1" customWidth="1"/>
    <col min="14" max="14" width="5.28515625" style="262" bestFit="1" customWidth="1"/>
    <col min="15" max="256" width="9.140625" style="262"/>
    <col min="257" max="269" width="14.7109375" style="262" bestFit="1" customWidth="1"/>
    <col min="270" max="270" width="5.28515625" style="262" bestFit="1" customWidth="1"/>
    <col min="271" max="512" width="9.140625" style="262"/>
    <col min="513" max="525" width="14.7109375" style="262" bestFit="1" customWidth="1"/>
    <col min="526" max="526" width="5.28515625" style="262" bestFit="1" customWidth="1"/>
    <col min="527" max="768" width="9.140625" style="262"/>
    <col min="769" max="781" width="14.7109375" style="262" bestFit="1" customWidth="1"/>
    <col min="782" max="782" width="5.28515625" style="262" bestFit="1" customWidth="1"/>
    <col min="783" max="1024" width="9.140625" style="262"/>
    <col min="1025" max="1037" width="14.7109375" style="262" bestFit="1" customWidth="1"/>
    <col min="1038" max="1038" width="5.28515625" style="262" bestFit="1" customWidth="1"/>
    <col min="1039" max="1280" width="9.140625" style="262"/>
    <col min="1281" max="1293" width="14.7109375" style="262" bestFit="1" customWidth="1"/>
    <col min="1294" max="1294" width="5.28515625" style="262" bestFit="1" customWidth="1"/>
    <col min="1295" max="1536" width="9.140625" style="262"/>
    <col min="1537" max="1549" width="14.7109375" style="262" bestFit="1" customWidth="1"/>
    <col min="1550" max="1550" width="5.28515625" style="262" bestFit="1" customWidth="1"/>
    <col min="1551" max="1792" width="9.140625" style="262"/>
    <col min="1793" max="1805" width="14.7109375" style="262" bestFit="1" customWidth="1"/>
    <col min="1806" max="1806" width="5.28515625" style="262" bestFit="1" customWidth="1"/>
    <col min="1807" max="2048" width="9.140625" style="262"/>
    <col min="2049" max="2061" width="14.7109375" style="262" bestFit="1" customWidth="1"/>
    <col min="2062" max="2062" width="5.28515625" style="262" bestFit="1" customWidth="1"/>
    <col min="2063" max="2304" width="9.140625" style="262"/>
    <col min="2305" max="2317" width="14.7109375" style="262" bestFit="1" customWidth="1"/>
    <col min="2318" max="2318" width="5.28515625" style="262" bestFit="1" customWidth="1"/>
    <col min="2319" max="2560" width="9.140625" style="262"/>
    <col min="2561" max="2573" width="14.7109375" style="262" bestFit="1" customWidth="1"/>
    <col min="2574" max="2574" width="5.28515625" style="262" bestFit="1" customWidth="1"/>
    <col min="2575" max="2816" width="9.140625" style="262"/>
    <col min="2817" max="2829" width="14.7109375" style="262" bestFit="1" customWidth="1"/>
    <col min="2830" max="2830" width="5.28515625" style="262" bestFit="1" customWidth="1"/>
    <col min="2831" max="3072" width="9.140625" style="262"/>
    <col min="3073" max="3085" width="14.7109375" style="262" bestFit="1" customWidth="1"/>
    <col min="3086" max="3086" width="5.28515625" style="262" bestFit="1" customWidth="1"/>
    <col min="3087" max="3328" width="9.140625" style="262"/>
    <col min="3329" max="3341" width="14.7109375" style="262" bestFit="1" customWidth="1"/>
    <col min="3342" max="3342" width="5.28515625" style="262" bestFit="1" customWidth="1"/>
    <col min="3343" max="3584" width="9.140625" style="262"/>
    <col min="3585" max="3597" width="14.7109375" style="262" bestFit="1" customWidth="1"/>
    <col min="3598" max="3598" width="5.28515625" style="262" bestFit="1" customWidth="1"/>
    <col min="3599" max="3840" width="9.140625" style="262"/>
    <col min="3841" max="3853" width="14.7109375" style="262" bestFit="1" customWidth="1"/>
    <col min="3854" max="3854" width="5.28515625" style="262" bestFit="1" customWidth="1"/>
    <col min="3855" max="4096" width="9.140625" style="262"/>
    <col min="4097" max="4109" width="14.7109375" style="262" bestFit="1" customWidth="1"/>
    <col min="4110" max="4110" width="5.28515625" style="262" bestFit="1" customWidth="1"/>
    <col min="4111" max="4352" width="9.140625" style="262"/>
    <col min="4353" max="4365" width="14.7109375" style="262" bestFit="1" customWidth="1"/>
    <col min="4366" max="4366" width="5.28515625" style="262" bestFit="1" customWidth="1"/>
    <col min="4367" max="4608" width="9.140625" style="262"/>
    <col min="4609" max="4621" width="14.7109375" style="262" bestFit="1" customWidth="1"/>
    <col min="4622" max="4622" width="5.28515625" style="262" bestFit="1" customWidth="1"/>
    <col min="4623" max="4864" width="9.140625" style="262"/>
    <col min="4865" max="4877" width="14.7109375" style="262" bestFit="1" customWidth="1"/>
    <col min="4878" max="4878" width="5.28515625" style="262" bestFit="1" customWidth="1"/>
    <col min="4879" max="5120" width="9.140625" style="262"/>
    <col min="5121" max="5133" width="14.7109375" style="262" bestFit="1" customWidth="1"/>
    <col min="5134" max="5134" width="5.28515625" style="262" bestFit="1" customWidth="1"/>
    <col min="5135" max="5376" width="9.140625" style="262"/>
    <col min="5377" max="5389" width="14.7109375" style="262" bestFit="1" customWidth="1"/>
    <col min="5390" max="5390" width="5.28515625" style="262" bestFit="1" customWidth="1"/>
    <col min="5391" max="5632" width="9.140625" style="262"/>
    <col min="5633" max="5645" width="14.7109375" style="262" bestFit="1" customWidth="1"/>
    <col min="5646" max="5646" width="5.28515625" style="262" bestFit="1" customWidth="1"/>
    <col min="5647" max="5888" width="9.140625" style="262"/>
    <col min="5889" max="5901" width="14.7109375" style="262" bestFit="1" customWidth="1"/>
    <col min="5902" max="5902" width="5.28515625" style="262" bestFit="1" customWidth="1"/>
    <col min="5903" max="6144" width="9.140625" style="262"/>
    <col min="6145" max="6157" width="14.7109375" style="262" bestFit="1" customWidth="1"/>
    <col min="6158" max="6158" width="5.28515625" style="262" bestFit="1" customWidth="1"/>
    <col min="6159" max="6400" width="9.140625" style="262"/>
    <col min="6401" max="6413" width="14.7109375" style="262" bestFit="1" customWidth="1"/>
    <col min="6414" max="6414" width="5.28515625" style="262" bestFit="1" customWidth="1"/>
    <col min="6415" max="6656" width="9.140625" style="262"/>
    <col min="6657" max="6669" width="14.7109375" style="262" bestFit="1" customWidth="1"/>
    <col min="6670" max="6670" width="5.28515625" style="262" bestFit="1" customWidth="1"/>
    <col min="6671" max="6912" width="9.140625" style="262"/>
    <col min="6913" max="6925" width="14.7109375" style="262" bestFit="1" customWidth="1"/>
    <col min="6926" max="6926" width="5.28515625" style="262" bestFit="1" customWidth="1"/>
    <col min="6927" max="7168" width="9.140625" style="262"/>
    <col min="7169" max="7181" width="14.7109375" style="262" bestFit="1" customWidth="1"/>
    <col min="7182" max="7182" width="5.28515625" style="262" bestFit="1" customWidth="1"/>
    <col min="7183" max="7424" width="9.140625" style="262"/>
    <col min="7425" max="7437" width="14.7109375" style="262" bestFit="1" customWidth="1"/>
    <col min="7438" max="7438" width="5.28515625" style="262" bestFit="1" customWidth="1"/>
    <col min="7439" max="7680" width="9.140625" style="262"/>
    <col min="7681" max="7693" width="14.7109375" style="262" bestFit="1" customWidth="1"/>
    <col min="7694" max="7694" width="5.28515625" style="262" bestFit="1" customWidth="1"/>
    <col min="7695" max="7936" width="9.140625" style="262"/>
    <col min="7937" max="7949" width="14.7109375" style="262" bestFit="1" customWidth="1"/>
    <col min="7950" max="7950" width="5.28515625" style="262" bestFit="1" customWidth="1"/>
    <col min="7951" max="8192" width="9.140625" style="262"/>
    <col min="8193" max="8205" width="14.7109375" style="262" bestFit="1" customWidth="1"/>
    <col min="8206" max="8206" width="5.28515625" style="262" bestFit="1" customWidth="1"/>
    <col min="8207" max="8448" width="9.140625" style="262"/>
    <col min="8449" max="8461" width="14.7109375" style="262" bestFit="1" customWidth="1"/>
    <col min="8462" max="8462" width="5.28515625" style="262" bestFit="1" customWidth="1"/>
    <col min="8463" max="8704" width="9.140625" style="262"/>
    <col min="8705" max="8717" width="14.7109375" style="262" bestFit="1" customWidth="1"/>
    <col min="8718" max="8718" width="5.28515625" style="262" bestFit="1" customWidth="1"/>
    <col min="8719" max="8960" width="9.140625" style="262"/>
    <col min="8961" max="8973" width="14.7109375" style="262" bestFit="1" customWidth="1"/>
    <col min="8974" max="8974" width="5.28515625" style="262" bestFit="1" customWidth="1"/>
    <col min="8975" max="9216" width="9.140625" style="262"/>
    <col min="9217" max="9229" width="14.7109375" style="262" bestFit="1" customWidth="1"/>
    <col min="9230" max="9230" width="5.28515625" style="262" bestFit="1" customWidth="1"/>
    <col min="9231" max="9472" width="9.140625" style="262"/>
    <col min="9473" max="9485" width="14.7109375" style="262" bestFit="1" customWidth="1"/>
    <col min="9486" max="9486" width="5.28515625" style="262" bestFit="1" customWidth="1"/>
    <col min="9487" max="9728" width="9.140625" style="262"/>
    <col min="9729" max="9741" width="14.7109375" style="262" bestFit="1" customWidth="1"/>
    <col min="9742" max="9742" width="5.28515625" style="262" bestFit="1" customWidth="1"/>
    <col min="9743" max="9984" width="9.140625" style="262"/>
    <col min="9985" max="9997" width="14.7109375" style="262" bestFit="1" customWidth="1"/>
    <col min="9998" max="9998" width="5.28515625" style="262" bestFit="1" customWidth="1"/>
    <col min="9999" max="10240" width="9.140625" style="262"/>
    <col min="10241" max="10253" width="14.7109375" style="262" bestFit="1" customWidth="1"/>
    <col min="10254" max="10254" width="5.28515625" style="262" bestFit="1" customWidth="1"/>
    <col min="10255" max="10496" width="9.140625" style="262"/>
    <col min="10497" max="10509" width="14.7109375" style="262" bestFit="1" customWidth="1"/>
    <col min="10510" max="10510" width="5.28515625" style="262" bestFit="1" customWidth="1"/>
    <col min="10511" max="10752" width="9.140625" style="262"/>
    <col min="10753" max="10765" width="14.7109375" style="262" bestFit="1" customWidth="1"/>
    <col min="10766" max="10766" width="5.28515625" style="262" bestFit="1" customWidth="1"/>
    <col min="10767" max="11008" width="9.140625" style="262"/>
    <col min="11009" max="11021" width="14.7109375" style="262" bestFit="1" customWidth="1"/>
    <col min="11022" max="11022" width="5.28515625" style="262" bestFit="1" customWidth="1"/>
    <col min="11023" max="11264" width="9.140625" style="262"/>
    <col min="11265" max="11277" width="14.7109375" style="262" bestFit="1" customWidth="1"/>
    <col min="11278" max="11278" width="5.28515625" style="262" bestFit="1" customWidth="1"/>
    <col min="11279" max="11520" width="9.140625" style="262"/>
    <col min="11521" max="11533" width="14.7109375" style="262" bestFit="1" customWidth="1"/>
    <col min="11534" max="11534" width="5.28515625" style="262" bestFit="1" customWidth="1"/>
    <col min="11535" max="11776" width="9.140625" style="262"/>
    <col min="11777" max="11789" width="14.7109375" style="262" bestFit="1" customWidth="1"/>
    <col min="11790" max="11790" width="5.28515625" style="262" bestFit="1" customWidth="1"/>
    <col min="11791" max="12032" width="9.140625" style="262"/>
    <col min="12033" max="12045" width="14.7109375" style="262" bestFit="1" customWidth="1"/>
    <col min="12046" max="12046" width="5.28515625" style="262" bestFit="1" customWidth="1"/>
    <col min="12047" max="12288" width="9.140625" style="262"/>
    <col min="12289" max="12301" width="14.7109375" style="262" bestFit="1" customWidth="1"/>
    <col min="12302" max="12302" width="5.28515625" style="262" bestFit="1" customWidth="1"/>
    <col min="12303" max="12544" width="9.140625" style="262"/>
    <col min="12545" max="12557" width="14.7109375" style="262" bestFit="1" customWidth="1"/>
    <col min="12558" max="12558" width="5.28515625" style="262" bestFit="1" customWidth="1"/>
    <col min="12559" max="12800" width="9.140625" style="262"/>
    <col min="12801" max="12813" width="14.7109375" style="262" bestFit="1" customWidth="1"/>
    <col min="12814" max="12814" width="5.28515625" style="262" bestFit="1" customWidth="1"/>
    <col min="12815" max="13056" width="9.140625" style="262"/>
    <col min="13057" max="13069" width="14.7109375" style="262" bestFit="1" customWidth="1"/>
    <col min="13070" max="13070" width="5.28515625" style="262" bestFit="1" customWidth="1"/>
    <col min="13071" max="13312" width="9.140625" style="262"/>
    <col min="13313" max="13325" width="14.7109375" style="262" bestFit="1" customWidth="1"/>
    <col min="13326" max="13326" width="5.28515625" style="262" bestFit="1" customWidth="1"/>
    <col min="13327" max="13568" width="9.140625" style="262"/>
    <col min="13569" max="13581" width="14.7109375" style="262" bestFit="1" customWidth="1"/>
    <col min="13582" max="13582" width="5.28515625" style="262" bestFit="1" customWidth="1"/>
    <col min="13583" max="13824" width="9.140625" style="262"/>
    <col min="13825" max="13837" width="14.7109375" style="262" bestFit="1" customWidth="1"/>
    <col min="13838" max="13838" width="5.28515625" style="262" bestFit="1" customWidth="1"/>
    <col min="13839" max="14080" width="9.140625" style="262"/>
    <col min="14081" max="14093" width="14.7109375" style="262" bestFit="1" customWidth="1"/>
    <col min="14094" max="14094" width="5.28515625" style="262" bestFit="1" customWidth="1"/>
    <col min="14095" max="14336" width="9.140625" style="262"/>
    <col min="14337" max="14349" width="14.7109375" style="262" bestFit="1" customWidth="1"/>
    <col min="14350" max="14350" width="5.28515625" style="262" bestFit="1" customWidth="1"/>
    <col min="14351" max="14592" width="9.140625" style="262"/>
    <col min="14593" max="14605" width="14.7109375" style="262" bestFit="1" customWidth="1"/>
    <col min="14606" max="14606" width="5.28515625" style="262" bestFit="1" customWidth="1"/>
    <col min="14607" max="14848" width="9.140625" style="262"/>
    <col min="14849" max="14861" width="14.7109375" style="262" bestFit="1" customWidth="1"/>
    <col min="14862" max="14862" width="5.28515625" style="262" bestFit="1" customWidth="1"/>
    <col min="14863" max="15104" width="9.140625" style="262"/>
    <col min="15105" max="15117" width="14.7109375" style="262" bestFit="1" customWidth="1"/>
    <col min="15118" max="15118" width="5.28515625" style="262" bestFit="1" customWidth="1"/>
    <col min="15119" max="15360" width="9.140625" style="262"/>
    <col min="15361" max="15373" width="14.7109375" style="262" bestFit="1" customWidth="1"/>
    <col min="15374" max="15374" width="5.28515625" style="262" bestFit="1" customWidth="1"/>
    <col min="15375" max="15616" width="9.140625" style="262"/>
    <col min="15617" max="15629" width="14.7109375" style="262" bestFit="1" customWidth="1"/>
    <col min="15630" max="15630" width="5.28515625" style="262" bestFit="1" customWidth="1"/>
    <col min="15631" max="15872" width="9.140625" style="262"/>
    <col min="15873" max="15885" width="14.7109375" style="262" bestFit="1" customWidth="1"/>
    <col min="15886" max="15886" width="5.28515625" style="262" bestFit="1" customWidth="1"/>
    <col min="15887" max="16128" width="9.140625" style="262"/>
    <col min="16129" max="16141" width="14.7109375" style="262" bestFit="1" customWidth="1"/>
    <col min="16142" max="16142" width="5.28515625" style="262" bestFit="1" customWidth="1"/>
    <col min="16143" max="16384" width="9.140625" style="262"/>
  </cols>
  <sheetData>
    <row r="1" spans="1:13" ht="19.5" customHeight="1" x14ac:dyDescent="0.2">
      <c r="A1" s="385" t="s">
        <v>273</v>
      </c>
      <c r="B1" s="385"/>
      <c r="C1" s="385"/>
      <c r="D1" s="385"/>
      <c r="E1" s="385"/>
      <c r="F1" s="385"/>
      <c r="G1" s="385"/>
      <c r="H1" s="385"/>
      <c r="I1" s="385"/>
      <c r="J1" s="385"/>
      <c r="K1" s="385"/>
      <c r="L1" s="385"/>
      <c r="M1" s="385"/>
    </row>
    <row r="2" spans="1:13" s="265" customFormat="1" ht="18" customHeight="1" x14ac:dyDescent="0.2">
      <c r="A2" s="300" t="s">
        <v>263</v>
      </c>
      <c r="B2" s="375" t="s">
        <v>274</v>
      </c>
      <c r="C2" s="377"/>
      <c r="D2" s="375" t="s">
        <v>275</v>
      </c>
      <c r="E2" s="377"/>
      <c r="F2" s="375" t="s">
        <v>276</v>
      </c>
      <c r="G2" s="377"/>
      <c r="H2" s="369" t="s">
        <v>277</v>
      </c>
      <c r="I2" s="370"/>
      <c r="J2" s="375" t="s">
        <v>278</v>
      </c>
      <c r="K2" s="377"/>
      <c r="L2" s="375" t="s">
        <v>150</v>
      </c>
      <c r="M2" s="377"/>
    </row>
    <row r="3" spans="1:13" s="265" customFormat="1" ht="27" customHeight="1" x14ac:dyDescent="0.2">
      <c r="A3" s="298" t="s">
        <v>270</v>
      </c>
      <c r="B3" s="299" t="s">
        <v>185</v>
      </c>
      <c r="C3" s="287" t="s">
        <v>202</v>
      </c>
      <c r="D3" s="299" t="s">
        <v>185</v>
      </c>
      <c r="E3" s="287" t="s">
        <v>202</v>
      </c>
      <c r="F3" s="299" t="s">
        <v>185</v>
      </c>
      <c r="G3" s="287" t="s">
        <v>202</v>
      </c>
      <c r="H3" s="299" t="s">
        <v>185</v>
      </c>
      <c r="I3" s="287" t="s">
        <v>202</v>
      </c>
      <c r="J3" s="299" t="s">
        <v>185</v>
      </c>
      <c r="K3" s="287" t="s">
        <v>202</v>
      </c>
      <c r="L3" s="299" t="s">
        <v>185</v>
      </c>
      <c r="M3" s="287" t="s">
        <v>202</v>
      </c>
    </row>
    <row r="4" spans="1:13" s="265" customFormat="1" ht="18" customHeight="1" x14ac:dyDescent="0.2">
      <c r="A4" s="266" t="s">
        <v>69</v>
      </c>
      <c r="B4" s="283">
        <v>360</v>
      </c>
      <c r="C4" s="290">
        <v>154861.12</v>
      </c>
      <c r="D4" s="271">
        <v>331</v>
      </c>
      <c r="E4" s="290">
        <v>303486.87</v>
      </c>
      <c r="F4" s="283">
        <v>3591</v>
      </c>
      <c r="G4" s="301">
        <v>10772518.465</v>
      </c>
      <c r="H4" s="283">
        <v>134</v>
      </c>
      <c r="I4" s="290">
        <v>202450.83</v>
      </c>
      <c r="J4" s="283">
        <v>894</v>
      </c>
      <c r="K4" s="290">
        <v>249959.15</v>
      </c>
      <c r="L4" s="283">
        <v>5310</v>
      </c>
      <c r="M4" s="301">
        <v>11683276.435000001</v>
      </c>
    </row>
    <row r="5" spans="1:13" s="265" customFormat="1" ht="18" customHeight="1" x14ac:dyDescent="0.2">
      <c r="A5" s="266" t="s">
        <v>70</v>
      </c>
      <c r="B5" s="283">
        <v>711</v>
      </c>
      <c r="C5" s="290">
        <v>314241.217</v>
      </c>
      <c r="D5" s="271">
        <v>892</v>
      </c>
      <c r="E5" s="290">
        <v>913562.25</v>
      </c>
      <c r="F5" s="283">
        <v>5489</v>
      </c>
      <c r="G5" s="301">
        <v>12252044.543</v>
      </c>
      <c r="H5" s="283">
        <v>494</v>
      </c>
      <c r="I5" s="290">
        <v>1124407.72</v>
      </c>
      <c r="J5" s="283">
        <v>1101</v>
      </c>
      <c r="K5" s="290">
        <v>475759.98</v>
      </c>
      <c r="L5" s="283">
        <v>8687</v>
      </c>
      <c r="M5" s="301">
        <v>15079015.869999999</v>
      </c>
    </row>
    <row r="6" spans="1:13" s="265" customFormat="1" ht="18" customHeight="1" x14ac:dyDescent="0.2">
      <c r="A6" s="266" t="s">
        <v>156</v>
      </c>
      <c r="B6" s="283">
        <v>28</v>
      </c>
      <c r="C6" s="283">
        <v>19680.55</v>
      </c>
      <c r="D6" s="271">
        <v>7</v>
      </c>
      <c r="E6" s="283">
        <v>683.21</v>
      </c>
      <c r="F6" s="283">
        <v>310</v>
      </c>
      <c r="G6" s="290">
        <v>523390.07</v>
      </c>
      <c r="H6" s="283">
        <v>3</v>
      </c>
      <c r="I6" s="283">
        <v>2351</v>
      </c>
      <c r="J6" s="283">
        <v>66</v>
      </c>
      <c r="K6" s="283">
        <v>30074.17</v>
      </c>
      <c r="L6" s="283">
        <v>414</v>
      </c>
      <c r="M6" s="290">
        <v>576179</v>
      </c>
    </row>
    <row r="7" spans="1:13" s="265" customFormat="1" ht="18" customHeight="1" x14ac:dyDescent="0.2">
      <c r="A7" s="266" t="s">
        <v>157</v>
      </c>
      <c r="B7" s="283">
        <v>36</v>
      </c>
      <c r="C7" s="283">
        <v>8241.89</v>
      </c>
      <c r="D7" s="271">
        <v>65</v>
      </c>
      <c r="E7" s="283">
        <v>58224.05</v>
      </c>
      <c r="F7" s="283">
        <v>369</v>
      </c>
      <c r="G7" s="290">
        <v>629541.82999999996</v>
      </c>
      <c r="H7" s="283">
        <v>11</v>
      </c>
      <c r="I7" s="283">
        <v>7050</v>
      </c>
      <c r="J7" s="283">
        <v>82</v>
      </c>
      <c r="K7" s="283">
        <v>16243.84</v>
      </c>
      <c r="L7" s="283">
        <v>563</v>
      </c>
      <c r="M7" s="290">
        <v>719301.61</v>
      </c>
    </row>
    <row r="8" spans="1:13" s="265" customFormat="1" ht="18" customHeight="1" x14ac:dyDescent="0.2">
      <c r="A8" s="266" t="s">
        <v>158</v>
      </c>
      <c r="B8" s="283">
        <v>122</v>
      </c>
      <c r="C8" s="283">
        <v>24678.66</v>
      </c>
      <c r="D8" s="271">
        <v>31</v>
      </c>
      <c r="E8" s="283">
        <v>27659.57</v>
      </c>
      <c r="F8" s="283">
        <v>604</v>
      </c>
      <c r="G8" s="290">
        <v>852387.89399999997</v>
      </c>
      <c r="H8" s="283">
        <v>3</v>
      </c>
      <c r="I8" s="283">
        <v>7235</v>
      </c>
      <c r="J8" s="283">
        <v>101</v>
      </c>
      <c r="K8" s="283">
        <v>11516.43</v>
      </c>
      <c r="L8" s="283">
        <v>861</v>
      </c>
      <c r="M8" s="290">
        <v>923477.554</v>
      </c>
    </row>
    <row r="9" spans="1:13" s="265" customFormat="1" ht="18" customHeight="1" x14ac:dyDescent="0.2">
      <c r="A9" s="266" t="s">
        <v>159</v>
      </c>
      <c r="B9" s="283">
        <v>24</v>
      </c>
      <c r="C9" s="283">
        <v>3101.28</v>
      </c>
      <c r="D9" s="271">
        <v>52</v>
      </c>
      <c r="E9" s="283">
        <v>33374.910000000003</v>
      </c>
      <c r="F9" s="283">
        <v>569</v>
      </c>
      <c r="G9" s="290">
        <v>694334.55</v>
      </c>
      <c r="H9" s="283">
        <v>22</v>
      </c>
      <c r="I9" s="283">
        <v>13707.45</v>
      </c>
      <c r="J9" s="283">
        <v>116</v>
      </c>
      <c r="K9" s="283">
        <v>45149.74</v>
      </c>
      <c r="L9" s="283">
        <v>783</v>
      </c>
      <c r="M9" s="290">
        <v>789667.93</v>
      </c>
    </row>
    <row r="10" spans="1:13" s="265" customFormat="1" ht="18" customHeight="1" x14ac:dyDescent="0.2">
      <c r="A10" s="266" t="s">
        <v>160</v>
      </c>
      <c r="B10" s="283">
        <v>155</v>
      </c>
      <c r="C10" s="290">
        <v>114544.94</v>
      </c>
      <c r="D10" s="271">
        <v>63</v>
      </c>
      <c r="E10" s="283">
        <v>39757.589999999997</v>
      </c>
      <c r="F10" s="283">
        <v>520</v>
      </c>
      <c r="G10" s="290">
        <v>756647.31499999994</v>
      </c>
      <c r="H10" s="283">
        <v>17</v>
      </c>
      <c r="I10" s="283">
        <v>17147</v>
      </c>
      <c r="J10" s="283">
        <v>115</v>
      </c>
      <c r="K10" s="283">
        <v>75942.13</v>
      </c>
      <c r="L10" s="283">
        <v>870</v>
      </c>
      <c r="M10" s="290">
        <v>1004038.975</v>
      </c>
    </row>
    <row r="11" spans="1:13" s="265" customFormat="1" ht="18" customHeight="1" x14ac:dyDescent="0.2">
      <c r="A11" s="266" t="s">
        <v>161</v>
      </c>
      <c r="B11" s="283">
        <v>49</v>
      </c>
      <c r="C11" s="283">
        <v>16439.61</v>
      </c>
      <c r="D11" s="271">
        <v>149</v>
      </c>
      <c r="E11" s="290">
        <v>116232.35</v>
      </c>
      <c r="F11" s="283">
        <v>606</v>
      </c>
      <c r="G11" s="290">
        <v>1585493.25</v>
      </c>
      <c r="H11" s="283">
        <v>59</v>
      </c>
      <c r="I11" s="283">
        <v>67280.509999999995</v>
      </c>
      <c r="J11" s="283">
        <v>69</v>
      </c>
      <c r="K11" s="283">
        <v>7939.5</v>
      </c>
      <c r="L11" s="283">
        <v>932</v>
      </c>
      <c r="M11" s="290">
        <v>1793385.22</v>
      </c>
    </row>
    <row r="12" spans="1:13" s="265" customFormat="1" ht="18" customHeight="1" x14ac:dyDescent="0.2">
      <c r="A12" s="266" t="s">
        <v>162</v>
      </c>
      <c r="B12" s="283">
        <v>83</v>
      </c>
      <c r="C12" s="283">
        <v>46694.79</v>
      </c>
      <c r="D12" s="271">
        <v>38</v>
      </c>
      <c r="E12" s="283">
        <v>16351.23</v>
      </c>
      <c r="F12" s="283">
        <v>351</v>
      </c>
      <c r="G12" s="290">
        <v>1166733.71</v>
      </c>
      <c r="H12" s="283">
        <v>11</v>
      </c>
      <c r="I12" s="283">
        <v>4195.1000000000004</v>
      </c>
      <c r="J12" s="283">
        <v>59</v>
      </c>
      <c r="K12" s="283">
        <v>10214.709999999999</v>
      </c>
      <c r="L12" s="283">
        <v>542</v>
      </c>
      <c r="M12" s="290">
        <v>1244189.6399999999</v>
      </c>
    </row>
    <row r="13" spans="1:13" s="265" customFormat="1" ht="18" customHeight="1" x14ac:dyDescent="0.2">
      <c r="A13" s="266" t="s">
        <v>163</v>
      </c>
      <c r="B13" s="283">
        <v>15</v>
      </c>
      <c r="C13" s="283">
        <v>1348.16</v>
      </c>
      <c r="D13" s="271">
        <v>82</v>
      </c>
      <c r="E13" s="290">
        <v>129966.3</v>
      </c>
      <c r="F13" s="283">
        <v>451</v>
      </c>
      <c r="G13" s="290">
        <v>556977.9</v>
      </c>
      <c r="H13" s="283">
        <v>52</v>
      </c>
      <c r="I13" s="283">
        <v>54116.800000000003</v>
      </c>
      <c r="J13" s="283">
        <v>86</v>
      </c>
      <c r="K13" s="283">
        <v>22903.27</v>
      </c>
      <c r="L13" s="283">
        <v>686</v>
      </c>
      <c r="M13" s="290">
        <v>765312.43</v>
      </c>
    </row>
    <row r="14" spans="1:13" s="265" customFormat="1" ht="18" customHeight="1" x14ac:dyDescent="0.2">
      <c r="A14" s="266" t="s">
        <v>164</v>
      </c>
      <c r="B14" s="283">
        <v>72</v>
      </c>
      <c r="C14" s="283">
        <v>5921.18</v>
      </c>
      <c r="D14" s="271">
        <v>52</v>
      </c>
      <c r="E14" s="283">
        <v>32465.97</v>
      </c>
      <c r="F14" s="283">
        <v>476</v>
      </c>
      <c r="G14" s="290">
        <v>1244178.1599999999</v>
      </c>
      <c r="H14" s="283">
        <v>44</v>
      </c>
      <c r="I14" s="290">
        <v>739936</v>
      </c>
      <c r="J14" s="283">
        <v>85</v>
      </c>
      <c r="K14" s="283">
        <v>10848.29</v>
      </c>
      <c r="L14" s="283">
        <v>729</v>
      </c>
      <c r="M14" s="290">
        <v>2032349.56</v>
      </c>
    </row>
    <row r="15" spans="1:13" s="265" customFormat="1" ht="18" customHeight="1" x14ac:dyDescent="0.2">
      <c r="A15" s="266" t="s">
        <v>165</v>
      </c>
      <c r="B15" s="283">
        <v>33</v>
      </c>
      <c r="C15" s="283">
        <v>2350.75</v>
      </c>
      <c r="D15" s="271">
        <v>36</v>
      </c>
      <c r="E15" s="283">
        <v>47927.16</v>
      </c>
      <c r="F15" s="283">
        <v>309</v>
      </c>
      <c r="G15" s="290">
        <v>523632.84399999998</v>
      </c>
      <c r="H15" s="283">
        <v>104</v>
      </c>
      <c r="I15" s="283">
        <v>79515</v>
      </c>
      <c r="J15" s="283">
        <v>73</v>
      </c>
      <c r="K15" s="283">
        <v>22677.48</v>
      </c>
      <c r="L15" s="283">
        <v>555</v>
      </c>
      <c r="M15" s="290">
        <v>676103.23400000005</v>
      </c>
    </row>
    <row r="16" spans="1:13" s="265" customFormat="1" ht="18" customHeight="1" x14ac:dyDescent="0.2">
      <c r="A16" s="266" t="s">
        <v>166</v>
      </c>
      <c r="B16" s="283">
        <v>33</v>
      </c>
      <c r="C16" s="283">
        <v>2766.28</v>
      </c>
      <c r="D16" s="271">
        <v>205</v>
      </c>
      <c r="E16" s="290">
        <v>279648.96000000002</v>
      </c>
      <c r="F16" s="283">
        <v>415</v>
      </c>
      <c r="G16" s="290">
        <v>1466561.57</v>
      </c>
      <c r="H16" s="283">
        <v>117</v>
      </c>
      <c r="I16" s="283">
        <v>78448.67</v>
      </c>
      <c r="J16" s="283">
        <v>84</v>
      </c>
      <c r="K16" s="290">
        <v>175207.16</v>
      </c>
      <c r="L16" s="283">
        <v>854</v>
      </c>
      <c r="M16" s="290">
        <v>2002632.64</v>
      </c>
    </row>
    <row r="17" spans="1:13" s="265" customFormat="1" ht="18" customHeight="1" x14ac:dyDescent="0.2">
      <c r="A17" s="266" t="s">
        <v>167</v>
      </c>
      <c r="B17" s="283">
        <v>61</v>
      </c>
      <c r="C17" s="283">
        <v>68473.126999999993</v>
      </c>
      <c r="D17" s="271">
        <v>112</v>
      </c>
      <c r="E17" s="290">
        <v>131270.95000000001</v>
      </c>
      <c r="F17" s="283">
        <v>509</v>
      </c>
      <c r="G17" s="290">
        <v>2252165.4500000002</v>
      </c>
      <c r="H17" s="283">
        <v>51</v>
      </c>
      <c r="I17" s="283">
        <v>53425.19</v>
      </c>
      <c r="J17" s="283">
        <v>165</v>
      </c>
      <c r="K17" s="283">
        <v>47043.26</v>
      </c>
      <c r="L17" s="283">
        <v>898</v>
      </c>
      <c r="M17" s="290">
        <v>2552378.077</v>
      </c>
    </row>
    <row r="18" spans="1:13" s="265" customFormat="1" ht="19.5" customHeight="1" x14ac:dyDescent="0.2">
      <c r="A18" s="353" t="s">
        <v>106</v>
      </c>
      <c r="B18" s="353"/>
      <c r="C18" s="353"/>
      <c r="D18" s="353"/>
      <c r="E18" s="353"/>
      <c r="F18" s="353"/>
      <c r="G18" s="353"/>
      <c r="H18" s="353"/>
      <c r="I18" s="353"/>
      <c r="J18" s="353"/>
      <c r="K18" s="353"/>
      <c r="L18" s="353"/>
      <c r="M18" s="353"/>
    </row>
    <row r="19" spans="1:13" s="265" customFormat="1" ht="18" customHeight="1" x14ac:dyDescent="0.2">
      <c r="A19" s="353" t="s">
        <v>272</v>
      </c>
      <c r="B19" s="353"/>
      <c r="C19" s="353"/>
      <c r="D19" s="353"/>
      <c r="E19" s="353"/>
      <c r="F19" s="353"/>
      <c r="G19" s="353"/>
      <c r="H19" s="353"/>
      <c r="I19" s="353"/>
      <c r="J19" s="353"/>
      <c r="K19" s="353"/>
      <c r="L19" s="353"/>
      <c r="M19" s="353"/>
    </row>
    <row r="20" spans="1:13" s="265" customFormat="1" ht="23.85" customHeight="1" x14ac:dyDescent="0.2"/>
  </sheetData>
  <mergeCells count="9">
    <mergeCell ref="A18:M18"/>
    <mergeCell ref="A19:M19"/>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E8"/>
  <sheetViews>
    <sheetView workbookViewId="0">
      <selection sqref="A1:E1"/>
    </sheetView>
  </sheetViews>
  <sheetFormatPr defaultRowHeight="12.75" x14ac:dyDescent="0.2"/>
  <cols>
    <col min="1" max="4" width="14.7109375" style="262" bestFit="1" customWidth="1"/>
    <col min="5" max="5" width="24.140625" style="262" bestFit="1" customWidth="1"/>
    <col min="6" max="6" width="4.7109375" style="262" bestFit="1" customWidth="1"/>
    <col min="7" max="256" width="9.140625" style="262"/>
    <col min="257" max="260" width="14.7109375" style="262" bestFit="1" customWidth="1"/>
    <col min="261" max="261" width="24.140625" style="262" bestFit="1" customWidth="1"/>
    <col min="262" max="262" width="4.7109375" style="262" bestFit="1" customWidth="1"/>
    <col min="263" max="512" width="9.140625" style="262"/>
    <col min="513" max="516" width="14.7109375" style="262" bestFit="1" customWidth="1"/>
    <col min="517" max="517" width="24.140625" style="262" bestFit="1" customWidth="1"/>
    <col min="518" max="518" width="4.7109375" style="262" bestFit="1" customWidth="1"/>
    <col min="519" max="768" width="9.140625" style="262"/>
    <col min="769" max="772" width="14.7109375" style="262" bestFit="1" customWidth="1"/>
    <col min="773" max="773" width="24.140625" style="262" bestFit="1" customWidth="1"/>
    <col min="774" max="774" width="4.7109375" style="262" bestFit="1" customWidth="1"/>
    <col min="775" max="1024" width="9.140625" style="262"/>
    <col min="1025" max="1028" width="14.7109375" style="262" bestFit="1" customWidth="1"/>
    <col min="1029" max="1029" width="24.140625" style="262" bestFit="1" customWidth="1"/>
    <col min="1030" max="1030" width="4.7109375" style="262" bestFit="1" customWidth="1"/>
    <col min="1031" max="1280" width="9.140625" style="262"/>
    <col min="1281" max="1284" width="14.7109375" style="262" bestFit="1" customWidth="1"/>
    <col min="1285" max="1285" width="24.140625" style="262" bestFit="1" customWidth="1"/>
    <col min="1286" max="1286" width="4.7109375" style="262" bestFit="1" customWidth="1"/>
    <col min="1287" max="1536" width="9.140625" style="262"/>
    <col min="1537" max="1540" width="14.7109375" style="262" bestFit="1" customWidth="1"/>
    <col min="1541" max="1541" width="24.140625" style="262" bestFit="1" customWidth="1"/>
    <col min="1542" max="1542" width="4.7109375" style="262" bestFit="1" customWidth="1"/>
    <col min="1543" max="1792" width="9.140625" style="262"/>
    <col min="1793" max="1796" width="14.7109375" style="262" bestFit="1" customWidth="1"/>
    <col min="1797" max="1797" width="24.140625" style="262" bestFit="1" customWidth="1"/>
    <col min="1798" max="1798" width="4.7109375" style="262" bestFit="1" customWidth="1"/>
    <col min="1799" max="2048" width="9.140625" style="262"/>
    <col min="2049" max="2052" width="14.7109375" style="262" bestFit="1" customWidth="1"/>
    <col min="2053" max="2053" width="24.140625" style="262" bestFit="1" customWidth="1"/>
    <col min="2054" max="2054" width="4.7109375" style="262" bestFit="1" customWidth="1"/>
    <col min="2055" max="2304" width="9.140625" style="262"/>
    <col min="2305" max="2308" width="14.7109375" style="262" bestFit="1" customWidth="1"/>
    <col min="2309" max="2309" width="24.140625" style="262" bestFit="1" customWidth="1"/>
    <col min="2310" max="2310" width="4.7109375" style="262" bestFit="1" customWidth="1"/>
    <col min="2311" max="2560" width="9.140625" style="262"/>
    <col min="2561" max="2564" width="14.7109375" style="262" bestFit="1" customWidth="1"/>
    <col min="2565" max="2565" width="24.140625" style="262" bestFit="1" customWidth="1"/>
    <col min="2566" max="2566" width="4.7109375" style="262" bestFit="1" customWidth="1"/>
    <col min="2567" max="2816" width="9.140625" style="262"/>
    <col min="2817" max="2820" width="14.7109375" style="262" bestFit="1" customWidth="1"/>
    <col min="2821" max="2821" width="24.140625" style="262" bestFit="1" customWidth="1"/>
    <col min="2822" max="2822" width="4.7109375" style="262" bestFit="1" customWidth="1"/>
    <col min="2823" max="3072" width="9.140625" style="262"/>
    <col min="3073" max="3076" width="14.7109375" style="262" bestFit="1" customWidth="1"/>
    <col min="3077" max="3077" width="24.140625" style="262" bestFit="1" customWidth="1"/>
    <col min="3078" max="3078" width="4.7109375" style="262" bestFit="1" customWidth="1"/>
    <col min="3079" max="3328" width="9.140625" style="262"/>
    <col min="3329" max="3332" width="14.7109375" style="262" bestFit="1" customWidth="1"/>
    <col min="3333" max="3333" width="24.140625" style="262" bestFit="1" customWidth="1"/>
    <col min="3334" max="3334" width="4.7109375" style="262" bestFit="1" customWidth="1"/>
    <col min="3335" max="3584" width="9.140625" style="262"/>
    <col min="3585" max="3588" width="14.7109375" style="262" bestFit="1" customWidth="1"/>
    <col min="3589" max="3589" width="24.140625" style="262" bestFit="1" customWidth="1"/>
    <col min="3590" max="3590" width="4.7109375" style="262" bestFit="1" customWidth="1"/>
    <col min="3591" max="3840" width="9.140625" style="262"/>
    <col min="3841" max="3844" width="14.7109375" style="262" bestFit="1" customWidth="1"/>
    <col min="3845" max="3845" width="24.140625" style="262" bestFit="1" customWidth="1"/>
    <col min="3846" max="3846" width="4.7109375" style="262" bestFit="1" customWidth="1"/>
    <col min="3847" max="4096" width="9.140625" style="262"/>
    <col min="4097" max="4100" width="14.7109375" style="262" bestFit="1" customWidth="1"/>
    <col min="4101" max="4101" width="24.140625" style="262" bestFit="1" customWidth="1"/>
    <col min="4102" max="4102" width="4.7109375" style="262" bestFit="1" customWidth="1"/>
    <col min="4103" max="4352" width="9.140625" style="262"/>
    <col min="4353" max="4356" width="14.7109375" style="262" bestFit="1" customWidth="1"/>
    <col min="4357" max="4357" width="24.140625" style="262" bestFit="1" customWidth="1"/>
    <col min="4358" max="4358" width="4.7109375" style="262" bestFit="1" customWidth="1"/>
    <col min="4359" max="4608" width="9.140625" style="262"/>
    <col min="4609" max="4612" width="14.7109375" style="262" bestFit="1" customWidth="1"/>
    <col min="4613" max="4613" width="24.140625" style="262" bestFit="1" customWidth="1"/>
    <col min="4614" max="4614" width="4.7109375" style="262" bestFit="1" customWidth="1"/>
    <col min="4615" max="4864" width="9.140625" style="262"/>
    <col min="4865" max="4868" width="14.7109375" style="262" bestFit="1" customWidth="1"/>
    <col min="4869" max="4869" width="24.140625" style="262" bestFit="1" customWidth="1"/>
    <col min="4870" max="4870" width="4.7109375" style="262" bestFit="1" customWidth="1"/>
    <col min="4871" max="5120" width="9.140625" style="262"/>
    <col min="5121" max="5124" width="14.7109375" style="262" bestFit="1" customWidth="1"/>
    <col min="5125" max="5125" width="24.140625" style="262" bestFit="1" customWidth="1"/>
    <col min="5126" max="5126" width="4.7109375" style="262" bestFit="1" customWidth="1"/>
    <col min="5127" max="5376" width="9.140625" style="262"/>
    <col min="5377" max="5380" width="14.7109375" style="262" bestFit="1" customWidth="1"/>
    <col min="5381" max="5381" width="24.140625" style="262" bestFit="1" customWidth="1"/>
    <col min="5382" max="5382" width="4.7109375" style="262" bestFit="1" customWidth="1"/>
    <col min="5383" max="5632" width="9.140625" style="262"/>
    <col min="5633" max="5636" width="14.7109375" style="262" bestFit="1" customWidth="1"/>
    <col min="5637" max="5637" width="24.140625" style="262" bestFit="1" customWidth="1"/>
    <col min="5638" max="5638" width="4.7109375" style="262" bestFit="1" customWidth="1"/>
    <col min="5639" max="5888" width="9.140625" style="262"/>
    <col min="5889" max="5892" width="14.7109375" style="262" bestFit="1" customWidth="1"/>
    <col min="5893" max="5893" width="24.140625" style="262" bestFit="1" customWidth="1"/>
    <col min="5894" max="5894" width="4.7109375" style="262" bestFit="1" customWidth="1"/>
    <col min="5895" max="6144" width="9.140625" style="262"/>
    <col min="6145" max="6148" width="14.7109375" style="262" bestFit="1" customWidth="1"/>
    <col min="6149" max="6149" width="24.140625" style="262" bestFit="1" customWidth="1"/>
    <col min="6150" max="6150" width="4.7109375" style="262" bestFit="1" customWidth="1"/>
    <col min="6151" max="6400" width="9.140625" style="262"/>
    <col min="6401" max="6404" width="14.7109375" style="262" bestFit="1" customWidth="1"/>
    <col min="6405" max="6405" width="24.140625" style="262" bestFit="1" customWidth="1"/>
    <col min="6406" max="6406" width="4.7109375" style="262" bestFit="1" customWidth="1"/>
    <col min="6407" max="6656" width="9.140625" style="262"/>
    <col min="6657" max="6660" width="14.7109375" style="262" bestFit="1" customWidth="1"/>
    <col min="6661" max="6661" width="24.140625" style="262" bestFit="1" customWidth="1"/>
    <col min="6662" max="6662" width="4.7109375" style="262" bestFit="1" customWidth="1"/>
    <col min="6663" max="6912" width="9.140625" style="262"/>
    <col min="6913" max="6916" width="14.7109375" style="262" bestFit="1" customWidth="1"/>
    <col min="6917" max="6917" width="24.140625" style="262" bestFit="1" customWidth="1"/>
    <col min="6918" max="6918" width="4.7109375" style="262" bestFit="1" customWidth="1"/>
    <col min="6919" max="7168" width="9.140625" style="262"/>
    <col min="7169" max="7172" width="14.7109375" style="262" bestFit="1" customWidth="1"/>
    <col min="7173" max="7173" width="24.140625" style="262" bestFit="1" customWidth="1"/>
    <col min="7174" max="7174" width="4.7109375" style="262" bestFit="1" customWidth="1"/>
    <col min="7175" max="7424" width="9.140625" style="262"/>
    <col min="7425" max="7428" width="14.7109375" style="262" bestFit="1" customWidth="1"/>
    <col min="7429" max="7429" width="24.140625" style="262" bestFit="1" customWidth="1"/>
    <col min="7430" max="7430" width="4.7109375" style="262" bestFit="1" customWidth="1"/>
    <col min="7431" max="7680" width="9.140625" style="262"/>
    <col min="7681" max="7684" width="14.7109375" style="262" bestFit="1" customWidth="1"/>
    <col min="7685" max="7685" width="24.140625" style="262" bestFit="1" customWidth="1"/>
    <col min="7686" max="7686" width="4.7109375" style="262" bestFit="1" customWidth="1"/>
    <col min="7687" max="7936" width="9.140625" style="262"/>
    <col min="7937" max="7940" width="14.7109375" style="262" bestFit="1" customWidth="1"/>
    <col min="7941" max="7941" width="24.140625" style="262" bestFit="1" customWidth="1"/>
    <col min="7942" max="7942" width="4.7109375" style="262" bestFit="1" customWidth="1"/>
    <col min="7943" max="8192" width="9.140625" style="262"/>
    <col min="8193" max="8196" width="14.7109375" style="262" bestFit="1" customWidth="1"/>
    <col min="8197" max="8197" width="24.140625" style="262" bestFit="1" customWidth="1"/>
    <col min="8198" max="8198" width="4.7109375" style="262" bestFit="1" customWidth="1"/>
    <col min="8199" max="8448" width="9.140625" style="262"/>
    <col min="8449" max="8452" width="14.7109375" style="262" bestFit="1" customWidth="1"/>
    <col min="8453" max="8453" width="24.140625" style="262" bestFit="1" customWidth="1"/>
    <col min="8454" max="8454" width="4.7109375" style="262" bestFit="1" customWidth="1"/>
    <col min="8455" max="8704" width="9.140625" style="262"/>
    <col min="8705" max="8708" width="14.7109375" style="262" bestFit="1" customWidth="1"/>
    <col min="8709" max="8709" width="24.140625" style="262" bestFit="1" customWidth="1"/>
    <col min="8710" max="8710" width="4.7109375" style="262" bestFit="1" customWidth="1"/>
    <col min="8711" max="8960" width="9.140625" style="262"/>
    <col min="8961" max="8964" width="14.7109375" style="262" bestFit="1" customWidth="1"/>
    <col min="8965" max="8965" width="24.140625" style="262" bestFit="1" customWidth="1"/>
    <col min="8966" max="8966" width="4.7109375" style="262" bestFit="1" customWidth="1"/>
    <col min="8967" max="9216" width="9.140625" style="262"/>
    <col min="9217" max="9220" width="14.7109375" style="262" bestFit="1" customWidth="1"/>
    <col min="9221" max="9221" width="24.140625" style="262" bestFit="1" customWidth="1"/>
    <col min="9222" max="9222" width="4.7109375" style="262" bestFit="1" customWidth="1"/>
    <col min="9223" max="9472" width="9.140625" style="262"/>
    <col min="9473" max="9476" width="14.7109375" style="262" bestFit="1" customWidth="1"/>
    <col min="9477" max="9477" width="24.140625" style="262" bestFit="1" customWidth="1"/>
    <col min="9478" max="9478" width="4.7109375" style="262" bestFit="1" customWidth="1"/>
    <col min="9479" max="9728" width="9.140625" style="262"/>
    <col min="9729" max="9732" width="14.7109375" style="262" bestFit="1" customWidth="1"/>
    <col min="9733" max="9733" width="24.140625" style="262" bestFit="1" customWidth="1"/>
    <col min="9734" max="9734" width="4.7109375" style="262" bestFit="1" customWidth="1"/>
    <col min="9735" max="9984" width="9.140625" style="262"/>
    <col min="9985" max="9988" width="14.7109375" style="262" bestFit="1" customWidth="1"/>
    <col min="9989" max="9989" width="24.140625" style="262" bestFit="1" customWidth="1"/>
    <col min="9990" max="9990" width="4.7109375" style="262" bestFit="1" customWidth="1"/>
    <col min="9991" max="10240" width="9.140625" style="262"/>
    <col min="10241" max="10244" width="14.7109375" style="262" bestFit="1" customWidth="1"/>
    <col min="10245" max="10245" width="24.140625" style="262" bestFit="1" customWidth="1"/>
    <col min="10246" max="10246" width="4.7109375" style="262" bestFit="1" customWidth="1"/>
    <col min="10247" max="10496" width="9.140625" style="262"/>
    <col min="10497" max="10500" width="14.7109375" style="262" bestFit="1" customWidth="1"/>
    <col min="10501" max="10501" width="24.140625" style="262" bestFit="1" customWidth="1"/>
    <col min="10502" max="10502" width="4.7109375" style="262" bestFit="1" customWidth="1"/>
    <col min="10503" max="10752" width="9.140625" style="262"/>
    <col min="10753" max="10756" width="14.7109375" style="262" bestFit="1" customWidth="1"/>
    <col min="10757" max="10757" width="24.140625" style="262" bestFit="1" customWidth="1"/>
    <col min="10758" max="10758" width="4.7109375" style="262" bestFit="1" customWidth="1"/>
    <col min="10759" max="11008" width="9.140625" style="262"/>
    <col min="11009" max="11012" width="14.7109375" style="262" bestFit="1" customWidth="1"/>
    <col min="11013" max="11013" width="24.140625" style="262" bestFit="1" customWidth="1"/>
    <col min="11014" max="11014" width="4.7109375" style="262" bestFit="1" customWidth="1"/>
    <col min="11015" max="11264" width="9.140625" style="262"/>
    <col min="11265" max="11268" width="14.7109375" style="262" bestFit="1" customWidth="1"/>
    <col min="11269" max="11269" width="24.140625" style="262" bestFit="1" customWidth="1"/>
    <col min="11270" max="11270" width="4.7109375" style="262" bestFit="1" customWidth="1"/>
    <col min="11271" max="11520" width="9.140625" style="262"/>
    <col min="11521" max="11524" width="14.7109375" style="262" bestFit="1" customWidth="1"/>
    <col min="11525" max="11525" width="24.140625" style="262" bestFit="1" customWidth="1"/>
    <col min="11526" max="11526" width="4.7109375" style="262" bestFit="1" customWidth="1"/>
    <col min="11527" max="11776" width="9.140625" style="262"/>
    <col min="11777" max="11780" width="14.7109375" style="262" bestFit="1" customWidth="1"/>
    <col min="11781" max="11781" width="24.140625" style="262" bestFit="1" customWidth="1"/>
    <col min="11782" max="11782" width="4.7109375" style="262" bestFit="1" customWidth="1"/>
    <col min="11783" max="12032" width="9.140625" style="262"/>
    <col min="12033" max="12036" width="14.7109375" style="262" bestFit="1" customWidth="1"/>
    <col min="12037" max="12037" width="24.140625" style="262" bestFit="1" customWidth="1"/>
    <col min="12038" max="12038" width="4.7109375" style="262" bestFit="1" customWidth="1"/>
    <col min="12039" max="12288" width="9.140625" style="262"/>
    <col min="12289" max="12292" width="14.7109375" style="262" bestFit="1" customWidth="1"/>
    <col min="12293" max="12293" width="24.140625" style="262" bestFit="1" customWidth="1"/>
    <col min="12294" max="12294" width="4.7109375" style="262" bestFit="1" customWidth="1"/>
    <col min="12295" max="12544" width="9.140625" style="262"/>
    <col min="12545" max="12548" width="14.7109375" style="262" bestFit="1" customWidth="1"/>
    <col min="12549" max="12549" width="24.140625" style="262" bestFit="1" customWidth="1"/>
    <col min="12550" max="12550" width="4.7109375" style="262" bestFit="1" customWidth="1"/>
    <col min="12551" max="12800" width="9.140625" style="262"/>
    <col min="12801" max="12804" width="14.7109375" style="262" bestFit="1" customWidth="1"/>
    <col min="12805" max="12805" width="24.140625" style="262" bestFit="1" customWidth="1"/>
    <col min="12806" max="12806" width="4.7109375" style="262" bestFit="1" customWidth="1"/>
    <col min="12807" max="13056" width="9.140625" style="262"/>
    <col min="13057" max="13060" width="14.7109375" style="262" bestFit="1" customWidth="1"/>
    <col min="13061" max="13061" width="24.140625" style="262" bestFit="1" customWidth="1"/>
    <col min="13062" max="13062" width="4.7109375" style="262" bestFit="1" customWidth="1"/>
    <col min="13063" max="13312" width="9.140625" style="262"/>
    <col min="13313" max="13316" width="14.7109375" style="262" bestFit="1" customWidth="1"/>
    <col min="13317" max="13317" width="24.140625" style="262" bestFit="1" customWidth="1"/>
    <col min="13318" max="13318" width="4.7109375" style="262" bestFit="1" customWidth="1"/>
    <col min="13319" max="13568" width="9.140625" style="262"/>
    <col min="13569" max="13572" width="14.7109375" style="262" bestFit="1" customWidth="1"/>
    <col min="13573" max="13573" width="24.140625" style="262" bestFit="1" customWidth="1"/>
    <col min="13574" max="13574" width="4.7109375" style="262" bestFit="1" customWidth="1"/>
    <col min="13575" max="13824" width="9.140625" style="262"/>
    <col min="13825" max="13828" width="14.7109375" style="262" bestFit="1" customWidth="1"/>
    <col min="13829" max="13829" width="24.140625" style="262" bestFit="1" customWidth="1"/>
    <col min="13830" max="13830" width="4.7109375" style="262" bestFit="1" customWidth="1"/>
    <col min="13831" max="14080" width="9.140625" style="262"/>
    <col min="14081" max="14084" width="14.7109375" style="262" bestFit="1" customWidth="1"/>
    <col min="14085" max="14085" width="24.140625" style="262" bestFit="1" customWidth="1"/>
    <col min="14086" max="14086" width="4.7109375" style="262" bestFit="1" customWidth="1"/>
    <col min="14087" max="14336" width="9.140625" style="262"/>
    <col min="14337" max="14340" width="14.7109375" style="262" bestFit="1" customWidth="1"/>
    <col min="14341" max="14341" width="24.140625" style="262" bestFit="1" customWidth="1"/>
    <col min="14342" max="14342" width="4.7109375" style="262" bestFit="1" customWidth="1"/>
    <col min="14343" max="14592" width="9.140625" style="262"/>
    <col min="14593" max="14596" width="14.7109375" style="262" bestFit="1" customWidth="1"/>
    <col min="14597" max="14597" width="24.140625" style="262" bestFit="1" customWidth="1"/>
    <col min="14598" max="14598" width="4.7109375" style="262" bestFit="1" customWidth="1"/>
    <col min="14599" max="14848" width="9.140625" style="262"/>
    <col min="14849" max="14852" width="14.7109375" style="262" bestFit="1" customWidth="1"/>
    <col min="14853" max="14853" width="24.140625" style="262" bestFit="1" customWidth="1"/>
    <col min="14854" max="14854" width="4.7109375" style="262" bestFit="1" customWidth="1"/>
    <col min="14855" max="15104" width="9.140625" style="262"/>
    <col min="15105" max="15108" width="14.7109375" style="262" bestFit="1" customWidth="1"/>
    <col min="15109" max="15109" width="24.140625" style="262" bestFit="1" customWidth="1"/>
    <col min="15110" max="15110" width="4.7109375" style="262" bestFit="1" customWidth="1"/>
    <col min="15111" max="15360" width="9.140625" style="262"/>
    <col min="15361" max="15364" width="14.7109375" style="262" bestFit="1" customWidth="1"/>
    <col min="15365" max="15365" width="24.140625" style="262" bestFit="1" customWidth="1"/>
    <col min="15366" max="15366" width="4.7109375" style="262" bestFit="1" customWidth="1"/>
    <col min="15367" max="15616" width="9.140625" style="262"/>
    <col min="15617" max="15620" width="14.7109375" style="262" bestFit="1" customWidth="1"/>
    <col min="15621" max="15621" width="24.140625" style="262" bestFit="1" customWidth="1"/>
    <col min="15622" max="15622" width="4.7109375" style="262" bestFit="1" customWidth="1"/>
    <col min="15623" max="15872" width="9.140625" style="262"/>
    <col min="15873" max="15876" width="14.7109375" style="262" bestFit="1" customWidth="1"/>
    <col min="15877" max="15877" width="24.140625" style="262" bestFit="1" customWidth="1"/>
    <col min="15878" max="15878" width="4.7109375" style="262" bestFit="1" customWidth="1"/>
    <col min="15879" max="16128" width="9.140625" style="262"/>
    <col min="16129" max="16132" width="14.7109375" style="262" bestFit="1" customWidth="1"/>
    <col min="16133" max="16133" width="24.140625" style="262" bestFit="1" customWidth="1"/>
    <col min="16134" max="16134" width="4.7109375" style="262" bestFit="1" customWidth="1"/>
    <col min="16135" max="16384" width="9.140625" style="262"/>
  </cols>
  <sheetData>
    <row r="1" spans="1:5" ht="16.5" customHeight="1" x14ac:dyDescent="0.2">
      <c r="A1" s="400" t="s">
        <v>279</v>
      </c>
      <c r="B1" s="400"/>
      <c r="C1" s="400"/>
      <c r="D1" s="400"/>
      <c r="E1" s="400"/>
    </row>
    <row r="2" spans="1:5" s="265" customFormat="1" ht="18" customHeight="1" x14ac:dyDescent="0.2">
      <c r="A2" s="293" t="s">
        <v>280</v>
      </c>
      <c r="B2" s="264" t="s">
        <v>69</v>
      </c>
      <c r="C2" s="264" t="s">
        <v>70</v>
      </c>
      <c r="D2" s="264" t="s">
        <v>167</v>
      </c>
    </row>
    <row r="3" spans="1:5" s="265" customFormat="1" ht="18" customHeight="1" x14ac:dyDescent="0.2">
      <c r="A3" s="302" t="s">
        <v>257</v>
      </c>
      <c r="B3" s="303">
        <v>1082968.24</v>
      </c>
      <c r="C3" s="303">
        <v>775590.08</v>
      </c>
      <c r="D3" s="267">
        <v>80977.06</v>
      </c>
    </row>
    <row r="4" spans="1:5" s="265" customFormat="1" ht="18" customHeight="1" x14ac:dyDescent="0.2">
      <c r="A4" s="302" t="s">
        <v>259</v>
      </c>
      <c r="B4" s="267">
        <v>192.7694075</v>
      </c>
      <c r="C4" s="267">
        <v>30.293250435000001</v>
      </c>
      <c r="D4" s="267">
        <v>5.7790576800000002</v>
      </c>
    </row>
    <row r="5" spans="1:5" s="265" customFormat="1" ht="18" customHeight="1" x14ac:dyDescent="0.2">
      <c r="A5" s="302" t="s">
        <v>258</v>
      </c>
      <c r="B5" s="303">
        <v>7234825.6872836696</v>
      </c>
      <c r="C5" s="303">
        <v>7949004.3090000004</v>
      </c>
      <c r="D5" s="303">
        <v>697224.47759999998</v>
      </c>
    </row>
    <row r="6" spans="1:5" s="265" customFormat="1" ht="18.75" customHeight="1" x14ac:dyDescent="0.2">
      <c r="A6" s="353" t="s">
        <v>255</v>
      </c>
      <c r="B6" s="353"/>
    </row>
    <row r="7" spans="1:5" s="265" customFormat="1" ht="18" customHeight="1" x14ac:dyDescent="0.2">
      <c r="A7" s="353" t="s">
        <v>249</v>
      </c>
      <c r="B7" s="353"/>
    </row>
    <row r="8" spans="1:5" s="265" customFormat="1" ht="28.35" customHeight="1" x14ac:dyDescent="0.2"/>
  </sheetData>
  <mergeCells count="3">
    <mergeCell ref="A1:E1"/>
    <mergeCell ref="A6:B6"/>
    <mergeCell ref="A7:B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Q20"/>
  <sheetViews>
    <sheetView workbookViewId="0">
      <selection sqref="A1:Q1"/>
    </sheetView>
  </sheetViews>
  <sheetFormatPr defaultRowHeight="12.75" x14ac:dyDescent="0.2"/>
  <cols>
    <col min="1" max="12" width="14.7109375" style="262" bestFit="1" customWidth="1"/>
    <col min="13" max="13" width="14" style="262" bestFit="1" customWidth="1"/>
    <col min="14" max="16" width="14.7109375" style="262" bestFit="1" customWidth="1"/>
    <col min="17" max="17" width="0.42578125" style="262" bestFit="1" customWidth="1"/>
    <col min="18" max="18" width="4.7109375" style="262" bestFit="1" customWidth="1"/>
    <col min="19" max="256" width="9.140625" style="262"/>
    <col min="257" max="268" width="14.7109375" style="262" bestFit="1" customWidth="1"/>
    <col min="269" max="269" width="14" style="262" bestFit="1" customWidth="1"/>
    <col min="270" max="272" width="14.7109375" style="262" bestFit="1" customWidth="1"/>
    <col min="273" max="273" width="0.42578125" style="262" bestFit="1" customWidth="1"/>
    <col min="274" max="274" width="4.7109375" style="262" bestFit="1" customWidth="1"/>
    <col min="275" max="512" width="9.140625" style="262"/>
    <col min="513" max="524" width="14.7109375" style="262" bestFit="1" customWidth="1"/>
    <col min="525" max="525" width="14" style="262" bestFit="1" customWidth="1"/>
    <col min="526" max="528" width="14.7109375" style="262" bestFit="1" customWidth="1"/>
    <col min="529" max="529" width="0.42578125" style="262" bestFit="1" customWidth="1"/>
    <col min="530" max="530" width="4.7109375" style="262" bestFit="1" customWidth="1"/>
    <col min="531" max="768" width="9.140625" style="262"/>
    <col min="769" max="780" width="14.7109375" style="262" bestFit="1" customWidth="1"/>
    <col min="781" max="781" width="14" style="262" bestFit="1" customWidth="1"/>
    <col min="782" max="784" width="14.7109375" style="262" bestFit="1" customWidth="1"/>
    <col min="785" max="785" width="0.42578125" style="262" bestFit="1" customWidth="1"/>
    <col min="786" max="786" width="4.7109375" style="262" bestFit="1" customWidth="1"/>
    <col min="787" max="1024" width="9.140625" style="262"/>
    <col min="1025" max="1036" width="14.7109375" style="262" bestFit="1" customWidth="1"/>
    <col min="1037" max="1037" width="14" style="262" bestFit="1" customWidth="1"/>
    <col min="1038" max="1040" width="14.7109375" style="262" bestFit="1" customWidth="1"/>
    <col min="1041" max="1041" width="0.42578125" style="262" bestFit="1" customWidth="1"/>
    <col min="1042" max="1042" width="4.7109375" style="262" bestFit="1" customWidth="1"/>
    <col min="1043" max="1280" width="9.140625" style="262"/>
    <col min="1281" max="1292" width="14.7109375" style="262" bestFit="1" customWidth="1"/>
    <col min="1293" max="1293" width="14" style="262" bestFit="1" customWidth="1"/>
    <col min="1294" max="1296" width="14.7109375" style="262" bestFit="1" customWidth="1"/>
    <col min="1297" max="1297" width="0.42578125" style="262" bestFit="1" customWidth="1"/>
    <col min="1298" max="1298" width="4.7109375" style="262" bestFit="1" customWidth="1"/>
    <col min="1299" max="1536" width="9.140625" style="262"/>
    <col min="1537" max="1548" width="14.7109375" style="262" bestFit="1" customWidth="1"/>
    <col min="1549" max="1549" width="14" style="262" bestFit="1" customWidth="1"/>
    <col min="1550" max="1552" width="14.7109375" style="262" bestFit="1" customWidth="1"/>
    <col min="1553" max="1553" width="0.42578125" style="262" bestFit="1" customWidth="1"/>
    <col min="1554" max="1554" width="4.7109375" style="262" bestFit="1" customWidth="1"/>
    <col min="1555" max="1792" width="9.140625" style="262"/>
    <col min="1793" max="1804" width="14.7109375" style="262" bestFit="1" customWidth="1"/>
    <col min="1805" max="1805" width="14" style="262" bestFit="1" customWidth="1"/>
    <col min="1806" max="1808" width="14.7109375" style="262" bestFit="1" customWidth="1"/>
    <col min="1809" max="1809" width="0.42578125" style="262" bestFit="1" customWidth="1"/>
    <col min="1810" max="1810" width="4.7109375" style="262" bestFit="1" customWidth="1"/>
    <col min="1811" max="2048" width="9.140625" style="262"/>
    <col min="2049" max="2060" width="14.7109375" style="262" bestFit="1" customWidth="1"/>
    <col min="2061" max="2061" width="14" style="262" bestFit="1" customWidth="1"/>
    <col min="2062" max="2064" width="14.7109375" style="262" bestFit="1" customWidth="1"/>
    <col min="2065" max="2065" width="0.42578125" style="262" bestFit="1" customWidth="1"/>
    <col min="2066" max="2066" width="4.7109375" style="262" bestFit="1" customWidth="1"/>
    <col min="2067" max="2304" width="9.140625" style="262"/>
    <col min="2305" max="2316" width="14.7109375" style="262" bestFit="1" customWidth="1"/>
    <col min="2317" max="2317" width="14" style="262" bestFit="1" customWidth="1"/>
    <col min="2318" max="2320" width="14.7109375" style="262" bestFit="1" customWidth="1"/>
    <col min="2321" max="2321" width="0.42578125" style="262" bestFit="1" customWidth="1"/>
    <col min="2322" max="2322" width="4.7109375" style="262" bestFit="1" customWidth="1"/>
    <col min="2323" max="2560" width="9.140625" style="262"/>
    <col min="2561" max="2572" width="14.7109375" style="262" bestFit="1" customWidth="1"/>
    <col min="2573" max="2573" width="14" style="262" bestFit="1" customWidth="1"/>
    <col min="2574" max="2576" width="14.7109375" style="262" bestFit="1" customWidth="1"/>
    <col min="2577" max="2577" width="0.42578125" style="262" bestFit="1" customWidth="1"/>
    <col min="2578" max="2578" width="4.7109375" style="262" bestFit="1" customWidth="1"/>
    <col min="2579" max="2816" width="9.140625" style="262"/>
    <col min="2817" max="2828" width="14.7109375" style="262" bestFit="1" customWidth="1"/>
    <col min="2829" max="2829" width="14" style="262" bestFit="1" customWidth="1"/>
    <col min="2830" max="2832" width="14.7109375" style="262" bestFit="1" customWidth="1"/>
    <col min="2833" max="2833" width="0.42578125" style="262" bestFit="1" customWidth="1"/>
    <col min="2834" max="2834" width="4.7109375" style="262" bestFit="1" customWidth="1"/>
    <col min="2835" max="3072" width="9.140625" style="262"/>
    <col min="3073" max="3084" width="14.7109375" style="262" bestFit="1" customWidth="1"/>
    <col min="3085" max="3085" width="14" style="262" bestFit="1" customWidth="1"/>
    <col min="3086" max="3088" width="14.7109375" style="262" bestFit="1" customWidth="1"/>
    <col min="3089" max="3089" width="0.42578125" style="262" bestFit="1" customWidth="1"/>
    <col min="3090" max="3090" width="4.7109375" style="262" bestFit="1" customWidth="1"/>
    <col min="3091" max="3328" width="9.140625" style="262"/>
    <col min="3329" max="3340" width="14.7109375" style="262" bestFit="1" customWidth="1"/>
    <col min="3341" max="3341" width="14" style="262" bestFit="1" customWidth="1"/>
    <col min="3342" max="3344" width="14.7109375" style="262" bestFit="1" customWidth="1"/>
    <col min="3345" max="3345" width="0.42578125" style="262" bestFit="1" customWidth="1"/>
    <col min="3346" max="3346" width="4.7109375" style="262" bestFit="1" customWidth="1"/>
    <col min="3347" max="3584" width="9.140625" style="262"/>
    <col min="3585" max="3596" width="14.7109375" style="262" bestFit="1" customWidth="1"/>
    <col min="3597" max="3597" width="14" style="262" bestFit="1" customWidth="1"/>
    <col min="3598" max="3600" width="14.7109375" style="262" bestFit="1" customWidth="1"/>
    <col min="3601" max="3601" width="0.42578125" style="262" bestFit="1" customWidth="1"/>
    <col min="3602" max="3602" width="4.7109375" style="262" bestFit="1" customWidth="1"/>
    <col min="3603" max="3840" width="9.140625" style="262"/>
    <col min="3841" max="3852" width="14.7109375" style="262" bestFit="1" customWidth="1"/>
    <col min="3853" max="3853" width="14" style="262" bestFit="1" customWidth="1"/>
    <col min="3854" max="3856" width="14.7109375" style="262" bestFit="1" customWidth="1"/>
    <col min="3857" max="3857" width="0.42578125" style="262" bestFit="1" customWidth="1"/>
    <col min="3858" max="3858" width="4.7109375" style="262" bestFit="1" customWidth="1"/>
    <col min="3859" max="4096" width="9.140625" style="262"/>
    <col min="4097" max="4108" width="14.7109375" style="262" bestFit="1" customWidth="1"/>
    <col min="4109" max="4109" width="14" style="262" bestFit="1" customWidth="1"/>
    <col min="4110" max="4112" width="14.7109375" style="262" bestFit="1" customWidth="1"/>
    <col min="4113" max="4113" width="0.42578125" style="262" bestFit="1" customWidth="1"/>
    <col min="4114" max="4114" width="4.7109375" style="262" bestFit="1" customWidth="1"/>
    <col min="4115" max="4352" width="9.140625" style="262"/>
    <col min="4353" max="4364" width="14.7109375" style="262" bestFit="1" customWidth="1"/>
    <col min="4365" max="4365" width="14" style="262" bestFit="1" customWidth="1"/>
    <col min="4366" max="4368" width="14.7109375" style="262" bestFit="1" customWidth="1"/>
    <col min="4369" max="4369" width="0.42578125" style="262" bestFit="1" customWidth="1"/>
    <col min="4370" max="4370" width="4.7109375" style="262" bestFit="1" customWidth="1"/>
    <col min="4371" max="4608" width="9.140625" style="262"/>
    <col min="4609" max="4620" width="14.7109375" style="262" bestFit="1" customWidth="1"/>
    <col min="4621" max="4621" width="14" style="262" bestFit="1" customWidth="1"/>
    <col min="4622" max="4624" width="14.7109375" style="262" bestFit="1" customWidth="1"/>
    <col min="4625" max="4625" width="0.42578125" style="262" bestFit="1" customWidth="1"/>
    <col min="4626" max="4626" width="4.7109375" style="262" bestFit="1" customWidth="1"/>
    <col min="4627" max="4864" width="9.140625" style="262"/>
    <col min="4865" max="4876" width="14.7109375" style="262" bestFit="1" customWidth="1"/>
    <col min="4877" max="4877" width="14" style="262" bestFit="1" customWidth="1"/>
    <col min="4878" max="4880" width="14.7109375" style="262" bestFit="1" customWidth="1"/>
    <col min="4881" max="4881" width="0.42578125" style="262" bestFit="1" customWidth="1"/>
    <col min="4882" max="4882" width="4.7109375" style="262" bestFit="1" customWidth="1"/>
    <col min="4883" max="5120" width="9.140625" style="262"/>
    <col min="5121" max="5132" width="14.7109375" style="262" bestFit="1" customWidth="1"/>
    <col min="5133" max="5133" width="14" style="262" bestFit="1" customWidth="1"/>
    <col min="5134" max="5136" width="14.7109375" style="262" bestFit="1" customWidth="1"/>
    <col min="5137" max="5137" width="0.42578125" style="262" bestFit="1" customWidth="1"/>
    <col min="5138" max="5138" width="4.7109375" style="262" bestFit="1" customWidth="1"/>
    <col min="5139" max="5376" width="9.140625" style="262"/>
    <col min="5377" max="5388" width="14.7109375" style="262" bestFit="1" customWidth="1"/>
    <col min="5389" max="5389" width="14" style="262" bestFit="1" customWidth="1"/>
    <col min="5390" max="5392" width="14.7109375" style="262" bestFit="1" customWidth="1"/>
    <col min="5393" max="5393" width="0.42578125" style="262" bestFit="1" customWidth="1"/>
    <col min="5394" max="5394" width="4.7109375" style="262" bestFit="1" customWidth="1"/>
    <col min="5395" max="5632" width="9.140625" style="262"/>
    <col min="5633" max="5644" width="14.7109375" style="262" bestFit="1" customWidth="1"/>
    <col min="5645" max="5645" width="14" style="262" bestFit="1" customWidth="1"/>
    <col min="5646" max="5648" width="14.7109375" style="262" bestFit="1" customWidth="1"/>
    <col min="5649" max="5649" width="0.42578125" style="262" bestFit="1" customWidth="1"/>
    <col min="5650" max="5650" width="4.7109375" style="262" bestFit="1" customWidth="1"/>
    <col min="5651" max="5888" width="9.140625" style="262"/>
    <col min="5889" max="5900" width="14.7109375" style="262" bestFit="1" customWidth="1"/>
    <col min="5901" max="5901" width="14" style="262" bestFit="1" customWidth="1"/>
    <col min="5902" max="5904" width="14.7109375" style="262" bestFit="1" customWidth="1"/>
    <col min="5905" max="5905" width="0.42578125" style="262" bestFit="1" customWidth="1"/>
    <col min="5906" max="5906" width="4.7109375" style="262" bestFit="1" customWidth="1"/>
    <col min="5907" max="6144" width="9.140625" style="262"/>
    <col min="6145" max="6156" width="14.7109375" style="262" bestFit="1" customWidth="1"/>
    <col min="6157" max="6157" width="14" style="262" bestFit="1" customWidth="1"/>
    <col min="6158" max="6160" width="14.7109375" style="262" bestFit="1" customWidth="1"/>
    <col min="6161" max="6161" width="0.42578125" style="262" bestFit="1" customWidth="1"/>
    <col min="6162" max="6162" width="4.7109375" style="262" bestFit="1" customWidth="1"/>
    <col min="6163" max="6400" width="9.140625" style="262"/>
    <col min="6401" max="6412" width="14.7109375" style="262" bestFit="1" customWidth="1"/>
    <col min="6413" max="6413" width="14" style="262" bestFit="1" customWidth="1"/>
    <col min="6414" max="6416" width="14.7109375" style="262" bestFit="1" customWidth="1"/>
    <col min="6417" max="6417" width="0.42578125" style="262" bestFit="1" customWidth="1"/>
    <col min="6418" max="6418" width="4.7109375" style="262" bestFit="1" customWidth="1"/>
    <col min="6419" max="6656" width="9.140625" style="262"/>
    <col min="6657" max="6668" width="14.7109375" style="262" bestFit="1" customWidth="1"/>
    <col min="6669" max="6669" width="14" style="262" bestFit="1" customWidth="1"/>
    <col min="6670" max="6672" width="14.7109375" style="262" bestFit="1" customWidth="1"/>
    <col min="6673" max="6673" width="0.42578125" style="262" bestFit="1" customWidth="1"/>
    <col min="6674" max="6674" width="4.7109375" style="262" bestFit="1" customWidth="1"/>
    <col min="6675" max="6912" width="9.140625" style="262"/>
    <col min="6913" max="6924" width="14.7109375" style="262" bestFit="1" customWidth="1"/>
    <col min="6925" max="6925" width="14" style="262" bestFit="1" customWidth="1"/>
    <col min="6926" max="6928" width="14.7109375" style="262" bestFit="1" customWidth="1"/>
    <col min="6929" max="6929" width="0.42578125" style="262" bestFit="1" customWidth="1"/>
    <col min="6930" max="6930" width="4.7109375" style="262" bestFit="1" customWidth="1"/>
    <col min="6931" max="7168" width="9.140625" style="262"/>
    <col min="7169" max="7180" width="14.7109375" style="262" bestFit="1" customWidth="1"/>
    <col min="7181" max="7181" width="14" style="262" bestFit="1" customWidth="1"/>
    <col min="7182" max="7184" width="14.7109375" style="262" bestFit="1" customWidth="1"/>
    <col min="7185" max="7185" width="0.42578125" style="262" bestFit="1" customWidth="1"/>
    <col min="7186" max="7186" width="4.7109375" style="262" bestFit="1" customWidth="1"/>
    <col min="7187" max="7424" width="9.140625" style="262"/>
    <col min="7425" max="7436" width="14.7109375" style="262" bestFit="1" customWidth="1"/>
    <col min="7437" max="7437" width="14" style="262" bestFit="1" customWidth="1"/>
    <col min="7438" max="7440" width="14.7109375" style="262" bestFit="1" customWidth="1"/>
    <col min="7441" max="7441" width="0.42578125" style="262" bestFit="1" customWidth="1"/>
    <col min="7442" max="7442" width="4.7109375" style="262" bestFit="1" customWidth="1"/>
    <col min="7443" max="7680" width="9.140625" style="262"/>
    <col min="7681" max="7692" width="14.7109375" style="262" bestFit="1" customWidth="1"/>
    <col min="7693" max="7693" width="14" style="262" bestFit="1" customWidth="1"/>
    <col min="7694" max="7696" width="14.7109375" style="262" bestFit="1" customWidth="1"/>
    <col min="7697" max="7697" width="0.42578125" style="262" bestFit="1" customWidth="1"/>
    <col min="7698" max="7698" width="4.7109375" style="262" bestFit="1" customWidth="1"/>
    <col min="7699" max="7936" width="9.140625" style="262"/>
    <col min="7937" max="7948" width="14.7109375" style="262" bestFit="1" customWidth="1"/>
    <col min="7949" max="7949" width="14" style="262" bestFit="1" customWidth="1"/>
    <col min="7950" max="7952" width="14.7109375" style="262" bestFit="1" customWidth="1"/>
    <col min="7953" max="7953" width="0.42578125" style="262" bestFit="1" customWidth="1"/>
    <col min="7954" max="7954" width="4.7109375" style="262" bestFit="1" customWidth="1"/>
    <col min="7955" max="8192" width="9.140625" style="262"/>
    <col min="8193" max="8204" width="14.7109375" style="262" bestFit="1" customWidth="1"/>
    <col min="8205" max="8205" width="14" style="262" bestFit="1" customWidth="1"/>
    <col min="8206" max="8208" width="14.7109375" style="262" bestFit="1" customWidth="1"/>
    <col min="8209" max="8209" width="0.42578125" style="262" bestFit="1" customWidth="1"/>
    <col min="8210" max="8210" width="4.7109375" style="262" bestFit="1" customWidth="1"/>
    <col min="8211" max="8448" width="9.140625" style="262"/>
    <col min="8449" max="8460" width="14.7109375" style="262" bestFit="1" customWidth="1"/>
    <col min="8461" max="8461" width="14" style="262" bestFit="1" customWidth="1"/>
    <col min="8462" max="8464" width="14.7109375" style="262" bestFit="1" customWidth="1"/>
    <col min="8465" max="8465" width="0.42578125" style="262" bestFit="1" customWidth="1"/>
    <col min="8466" max="8466" width="4.7109375" style="262" bestFit="1" customWidth="1"/>
    <col min="8467" max="8704" width="9.140625" style="262"/>
    <col min="8705" max="8716" width="14.7109375" style="262" bestFit="1" customWidth="1"/>
    <col min="8717" max="8717" width="14" style="262" bestFit="1" customWidth="1"/>
    <col min="8718" max="8720" width="14.7109375" style="262" bestFit="1" customWidth="1"/>
    <col min="8721" max="8721" width="0.42578125" style="262" bestFit="1" customWidth="1"/>
    <col min="8722" max="8722" width="4.7109375" style="262" bestFit="1" customWidth="1"/>
    <col min="8723" max="8960" width="9.140625" style="262"/>
    <col min="8961" max="8972" width="14.7109375" style="262" bestFit="1" customWidth="1"/>
    <col min="8973" max="8973" width="14" style="262" bestFit="1" customWidth="1"/>
    <col min="8974" max="8976" width="14.7109375" style="262" bestFit="1" customWidth="1"/>
    <col min="8977" max="8977" width="0.42578125" style="262" bestFit="1" customWidth="1"/>
    <col min="8978" max="8978" width="4.7109375" style="262" bestFit="1" customWidth="1"/>
    <col min="8979" max="9216" width="9.140625" style="262"/>
    <col min="9217" max="9228" width="14.7109375" style="262" bestFit="1" customWidth="1"/>
    <col min="9229" max="9229" width="14" style="262" bestFit="1" customWidth="1"/>
    <col min="9230" max="9232" width="14.7109375" style="262" bestFit="1" customWidth="1"/>
    <col min="9233" max="9233" width="0.42578125" style="262" bestFit="1" customWidth="1"/>
    <col min="9234" max="9234" width="4.7109375" style="262" bestFit="1" customWidth="1"/>
    <col min="9235" max="9472" width="9.140625" style="262"/>
    <col min="9473" max="9484" width="14.7109375" style="262" bestFit="1" customWidth="1"/>
    <col min="9485" max="9485" width="14" style="262" bestFit="1" customWidth="1"/>
    <col min="9486" max="9488" width="14.7109375" style="262" bestFit="1" customWidth="1"/>
    <col min="9489" max="9489" width="0.42578125" style="262" bestFit="1" customWidth="1"/>
    <col min="9490" max="9490" width="4.7109375" style="262" bestFit="1" customWidth="1"/>
    <col min="9491" max="9728" width="9.140625" style="262"/>
    <col min="9729" max="9740" width="14.7109375" style="262" bestFit="1" customWidth="1"/>
    <col min="9741" max="9741" width="14" style="262" bestFit="1" customWidth="1"/>
    <col min="9742" max="9744" width="14.7109375" style="262" bestFit="1" customWidth="1"/>
    <col min="9745" max="9745" width="0.42578125" style="262" bestFit="1" customWidth="1"/>
    <col min="9746" max="9746" width="4.7109375" style="262" bestFit="1" customWidth="1"/>
    <col min="9747" max="9984" width="9.140625" style="262"/>
    <col min="9985" max="9996" width="14.7109375" style="262" bestFit="1" customWidth="1"/>
    <col min="9997" max="9997" width="14" style="262" bestFit="1" customWidth="1"/>
    <col min="9998" max="10000" width="14.7109375" style="262" bestFit="1" customWidth="1"/>
    <col min="10001" max="10001" width="0.42578125" style="262" bestFit="1" customWidth="1"/>
    <col min="10002" max="10002" width="4.7109375" style="262" bestFit="1" customWidth="1"/>
    <col min="10003" max="10240" width="9.140625" style="262"/>
    <col min="10241" max="10252" width="14.7109375" style="262" bestFit="1" customWidth="1"/>
    <col min="10253" max="10253" width="14" style="262" bestFit="1" customWidth="1"/>
    <col min="10254" max="10256" width="14.7109375" style="262" bestFit="1" customWidth="1"/>
    <col min="10257" max="10257" width="0.42578125" style="262" bestFit="1" customWidth="1"/>
    <col min="10258" max="10258" width="4.7109375" style="262" bestFit="1" customWidth="1"/>
    <col min="10259" max="10496" width="9.140625" style="262"/>
    <col min="10497" max="10508" width="14.7109375" style="262" bestFit="1" customWidth="1"/>
    <col min="10509" max="10509" width="14" style="262" bestFit="1" customWidth="1"/>
    <col min="10510" max="10512" width="14.7109375" style="262" bestFit="1" customWidth="1"/>
    <col min="10513" max="10513" width="0.42578125" style="262" bestFit="1" customWidth="1"/>
    <col min="10514" max="10514" width="4.7109375" style="262" bestFit="1" customWidth="1"/>
    <col min="10515" max="10752" width="9.140625" style="262"/>
    <col min="10753" max="10764" width="14.7109375" style="262" bestFit="1" customWidth="1"/>
    <col min="10765" max="10765" width="14" style="262" bestFit="1" customWidth="1"/>
    <col min="10766" max="10768" width="14.7109375" style="262" bestFit="1" customWidth="1"/>
    <col min="10769" max="10769" width="0.42578125" style="262" bestFit="1" customWidth="1"/>
    <col min="10770" max="10770" width="4.7109375" style="262" bestFit="1" customWidth="1"/>
    <col min="10771" max="11008" width="9.140625" style="262"/>
    <col min="11009" max="11020" width="14.7109375" style="262" bestFit="1" customWidth="1"/>
    <col min="11021" max="11021" width="14" style="262" bestFit="1" customWidth="1"/>
    <col min="11022" max="11024" width="14.7109375" style="262" bestFit="1" customWidth="1"/>
    <col min="11025" max="11025" width="0.42578125" style="262" bestFit="1" customWidth="1"/>
    <col min="11026" max="11026" width="4.7109375" style="262" bestFit="1" customWidth="1"/>
    <col min="11027" max="11264" width="9.140625" style="262"/>
    <col min="11265" max="11276" width="14.7109375" style="262" bestFit="1" customWidth="1"/>
    <col min="11277" max="11277" width="14" style="262" bestFit="1" customWidth="1"/>
    <col min="11278" max="11280" width="14.7109375" style="262" bestFit="1" customWidth="1"/>
    <col min="11281" max="11281" width="0.42578125" style="262" bestFit="1" customWidth="1"/>
    <col min="11282" max="11282" width="4.7109375" style="262" bestFit="1" customWidth="1"/>
    <col min="11283" max="11520" width="9.140625" style="262"/>
    <col min="11521" max="11532" width="14.7109375" style="262" bestFit="1" customWidth="1"/>
    <col min="11533" max="11533" width="14" style="262" bestFit="1" customWidth="1"/>
    <col min="11534" max="11536" width="14.7109375" style="262" bestFit="1" customWidth="1"/>
    <col min="11537" max="11537" width="0.42578125" style="262" bestFit="1" customWidth="1"/>
    <col min="11538" max="11538" width="4.7109375" style="262" bestFit="1" customWidth="1"/>
    <col min="11539" max="11776" width="9.140625" style="262"/>
    <col min="11777" max="11788" width="14.7109375" style="262" bestFit="1" customWidth="1"/>
    <col min="11789" max="11789" width="14" style="262" bestFit="1" customWidth="1"/>
    <col min="11790" max="11792" width="14.7109375" style="262" bestFit="1" customWidth="1"/>
    <col min="11793" max="11793" width="0.42578125" style="262" bestFit="1" customWidth="1"/>
    <col min="11794" max="11794" width="4.7109375" style="262" bestFit="1" customWidth="1"/>
    <col min="11795" max="12032" width="9.140625" style="262"/>
    <col min="12033" max="12044" width="14.7109375" style="262" bestFit="1" customWidth="1"/>
    <col min="12045" max="12045" width="14" style="262" bestFit="1" customWidth="1"/>
    <col min="12046" max="12048" width="14.7109375" style="262" bestFit="1" customWidth="1"/>
    <col min="12049" max="12049" width="0.42578125" style="262" bestFit="1" customWidth="1"/>
    <col min="12050" max="12050" width="4.7109375" style="262" bestFit="1" customWidth="1"/>
    <col min="12051" max="12288" width="9.140625" style="262"/>
    <col min="12289" max="12300" width="14.7109375" style="262" bestFit="1" customWidth="1"/>
    <col min="12301" max="12301" width="14" style="262" bestFit="1" customWidth="1"/>
    <col min="12302" max="12304" width="14.7109375" style="262" bestFit="1" customWidth="1"/>
    <col min="12305" max="12305" width="0.42578125" style="262" bestFit="1" customWidth="1"/>
    <col min="12306" max="12306" width="4.7109375" style="262" bestFit="1" customWidth="1"/>
    <col min="12307" max="12544" width="9.140625" style="262"/>
    <col min="12545" max="12556" width="14.7109375" style="262" bestFit="1" customWidth="1"/>
    <col min="12557" max="12557" width="14" style="262" bestFit="1" customWidth="1"/>
    <col min="12558" max="12560" width="14.7109375" style="262" bestFit="1" customWidth="1"/>
    <col min="12561" max="12561" width="0.42578125" style="262" bestFit="1" customWidth="1"/>
    <col min="12562" max="12562" width="4.7109375" style="262" bestFit="1" customWidth="1"/>
    <col min="12563" max="12800" width="9.140625" style="262"/>
    <col min="12801" max="12812" width="14.7109375" style="262" bestFit="1" customWidth="1"/>
    <col min="12813" max="12813" width="14" style="262" bestFit="1" customWidth="1"/>
    <col min="12814" max="12816" width="14.7109375" style="262" bestFit="1" customWidth="1"/>
    <col min="12817" max="12817" width="0.42578125" style="262" bestFit="1" customWidth="1"/>
    <col min="12818" max="12818" width="4.7109375" style="262" bestFit="1" customWidth="1"/>
    <col min="12819" max="13056" width="9.140625" style="262"/>
    <col min="13057" max="13068" width="14.7109375" style="262" bestFit="1" customWidth="1"/>
    <col min="13069" max="13069" width="14" style="262" bestFit="1" customWidth="1"/>
    <col min="13070" max="13072" width="14.7109375" style="262" bestFit="1" customWidth="1"/>
    <col min="13073" max="13073" width="0.42578125" style="262" bestFit="1" customWidth="1"/>
    <col min="13074" max="13074" width="4.7109375" style="262" bestFit="1" customWidth="1"/>
    <col min="13075" max="13312" width="9.140625" style="262"/>
    <col min="13313" max="13324" width="14.7109375" style="262" bestFit="1" customWidth="1"/>
    <col min="13325" max="13325" width="14" style="262" bestFit="1" customWidth="1"/>
    <col min="13326" max="13328" width="14.7109375" style="262" bestFit="1" customWidth="1"/>
    <col min="13329" max="13329" width="0.42578125" style="262" bestFit="1" customWidth="1"/>
    <col min="13330" max="13330" width="4.7109375" style="262" bestFit="1" customWidth="1"/>
    <col min="13331" max="13568" width="9.140625" style="262"/>
    <col min="13569" max="13580" width="14.7109375" style="262" bestFit="1" customWidth="1"/>
    <col min="13581" max="13581" width="14" style="262" bestFit="1" customWidth="1"/>
    <col min="13582" max="13584" width="14.7109375" style="262" bestFit="1" customWidth="1"/>
    <col min="13585" max="13585" width="0.42578125" style="262" bestFit="1" customWidth="1"/>
    <col min="13586" max="13586" width="4.7109375" style="262" bestFit="1" customWidth="1"/>
    <col min="13587" max="13824" width="9.140625" style="262"/>
    <col min="13825" max="13836" width="14.7109375" style="262" bestFit="1" customWidth="1"/>
    <col min="13837" max="13837" width="14" style="262" bestFit="1" customWidth="1"/>
    <col min="13838" max="13840" width="14.7109375" style="262" bestFit="1" customWidth="1"/>
    <col min="13841" max="13841" width="0.42578125" style="262" bestFit="1" customWidth="1"/>
    <col min="13842" max="13842" width="4.7109375" style="262" bestFit="1" customWidth="1"/>
    <col min="13843" max="14080" width="9.140625" style="262"/>
    <col min="14081" max="14092" width="14.7109375" style="262" bestFit="1" customWidth="1"/>
    <col min="14093" max="14093" width="14" style="262" bestFit="1" customWidth="1"/>
    <col min="14094" max="14096" width="14.7109375" style="262" bestFit="1" customWidth="1"/>
    <col min="14097" max="14097" width="0.42578125" style="262" bestFit="1" customWidth="1"/>
    <col min="14098" max="14098" width="4.7109375" style="262" bestFit="1" customWidth="1"/>
    <col min="14099" max="14336" width="9.140625" style="262"/>
    <col min="14337" max="14348" width="14.7109375" style="262" bestFit="1" customWidth="1"/>
    <col min="14349" max="14349" width="14" style="262" bestFit="1" customWidth="1"/>
    <col min="14350" max="14352" width="14.7109375" style="262" bestFit="1" customWidth="1"/>
    <col min="14353" max="14353" width="0.42578125" style="262" bestFit="1" customWidth="1"/>
    <col min="14354" max="14354" width="4.7109375" style="262" bestFit="1" customWidth="1"/>
    <col min="14355" max="14592" width="9.140625" style="262"/>
    <col min="14593" max="14604" width="14.7109375" style="262" bestFit="1" customWidth="1"/>
    <col min="14605" max="14605" width="14" style="262" bestFit="1" customWidth="1"/>
    <col min="14606" max="14608" width="14.7109375" style="262" bestFit="1" customWidth="1"/>
    <col min="14609" max="14609" width="0.42578125" style="262" bestFit="1" customWidth="1"/>
    <col min="14610" max="14610" width="4.7109375" style="262" bestFit="1" customWidth="1"/>
    <col min="14611" max="14848" width="9.140625" style="262"/>
    <col min="14849" max="14860" width="14.7109375" style="262" bestFit="1" customWidth="1"/>
    <col min="14861" max="14861" width="14" style="262" bestFit="1" customWidth="1"/>
    <col min="14862" max="14864" width="14.7109375" style="262" bestFit="1" customWidth="1"/>
    <col min="14865" max="14865" width="0.42578125" style="262" bestFit="1" customWidth="1"/>
    <col min="14866" max="14866" width="4.7109375" style="262" bestFit="1" customWidth="1"/>
    <col min="14867" max="15104" width="9.140625" style="262"/>
    <col min="15105" max="15116" width="14.7109375" style="262" bestFit="1" customWidth="1"/>
    <col min="15117" max="15117" width="14" style="262" bestFit="1" customWidth="1"/>
    <col min="15118" max="15120" width="14.7109375" style="262" bestFit="1" customWidth="1"/>
    <col min="15121" max="15121" width="0.42578125" style="262" bestFit="1" customWidth="1"/>
    <col min="15122" max="15122" width="4.7109375" style="262" bestFit="1" customWidth="1"/>
    <col min="15123" max="15360" width="9.140625" style="262"/>
    <col min="15361" max="15372" width="14.7109375" style="262" bestFit="1" customWidth="1"/>
    <col min="15373" max="15373" width="14" style="262" bestFit="1" customWidth="1"/>
    <col min="15374" max="15376" width="14.7109375" style="262" bestFit="1" customWidth="1"/>
    <col min="15377" max="15377" width="0.42578125" style="262" bestFit="1" customWidth="1"/>
    <col min="15378" max="15378" width="4.7109375" style="262" bestFit="1" customWidth="1"/>
    <col min="15379" max="15616" width="9.140625" style="262"/>
    <col min="15617" max="15628" width="14.7109375" style="262" bestFit="1" customWidth="1"/>
    <col min="15629" max="15629" width="14" style="262" bestFit="1" customWidth="1"/>
    <col min="15630" max="15632" width="14.7109375" style="262" bestFit="1" customWidth="1"/>
    <col min="15633" max="15633" width="0.42578125" style="262" bestFit="1" customWidth="1"/>
    <col min="15634" max="15634" width="4.7109375" style="262" bestFit="1" customWidth="1"/>
    <col min="15635" max="15872" width="9.140625" style="262"/>
    <col min="15873" max="15884" width="14.7109375" style="262" bestFit="1" customWidth="1"/>
    <col min="15885" max="15885" width="14" style="262" bestFit="1" customWidth="1"/>
    <col min="15886" max="15888" width="14.7109375" style="262" bestFit="1" customWidth="1"/>
    <col min="15889" max="15889" width="0.42578125" style="262" bestFit="1" customWidth="1"/>
    <col min="15890" max="15890" width="4.7109375" style="262" bestFit="1" customWidth="1"/>
    <col min="15891" max="16128" width="9.140625" style="262"/>
    <col min="16129" max="16140" width="14.7109375" style="262" bestFit="1" customWidth="1"/>
    <col min="16141" max="16141" width="14" style="262" bestFit="1" customWidth="1"/>
    <col min="16142" max="16144" width="14.7109375" style="262" bestFit="1" customWidth="1"/>
    <col min="16145" max="16145" width="0.42578125" style="262" bestFit="1" customWidth="1"/>
    <col min="16146" max="16146" width="4.7109375" style="262" bestFit="1" customWidth="1"/>
    <col min="16147" max="16384" width="9.140625" style="262"/>
  </cols>
  <sheetData>
    <row r="1" spans="1:17" ht="18.75" customHeight="1" x14ac:dyDescent="0.2">
      <c r="A1" s="385" t="s">
        <v>281</v>
      </c>
      <c r="B1" s="385"/>
      <c r="C1" s="385"/>
      <c r="D1" s="385"/>
      <c r="E1" s="385"/>
      <c r="F1" s="385"/>
      <c r="G1" s="385"/>
      <c r="H1" s="385"/>
      <c r="I1" s="385"/>
      <c r="J1" s="385"/>
      <c r="K1" s="385"/>
      <c r="L1" s="385"/>
      <c r="M1" s="385"/>
      <c r="N1" s="385"/>
      <c r="O1" s="385"/>
      <c r="P1" s="385"/>
      <c r="Q1" s="385"/>
    </row>
    <row r="2" spans="1:17" s="265" customFormat="1" ht="18" customHeight="1" x14ac:dyDescent="0.2">
      <c r="A2" s="403" t="s">
        <v>147</v>
      </c>
      <c r="B2" s="403" t="s">
        <v>282</v>
      </c>
      <c r="C2" s="403" t="s">
        <v>283</v>
      </c>
      <c r="D2" s="403" t="s">
        <v>284</v>
      </c>
      <c r="E2" s="403" t="s">
        <v>285</v>
      </c>
      <c r="F2" s="403" t="s">
        <v>286</v>
      </c>
      <c r="G2" s="403" t="s">
        <v>287</v>
      </c>
      <c r="H2" s="401" t="s">
        <v>288</v>
      </c>
      <c r="I2" s="401" t="s">
        <v>289</v>
      </c>
      <c r="J2" s="401" t="s">
        <v>290</v>
      </c>
      <c r="K2" s="403" t="s">
        <v>291</v>
      </c>
      <c r="L2" s="401" t="s">
        <v>292</v>
      </c>
      <c r="M2" s="401" t="s">
        <v>293</v>
      </c>
      <c r="N2" s="405" t="s">
        <v>294</v>
      </c>
      <c r="O2" s="406"/>
      <c r="P2" s="407"/>
    </row>
    <row r="3" spans="1:17" s="265" customFormat="1" ht="21.75" customHeight="1" x14ac:dyDescent="0.2">
      <c r="A3" s="404"/>
      <c r="B3" s="404"/>
      <c r="C3" s="404"/>
      <c r="D3" s="404"/>
      <c r="E3" s="404"/>
      <c r="F3" s="404"/>
      <c r="G3" s="404"/>
      <c r="H3" s="402"/>
      <c r="I3" s="402"/>
      <c r="J3" s="402"/>
      <c r="K3" s="404"/>
      <c r="L3" s="402"/>
      <c r="M3" s="402"/>
      <c r="N3" s="304" t="s">
        <v>295</v>
      </c>
      <c r="O3" s="304" t="s">
        <v>296</v>
      </c>
      <c r="P3" s="304" t="s">
        <v>297</v>
      </c>
    </row>
    <row r="4" spans="1:17" s="265" customFormat="1" ht="18" customHeight="1" x14ac:dyDescent="0.2">
      <c r="A4" s="288" t="s">
        <v>69</v>
      </c>
      <c r="B4" s="267">
        <v>5619</v>
      </c>
      <c r="C4" s="267">
        <v>52</v>
      </c>
      <c r="D4" s="267">
        <v>2794</v>
      </c>
      <c r="E4" s="268">
        <v>246</v>
      </c>
      <c r="F4" s="267">
        <v>3585.9</v>
      </c>
      <c r="G4" s="303">
        <v>771603.31</v>
      </c>
      <c r="H4" s="303">
        <v>1082968.24</v>
      </c>
      <c r="I4" s="267">
        <v>4402.3099186990003</v>
      </c>
      <c r="J4" s="267">
        <v>30200.737332329001</v>
      </c>
      <c r="K4" s="303">
        <v>771603.31</v>
      </c>
      <c r="L4" s="303">
        <v>1082968.05</v>
      </c>
      <c r="M4" s="305">
        <v>14224996.970000001</v>
      </c>
      <c r="N4" s="267">
        <v>36443.980000000003</v>
      </c>
      <c r="O4" s="267">
        <v>29241.48</v>
      </c>
      <c r="P4" s="267">
        <v>32968.68</v>
      </c>
    </row>
    <row r="5" spans="1:17" s="265" customFormat="1" ht="18" customHeight="1" x14ac:dyDescent="0.2">
      <c r="A5" s="288" t="s">
        <v>70</v>
      </c>
      <c r="B5" s="267">
        <v>5262</v>
      </c>
      <c r="C5" s="267">
        <v>36</v>
      </c>
      <c r="D5" s="267">
        <v>4086</v>
      </c>
      <c r="E5" s="268">
        <v>248</v>
      </c>
      <c r="F5" s="267">
        <v>3145.25</v>
      </c>
      <c r="G5" s="303">
        <v>518103.44</v>
      </c>
      <c r="H5" s="303">
        <v>775590.08</v>
      </c>
      <c r="I5" s="267">
        <v>3127.3793548389999</v>
      </c>
      <c r="J5" s="267">
        <v>24659.091646133002</v>
      </c>
      <c r="K5" s="303">
        <v>518103.44</v>
      </c>
      <c r="L5" s="303">
        <v>775589.97</v>
      </c>
      <c r="M5" s="305">
        <v>15108711.01</v>
      </c>
      <c r="N5" s="267">
        <v>38989.65</v>
      </c>
      <c r="O5" s="267">
        <v>32972.559999999998</v>
      </c>
      <c r="P5" s="267">
        <v>38672.910000000003</v>
      </c>
    </row>
    <row r="6" spans="1:17" s="265" customFormat="1" ht="18" customHeight="1" x14ac:dyDescent="0.2">
      <c r="A6" s="288" t="s">
        <v>156</v>
      </c>
      <c r="B6" s="267">
        <v>5638</v>
      </c>
      <c r="C6" s="267">
        <v>52</v>
      </c>
      <c r="D6" s="267">
        <v>2768</v>
      </c>
      <c r="E6" s="268">
        <v>21</v>
      </c>
      <c r="F6" s="267">
        <v>233.88</v>
      </c>
      <c r="G6" s="267">
        <v>47332.62</v>
      </c>
      <c r="H6" s="267">
        <v>71629.66</v>
      </c>
      <c r="I6" s="267">
        <v>3410.9361904759999</v>
      </c>
      <c r="J6" s="267">
        <v>30626.671797503001</v>
      </c>
      <c r="K6" s="267">
        <v>47332.62</v>
      </c>
      <c r="L6" s="267">
        <v>71629.66</v>
      </c>
      <c r="M6" s="305">
        <v>15279535.369999999</v>
      </c>
      <c r="N6" s="267">
        <v>35213.300000000003</v>
      </c>
      <c r="O6" s="267">
        <v>32972.559999999998</v>
      </c>
      <c r="P6" s="267">
        <v>35160.36</v>
      </c>
    </row>
    <row r="7" spans="1:17" s="265" customFormat="1" ht="18" customHeight="1" x14ac:dyDescent="0.2">
      <c r="A7" s="288" t="s">
        <v>157</v>
      </c>
      <c r="B7" s="267">
        <v>5450</v>
      </c>
      <c r="C7" s="267">
        <v>52</v>
      </c>
      <c r="D7" s="267">
        <v>2755</v>
      </c>
      <c r="E7" s="268">
        <v>22</v>
      </c>
      <c r="F7" s="267">
        <v>258.01</v>
      </c>
      <c r="G7" s="267">
        <v>51335.45</v>
      </c>
      <c r="H7" s="267">
        <v>75360.5</v>
      </c>
      <c r="I7" s="267">
        <v>3425.4772727270001</v>
      </c>
      <c r="J7" s="267">
        <v>29208.364016898999</v>
      </c>
      <c r="K7" s="267">
        <v>51335.45</v>
      </c>
      <c r="L7" s="267">
        <v>75360.5</v>
      </c>
      <c r="M7" s="305">
        <v>14869671.1</v>
      </c>
      <c r="N7" s="267">
        <v>35993.53</v>
      </c>
      <c r="O7" s="267">
        <v>34302.89</v>
      </c>
      <c r="P7" s="267">
        <v>35322.379999999997</v>
      </c>
    </row>
    <row r="8" spans="1:17" s="265" customFormat="1" ht="18" customHeight="1" x14ac:dyDescent="0.2">
      <c r="A8" s="288" t="s">
        <v>158</v>
      </c>
      <c r="B8" s="267">
        <v>5458</v>
      </c>
      <c r="C8" s="267">
        <v>36</v>
      </c>
      <c r="D8" s="267">
        <v>2698</v>
      </c>
      <c r="E8" s="268">
        <v>21</v>
      </c>
      <c r="F8" s="267">
        <v>191.19</v>
      </c>
      <c r="G8" s="267">
        <v>41057.9</v>
      </c>
      <c r="H8" s="267">
        <v>64162.59</v>
      </c>
      <c r="I8" s="267">
        <v>3055.361428571</v>
      </c>
      <c r="J8" s="267">
        <v>33559.595167111002</v>
      </c>
      <c r="K8" s="267">
        <v>41057.9</v>
      </c>
      <c r="L8" s="267">
        <v>64162.58</v>
      </c>
      <c r="M8" s="305">
        <v>14501942.26</v>
      </c>
      <c r="N8" s="267">
        <v>35877.410000000003</v>
      </c>
      <c r="O8" s="267">
        <v>34784.68</v>
      </c>
      <c r="P8" s="267">
        <v>35423.480000000003</v>
      </c>
    </row>
    <row r="9" spans="1:17" s="265" customFormat="1" ht="18" customHeight="1" x14ac:dyDescent="0.2">
      <c r="A9" s="288" t="s">
        <v>159</v>
      </c>
      <c r="B9" s="267">
        <v>5240</v>
      </c>
      <c r="C9" s="267">
        <v>36</v>
      </c>
      <c r="D9" s="267">
        <v>2763</v>
      </c>
      <c r="E9" s="268">
        <v>22</v>
      </c>
      <c r="F9" s="267">
        <v>242.84</v>
      </c>
      <c r="G9" s="267">
        <v>41849.870000000003</v>
      </c>
      <c r="H9" s="267">
        <v>65168.480000000003</v>
      </c>
      <c r="I9" s="267">
        <v>2962.203636364</v>
      </c>
      <c r="J9" s="267">
        <v>26835.974304069001</v>
      </c>
      <c r="K9" s="267">
        <v>41849.870000000003</v>
      </c>
      <c r="L9" s="267">
        <v>65168.480000000003</v>
      </c>
      <c r="M9" s="305">
        <v>15314574.300000001</v>
      </c>
      <c r="N9" s="267">
        <v>37644.589999999997</v>
      </c>
      <c r="O9" s="267">
        <v>35106.57</v>
      </c>
      <c r="P9" s="267">
        <v>37606.58</v>
      </c>
    </row>
    <row r="10" spans="1:17" s="265" customFormat="1" ht="18" customHeight="1" x14ac:dyDescent="0.2">
      <c r="A10" s="288" t="s">
        <v>160</v>
      </c>
      <c r="B10" s="267">
        <v>5233</v>
      </c>
      <c r="C10" s="267">
        <v>36</v>
      </c>
      <c r="D10" s="267">
        <v>2823</v>
      </c>
      <c r="E10" s="268">
        <v>21</v>
      </c>
      <c r="F10" s="267">
        <v>292</v>
      </c>
      <c r="G10" s="267">
        <v>45597</v>
      </c>
      <c r="H10" s="267">
        <v>67896</v>
      </c>
      <c r="I10" s="267">
        <v>3233</v>
      </c>
      <c r="J10" s="267">
        <v>23230</v>
      </c>
      <c r="K10" s="267">
        <v>45597</v>
      </c>
      <c r="L10" s="267">
        <v>67896</v>
      </c>
      <c r="M10" s="305">
        <v>15934696</v>
      </c>
      <c r="N10" s="267">
        <v>38989.65</v>
      </c>
      <c r="O10" s="267">
        <v>37128.99</v>
      </c>
      <c r="P10" s="267">
        <v>38645.07</v>
      </c>
    </row>
    <row r="11" spans="1:17" s="265" customFormat="1" ht="18" customHeight="1" x14ac:dyDescent="0.2">
      <c r="A11" s="288" t="s">
        <v>161</v>
      </c>
      <c r="B11" s="267">
        <v>5232</v>
      </c>
      <c r="C11" s="267">
        <v>36</v>
      </c>
      <c r="D11" s="267">
        <v>2763</v>
      </c>
      <c r="E11" s="268">
        <v>18</v>
      </c>
      <c r="F11" s="267">
        <v>297.68</v>
      </c>
      <c r="G11" s="267">
        <v>38742.959999999999</v>
      </c>
      <c r="H11" s="267">
        <v>62476.71</v>
      </c>
      <c r="I11" s="267">
        <v>3470.928333333</v>
      </c>
      <c r="J11" s="267">
        <v>20987.876242945</v>
      </c>
      <c r="K11" s="267">
        <v>38742.959999999999</v>
      </c>
      <c r="L11" s="267">
        <v>62476.7</v>
      </c>
      <c r="M11" s="305">
        <v>14486401.68</v>
      </c>
      <c r="N11" s="267">
        <v>38934.35</v>
      </c>
      <c r="O11" s="267">
        <v>35985.629999999997</v>
      </c>
      <c r="P11" s="267">
        <v>36227.14</v>
      </c>
    </row>
    <row r="12" spans="1:17" s="265" customFormat="1" ht="18" customHeight="1" x14ac:dyDescent="0.2">
      <c r="A12" s="288" t="s">
        <v>162</v>
      </c>
      <c r="B12" s="267">
        <v>5217</v>
      </c>
      <c r="C12" s="267">
        <v>36</v>
      </c>
      <c r="D12" s="267">
        <v>2660</v>
      </c>
      <c r="E12" s="268">
        <v>21</v>
      </c>
      <c r="F12" s="267">
        <v>337.3</v>
      </c>
      <c r="G12" s="267">
        <v>43932.5</v>
      </c>
      <c r="H12" s="267">
        <v>66384.710000000006</v>
      </c>
      <c r="I12" s="267">
        <v>3161.1766670000002</v>
      </c>
      <c r="J12" s="267">
        <v>19681.20664</v>
      </c>
      <c r="K12" s="267">
        <v>43932.5</v>
      </c>
      <c r="L12" s="267">
        <v>66384.7</v>
      </c>
      <c r="M12" s="305">
        <v>13845109.369999999</v>
      </c>
      <c r="N12" s="267">
        <v>36616.639999999999</v>
      </c>
      <c r="O12" s="267">
        <v>33291.58</v>
      </c>
      <c r="P12" s="267">
        <v>34442.050000000003</v>
      </c>
    </row>
    <row r="13" spans="1:17" s="265" customFormat="1" ht="18" customHeight="1" x14ac:dyDescent="0.2">
      <c r="A13" s="288" t="s">
        <v>163</v>
      </c>
      <c r="B13" s="267">
        <v>5216</v>
      </c>
      <c r="C13" s="267">
        <v>36</v>
      </c>
      <c r="D13" s="267">
        <v>2719</v>
      </c>
      <c r="E13" s="268">
        <v>20</v>
      </c>
      <c r="F13" s="267">
        <v>255.31</v>
      </c>
      <c r="G13" s="267">
        <v>38075.67</v>
      </c>
      <c r="H13" s="267">
        <v>59063.839999999997</v>
      </c>
      <c r="I13" s="267">
        <v>2953.192</v>
      </c>
      <c r="J13" s="267">
        <v>23134.166307626001</v>
      </c>
      <c r="K13" s="267">
        <v>38075.67</v>
      </c>
      <c r="L13" s="267">
        <v>59063.82</v>
      </c>
      <c r="M13" s="305">
        <v>14288775.859999999</v>
      </c>
      <c r="N13" s="267">
        <v>36389.22</v>
      </c>
      <c r="O13" s="267">
        <v>34303.379999999997</v>
      </c>
      <c r="P13" s="267">
        <v>36194.300000000003</v>
      </c>
    </row>
    <row r="14" spans="1:17" s="265" customFormat="1" ht="18" customHeight="1" x14ac:dyDescent="0.2">
      <c r="A14" s="288" t="s">
        <v>164</v>
      </c>
      <c r="B14" s="267">
        <v>5232</v>
      </c>
      <c r="C14" s="267">
        <v>36</v>
      </c>
      <c r="D14" s="267">
        <v>2756</v>
      </c>
      <c r="E14" s="268">
        <v>20</v>
      </c>
      <c r="F14" s="267">
        <v>249.04</v>
      </c>
      <c r="G14" s="267">
        <v>38058.080000000002</v>
      </c>
      <c r="H14" s="267">
        <v>50482.91</v>
      </c>
      <c r="I14" s="267">
        <v>2524.1455000000001</v>
      </c>
      <c r="J14" s="267">
        <v>20271.004657885998</v>
      </c>
      <c r="K14" s="267">
        <v>38058.080000000002</v>
      </c>
      <c r="L14" s="267">
        <v>50482.89</v>
      </c>
      <c r="M14" s="305">
        <v>14448465.689999999</v>
      </c>
      <c r="N14" s="267">
        <v>36554.99</v>
      </c>
      <c r="O14" s="267">
        <v>34426.29</v>
      </c>
      <c r="P14" s="267">
        <v>36068.33</v>
      </c>
    </row>
    <row r="15" spans="1:17" s="265" customFormat="1" ht="18" customHeight="1" x14ac:dyDescent="0.2">
      <c r="A15" s="288" t="s">
        <v>165</v>
      </c>
      <c r="B15" s="267">
        <v>5244</v>
      </c>
      <c r="C15" s="267">
        <v>36</v>
      </c>
      <c r="D15" s="267">
        <v>2663</v>
      </c>
      <c r="E15" s="268">
        <v>23</v>
      </c>
      <c r="F15" s="267">
        <v>274.63</v>
      </c>
      <c r="G15" s="267">
        <v>38852.44</v>
      </c>
      <c r="H15" s="267">
        <v>61332.33</v>
      </c>
      <c r="I15" s="267">
        <v>2666.623043478</v>
      </c>
      <c r="J15" s="267">
        <v>22332.713104905</v>
      </c>
      <c r="K15" s="267">
        <v>38852.44</v>
      </c>
      <c r="L15" s="267">
        <v>61332.31</v>
      </c>
      <c r="M15" s="305">
        <v>14099330.09</v>
      </c>
      <c r="N15" s="267">
        <v>36701.03</v>
      </c>
      <c r="O15" s="267">
        <v>35375.51</v>
      </c>
      <c r="P15" s="267">
        <v>36256.69</v>
      </c>
    </row>
    <row r="16" spans="1:17" s="265" customFormat="1" ht="18" customHeight="1" x14ac:dyDescent="0.2">
      <c r="A16" s="288" t="s">
        <v>166</v>
      </c>
      <c r="B16" s="267">
        <v>5251</v>
      </c>
      <c r="C16" s="267">
        <v>36</v>
      </c>
      <c r="D16" s="267">
        <v>2614</v>
      </c>
      <c r="E16" s="268">
        <v>20</v>
      </c>
      <c r="F16" s="267">
        <v>257.18</v>
      </c>
      <c r="G16" s="267">
        <v>42228.53</v>
      </c>
      <c r="H16" s="267">
        <v>50655.69</v>
      </c>
      <c r="I16" s="267">
        <v>2532.7845000000002</v>
      </c>
      <c r="J16" s="267">
        <v>19696.589937009001</v>
      </c>
      <c r="K16" s="267">
        <v>42228.53</v>
      </c>
      <c r="L16" s="267">
        <v>50655.67</v>
      </c>
      <c r="M16" s="305">
        <v>14041530.33</v>
      </c>
      <c r="N16" s="267">
        <v>37172.18</v>
      </c>
      <c r="O16" s="267">
        <v>35287.160000000003</v>
      </c>
      <c r="P16" s="267">
        <v>35867.440000000002</v>
      </c>
    </row>
    <row r="17" spans="1:16" s="265" customFormat="1" ht="18" customHeight="1" x14ac:dyDescent="0.2">
      <c r="A17" s="288" t="s">
        <v>167</v>
      </c>
      <c r="B17" s="267">
        <v>5262</v>
      </c>
      <c r="C17" s="267">
        <v>36</v>
      </c>
      <c r="D17" s="267">
        <v>3651</v>
      </c>
      <c r="E17" s="268">
        <v>19</v>
      </c>
      <c r="F17" s="267">
        <v>255.91</v>
      </c>
      <c r="G17" s="267">
        <v>51040.83</v>
      </c>
      <c r="H17" s="267">
        <v>80977.06</v>
      </c>
      <c r="I17" s="267">
        <v>4261.9505263159999</v>
      </c>
      <c r="J17" s="267">
        <v>31642.788480325002</v>
      </c>
      <c r="K17" s="267">
        <v>51040.83</v>
      </c>
      <c r="L17" s="267">
        <v>80977.06</v>
      </c>
      <c r="M17" s="305">
        <v>15108711.01</v>
      </c>
      <c r="N17" s="267">
        <v>38748.54</v>
      </c>
      <c r="O17" s="267">
        <v>35926.94</v>
      </c>
      <c r="P17" s="267">
        <v>38672.910000000003</v>
      </c>
    </row>
    <row r="18" spans="1:16" s="265" customFormat="1" ht="19.5" customHeight="1" x14ac:dyDescent="0.2">
      <c r="A18" s="353" t="s">
        <v>106</v>
      </c>
      <c r="B18" s="353"/>
      <c r="C18" s="353"/>
      <c r="D18" s="353"/>
      <c r="E18" s="353"/>
      <c r="F18" s="353"/>
      <c r="G18" s="353"/>
      <c r="H18" s="353"/>
    </row>
    <row r="19" spans="1:16" s="265" customFormat="1" ht="18" customHeight="1" x14ac:dyDescent="0.2">
      <c r="A19" s="353" t="s">
        <v>298</v>
      </c>
      <c r="B19" s="353"/>
      <c r="C19" s="353"/>
      <c r="D19" s="353"/>
      <c r="E19" s="353"/>
      <c r="F19" s="353"/>
      <c r="G19" s="353"/>
      <c r="H19" s="353"/>
    </row>
    <row r="20" spans="1:16" s="265" customFormat="1" ht="24.6" customHeight="1" x14ac:dyDescent="0.2"/>
  </sheetData>
  <mergeCells count="17">
    <mergeCell ref="N2:P2"/>
    <mergeCell ref="A18:H18"/>
    <mergeCell ref="A1:Q1"/>
    <mergeCell ref="A2:A3"/>
    <mergeCell ref="B2:B3"/>
    <mergeCell ref="C2:C3"/>
    <mergeCell ref="D2:D3"/>
    <mergeCell ref="E2:E3"/>
    <mergeCell ref="F2:F3"/>
    <mergeCell ref="G2:G3"/>
    <mergeCell ref="H2:H3"/>
    <mergeCell ref="I2:I3"/>
    <mergeCell ref="A19:H19"/>
    <mergeCell ref="J2:J3"/>
    <mergeCell ref="K2:K3"/>
    <mergeCell ref="L2:L3"/>
    <mergeCell ref="M2:M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21"/>
  <sheetViews>
    <sheetView workbookViewId="0">
      <selection sqref="A1:P1"/>
    </sheetView>
  </sheetViews>
  <sheetFormatPr defaultRowHeight="12.75" x14ac:dyDescent="0.2"/>
  <cols>
    <col min="1" max="16" width="14.7109375" style="262" bestFit="1" customWidth="1"/>
    <col min="17" max="17" width="4.7109375" style="262" bestFit="1" customWidth="1"/>
    <col min="18" max="256" width="9.140625" style="262"/>
    <col min="257" max="272" width="14.7109375" style="262" bestFit="1" customWidth="1"/>
    <col min="273" max="273" width="4.7109375" style="262" bestFit="1" customWidth="1"/>
    <col min="274" max="512" width="9.140625" style="262"/>
    <col min="513" max="528" width="14.7109375" style="262" bestFit="1" customWidth="1"/>
    <col min="529" max="529" width="4.7109375" style="262" bestFit="1" customWidth="1"/>
    <col min="530" max="768" width="9.140625" style="262"/>
    <col min="769" max="784" width="14.7109375" style="262" bestFit="1" customWidth="1"/>
    <col min="785" max="785" width="4.7109375" style="262" bestFit="1" customWidth="1"/>
    <col min="786" max="1024" width="9.140625" style="262"/>
    <col min="1025" max="1040" width="14.7109375" style="262" bestFit="1" customWidth="1"/>
    <col min="1041" max="1041" width="4.7109375" style="262" bestFit="1" customWidth="1"/>
    <col min="1042" max="1280" width="9.140625" style="262"/>
    <col min="1281" max="1296" width="14.7109375" style="262" bestFit="1" customWidth="1"/>
    <col min="1297" max="1297" width="4.7109375" style="262" bestFit="1" customWidth="1"/>
    <col min="1298" max="1536" width="9.140625" style="262"/>
    <col min="1537" max="1552" width="14.7109375" style="262" bestFit="1" customWidth="1"/>
    <col min="1553" max="1553" width="4.7109375" style="262" bestFit="1" customWidth="1"/>
    <col min="1554" max="1792" width="9.140625" style="262"/>
    <col min="1793" max="1808" width="14.7109375" style="262" bestFit="1" customWidth="1"/>
    <col min="1809" max="1809" width="4.7109375" style="262" bestFit="1" customWidth="1"/>
    <col min="1810" max="2048" width="9.140625" style="262"/>
    <col min="2049" max="2064" width="14.7109375" style="262" bestFit="1" customWidth="1"/>
    <col min="2065" max="2065" width="4.7109375" style="262" bestFit="1" customWidth="1"/>
    <col min="2066" max="2304" width="9.140625" style="262"/>
    <col min="2305" max="2320" width="14.7109375" style="262" bestFit="1" customWidth="1"/>
    <col min="2321" max="2321" width="4.7109375" style="262" bestFit="1" customWidth="1"/>
    <col min="2322" max="2560" width="9.140625" style="262"/>
    <col min="2561" max="2576" width="14.7109375" style="262" bestFit="1" customWidth="1"/>
    <col min="2577" max="2577" width="4.7109375" style="262" bestFit="1" customWidth="1"/>
    <col min="2578" max="2816" width="9.140625" style="262"/>
    <col min="2817" max="2832" width="14.7109375" style="262" bestFit="1" customWidth="1"/>
    <col min="2833" max="2833" width="4.7109375" style="262" bestFit="1" customWidth="1"/>
    <col min="2834" max="3072" width="9.140625" style="262"/>
    <col min="3073" max="3088" width="14.7109375" style="262" bestFit="1" customWidth="1"/>
    <col min="3089" max="3089" width="4.7109375" style="262" bestFit="1" customWidth="1"/>
    <col min="3090" max="3328" width="9.140625" style="262"/>
    <col min="3329" max="3344" width="14.7109375" style="262" bestFit="1" customWidth="1"/>
    <col min="3345" max="3345" width="4.7109375" style="262" bestFit="1" customWidth="1"/>
    <col min="3346" max="3584" width="9.140625" style="262"/>
    <col min="3585" max="3600" width="14.7109375" style="262" bestFit="1" customWidth="1"/>
    <col min="3601" max="3601" width="4.7109375" style="262" bestFit="1" customWidth="1"/>
    <col min="3602" max="3840" width="9.140625" style="262"/>
    <col min="3841" max="3856" width="14.7109375" style="262" bestFit="1" customWidth="1"/>
    <col min="3857" max="3857" width="4.7109375" style="262" bestFit="1" customWidth="1"/>
    <col min="3858" max="4096" width="9.140625" style="262"/>
    <col min="4097" max="4112" width="14.7109375" style="262" bestFit="1" customWidth="1"/>
    <col min="4113" max="4113" width="4.7109375" style="262" bestFit="1" customWidth="1"/>
    <col min="4114" max="4352" width="9.140625" style="262"/>
    <col min="4353" max="4368" width="14.7109375" style="262" bestFit="1" customWidth="1"/>
    <col min="4369" max="4369" width="4.7109375" style="262" bestFit="1" customWidth="1"/>
    <col min="4370" max="4608" width="9.140625" style="262"/>
    <col min="4609" max="4624" width="14.7109375" style="262" bestFit="1" customWidth="1"/>
    <col min="4625" max="4625" width="4.7109375" style="262" bestFit="1" customWidth="1"/>
    <col min="4626" max="4864" width="9.140625" style="262"/>
    <col min="4865" max="4880" width="14.7109375" style="262" bestFit="1" customWidth="1"/>
    <col min="4881" max="4881" width="4.7109375" style="262" bestFit="1" customWidth="1"/>
    <col min="4882" max="5120" width="9.140625" style="262"/>
    <col min="5121" max="5136" width="14.7109375" style="262" bestFit="1" customWidth="1"/>
    <col min="5137" max="5137" width="4.7109375" style="262" bestFit="1" customWidth="1"/>
    <col min="5138" max="5376" width="9.140625" style="262"/>
    <col min="5377" max="5392" width="14.7109375" style="262" bestFit="1" customWidth="1"/>
    <col min="5393" max="5393" width="4.7109375" style="262" bestFit="1" customWidth="1"/>
    <col min="5394" max="5632" width="9.140625" style="262"/>
    <col min="5633" max="5648" width="14.7109375" style="262" bestFit="1" customWidth="1"/>
    <col min="5649" max="5649" width="4.7109375" style="262" bestFit="1" customWidth="1"/>
    <col min="5650" max="5888" width="9.140625" style="262"/>
    <col min="5889" max="5904" width="14.7109375" style="262" bestFit="1" customWidth="1"/>
    <col min="5905" max="5905" width="4.7109375" style="262" bestFit="1" customWidth="1"/>
    <col min="5906" max="6144" width="9.140625" style="262"/>
    <col min="6145" max="6160" width="14.7109375" style="262" bestFit="1" customWidth="1"/>
    <col min="6161" max="6161" width="4.7109375" style="262" bestFit="1" customWidth="1"/>
    <col min="6162" max="6400" width="9.140625" style="262"/>
    <col min="6401" max="6416" width="14.7109375" style="262" bestFit="1" customWidth="1"/>
    <col min="6417" max="6417" width="4.7109375" style="262" bestFit="1" customWidth="1"/>
    <col min="6418" max="6656" width="9.140625" style="262"/>
    <col min="6657" max="6672" width="14.7109375" style="262" bestFit="1" customWidth="1"/>
    <col min="6673" max="6673" width="4.7109375" style="262" bestFit="1" customWidth="1"/>
    <col min="6674" max="6912" width="9.140625" style="262"/>
    <col min="6913" max="6928" width="14.7109375" style="262" bestFit="1" customWidth="1"/>
    <col min="6929" max="6929" width="4.7109375" style="262" bestFit="1" customWidth="1"/>
    <col min="6930" max="7168" width="9.140625" style="262"/>
    <col min="7169" max="7184" width="14.7109375" style="262" bestFit="1" customWidth="1"/>
    <col min="7185" max="7185" width="4.7109375" style="262" bestFit="1" customWidth="1"/>
    <col min="7186" max="7424" width="9.140625" style="262"/>
    <col min="7425" max="7440" width="14.7109375" style="262" bestFit="1" customWidth="1"/>
    <col min="7441" max="7441" width="4.7109375" style="262" bestFit="1" customWidth="1"/>
    <col min="7442" max="7680" width="9.140625" style="262"/>
    <col min="7681" max="7696" width="14.7109375" style="262" bestFit="1" customWidth="1"/>
    <col min="7697" max="7697" width="4.7109375" style="262" bestFit="1" customWidth="1"/>
    <col min="7698" max="7936" width="9.140625" style="262"/>
    <col min="7937" max="7952" width="14.7109375" style="262" bestFit="1" customWidth="1"/>
    <col min="7953" max="7953" width="4.7109375" style="262" bestFit="1" customWidth="1"/>
    <col min="7954" max="8192" width="9.140625" style="262"/>
    <col min="8193" max="8208" width="14.7109375" style="262" bestFit="1" customWidth="1"/>
    <col min="8209" max="8209" width="4.7109375" style="262" bestFit="1" customWidth="1"/>
    <col min="8210" max="8448" width="9.140625" style="262"/>
    <col min="8449" max="8464" width="14.7109375" style="262" bestFit="1" customWidth="1"/>
    <col min="8465" max="8465" width="4.7109375" style="262" bestFit="1" customWidth="1"/>
    <col min="8466" max="8704" width="9.140625" style="262"/>
    <col min="8705" max="8720" width="14.7109375" style="262" bestFit="1" customWidth="1"/>
    <col min="8721" max="8721" width="4.7109375" style="262" bestFit="1" customWidth="1"/>
    <col min="8722" max="8960" width="9.140625" style="262"/>
    <col min="8961" max="8976" width="14.7109375" style="262" bestFit="1" customWidth="1"/>
    <col min="8977" max="8977" width="4.7109375" style="262" bestFit="1" customWidth="1"/>
    <col min="8978" max="9216" width="9.140625" style="262"/>
    <col min="9217" max="9232" width="14.7109375" style="262" bestFit="1" customWidth="1"/>
    <col min="9233" max="9233" width="4.7109375" style="262" bestFit="1" customWidth="1"/>
    <col min="9234" max="9472" width="9.140625" style="262"/>
    <col min="9473" max="9488" width="14.7109375" style="262" bestFit="1" customWidth="1"/>
    <col min="9489" max="9489" width="4.7109375" style="262" bestFit="1" customWidth="1"/>
    <col min="9490" max="9728" width="9.140625" style="262"/>
    <col min="9729" max="9744" width="14.7109375" style="262" bestFit="1" customWidth="1"/>
    <col min="9745" max="9745" width="4.7109375" style="262" bestFit="1" customWidth="1"/>
    <col min="9746" max="9984" width="9.140625" style="262"/>
    <col min="9985" max="10000" width="14.7109375" style="262" bestFit="1" customWidth="1"/>
    <col min="10001" max="10001" width="4.7109375" style="262" bestFit="1" customWidth="1"/>
    <col min="10002" max="10240" width="9.140625" style="262"/>
    <col min="10241" max="10256" width="14.7109375" style="262" bestFit="1" customWidth="1"/>
    <col min="10257" max="10257" width="4.7109375" style="262" bestFit="1" customWidth="1"/>
    <col min="10258" max="10496" width="9.140625" style="262"/>
    <col min="10497" max="10512" width="14.7109375" style="262" bestFit="1" customWidth="1"/>
    <col min="10513" max="10513" width="4.7109375" style="262" bestFit="1" customWidth="1"/>
    <col min="10514" max="10752" width="9.140625" style="262"/>
    <col min="10753" max="10768" width="14.7109375" style="262" bestFit="1" customWidth="1"/>
    <col min="10769" max="10769" width="4.7109375" style="262" bestFit="1" customWidth="1"/>
    <col min="10770" max="11008" width="9.140625" style="262"/>
    <col min="11009" max="11024" width="14.7109375" style="262" bestFit="1" customWidth="1"/>
    <col min="11025" max="11025" width="4.7109375" style="262" bestFit="1" customWidth="1"/>
    <col min="11026" max="11264" width="9.140625" style="262"/>
    <col min="11265" max="11280" width="14.7109375" style="262" bestFit="1" customWidth="1"/>
    <col min="11281" max="11281" width="4.7109375" style="262" bestFit="1" customWidth="1"/>
    <col min="11282" max="11520" width="9.140625" style="262"/>
    <col min="11521" max="11536" width="14.7109375" style="262" bestFit="1" customWidth="1"/>
    <col min="11537" max="11537" width="4.7109375" style="262" bestFit="1" customWidth="1"/>
    <col min="11538" max="11776" width="9.140625" style="262"/>
    <col min="11777" max="11792" width="14.7109375" style="262" bestFit="1" customWidth="1"/>
    <col min="11793" max="11793" width="4.7109375" style="262" bestFit="1" customWidth="1"/>
    <col min="11794" max="12032" width="9.140625" style="262"/>
    <col min="12033" max="12048" width="14.7109375" style="262" bestFit="1" customWidth="1"/>
    <col min="12049" max="12049" width="4.7109375" style="262" bestFit="1" customWidth="1"/>
    <col min="12050" max="12288" width="9.140625" style="262"/>
    <col min="12289" max="12304" width="14.7109375" style="262" bestFit="1" customWidth="1"/>
    <col min="12305" max="12305" width="4.7109375" style="262" bestFit="1" customWidth="1"/>
    <col min="12306" max="12544" width="9.140625" style="262"/>
    <col min="12545" max="12560" width="14.7109375" style="262" bestFit="1" customWidth="1"/>
    <col min="12561" max="12561" width="4.7109375" style="262" bestFit="1" customWidth="1"/>
    <col min="12562" max="12800" width="9.140625" style="262"/>
    <col min="12801" max="12816" width="14.7109375" style="262" bestFit="1" customWidth="1"/>
    <col min="12817" max="12817" width="4.7109375" style="262" bestFit="1" customWidth="1"/>
    <col min="12818" max="13056" width="9.140625" style="262"/>
    <col min="13057" max="13072" width="14.7109375" style="262" bestFit="1" customWidth="1"/>
    <col min="13073" max="13073" width="4.7109375" style="262" bestFit="1" customWidth="1"/>
    <col min="13074" max="13312" width="9.140625" style="262"/>
    <col min="13313" max="13328" width="14.7109375" style="262" bestFit="1" customWidth="1"/>
    <col min="13329" max="13329" width="4.7109375" style="262" bestFit="1" customWidth="1"/>
    <col min="13330" max="13568" width="9.140625" style="262"/>
    <col min="13569" max="13584" width="14.7109375" style="262" bestFit="1" customWidth="1"/>
    <col min="13585" max="13585" width="4.7109375" style="262" bestFit="1" customWidth="1"/>
    <col min="13586" max="13824" width="9.140625" style="262"/>
    <col min="13825" max="13840" width="14.7109375" style="262" bestFit="1" customWidth="1"/>
    <col min="13841" max="13841" width="4.7109375" style="262" bestFit="1" customWidth="1"/>
    <col min="13842" max="14080" width="9.140625" style="262"/>
    <col min="14081" max="14096" width="14.7109375" style="262" bestFit="1" customWidth="1"/>
    <col min="14097" max="14097" width="4.7109375" style="262" bestFit="1" customWidth="1"/>
    <col min="14098" max="14336" width="9.140625" style="262"/>
    <col min="14337" max="14352" width="14.7109375" style="262" bestFit="1" customWidth="1"/>
    <col min="14353" max="14353" width="4.7109375" style="262" bestFit="1" customWidth="1"/>
    <col min="14354" max="14592" width="9.140625" style="262"/>
    <col min="14593" max="14608" width="14.7109375" style="262" bestFit="1" customWidth="1"/>
    <col min="14609" max="14609" width="4.7109375" style="262" bestFit="1" customWidth="1"/>
    <col min="14610" max="14848" width="9.140625" style="262"/>
    <col min="14849" max="14864" width="14.7109375" style="262" bestFit="1" customWidth="1"/>
    <col min="14865" max="14865" width="4.7109375" style="262" bestFit="1" customWidth="1"/>
    <col min="14866" max="15104" width="9.140625" style="262"/>
    <col min="15105" max="15120" width="14.7109375" style="262" bestFit="1" customWidth="1"/>
    <col min="15121" max="15121" width="4.7109375" style="262" bestFit="1" customWidth="1"/>
    <col min="15122" max="15360" width="9.140625" style="262"/>
    <col min="15361" max="15376" width="14.7109375" style="262" bestFit="1" customWidth="1"/>
    <col min="15377" max="15377" width="4.7109375" style="262" bestFit="1" customWidth="1"/>
    <col min="15378" max="15616" width="9.140625" style="262"/>
    <col min="15617" max="15632" width="14.7109375" style="262" bestFit="1" customWidth="1"/>
    <col min="15633" max="15633" width="4.7109375" style="262" bestFit="1" customWidth="1"/>
    <col min="15634" max="15872" width="9.140625" style="262"/>
    <col min="15873" max="15888" width="14.7109375" style="262" bestFit="1" customWidth="1"/>
    <col min="15889" max="15889" width="4.7109375" style="262" bestFit="1" customWidth="1"/>
    <col min="15890" max="16128" width="9.140625" style="262"/>
    <col min="16129" max="16144" width="14.7109375" style="262" bestFit="1" customWidth="1"/>
    <col min="16145" max="16145" width="4.7109375" style="262" bestFit="1" customWidth="1"/>
    <col min="16146" max="16384" width="9.140625" style="262"/>
  </cols>
  <sheetData>
    <row r="1" spans="1:16" ht="14.25" customHeight="1" x14ac:dyDescent="0.2">
      <c r="A1" s="385" t="s">
        <v>299</v>
      </c>
      <c r="B1" s="385"/>
      <c r="C1" s="385"/>
      <c r="D1" s="385"/>
      <c r="E1" s="385"/>
      <c r="F1" s="385"/>
      <c r="G1" s="385"/>
      <c r="H1" s="385"/>
      <c r="I1" s="385"/>
      <c r="J1" s="385"/>
      <c r="K1" s="385"/>
      <c r="L1" s="385"/>
      <c r="M1" s="385"/>
      <c r="N1" s="385"/>
      <c r="O1" s="385"/>
      <c r="P1" s="385"/>
    </row>
    <row r="2" spans="1:16" s="265" customFormat="1" ht="18.75" customHeight="1" x14ac:dyDescent="0.2">
      <c r="A2" s="355" t="s">
        <v>147</v>
      </c>
      <c r="B2" s="355" t="s">
        <v>282</v>
      </c>
      <c r="C2" s="355" t="s">
        <v>283</v>
      </c>
      <c r="D2" s="355" t="s">
        <v>284</v>
      </c>
      <c r="E2" s="355" t="s">
        <v>285</v>
      </c>
      <c r="F2" s="355" t="s">
        <v>286</v>
      </c>
      <c r="G2" s="355" t="s">
        <v>287</v>
      </c>
      <c r="H2" s="361" t="s">
        <v>288</v>
      </c>
      <c r="I2" s="361" t="s">
        <v>289</v>
      </c>
      <c r="J2" s="361" t="s">
        <v>290</v>
      </c>
      <c r="K2" s="355" t="s">
        <v>291</v>
      </c>
      <c r="L2" s="361" t="s">
        <v>292</v>
      </c>
      <c r="M2" s="361" t="s">
        <v>293</v>
      </c>
      <c r="N2" s="357" t="s">
        <v>300</v>
      </c>
      <c r="O2" s="408"/>
      <c r="P2" s="358"/>
    </row>
    <row r="3" spans="1:16" s="265" customFormat="1" ht="21" customHeight="1" x14ac:dyDescent="0.2">
      <c r="A3" s="356"/>
      <c r="B3" s="356"/>
      <c r="C3" s="356"/>
      <c r="D3" s="356"/>
      <c r="E3" s="356"/>
      <c r="F3" s="356"/>
      <c r="G3" s="356"/>
      <c r="H3" s="362"/>
      <c r="I3" s="362"/>
      <c r="J3" s="362"/>
      <c r="K3" s="356"/>
      <c r="L3" s="362"/>
      <c r="M3" s="362"/>
      <c r="N3" s="269" t="s">
        <v>295</v>
      </c>
      <c r="O3" s="269" t="s">
        <v>296</v>
      </c>
      <c r="P3" s="269" t="s">
        <v>297</v>
      </c>
    </row>
    <row r="4" spans="1:16" s="265" customFormat="1" ht="18" customHeight="1" x14ac:dyDescent="0.2">
      <c r="A4" s="266" t="s">
        <v>69</v>
      </c>
      <c r="B4" s="271">
        <v>1931</v>
      </c>
      <c r="C4" s="271">
        <v>4</v>
      </c>
      <c r="D4" s="271">
        <v>1850</v>
      </c>
      <c r="E4" s="271">
        <v>246</v>
      </c>
      <c r="F4" s="283">
        <v>24913.764999999999</v>
      </c>
      <c r="G4" s="290">
        <v>3771836.1002600002</v>
      </c>
      <c r="H4" s="290">
        <v>7234825.6872836696</v>
      </c>
      <c r="I4" s="283">
        <v>29409.860517412999</v>
      </c>
      <c r="J4" s="283">
        <v>29039.470977614001</v>
      </c>
      <c r="K4" s="290">
        <v>3771836.1002600002</v>
      </c>
      <c r="L4" s="290">
        <v>7234825.6872836696</v>
      </c>
      <c r="M4" s="301">
        <v>14044151.5351595</v>
      </c>
      <c r="N4" s="283">
        <v>11172</v>
      </c>
      <c r="O4" s="283">
        <v>9075</v>
      </c>
      <c r="P4" s="283">
        <v>10114</v>
      </c>
    </row>
    <row r="5" spans="1:16" s="265" customFormat="1" ht="18" customHeight="1" x14ac:dyDescent="0.2">
      <c r="A5" s="266" t="s">
        <v>70</v>
      </c>
      <c r="B5" s="271">
        <v>1931</v>
      </c>
      <c r="C5" s="271">
        <v>4</v>
      </c>
      <c r="D5" s="271">
        <v>1922</v>
      </c>
      <c r="E5" s="271">
        <v>248</v>
      </c>
      <c r="F5" s="283">
        <v>28531.564409999999</v>
      </c>
      <c r="G5" s="290">
        <v>3749975.932</v>
      </c>
      <c r="H5" s="290">
        <v>7949004.3090000004</v>
      </c>
      <c r="I5" s="283">
        <v>32052.436730000001</v>
      </c>
      <c r="J5" s="283">
        <v>27860.387170000002</v>
      </c>
      <c r="K5" s="290">
        <v>3749975.932</v>
      </c>
      <c r="L5" s="290">
        <v>7949004.3090000004</v>
      </c>
      <c r="M5" s="301">
        <v>14934226.84</v>
      </c>
      <c r="N5" s="283">
        <v>11760.2</v>
      </c>
      <c r="O5" s="283">
        <v>10004.549999999999</v>
      </c>
      <c r="P5" s="283">
        <v>11623.9</v>
      </c>
    </row>
    <row r="6" spans="1:16" s="265" customFormat="1" ht="18" customHeight="1" x14ac:dyDescent="0.2">
      <c r="A6" s="266" t="s">
        <v>156</v>
      </c>
      <c r="B6" s="271">
        <v>1952</v>
      </c>
      <c r="C6" s="271">
        <v>4</v>
      </c>
      <c r="D6" s="271">
        <v>1817</v>
      </c>
      <c r="E6" s="271">
        <v>21</v>
      </c>
      <c r="F6" s="283">
        <v>2176.7930000000001</v>
      </c>
      <c r="G6" s="290">
        <v>298453.34999999998</v>
      </c>
      <c r="H6" s="290">
        <v>641440.34854174196</v>
      </c>
      <c r="I6" s="283">
        <v>30544.778501987999</v>
      </c>
      <c r="J6" s="283">
        <v>29467.221294028001</v>
      </c>
      <c r="K6" s="290">
        <v>298453.34999999998</v>
      </c>
      <c r="L6" s="290">
        <v>641440.34854174196</v>
      </c>
      <c r="M6" s="301">
        <v>15092002.3419351</v>
      </c>
      <c r="N6" s="283">
        <v>10759</v>
      </c>
      <c r="O6" s="283">
        <v>10111.299999999999</v>
      </c>
      <c r="P6" s="283">
        <v>10739.35</v>
      </c>
    </row>
    <row r="7" spans="1:16" s="265" customFormat="1" ht="18" customHeight="1" x14ac:dyDescent="0.2">
      <c r="A7" s="266" t="s">
        <v>157</v>
      </c>
      <c r="B7" s="271">
        <v>1941</v>
      </c>
      <c r="C7" s="271">
        <v>4</v>
      </c>
      <c r="D7" s="271">
        <v>1820</v>
      </c>
      <c r="E7" s="271">
        <v>22</v>
      </c>
      <c r="F7" s="283">
        <v>2467.6264799999999</v>
      </c>
      <c r="G7" s="290">
        <v>342154.59112</v>
      </c>
      <c r="H7" s="290">
        <v>700012.61409391603</v>
      </c>
      <c r="I7" s="283">
        <v>31818.755186087001</v>
      </c>
      <c r="J7" s="283">
        <v>28367.851446216999</v>
      </c>
      <c r="K7" s="290">
        <v>342154.59112</v>
      </c>
      <c r="L7" s="290">
        <v>700012.61409391603</v>
      </c>
      <c r="M7" s="301">
        <v>14693260.034404401</v>
      </c>
      <c r="N7" s="283">
        <v>10929.2</v>
      </c>
      <c r="O7" s="283">
        <v>10417.799999999999</v>
      </c>
      <c r="P7" s="283">
        <v>10736.15</v>
      </c>
    </row>
    <row r="8" spans="1:16" s="265" customFormat="1" ht="18" customHeight="1" x14ac:dyDescent="0.2">
      <c r="A8" s="266" t="s">
        <v>158</v>
      </c>
      <c r="B8" s="271">
        <v>1951</v>
      </c>
      <c r="C8" s="271">
        <v>4</v>
      </c>
      <c r="D8" s="271">
        <v>1833</v>
      </c>
      <c r="E8" s="271">
        <v>21</v>
      </c>
      <c r="F8" s="283">
        <v>2225.0549299999998</v>
      </c>
      <c r="G8" s="290">
        <v>280206.37320999999</v>
      </c>
      <c r="H8" s="290">
        <v>591696.23298905499</v>
      </c>
      <c r="I8" s="283">
        <v>28176.011094717</v>
      </c>
      <c r="J8" s="283">
        <v>26592.432618687999</v>
      </c>
      <c r="K8" s="290">
        <v>280206.37320999999</v>
      </c>
      <c r="L8" s="290">
        <v>591696.23298905499</v>
      </c>
      <c r="M8" s="301">
        <v>14329071.9605611</v>
      </c>
      <c r="N8" s="283">
        <v>10893.25</v>
      </c>
      <c r="O8" s="283">
        <v>10550.9</v>
      </c>
      <c r="P8" s="283">
        <v>10714.3</v>
      </c>
    </row>
    <row r="9" spans="1:16" s="265" customFormat="1" ht="18" customHeight="1" x14ac:dyDescent="0.2">
      <c r="A9" s="266" t="s">
        <v>159</v>
      </c>
      <c r="B9" s="271">
        <v>1938</v>
      </c>
      <c r="C9" s="271">
        <v>4</v>
      </c>
      <c r="D9" s="271">
        <v>1840</v>
      </c>
      <c r="E9" s="271">
        <v>22</v>
      </c>
      <c r="F9" s="283">
        <v>2351.8169899999998</v>
      </c>
      <c r="G9" s="290">
        <v>313395.72704000003</v>
      </c>
      <c r="H9" s="290">
        <v>662867.42388876202</v>
      </c>
      <c r="I9" s="283">
        <v>30130.337449489001</v>
      </c>
      <c r="J9" s="283">
        <v>28185.331881999999</v>
      </c>
      <c r="K9" s="290">
        <v>313395.72704000003</v>
      </c>
      <c r="L9" s="290">
        <v>662867.42388876202</v>
      </c>
      <c r="M9" s="301">
        <v>15128449.079213001</v>
      </c>
      <c r="N9" s="283">
        <v>11366</v>
      </c>
      <c r="O9" s="283">
        <v>10604.65</v>
      </c>
      <c r="P9" s="283">
        <v>11356.5</v>
      </c>
    </row>
    <row r="10" spans="1:16" s="265" customFormat="1" ht="18" customHeight="1" x14ac:dyDescent="0.2">
      <c r="A10" s="266" t="s">
        <v>160</v>
      </c>
      <c r="B10" s="271">
        <v>1916</v>
      </c>
      <c r="C10" s="271">
        <v>4</v>
      </c>
      <c r="D10" s="271">
        <v>1841</v>
      </c>
      <c r="E10" s="271">
        <v>21</v>
      </c>
      <c r="F10" s="283">
        <v>2408.0901399999998</v>
      </c>
      <c r="G10" s="290">
        <v>329844.69919999997</v>
      </c>
      <c r="H10" s="290">
        <v>705869.43028898397</v>
      </c>
      <c r="I10" s="283">
        <v>33612.830013760999</v>
      </c>
      <c r="J10" s="283">
        <v>29312.417278905999</v>
      </c>
      <c r="K10" s="290">
        <v>329844.69919999997</v>
      </c>
      <c r="L10" s="290">
        <v>705869.43028898397</v>
      </c>
      <c r="M10" s="301">
        <v>15730917.9876091</v>
      </c>
      <c r="N10" s="283">
        <v>11760.2</v>
      </c>
      <c r="O10" s="283">
        <v>11234.95</v>
      </c>
      <c r="P10" s="283">
        <v>11680.5</v>
      </c>
    </row>
    <row r="11" spans="1:16" s="265" customFormat="1" ht="18" customHeight="1" x14ac:dyDescent="0.2">
      <c r="A11" s="266" t="s">
        <v>161</v>
      </c>
      <c r="B11" s="271">
        <v>1912</v>
      </c>
      <c r="C11" s="271">
        <v>4</v>
      </c>
      <c r="D11" s="271">
        <v>1847</v>
      </c>
      <c r="E11" s="271">
        <v>18</v>
      </c>
      <c r="F11" s="283">
        <v>2405.32465</v>
      </c>
      <c r="G11" s="290">
        <v>303803.52635</v>
      </c>
      <c r="H11" s="290">
        <v>688318.88908100105</v>
      </c>
      <c r="I11" s="283">
        <v>38239.938282278003</v>
      </c>
      <c r="J11" s="283">
        <v>28616.465102996</v>
      </c>
      <c r="K11" s="290">
        <v>303803.52635</v>
      </c>
      <c r="L11" s="290">
        <v>688318.88908100105</v>
      </c>
      <c r="M11" s="301">
        <v>14292302.0378474</v>
      </c>
      <c r="N11" s="283">
        <v>11751.8</v>
      </c>
      <c r="O11" s="283">
        <v>10850.3</v>
      </c>
      <c r="P11" s="283">
        <v>10930.45</v>
      </c>
    </row>
    <row r="12" spans="1:16" s="265" customFormat="1" ht="18" customHeight="1" x14ac:dyDescent="0.2">
      <c r="A12" s="266" t="s">
        <v>162</v>
      </c>
      <c r="B12" s="271">
        <v>1921</v>
      </c>
      <c r="C12" s="271">
        <v>4</v>
      </c>
      <c r="D12" s="271">
        <v>1854</v>
      </c>
      <c r="E12" s="271">
        <v>21</v>
      </c>
      <c r="F12" s="283">
        <v>2888.8985600000001</v>
      </c>
      <c r="G12" s="290">
        <v>330715.65207000001</v>
      </c>
      <c r="H12" s="290">
        <v>745584.24846244103</v>
      </c>
      <c r="I12" s="283">
        <v>35504.011831545002</v>
      </c>
      <c r="J12" s="283">
        <v>25808.599124451001</v>
      </c>
      <c r="K12" s="290">
        <v>330715.65207000001</v>
      </c>
      <c r="L12" s="290">
        <v>745584.24846244103</v>
      </c>
      <c r="M12" s="301">
        <v>13693824.701621</v>
      </c>
      <c r="N12" s="283">
        <v>11035.65</v>
      </c>
      <c r="O12" s="283">
        <v>10004.549999999999</v>
      </c>
      <c r="P12" s="283">
        <v>10386.6</v>
      </c>
    </row>
    <row r="13" spans="1:16" s="265" customFormat="1" ht="18" customHeight="1" x14ac:dyDescent="0.2">
      <c r="A13" s="266" t="s">
        <v>163</v>
      </c>
      <c r="B13" s="271">
        <v>1922</v>
      </c>
      <c r="C13" s="271">
        <v>4</v>
      </c>
      <c r="D13" s="271">
        <v>1850</v>
      </c>
      <c r="E13" s="271">
        <v>20</v>
      </c>
      <c r="F13" s="283">
        <v>2304.4385600000001</v>
      </c>
      <c r="G13" s="290">
        <v>282181.66993999999</v>
      </c>
      <c r="H13" s="290">
        <v>610913.69520223397</v>
      </c>
      <c r="I13" s="283">
        <v>30545.684760111999</v>
      </c>
      <c r="J13" s="283">
        <v>26510.305191309999</v>
      </c>
      <c r="K13" s="290">
        <v>282181.66993999999</v>
      </c>
      <c r="L13" s="290">
        <v>610913.69520223397</v>
      </c>
      <c r="M13" s="301">
        <v>14122534.518440999</v>
      </c>
      <c r="N13" s="283">
        <v>10922.45</v>
      </c>
      <c r="O13" s="283">
        <v>10341.9</v>
      </c>
      <c r="P13" s="283">
        <v>10876.75</v>
      </c>
    </row>
    <row r="14" spans="1:16" s="265" customFormat="1" ht="18" customHeight="1" x14ac:dyDescent="0.2">
      <c r="A14" s="266" t="s">
        <v>164</v>
      </c>
      <c r="B14" s="271">
        <v>1923</v>
      </c>
      <c r="C14" s="271">
        <v>4</v>
      </c>
      <c r="D14" s="271">
        <v>1856</v>
      </c>
      <c r="E14" s="271">
        <v>20</v>
      </c>
      <c r="F14" s="283">
        <v>2198.85176</v>
      </c>
      <c r="G14" s="290">
        <v>287797.21000000002</v>
      </c>
      <c r="H14" s="290">
        <v>599917.42000000004</v>
      </c>
      <c r="I14" s="283">
        <v>29995.870999999999</v>
      </c>
      <c r="J14" s="283">
        <v>27283.213489572001</v>
      </c>
      <c r="K14" s="290">
        <v>287797.21000000002</v>
      </c>
      <c r="L14" s="290">
        <v>599917.42000000004</v>
      </c>
      <c r="M14" s="301">
        <v>14279082.5138386</v>
      </c>
      <c r="N14" s="283">
        <v>10985.15</v>
      </c>
      <c r="O14" s="283">
        <v>10333.85</v>
      </c>
      <c r="P14" s="283">
        <v>10862.55</v>
      </c>
    </row>
    <row r="15" spans="1:16" s="265" customFormat="1" ht="18" customHeight="1" x14ac:dyDescent="0.2">
      <c r="A15" s="266" t="s">
        <v>165</v>
      </c>
      <c r="B15" s="271">
        <v>1926</v>
      </c>
      <c r="C15" s="271">
        <v>4</v>
      </c>
      <c r="D15" s="271">
        <v>1854</v>
      </c>
      <c r="E15" s="271">
        <v>23</v>
      </c>
      <c r="F15" s="283">
        <v>2386.5066999999999</v>
      </c>
      <c r="G15" s="290">
        <v>281350.42936000001</v>
      </c>
      <c r="H15" s="290">
        <v>665889.12361964898</v>
      </c>
      <c r="I15" s="283">
        <v>28951.701026940998</v>
      </c>
      <c r="J15" s="283">
        <v>27902.252426931998</v>
      </c>
      <c r="K15" s="290">
        <v>281350.42936000001</v>
      </c>
      <c r="L15" s="290">
        <v>665889.12361964898</v>
      </c>
      <c r="M15" s="301">
        <v>13916642.7665119</v>
      </c>
      <c r="N15" s="283">
        <v>10987.45</v>
      </c>
      <c r="O15" s="283">
        <v>10583.65</v>
      </c>
      <c r="P15" s="283">
        <v>10830.95</v>
      </c>
    </row>
    <row r="16" spans="1:16" s="265" customFormat="1" ht="18" customHeight="1" x14ac:dyDescent="0.2">
      <c r="A16" s="266" t="s">
        <v>166</v>
      </c>
      <c r="B16" s="271">
        <v>1929</v>
      </c>
      <c r="C16" s="271">
        <v>4</v>
      </c>
      <c r="D16" s="271">
        <v>1859</v>
      </c>
      <c r="E16" s="271">
        <v>20</v>
      </c>
      <c r="F16" s="283">
        <v>2376.7193699999998</v>
      </c>
      <c r="G16" s="290">
        <v>347010.67670000001</v>
      </c>
      <c r="H16" s="290">
        <v>639270.40560000006</v>
      </c>
      <c r="I16" s="283">
        <v>31963.520280000001</v>
      </c>
      <c r="J16" s="283">
        <v>26897.17657</v>
      </c>
      <c r="K16" s="290">
        <v>347010.67670000001</v>
      </c>
      <c r="L16" s="290">
        <v>639270.40560000006</v>
      </c>
      <c r="M16" s="301">
        <v>13871449.35</v>
      </c>
      <c r="N16" s="283">
        <v>11118.1</v>
      </c>
      <c r="O16" s="283">
        <v>10585.65</v>
      </c>
      <c r="P16" s="283">
        <v>10792.5</v>
      </c>
    </row>
    <row r="17" spans="1:16" s="265" customFormat="1" ht="18" customHeight="1" x14ac:dyDescent="0.2">
      <c r="A17" s="266" t="s">
        <v>167</v>
      </c>
      <c r="B17" s="271">
        <v>1931</v>
      </c>
      <c r="C17" s="271">
        <v>4</v>
      </c>
      <c r="D17" s="271">
        <v>1869</v>
      </c>
      <c r="E17" s="271">
        <v>19</v>
      </c>
      <c r="F17" s="283">
        <v>2341.4434799999999</v>
      </c>
      <c r="G17" s="290">
        <v>353062.02730000002</v>
      </c>
      <c r="H17" s="290">
        <v>697224.47759999998</v>
      </c>
      <c r="I17" s="283">
        <v>36696.025139999998</v>
      </c>
      <c r="J17" s="283">
        <v>29777.548920000001</v>
      </c>
      <c r="K17" s="290">
        <v>353062.02730000002</v>
      </c>
      <c r="L17" s="290">
        <v>697224.47759999998</v>
      </c>
      <c r="M17" s="301">
        <v>14934226.84</v>
      </c>
      <c r="N17" s="283">
        <v>11630.35</v>
      </c>
      <c r="O17" s="283">
        <v>10817</v>
      </c>
      <c r="P17" s="283">
        <v>11623.9</v>
      </c>
    </row>
    <row r="18" spans="1:16" s="265" customFormat="1" ht="15" customHeight="1" x14ac:dyDescent="0.2">
      <c r="A18" s="373" t="s">
        <v>301</v>
      </c>
      <c r="B18" s="373"/>
      <c r="C18" s="373"/>
      <c r="D18" s="373"/>
      <c r="E18" s="373"/>
      <c r="F18" s="373"/>
      <c r="G18" s="373"/>
      <c r="H18" s="373"/>
    </row>
    <row r="19" spans="1:16" s="265" customFormat="1" ht="13.5" customHeight="1" x14ac:dyDescent="0.2">
      <c r="A19" s="373" t="s">
        <v>302</v>
      </c>
      <c r="B19" s="373"/>
      <c r="C19" s="373"/>
      <c r="D19" s="373"/>
      <c r="E19" s="373"/>
      <c r="F19" s="373"/>
      <c r="G19" s="373"/>
      <c r="H19" s="373"/>
    </row>
    <row r="20" spans="1:16" s="265" customFormat="1" ht="13.5" customHeight="1" x14ac:dyDescent="0.2">
      <c r="A20" s="373" t="s">
        <v>303</v>
      </c>
      <c r="B20" s="373"/>
      <c r="C20" s="373"/>
      <c r="D20" s="373"/>
      <c r="E20" s="373"/>
      <c r="F20" s="373"/>
      <c r="G20" s="373"/>
      <c r="H20" s="373"/>
    </row>
    <row r="21" spans="1:16" s="265" customFormat="1" ht="28.35" customHeight="1" x14ac:dyDescent="0.2"/>
  </sheetData>
  <mergeCells count="18">
    <mergeCell ref="M2:M3"/>
    <mergeCell ref="N2:P2"/>
    <mergeCell ref="A18:H18"/>
    <mergeCell ref="A1:P1"/>
    <mergeCell ref="A2:A3"/>
    <mergeCell ref="B2:B3"/>
    <mergeCell ref="C2:C3"/>
    <mergeCell ref="D2:D3"/>
    <mergeCell ref="E2:E3"/>
    <mergeCell ref="F2:F3"/>
    <mergeCell ref="G2:G3"/>
    <mergeCell ref="H2:H3"/>
    <mergeCell ref="I2:I3"/>
    <mergeCell ref="A19:H19"/>
    <mergeCell ref="A20:H20"/>
    <mergeCell ref="J2:J3"/>
    <mergeCell ref="K2:K3"/>
    <mergeCell ref="L2:L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P20"/>
  <sheetViews>
    <sheetView workbookViewId="0">
      <selection sqref="A1:C1"/>
    </sheetView>
  </sheetViews>
  <sheetFormatPr defaultRowHeight="12.75" x14ac:dyDescent="0.2"/>
  <cols>
    <col min="1" max="16" width="14.7109375" style="262" bestFit="1" customWidth="1"/>
    <col min="17" max="17" width="4.7109375" style="262" bestFit="1" customWidth="1"/>
    <col min="18" max="256" width="9.140625" style="262"/>
    <col min="257" max="272" width="14.7109375" style="262" bestFit="1" customWidth="1"/>
    <col min="273" max="273" width="4.7109375" style="262" bestFit="1" customWidth="1"/>
    <col min="274" max="512" width="9.140625" style="262"/>
    <col min="513" max="528" width="14.7109375" style="262" bestFit="1" customWidth="1"/>
    <col min="529" max="529" width="4.7109375" style="262" bestFit="1" customWidth="1"/>
    <col min="530" max="768" width="9.140625" style="262"/>
    <col min="769" max="784" width="14.7109375" style="262" bestFit="1" customWidth="1"/>
    <col min="785" max="785" width="4.7109375" style="262" bestFit="1" customWidth="1"/>
    <col min="786" max="1024" width="9.140625" style="262"/>
    <col min="1025" max="1040" width="14.7109375" style="262" bestFit="1" customWidth="1"/>
    <col min="1041" max="1041" width="4.7109375" style="262" bestFit="1" customWidth="1"/>
    <col min="1042" max="1280" width="9.140625" style="262"/>
    <col min="1281" max="1296" width="14.7109375" style="262" bestFit="1" customWidth="1"/>
    <col min="1297" max="1297" width="4.7109375" style="262" bestFit="1" customWidth="1"/>
    <col min="1298" max="1536" width="9.140625" style="262"/>
    <col min="1537" max="1552" width="14.7109375" style="262" bestFit="1" customWidth="1"/>
    <col min="1553" max="1553" width="4.7109375" style="262" bestFit="1" customWidth="1"/>
    <col min="1554" max="1792" width="9.140625" style="262"/>
    <col min="1793" max="1808" width="14.7109375" style="262" bestFit="1" customWidth="1"/>
    <col min="1809" max="1809" width="4.7109375" style="262" bestFit="1" customWidth="1"/>
    <col min="1810" max="2048" width="9.140625" style="262"/>
    <col min="2049" max="2064" width="14.7109375" style="262" bestFit="1" customWidth="1"/>
    <col min="2065" max="2065" width="4.7109375" style="262" bestFit="1" customWidth="1"/>
    <col min="2066" max="2304" width="9.140625" style="262"/>
    <col min="2305" max="2320" width="14.7109375" style="262" bestFit="1" customWidth="1"/>
    <col min="2321" max="2321" width="4.7109375" style="262" bestFit="1" customWidth="1"/>
    <col min="2322" max="2560" width="9.140625" style="262"/>
    <col min="2561" max="2576" width="14.7109375" style="262" bestFit="1" customWidth="1"/>
    <col min="2577" max="2577" width="4.7109375" style="262" bestFit="1" customWidth="1"/>
    <col min="2578" max="2816" width="9.140625" style="262"/>
    <col min="2817" max="2832" width="14.7109375" style="262" bestFit="1" customWidth="1"/>
    <col min="2833" max="2833" width="4.7109375" style="262" bestFit="1" customWidth="1"/>
    <col min="2834" max="3072" width="9.140625" style="262"/>
    <col min="3073" max="3088" width="14.7109375" style="262" bestFit="1" customWidth="1"/>
    <col min="3089" max="3089" width="4.7109375" style="262" bestFit="1" customWidth="1"/>
    <col min="3090" max="3328" width="9.140625" style="262"/>
    <col min="3329" max="3344" width="14.7109375" style="262" bestFit="1" customWidth="1"/>
    <col min="3345" max="3345" width="4.7109375" style="262" bestFit="1" customWidth="1"/>
    <col min="3346" max="3584" width="9.140625" style="262"/>
    <col min="3585" max="3600" width="14.7109375" style="262" bestFit="1" customWidth="1"/>
    <col min="3601" max="3601" width="4.7109375" style="262" bestFit="1" customWidth="1"/>
    <col min="3602" max="3840" width="9.140625" style="262"/>
    <col min="3841" max="3856" width="14.7109375" style="262" bestFit="1" customWidth="1"/>
    <col min="3857" max="3857" width="4.7109375" style="262" bestFit="1" customWidth="1"/>
    <col min="3858" max="4096" width="9.140625" style="262"/>
    <col min="4097" max="4112" width="14.7109375" style="262" bestFit="1" customWidth="1"/>
    <col min="4113" max="4113" width="4.7109375" style="262" bestFit="1" customWidth="1"/>
    <col min="4114" max="4352" width="9.140625" style="262"/>
    <col min="4353" max="4368" width="14.7109375" style="262" bestFit="1" customWidth="1"/>
    <col min="4369" max="4369" width="4.7109375" style="262" bestFit="1" customWidth="1"/>
    <col min="4370" max="4608" width="9.140625" style="262"/>
    <col min="4609" max="4624" width="14.7109375" style="262" bestFit="1" customWidth="1"/>
    <col min="4625" max="4625" width="4.7109375" style="262" bestFit="1" customWidth="1"/>
    <col min="4626" max="4864" width="9.140625" style="262"/>
    <col min="4865" max="4880" width="14.7109375" style="262" bestFit="1" customWidth="1"/>
    <col min="4881" max="4881" width="4.7109375" style="262" bestFit="1" customWidth="1"/>
    <col min="4882" max="5120" width="9.140625" style="262"/>
    <col min="5121" max="5136" width="14.7109375" style="262" bestFit="1" customWidth="1"/>
    <col min="5137" max="5137" width="4.7109375" style="262" bestFit="1" customWidth="1"/>
    <col min="5138" max="5376" width="9.140625" style="262"/>
    <col min="5377" max="5392" width="14.7109375" style="262" bestFit="1" customWidth="1"/>
    <col min="5393" max="5393" width="4.7109375" style="262" bestFit="1" customWidth="1"/>
    <col min="5394" max="5632" width="9.140625" style="262"/>
    <col min="5633" max="5648" width="14.7109375" style="262" bestFit="1" customWidth="1"/>
    <col min="5649" max="5649" width="4.7109375" style="262" bestFit="1" customWidth="1"/>
    <col min="5650" max="5888" width="9.140625" style="262"/>
    <col min="5889" max="5904" width="14.7109375" style="262" bestFit="1" customWidth="1"/>
    <col min="5905" max="5905" width="4.7109375" style="262" bestFit="1" customWidth="1"/>
    <col min="5906" max="6144" width="9.140625" style="262"/>
    <col min="6145" max="6160" width="14.7109375" style="262" bestFit="1" customWidth="1"/>
    <col min="6161" max="6161" width="4.7109375" style="262" bestFit="1" customWidth="1"/>
    <col min="6162" max="6400" width="9.140625" style="262"/>
    <col min="6401" max="6416" width="14.7109375" style="262" bestFit="1" customWidth="1"/>
    <col min="6417" max="6417" width="4.7109375" style="262" bestFit="1" customWidth="1"/>
    <col min="6418" max="6656" width="9.140625" style="262"/>
    <col min="6657" max="6672" width="14.7109375" style="262" bestFit="1" customWidth="1"/>
    <col min="6673" max="6673" width="4.7109375" style="262" bestFit="1" customWidth="1"/>
    <col min="6674" max="6912" width="9.140625" style="262"/>
    <col min="6913" max="6928" width="14.7109375" style="262" bestFit="1" customWidth="1"/>
    <col min="6929" max="6929" width="4.7109375" style="262" bestFit="1" customWidth="1"/>
    <col min="6930" max="7168" width="9.140625" style="262"/>
    <col min="7169" max="7184" width="14.7109375" style="262" bestFit="1" customWidth="1"/>
    <col min="7185" max="7185" width="4.7109375" style="262" bestFit="1" customWidth="1"/>
    <col min="7186" max="7424" width="9.140625" style="262"/>
    <col min="7425" max="7440" width="14.7109375" style="262" bestFit="1" customWidth="1"/>
    <col min="7441" max="7441" width="4.7109375" style="262" bestFit="1" customWidth="1"/>
    <col min="7442" max="7680" width="9.140625" style="262"/>
    <col min="7681" max="7696" width="14.7109375" style="262" bestFit="1" customWidth="1"/>
    <col min="7697" max="7697" width="4.7109375" style="262" bestFit="1" customWidth="1"/>
    <col min="7698" max="7936" width="9.140625" style="262"/>
    <col min="7937" max="7952" width="14.7109375" style="262" bestFit="1" customWidth="1"/>
    <col min="7953" max="7953" width="4.7109375" style="262" bestFit="1" customWidth="1"/>
    <col min="7954" max="8192" width="9.140625" style="262"/>
    <col min="8193" max="8208" width="14.7109375" style="262" bestFit="1" customWidth="1"/>
    <col min="8209" max="8209" width="4.7109375" style="262" bestFit="1" customWidth="1"/>
    <col min="8210" max="8448" width="9.140625" style="262"/>
    <col min="8449" max="8464" width="14.7109375" style="262" bestFit="1" customWidth="1"/>
    <col min="8465" max="8465" width="4.7109375" style="262" bestFit="1" customWidth="1"/>
    <col min="8466" max="8704" width="9.140625" style="262"/>
    <col min="8705" max="8720" width="14.7109375" style="262" bestFit="1" customWidth="1"/>
    <col min="8721" max="8721" width="4.7109375" style="262" bestFit="1" customWidth="1"/>
    <col min="8722" max="8960" width="9.140625" style="262"/>
    <col min="8961" max="8976" width="14.7109375" style="262" bestFit="1" customWidth="1"/>
    <col min="8977" max="8977" width="4.7109375" style="262" bestFit="1" customWidth="1"/>
    <col min="8978" max="9216" width="9.140625" style="262"/>
    <col min="9217" max="9232" width="14.7109375" style="262" bestFit="1" customWidth="1"/>
    <col min="9233" max="9233" width="4.7109375" style="262" bestFit="1" customWidth="1"/>
    <col min="9234" max="9472" width="9.140625" style="262"/>
    <col min="9473" max="9488" width="14.7109375" style="262" bestFit="1" customWidth="1"/>
    <col min="9489" max="9489" width="4.7109375" style="262" bestFit="1" customWidth="1"/>
    <col min="9490" max="9728" width="9.140625" style="262"/>
    <col min="9729" max="9744" width="14.7109375" style="262" bestFit="1" customWidth="1"/>
    <col min="9745" max="9745" width="4.7109375" style="262" bestFit="1" customWidth="1"/>
    <col min="9746" max="9984" width="9.140625" style="262"/>
    <col min="9985" max="10000" width="14.7109375" style="262" bestFit="1" customWidth="1"/>
    <col min="10001" max="10001" width="4.7109375" style="262" bestFit="1" customWidth="1"/>
    <col min="10002" max="10240" width="9.140625" style="262"/>
    <col min="10241" max="10256" width="14.7109375" style="262" bestFit="1" customWidth="1"/>
    <col min="10257" max="10257" width="4.7109375" style="262" bestFit="1" customWidth="1"/>
    <col min="10258" max="10496" width="9.140625" style="262"/>
    <col min="10497" max="10512" width="14.7109375" style="262" bestFit="1" customWidth="1"/>
    <col min="10513" max="10513" width="4.7109375" style="262" bestFit="1" customWidth="1"/>
    <col min="10514" max="10752" width="9.140625" style="262"/>
    <col min="10753" max="10768" width="14.7109375" style="262" bestFit="1" customWidth="1"/>
    <col min="10769" max="10769" width="4.7109375" style="262" bestFit="1" customWidth="1"/>
    <col min="10770" max="11008" width="9.140625" style="262"/>
    <col min="11009" max="11024" width="14.7109375" style="262" bestFit="1" customWidth="1"/>
    <col min="11025" max="11025" width="4.7109375" style="262" bestFit="1" customWidth="1"/>
    <col min="11026" max="11264" width="9.140625" style="262"/>
    <col min="11265" max="11280" width="14.7109375" style="262" bestFit="1" customWidth="1"/>
    <col min="11281" max="11281" width="4.7109375" style="262" bestFit="1" customWidth="1"/>
    <col min="11282" max="11520" width="9.140625" style="262"/>
    <col min="11521" max="11536" width="14.7109375" style="262" bestFit="1" customWidth="1"/>
    <col min="11537" max="11537" width="4.7109375" style="262" bestFit="1" customWidth="1"/>
    <col min="11538" max="11776" width="9.140625" style="262"/>
    <col min="11777" max="11792" width="14.7109375" style="262" bestFit="1" customWidth="1"/>
    <col min="11793" max="11793" width="4.7109375" style="262" bestFit="1" customWidth="1"/>
    <col min="11794" max="12032" width="9.140625" style="262"/>
    <col min="12033" max="12048" width="14.7109375" style="262" bestFit="1" customWidth="1"/>
    <col min="12049" max="12049" width="4.7109375" style="262" bestFit="1" customWidth="1"/>
    <col min="12050" max="12288" width="9.140625" style="262"/>
    <col min="12289" max="12304" width="14.7109375" style="262" bestFit="1" customWidth="1"/>
    <col min="12305" max="12305" width="4.7109375" style="262" bestFit="1" customWidth="1"/>
    <col min="12306" max="12544" width="9.140625" style="262"/>
    <col min="12545" max="12560" width="14.7109375" style="262" bestFit="1" customWidth="1"/>
    <col min="12561" max="12561" width="4.7109375" style="262" bestFit="1" customWidth="1"/>
    <col min="12562" max="12800" width="9.140625" style="262"/>
    <col min="12801" max="12816" width="14.7109375" style="262" bestFit="1" customWidth="1"/>
    <col min="12817" max="12817" width="4.7109375" style="262" bestFit="1" customWidth="1"/>
    <col min="12818" max="13056" width="9.140625" style="262"/>
    <col min="13057" max="13072" width="14.7109375" style="262" bestFit="1" customWidth="1"/>
    <col min="13073" max="13073" width="4.7109375" style="262" bestFit="1" customWidth="1"/>
    <col min="13074" max="13312" width="9.140625" style="262"/>
    <col min="13313" max="13328" width="14.7109375" style="262" bestFit="1" customWidth="1"/>
    <col min="13329" max="13329" width="4.7109375" style="262" bestFit="1" customWidth="1"/>
    <col min="13330" max="13568" width="9.140625" style="262"/>
    <col min="13569" max="13584" width="14.7109375" style="262" bestFit="1" customWidth="1"/>
    <col min="13585" max="13585" width="4.7109375" style="262" bestFit="1" customWidth="1"/>
    <col min="13586" max="13824" width="9.140625" style="262"/>
    <col min="13825" max="13840" width="14.7109375" style="262" bestFit="1" customWidth="1"/>
    <col min="13841" max="13841" width="4.7109375" style="262" bestFit="1" customWidth="1"/>
    <col min="13842" max="14080" width="9.140625" style="262"/>
    <col min="14081" max="14096" width="14.7109375" style="262" bestFit="1" customWidth="1"/>
    <col min="14097" max="14097" width="4.7109375" style="262" bestFit="1" customWidth="1"/>
    <col min="14098" max="14336" width="9.140625" style="262"/>
    <col min="14337" max="14352" width="14.7109375" style="262" bestFit="1" customWidth="1"/>
    <col min="14353" max="14353" width="4.7109375" style="262" bestFit="1" customWidth="1"/>
    <col min="14354" max="14592" width="9.140625" style="262"/>
    <col min="14593" max="14608" width="14.7109375" style="262" bestFit="1" customWidth="1"/>
    <col min="14609" max="14609" width="4.7109375" style="262" bestFit="1" customWidth="1"/>
    <col min="14610" max="14848" width="9.140625" style="262"/>
    <col min="14849" max="14864" width="14.7109375" style="262" bestFit="1" customWidth="1"/>
    <col min="14865" max="14865" width="4.7109375" style="262" bestFit="1" customWidth="1"/>
    <col min="14866" max="15104" width="9.140625" style="262"/>
    <col min="15105" max="15120" width="14.7109375" style="262" bestFit="1" customWidth="1"/>
    <col min="15121" max="15121" width="4.7109375" style="262" bestFit="1" customWidth="1"/>
    <col min="15122" max="15360" width="9.140625" style="262"/>
    <col min="15361" max="15376" width="14.7109375" style="262" bestFit="1" customWidth="1"/>
    <col min="15377" max="15377" width="4.7109375" style="262" bestFit="1" customWidth="1"/>
    <col min="15378" max="15616" width="9.140625" style="262"/>
    <col min="15617" max="15632" width="14.7109375" style="262" bestFit="1" customWidth="1"/>
    <col min="15633" max="15633" width="4.7109375" style="262" bestFit="1" customWidth="1"/>
    <col min="15634" max="15872" width="9.140625" style="262"/>
    <col min="15873" max="15888" width="14.7109375" style="262" bestFit="1" customWidth="1"/>
    <col min="15889" max="15889" width="4.7109375" style="262" bestFit="1" customWidth="1"/>
    <col min="15890" max="16128" width="9.140625" style="262"/>
    <col min="16129" max="16144" width="14.7109375" style="262" bestFit="1" customWidth="1"/>
    <col min="16145" max="16145" width="4.7109375" style="262" bestFit="1" customWidth="1"/>
    <col min="16146" max="16384" width="9.140625" style="262"/>
  </cols>
  <sheetData>
    <row r="1" spans="1:16" ht="31.5" customHeight="1" x14ac:dyDescent="0.2">
      <c r="A1" s="351" t="s">
        <v>21</v>
      </c>
      <c r="B1" s="351"/>
      <c r="C1" s="351"/>
    </row>
    <row r="2" spans="1:16" s="265" customFormat="1" ht="32.25" customHeight="1" x14ac:dyDescent="0.2">
      <c r="A2" s="403" t="s">
        <v>250</v>
      </c>
      <c r="B2" s="403" t="s">
        <v>282</v>
      </c>
      <c r="C2" s="403" t="s">
        <v>304</v>
      </c>
      <c r="D2" s="403" t="s">
        <v>305</v>
      </c>
      <c r="E2" s="403" t="s">
        <v>285</v>
      </c>
      <c r="F2" s="403" t="s">
        <v>286</v>
      </c>
      <c r="G2" s="403" t="s">
        <v>287</v>
      </c>
      <c r="H2" s="403" t="s">
        <v>306</v>
      </c>
      <c r="I2" s="403" t="s">
        <v>307</v>
      </c>
      <c r="J2" s="401" t="s">
        <v>290</v>
      </c>
      <c r="K2" s="403" t="s">
        <v>291</v>
      </c>
      <c r="L2" s="403" t="s">
        <v>308</v>
      </c>
      <c r="M2" s="403" t="s">
        <v>309</v>
      </c>
      <c r="N2" s="405" t="s">
        <v>310</v>
      </c>
      <c r="O2" s="406"/>
      <c r="P2" s="407"/>
    </row>
    <row r="3" spans="1:16" s="265" customFormat="1" ht="21" customHeight="1" x14ac:dyDescent="0.2">
      <c r="A3" s="404"/>
      <c r="B3" s="404"/>
      <c r="C3" s="404"/>
      <c r="D3" s="404"/>
      <c r="E3" s="404"/>
      <c r="F3" s="404"/>
      <c r="G3" s="404"/>
      <c r="H3" s="404"/>
      <c r="I3" s="404"/>
      <c r="J3" s="402"/>
      <c r="K3" s="404"/>
      <c r="L3" s="404"/>
      <c r="M3" s="404"/>
      <c r="N3" s="304" t="s">
        <v>295</v>
      </c>
      <c r="O3" s="304" t="s">
        <v>296</v>
      </c>
      <c r="P3" s="304" t="s">
        <v>297</v>
      </c>
    </row>
    <row r="4" spans="1:16" s="265" customFormat="1" ht="18" customHeight="1" x14ac:dyDescent="0.2">
      <c r="A4" s="288" t="s">
        <v>69</v>
      </c>
      <c r="B4" s="267">
        <v>270</v>
      </c>
      <c r="C4" s="267">
        <v>1326</v>
      </c>
      <c r="D4" s="267">
        <v>12</v>
      </c>
      <c r="E4" s="267">
        <v>246</v>
      </c>
      <c r="F4" s="267">
        <v>2.8230000000000002E-2</v>
      </c>
      <c r="G4" s="267">
        <v>151.78948</v>
      </c>
      <c r="H4" s="267">
        <v>192.7694075</v>
      </c>
      <c r="I4" s="267">
        <v>0.783615477</v>
      </c>
      <c r="J4" s="303">
        <v>682853.01969999995</v>
      </c>
      <c r="K4" s="267">
        <v>0</v>
      </c>
      <c r="L4" s="267">
        <v>0</v>
      </c>
      <c r="M4" s="305">
        <v>13896723.83</v>
      </c>
      <c r="N4" s="267">
        <v>21581.919999999998</v>
      </c>
      <c r="O4" s="267">
        <v>17684.5</v>
      </c>
      <c r="P4" s="267">
        <v>19686.18</v>
      </c>
    </row>
    <row r="5" spans="1:16" s="265" customFormat="1" ht="18" customHeight="1" x14ac:dyDescent="0.2">
      <c r="A5" s="288" t="s">
        <v>70</v>
      </c>
      <c r="B5" s="267">
        <v>287</v>
      </c>
      <c r="C5" s="267">
        <v>1309</v>
      </c>
      <c r="D5" s="267">
        <v>8</v>
      </c>
      <c r="E5" s="267">
        <v>248</v>
      </c>
      <c r="F5" s="267">
        <v>1.9109999999999999E-2</v>
      </c>
      <c r="G5" s="267">
        <v>14.16864</v>
      </c>
      <c r="H5" s="267">
        <v>30.293250435000001</v>
      </c>
      <c r="I5" s="267">
        <v>0.122150203</v>
      </c>
      <c r="J5" s="303">
        <v>158520.41043955999</v>
      </c>
      <c r="K5" s="267">
        <v>14.168530000000001</v>
      </c>
      <c r="L5" s="267">
        <v>30.288544030000001</v>
      </c>
      <c r="M5" s="305">
        <v>14751584.310000001</v>
      </c>
      <c r="N5" s="267">
        <v>22872.75</v>
      </c>
      <c r="O5" s="267">
        <v>19644.59</v>
      </c>
      <c r="P5" s="267">
        <v>22743.31</v>
      </c>
    </row>
    <row r="6" spans="1:16" s="265" customFormat="1" ht="18" customHeight="1" x14ac:dyDescent="0.2">
      <c r="A6" s="288" t="s">
        <v>156</v>
      </c>
      <c r="B6" s="267">
        <v>273</v>
      </c>
      <c r="C6" s="267">
        <v>1329</v>
      </c>
      <c r="D6" s="267">
        <v>5</v>
      </c>
      <c r="E6" s="267">
        <v>21</v>
      </c>
      <c r="F6" s="267">
        <v>1.6299999999999999E-3</v>
      </c>
      <c r="G6" s="267">
        <v>0.39826</v>
      </c>
      <c r="H6" s="267">
        <v>1.28800753</v>
      </c>
      <c r="I6" s="267">
        <v>6.1333691000000003E-2</v>
      </c>
      <c r="J6" s="267">
        <v>79019</v>
      </c>
      <c r="K6" s="267">
        <v>0</v>
      </c>
      <c r="L6" s="267">
        <v>0</v>
      </c>
      <c r="M6" s="305">
        <v>14855347.07</v>
      </c>
      <c r="N6" s="267">
        <v>21070.86</v>
      </c>
      <c r="O6" s="267">
        <v>19735.82</v>
      </c>
      <c r="P6" s="267">
        <v>21070.86</v>
      </c>
    </row>
    <row r="7" spans="1:16" s="265" customFormat="1" ht="18" customHeight="1" x14ac:dyDescent="0.2">
      <c r="A7" s="288" t="s">
        <v>157</v>
      </c>
      <c r="B7" s="267">
        <v>277</v>
      </c>
      <c r="C7" s="267">
        <v>1330</v>
      </c>
      <c r="D7" s="267">
        <v>4</v>
      </c>
      <c r="E7" s="267">
        <v>22</v>
      </c>
      <c r="F7" s="267">
        <v>1.99E-3</v>
      </c>
      <c r="G7" s="267">
        <v>0.91410000000000002</v>
      </c>
      <c r="H7" s="267">
        <v>1.89492975</v>
      </c>
      <c r="I7" s="267">
        <v>8.6133169999999995E-2</v>
      </c>
      <c r="J7" s="267">
        <v>95222.6005</v>
      </c>
      <c r="K7" s="267">
        <v>0</v>
      </c>
      <c r="L7" s="267">
        <v>0</v>
      </c>
      <c r="M7" s="305">
        <v>14469622.34</v>
      </c>
      <c r="N7" s="267">
        <v>21084.31</v>
      </c>
      <c r="O7" s="267">
        <v>20354.57</v>
      </c>
      <c r="P7" s="267">
        <v>20866.91</v>
      </c>
    </row>
    <row r="8" spans="1:16" s="265" customFormat="1" ht="18" customHeight="1" x14ac:dyDescent="0.2">
      <c r="A8" s="288" t="s">
        <v>158</v>
      </c>
      <c r="B8" s="267">
        <v>277</v>
      </c>
      <c r="C8" s="267">
        <v>1330</v>
      </c>
      <c r="D8" s="267">
        <v>3</v>
      </c>
      <c r="E8" s="267">
        <v>21</v>
      </c>
      <c r="F8" s="267">
        <v>2.4000000000000001E-4</v>
      </c>
      <c r="G8" s="267">
        <v>0.1237</v>
      </c>
      <c r="H8" s="267">
        <v>0.39319399999999999</v>
      </c>
      <c r="I8" s="267">
        <v>1.8723523999999998E-2</v>
      </c>
      <c r="J8" s="303">
        <v>163830.8333</v>
      </c>
      <c r="K8" s="267">
        <v>0</v>
      </c>
      <c r="L8" s="267">
        <v>0</v>
      </c>
      <c r="M8" s="305">
        <v>14088829</v>
      </c>
      <c r="N8" s="267">
        <v>21212.67</v>
      </c>
      <c r="O8" s="267">
        <v>20608.490000000002</v>
      </c>
      <c r="P8" s="267">
        <v>20874.72</v>
      </c>
    </row>
    <row r="9" spans="1:16" s="265" customFormat="1" ht="18" customHeight="1" x14ac:dyDescent="0.2">
      <c r="A9" s="288" t="s">
        <v>159</v>
      </c>
      <c r="B9" s="267">
        <v>277</v>
      </c>
      <c r="C9" s="267">
        <v>1329</v>
      </c>
      <c r="D9" s="267">
        <v>3</v>
      </c>
      <c r="E9" s="267">
        <v>22</v>
      </c>
      <c r="F9" s="267">
        <v>2.7999999999999998E-4</v>
      </c>
      <c r="G9" s="267">
        <v>0.15975</v>
      </c>
      <c r="H9" s="267">
        <v>0.40177689999999999</v>
      </c>
      <c r="I9" s="267">
        <v>1.8262586000000001E-2</v>
      </c>
      <c r="J9" s="303">
        <v>143491.75</v>
      </c>
      <c r="K9" s="267">
        <v>0.1598</v>
      </c>
      <c r="L9" s="267">
        <v>0.40179999999999999</v>
      </c>
      <c r="M9" s="305">
        <v>14873846.390000001</v>
      </c>
      <c r="N9" s="267">
        <v>22078.12</v>
      </c>
      <c r="O9" s="267">
        <v>20756.419999999998</v>
      </c>
      <c r="P9" s="267">
        <v>22078.12</v>
      </c>
    </row>
    <row r="10" spans="1:16" s="265" customFormat="1" ht="18" customHeight="1" x14ac:dyDescent="0.2">
      <c r="A10" s="288" t="s">
        <v>160</v>
      </c>
      <c r="B10" s="267">
        <v>278</v>
      </c>
      <c r="C10" s="267">
        <v>1329</v>
      </c>
      <c r="D10" s="267">
        <v>2</v>
      </c>
      <c r="E10" s="267">
        <v>21</v>
      </c>
      <c r="F10" s="267">
        <v>0</v>
      </c>
      <c r="G10" s="267">
        <v>0.31</v>
      </c>
      <c r="H10" s="267">
        <v>0.92</v>
      </c>
      <c r="I10" s="267">
        <v>0.04</v>
      </c>
      <c r="J10" s="303">
        <v>107218.3</v>
      </c>
      <c r="K10" s="267">
        <v>0.31</v>
      </c>
      <c r="L10" s="267">
        <v>0.92</v>
      </c>
      <c r="M10" s="305">
        <v>15483703.4</v>
      </c>
      <c r="N10" s="267">
        <v>22872.75</v>
      </c>
      <c r="O10" s="267">
        <v>21884.71</v>
      </c>
      <c r="P10" s="267">
        <v>22759.78</v>
      </c>
    </row>
    <row r="11" spans="1:16" s="265" customFormat="1" ht="18" customHeight="1" x14ac:dyDescent="0.2">
      <c r="A11" s="288" t="s">
        <v>161</v>
      </c>
      <c r="B11" s="267">
        <v>282</v>
      </c>
      <c r="C11" s="267">
        <v>1317</v>
      </c>
      <c r="D11" s="267">
        <v>2</v>
      </c>
      <c r="E11" s="267">
        <v>18</v>
      </c>
      <c r="F11" s="267">
        <v>8.9999999999999998E-4</v>
      </c>
      <c r="G11" s="267">
        <v>0.53949999999999998</v>
      </c>
      <c r="H11" s="267">
        <v>1.1962385</v>
      </c>
      <c r="I11" s="267">
        <v>6.6457693999999998E-2</v>
      </c>
      <c r="J11" s="303">
        <v>132915.38888888899</v>
      </c>
      <c r="K11" s="267">
        <v>0.53949999999999998</v>
      </c>
      <c r="L11" s="267">
        <v>1.1961999999999999</v>
      </c>
      <c r="M11" s="305">
        <v>14072760.82</v>
      </c>
      <c r="N11" s="267">
        <v>22605.73</v>
      </c>
      <c r="O11" s="267">
        <v>21418.2</v>
      </c>
      <c r="P11" s="267">
        <v>21418.2</v>
      </c>
    </row>
    <row r="12" spans="1:16" s="265" customFormat="1" ht="18" customHeight="1" x14ac:dyDescent="0.2">
      <c r="A12" s="288" t="s">
        <v>162</v>
      </c>
      <c r="B12" s="267">
        <v>281</v>
      </c>
      <c r="C12" s="267">
        <v>1320</v>
      </c>
      <c r="D12" s="267">
        <v>2</v>
      </c>
      <c r="E12" s="267">
        <v>21</v>
      </c>
      <c r="F12" s="267">
        <v>8.1999999999999998E-4</v>
      </c>
      <c r="G12" s="267">
        <v>0.39279999999999998</v>
      </c>
      <c r="H12" s="267">
        <v>0.99205849999999995</v>
      </c>
      <c r="I12" s="267">
        <v>4.7240880999999998E-2</v>
      </c>
      <c r="J12" s="303">
        <v>120982.743902439</v>
      </c>
      <c r="K12" s="267">
        <v>0.39279999999999998</v>
      </c>
      <c r="L12" s="267">
        <v>0.99205849999999995</v>
      </c>
      <c r="M12" s="305">
        <v>13489960.35</v>
      </c>
      <c r="N12" s="267">
        <v>21585.1</v>
      </c>
      <c r="O12" s="267">
        <v>19644.59</v>
      </c>
      <c r="P12" s="267">
        <v>20329.990000000002</v>
      </c>
    </row>
    <row r="13" spans="1:16" s="265" customFormat="1" ht="18" customHeight="1" x14ac:dyDescent="0.2">
      <c r="A13" s="288" t="s">
        <v>163</v>
      </c>
      <c r="B13" s="267">
        <v>282</v>
      </c>
      <c r="C13" s="267">
        <v>1319</v>
      </c>
      <c r="D13" s="267">
        <v>3</v>
      </c>
      <c r="E13" s="267">
        <v>20</v>
      </c>
      <c r="F13" s="267">
        <v>1.2700000000000001E-3</v>
      </c>
      <c r="G13" s="267">
        <v>0.87926000000000004</v>
      </c>
      <c r="H13" s="267">
        <v>1.7222751000000001</v>
      </c>
      <c r="I13" s="267">
        <v>8.6113755E-2</v>
      </c>
      <c r="J13" s="303">
        <v>135612.21259842499</v>
      </c>
      <c r="K13" s="267">
        <v>0.87926000000000004</v>
      </c>
      <c r="L13" s="267">
        <v>1.72</v>
      </c>
      <c r="M13" s="305">
        <v>13917651.140000001</v>
      </c>
      <c r="N13" s="267">
        <v>21349.05</v>
      </c>
      <c r="O13" s="267">
        <v>20309.95</v>
      </c>
      <c r="P13" s="267">
        <v>21349.05</v>
      </c>
    </row>
    <row r="14" spans="1:16" s="265" customFormat="1" ht="18" customHeight="1" x14ac:dyDescent="0.2">
      <c r="A14" s="288" t="s">
        <v>164</v>
      </c>
      <c r="B14" s="267">
        <v>282</v>
      </c>
      <c r="C14" s="267">
        <v>1318</v>
      </c>
      <c r="D14" s="267">
        <v>2</v>
      </c>
      <c r="E14" s="267">
        <v>20</v>
      </c>
      <c r="F14" s="267">
        <v>1.24E-3</v>
      </c>
      <c r="G14" s="267">
        <v>0.44600000000000001</v>
      </c>
      <c r="H14" s="267">
        <v>1.2421985</v>
      </c>
      <c r="I14" s="267">
        <v>6.2109925000000003E-2</v>
      </c>
      <c r="J14" s="303">
        <v>100177.29838709701</v>
      </c>
      <c r="K14" s="267">
        <v>0.44600000000000001</v>
      </c>
      <c r="L14" s="267">
        <v>1.2422</v>
      </c>
      <c r="M14" s="305">
        <v>14070347.699999999</v>
      </c>
      <c r="N14" s="267">
        <v>21498.26</v>
      </c>
      <c r="O14" s="267">
        <v>20597.849999999999</v>
      </c>
      <c r="P14" s="267">
        <v>21273.63</v>
      </c>
    </row>
    <row r="15" spans="1:16" s="265" customFormat="1" ht="18" customHeight="1" x14ac:dyDescent="0.2">
      <c r="A15" s="288" t="s">
        <v>165</v>
      </c>
      <c r="B15" s="267">
        <v>284</v>
      </c>
      <c r="C15" s="267">
        <v>1318</v>
      </c>
      <c r="D15" s="267">
        <v>6</v>
      </c>
      <c r="E15" s="267">
        <v>23</v>
      </c>
      <c r="F15" s="267">
        <v>3.7699999999999999E-3</v>
      </c>
      <c r="G15" s="267">
        <v>4.6701499999999996</v>
      </c>
      <c r="H15" s="267">
        <v>9.24335445</v>
      </c>
      <c r="I15" s="267">
        <v>0.401884976</v>
      </c>
      <c r="J15" s="303">
        <v>245181.815649867</v>
      </c>
      <c r="K15" s="267">
        <v>4.6701499999999996</v>
      </c>
      <c r="L15" s="267">
        <v>9.24335445</v>
      </c>
      <c r="M15" s="305">
        <v>13741805.369999999</v>
      </c>
      <c r="N15" s="267">
        <v>21515.91</v>
      </c>
      <c r="O15" s="267">
        <v>20909.05</v>
      </c>
      <c r="P15" s="267">
        <v>21284.45</v>
      </c>
    </row>
    <row r="16" spans="1:16" s="265" customFormat="1" ht="18" customHeight="1" x14ac:dyDescent="0.2">
      <c r="A16" s="288" t="s">
        <v>166</v>
      </c>
      <c r="B16" s="267">
        <v>287</v>
      </c>
      <c r="C16" s="267">
        <v>1311</v>
      </c>
      <c r="D16" s="267">
        <v>4</v>
      </c>
      <c r="E16" s="267">
        <v>20</v>
      </c>
      <c r="F16" s="267">
        <v>2.63E-3</v>
      </c>
      <c r="G16" s="267">
        <v>2.5879599999999998</v>
      </c>
      <c r="H16" s="267">
        <v>5.2180821750000002</v>
      </c>
      <c r="I16" s="267">
        <v>0.260904109</v>
      </c>
      <c r="J16" s="303">
        <v>198406.16634981</v>
      </c>
      <c r="K16" s="267">
        <v>2.5880000000000001</v>
      </c>
      <c r="L16" s="267">
        <v>5.2180999999999997</v>
      </c>
      <c r="M16" s="305">
        <v>13687100.470000001</v>
      </c>
      <c r="N16" s="267">
        <v>21745.26</v>
      </c>
      <c r="O16" s="267">
        <v>20799.89</v>
      </c>
      <c r="P16" s="267">
        <v>21135.33</v>
      </c>
    </row>
    <row r="17" spans="1:16" s="265" customFormat="1" ht="18" customHeight="1" x14ac:dyDescent="0.2">
      <c r="A17" s="288" t="s">
        <v>167</v>
      </c>
      <c r="B17" s="267">
        <v>287</v>
      </c>
      <c r="C17" s="267">
        <v>1309</v>
      </c>
      <c r="D17" s="267">
        <v>6</v>
      </c>
      <c r="E17" s="267">
        <v>19</v>
      </c>
      <c r="F17" s="267">
        <v>3.48E-3</v>
      </c>
      <c r="G17" s="267">
        <v>2.7453599999999998</v>
      </c>
      <c r="H17" s="267">
        <v>5.7790576800000002</v>
      </c>
      <c r="I17" s="267">
        <v>0.30416093100000002</v>
      </c>
      <c r="J17" s="303">
        <v>166064.87586206899</v>
      </c>
      <c r="K17" s="267">
        <v>2.7453599999999998</v>
      </c>
      <c r="L17" s="267">
        <v>5.78</v>
      </c>
      <c r="M17" s="305">
        <v>14751584.310000001</v>
      </c>
      <c r="N17" s="267">
        <v>22743.31</v>
      </c>
      <c r="O17" s="267">
        <v>21277.9</v>
      </c>
      <c r="P17" s="267">
        <v>22743.31</v>
      </c>
    </row>
    <row r="18" spans="1:16" s="265" customFormat="1" ht="18" customHeight="1" x14ac:dyDescent="0.2">
      <c r="A18" s="353" t="s">
        <v>303</v>
      </c>
      <c r="B18" s="353"/>
      <c r="C18" s="353"/>
      <c r="D18" s="353"/>
      <c r="E18" s="353"/>
      <c r="F18" s="353"/>
      <c r="G18" s="353"/>
      <c r="H18" s="353"/>
      <c r="I18" s="353"/>
      <c r="J18" s="353"/>
      <c r="K18" s="353"/>
      <c r="L18" s="353"/>
      <c r="M18" s="353"/>
      <c r="N18" s="353"/>
      <c r="O18" s="353"/>
      <c r="P18" s="353"/>
    </row>
    <row r="19" spans="1:16" s="265" customFormat="1" ht="18" customHeight="1" x14ac:dyDescent="0.2">
      <c r="A19" s="353" t="s">
        <v>311</v>
      </c>
      <c r="B19" s="353"/>
      <c r="C19" s="353"/>
      <c r="D19" s="353"/>
      <c r="E19" s="353"/>
      <c r="F19" s="353"/>
      <c r="G19" s="353"/>
      <c r="H19" s="353"/>
      <c r="I19" s="353"/>
      <c r="J19" s="353"/>
      <c r="K19" s="353"/>
      <c r="L19" s="353"/>
      <c r="M19" s="353"/>
      <c r="N19" s="353"/>
      <c r="O19" s="353"/>
      <c r="P19" s="353"/>
    </row>
    <row r="20" spans="1:16" s="265" customFormat="1" ht="28.35" customHeight="1" x14ac:dyDescent="0.2"/>
  </sheetData>
  <mergeCells count="17">
    <mergeCell ref="A1:C1"/>
    <mergeCell ref="A2:A3"/>
    <mergeCell ref="B2:B3"/>
    <mergeCell ref="C2:C3"/>
    <mergeCell ref="D2:D3"/>
    <mergeCell ref="L2:L3"/>
    <mergeCell ref="M2:M3"/>
    <mergeCell ref="N2:P2"/>
    <mergeCell ref="A18:P18"/>
    <mergeCell ref="A19:P19"/>
    <mergeCell ref="F2:F3"/>
    <mergeCell ref="G2:G3"/>
    <mergeCell ref="H2:H3"/>
    <mergeCell ref="I2:I3"/>
    <mergeCell ref="J2:J3"/>
    <mergeCell ref="K2:K3"/>
    <mergeCell ref="E2:E3"/>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H30"/>
  <sheetViews>
    <sheetView workbookViewId="0">
      <selection sqref="A1:E1"/>
    </sheetView>
  </sheetViews>
  <sheetFormatPr defaultRowHeight="12.75" x14ac:dyDescent="0.2"/>
  <cols>
    <col min="1" max="1" width="6.42578125" style="262" bestFit="1" customWidth="1"/>
    <col min="2" max="2" width="36.28515625" style="262" bestFit="1" customWidth="1"/>
    <col min="3" max="4" width="13.5703125" style="262" bestFit="1" customWidth="1"/>
    <col min="5" max="5" width="10" style="262" bestFit="1" customWidth="1"/>
    <col min="6" max="6" width="17.140625" style="262" bestFit="1" customWidth="1"/>
    <col min="7" max="8" width="13.5703125" style="262" bestFit="1" customWidth="1"/>
    <col min="9" max="9" width="4.7109375" style="262" bestFit="1" customWidth="1"/>
    <col min="10" max="256" width="9.140625" style="262"/>
    <col min="257" max="257" width="6.42578125" style="262" bestFit="1" customWidth="1"/>
    <col min="258" max="258" width="36.28515625" style="262" bestFit="1" customWidth="1"/>
    <col min="259" max="260" width="13.5703125" style="262" bestFit="1" customWidth="1"/>
    <col min="261" max="261" width="10" style="262" bestFit="1" customWidth="1"/>
    <col min="262" max="262" width="17.140625" style="262" bestFit="1" customWidth="1"/>
    <col min="263" max="264" width="13.5703125" style="262" bestFit="1" customWidth="1"/>
    <col min="265" max="265" width="4.7109375" style="262" bestFit="1" customWidth="1"/>
    <col min="266" max="512" width="9.140625" style="262"/>
    <col min="513" max="513" width="6.42578125" style="262" bestFit="1" customWidth="1"/>
    <col min="514" max="514" width="36.28515625" style="262" bestFit="1" customWidth="1"/>
    <col min="515" max="516" width="13.5703125" style="262" bestFit="1" customWidth="1"/>
    <col min="517" max="517" width="10" style="262" bestFit="1" customWidth="1"/>
    <col min="518" max="518" width="17.140625" style="262" bestFit="1" customWidth="1"/>
    <col min="519" max="520" width="13.5703125" style="262" bestFit="1" customWidth="1"/>
    <col min="521" max="521" width="4.7109375" style="262" bestFit="1" customWidth="1"/>
    <col min="522" max="768" width="9.140625" style="262"/>
    <col min="769" max="769" width="6.42578125" style="262" bestFit="1" customWidth="1"/>
    <col min="770" max="770" width="36.28515625" style="262" bestFit="1" customWidth="1"/>
    <col min="771" max="772" width="13.5703125" style="262" bestFit="1" customWidth="1"/>
    <col min="773" max="773" width="10" style="262" bestFit="1" customWidth="1"/>
    <col min="774" max="774" width="17.140625" style="262" bestFit="1" customWidth="1"/>
    <col min="775" max="776" width="13.5703125" style="262" bestFit="1" customWidth="1"/>
    <col min="777" max="777" width="4.7109375" style="262" bestFit="1" customWidth="1"/>
    <col min="778" max="1024" width="9.140625" style="262"/>
    <col min="1025" max="1025" width="6.42578125" style="262" bestFit="1" customWidth="1"/>
    <col min="1026" max="1026" width="36.28515625" style="262" bestFit="1" customWidth="1"/>
    <col min="1027" max="1028" width="13.5703125" style="262" bestFit="1" customWidth="1"/>
    <col min="1029" max="1029" width="10" style="262" bestFit="1" customWidth="1"/>
    <col min="1030" max="1030" width="17.140625" style="262" bestFit="1" customWidth="1"/>
    <col min="1031" max="1032" width="13.5703125" style="262" bestFit="1" customWidth="1"/>
    <col min="1033" max="1033" width="4.7109375" style="262" bestFit="1" customWidth="1"/>
    <col min="1034" max="1280" width="9.140625" style="262"/>
    <col min="1281" max="1281" width="6.42578125" style="262" bestFit="1" customWidth="1"/>
    <col min="1282" max="1282" width="36.28515625" style="262" bestFit="1" customWidth="1"/>
    <col min="1283" max="1284" width="13.5703125" style="262" bestFit="1" customWidth="1"/>
    <col min="1285" max="1285" width="10" style="262" bestFit="1" customWidth="1"/>
    <col min="1286" max="1286" width="17.140625" style="262" bestFit="1" customWidth="1"/>
    <col min="1287" max="1288" width="13.5703125" style="262" bestFit="1" customWidth="1"/>
    <col min="1289" max="1289" width="4.7109375" style="262" bestFit="1" customWidth="1"/>
    <col min="1290" max="1536" width="9.140625" style="262"/>
    <col min="1537" max="1537" width="6.42578125" style="262" bestFit="1" customWidth="1"/>
    <col min="1538" max="1538" width="36.28515625" style="262" bestFit="1" customWidth="1"/>
    <col min="1539" max="1540" width="13.5703125" style="262" bestFit="1" customWidth="1"/>
    <col min="1541" max="1541" width="10" style="262" bestFit="1" customWidth="1"/>
    <col min="1542" max="1542" width="17.140625" style="262" bestFit="1" customWidth="1"/>
    <col min="1543" max="1544" width="13.5703125" style="262" bestFit="1" customWidth="1"/>
    <col min="1545" max="1545" width="4.7109375" style="262" bestFit="1" customWidth="1"/>
    <col min="1546" max="1792" width="9.140625" style="262"/>
    <col min="1793" max="1793" width="6.42578125" style="262" bestFit="1" customWidth="1"/>
    <col min="1794" max="1794" width="36.28515625" style="262" bestFit="1" customWidth="1"/>
    <col min="1795" max="1796" width="13.5703125" style="262" bestFit="1" customWidth="1"/>
    <col min="1797" max="1797" width="10" style="262" bestFit="1" customWidth="1"/>
    <col min="1798" max="1798" width="17.140625" style="262" bestFit="1" customWidth="1"/>
    <col min="1799" max="1800" width="13.5703125" style="262" bestFit="1" customWidth="1"/>
    <col min="1801" max="1801" width="4.7109375" style="262" bestFit="1" customWidth="1"/>
    <col min="1802" max="2048" width="9.140625" style="262"/>
    <col min="2049" max="2049" width="6.42578125" style="262" bestFit="1" customWidth="1"/>
    <col min="2050" max="2050" width="36.28515625" style="262" bestFit="1" customWidth="1"/>
    <col min="2051" max="2052" width="13.5703125" style="262" bestFit="1" customWidth="1"/>
    <col min="2053" max="2053" width="10" style="262" bestFit="1" customWidth="1"/>
    <col min="2054" max="2054" width="17.140625" style="262" bestFit="1" customWidth="1"/>
    <col min="2055" max="2056" width="13.5703125" style="262" bestFit="1" customWidth="1"/>
    <col min="2057" max="2057" width="4.7109375" style="262" bestFit="1" customWidth="1"/>
    <col min="2058" max="2304" width="9.140625" style="262"/>
    <col min="2305" max="2305" width="6.42578125" style="262" bestFit="1" customWidth="1"/>
    <col min="2306" max="2306" width="36.28515625" style="262" bestFit="1" customWidth="1"/>
    <col min="2307" max="2308" width="13.5703125" style="262" bestFit="1" customWidth="1"/>
    <col min="2309" max="2309" width="10" style="262" bestFit="1" customWidth="1"/>
    <col min="2310" max="2310" width="17.140625" style="262" bestFit="1" customWidth="1"/>
    <col min="2311" max="2312" width="13.5703125" style="262" bestFit="1" customWidth="1"/>
    <col min="2313" max="2313" width="4.7109375" style="262" bestFit="1" customWidth="1"/>
    <col min="2314" max="2560" width="9.140625" style="262"/>
    <col min="2561" max="2561" width="6.42578125" style="262" bestFit="1" customWidth="1"/>
    <col min="2562" max="2562" width="36.28515625" style="262" bestFit="1" customWidth="1"/>
    <col min="2563" max="2564" width="13.5703125" style="262" bestFit="1" customWidth="1"/>
    <col min="2565" max="2565" width="10" style="262" bestFit="1" customWidth="1"/>
    <col min="2566" max="2566" width="17.140625" style="262" bestFit="1" customWidth="1"/>
    <col min="2567" max="2568" width="13.5703125" style="262" bestFit="1" customWidth="1"/>
    <col min="2569" max="2569" width="4.7109375" style="262" bestFit="1" customWidth="1"/>
    <col min="2570" max="2816" width="9.140625" style="262"/>
    <col min="2817" max="2817" width="6.42578125" style="262" bestFit="1" customWidth="1"/>
    <col min="2818" max="2818" width="36.28515625" style="262" bestFit="1" customWidth="1"/>
    <col min="2819" max="2820" width="13.5703125" style="262" bestFit="1" customWidth="1"/>
    <col min="2821" max="2821" width="10" style="262" bestFit="1" customWidth="1"/>
    <col min="2822" max="2822" width="17.140625" style="262" bestFit="1" customWidth="1"/>
    <col min="2823" max="2824" width="13.5703125" style="262" bestFit="1" customWidth="1"/>
    <col min="2825" max="2825" width="4.7109375" style="262" bestFit="1" customWidth="1"/>
    <col min="2826" max="3072" width="9.140625" style="262"/>
    <col min="3073" max="3073" width="6.42578125" style="262" bestFit="1" customWidth="1"/>
    <col min="3074" max="3074" width="36.28515625" style="262" bestFit="1" customWidth="1"/>
    <col min="3075" max="3076" width="13.5703125" style="262" bestFit="1" customWidth="1"/>
    <col min="3077" max="3077" width="10" style="262" bestFit="1" customWidth="1"/>
    <col min="3078" max="3078" width="17.140625" style="262" bestFit="1" customWidth="1"/>
    <col min="3079" max="3080" width="13.5703125" style="262" bestFit="1" customWidth="1"/>
    <col min="3081" max="3081" width="4.7109375" style="262" bestFit="1" customWidth="1"/>
    <col min="3082" max="3328" width="9.140625" style="262"/>
    <col min="3329" max="3329" width="6.42578125" style="262" bestFit="1" customWidth="1"/>
    <col min="3330" max="3330" width="36.28515625" style="262" bestFit="1" customWidth="1"/>
    <col min="3331" max="3332" width="13.5703125" style="262" bestFit="1" customWidth="1"/>
    <col min="3333" max="3333" width="10" style="262" bestFit="1" customWidth="1"/>
    <col min="3334" max="3334" width="17.140625" style="262" bestFit="1" customWidth="1"/>
    <col min="3335" max="3336" width="13.5703125" style="262" bestFit="1" customWidth="1"/>
    <col min="3337" max="3337" width="4.7109375" style="262" bestFit="1" customWidth="1"/>
    <col min="3338" max="3584" width="9.140625" style="262"/>
    <col min="3585" max="3585" width="6.42578125" style="262" bestFit="1" customWidth="1"/>
    <col min="3586" max="3586" width="36.28515625" style="262" bestFit="1" customWidth="1"/>
    <col min="3587" max="3588" width="13.5703125" style="262" bestFit="1" customWidth="1"/>
    <col min="3589" max="3589" width="10" style="262" bestFit="1" customWidth="1"/>
    <col min="3590" max="3590" width="17.140625" style="262" bestFit="1" customWidth="1"/>
    <col min="3591" max="3592" width="13.5703125" style="262" bestFit="1" customWidth="1"/>
    <col min="3593" max="3593" width="4.7109375" style="262" bestFit="1" customWidth="1"/>
    <col min="3594" max="3840" width="9.140625" style="262"/>
    <col min="3841" max="3841" width="6.42578125" style="262" bestFit="1" customWidth="1"/>
    <col min="3842" max="3842" width="36.28515625" style="262" bestFit="1" customWidth="1"/>
    <col min="3843" max="3844" width="13.5703125" style="262" bestFit="1" customWidth="1"/>
    <col min="3845" max="3845" width="10" style="262" bestFit="1" customWidth="1"/>
    <col min="3846" max="3846" width="17.140625" style="262" bestFit="1" customWidth="1"/>
    <col min="3847" max="3848" width="13.5703125" style="262" bestFit="1" customWidth="1"/>
    <col min="3849" max="3849" width="4.7109375" style="262" bestFit="1" customWidth="1"/>
    <col min="3850" max="4096" width="9.140625" style="262"/>
    <col min="4097" max="4097" width="6.42578125" style="262" bestFit="1" customWidth="1"/>
    <col min="4098" max="4098" width="36.28515625" style="262" bestFit="1" customWidth="1"/>
    <col min="4099" max="4100" width="13.5703125" style="262" bestFit="1" customWidth="1"/>
    <col min="4101" max="4101" width="10" style="262" bestFit="1" customWidth="1"/>
    <col min="4102" max="4102" width="17.140625" style="262" bestFit="1" customWidth="1"/>
    <col min="4103" max="4104" width="13.5703125" style="262" bestFit="1" customWidth="1"/>
    <col min="4105" max="4105" width="4.7109375" style="262" bestFit="1" customWidth="1"/>
    <col min="4106" max="4352" width="9.140625" style="262"/>
    <col min="4353" max="4353" width="6.42578125" style="262" bestFit="1" customWidth="1"/>
    <col min="4354" max="4354" width="36.28515625" style="262" bestFit="1" customWidth="1"/>
    <col min="4355" max="4356" width="13.5703125" style="262" bestFit="1" customWidth="1"/>
    <col min="4357" max="4357" width="10" style="262" bestFit="1" customWidth="1"/>
    <col min="4358" max="4358" width="17.140625" style="262" bestFit="1" customWidth="1"/>
    <col min="4359" max="4360" width="13.5703125" style="262" bestFit="1" customWidth="1"/>
    <col min="4361" max="4361" width="4.7109375" style="262" bestFit="1" customWidth="1"/>
    <col min="4362" max="4608" width="9.140625" style="262"/>
    <col min="4609" max="4609" width="6.42578125" style="262" bestFit="1" customWidth="1"/>
    <col min="4610" max="4610" width="36.28515625" style="262" bestFit="1" customWidth="1"/>
    <col min="4611" max="4612" width="13.5703125" style="262" bestFit="1" customWidth="1"/>
    <col min="4613" max="4613" width="10" style="262" bestFit="1" customWidth="1"/>
    <col min="4614" max="4614" width="17.140625" style="262" bestFit="1" customWidth="1"/>
    <col min="4615" max="4616" width="13.5703125" style="262" bestFit="1" customWidth="1"/>
    <col min="4617" max="4617" width="4.7109375" style="262" bestFit="1" customWidth="1"/>
    <col min="4618" max="4864" width="9.140625" style="262"/>
    <col min="4865" max="4865" width="6.42578125" style="262" bestFit="1" customWidth="1"/>
    <col min="4866" max="4866" width="36.28515625" style="262" bestFit="1" customWidth="1"/>
    <col min="4867" max="4868" width="13.5703125" style="262" bestFit="1" customWidth="1"/>
    <col min="4869" max="4869" width="10" style="262" bestFit="1" customWidth="1"/>
    <col min="4870" max="4870" width="17.140625" style="262" bestFit="1" customWidth="1"/>
    <col min="4871" max="4872" width="13.5703125" style="262" bestFit="1" customWidth="1"/>
    <col min="4873" max="4873" width="4.7109375" style="262" bestFit="1" customWidth="1"/>
    <col min="4874" max="5120" width="9.140625" style="262"/>
    <col min="5121" max="5121" width="6.42578125" style="262" bestFit="1" customWidth="1"/>
    <col min="5122" max="5122" width="36.28515625" style="262" bestFit="1" customWidth="1"/>
    <col min="5123" max="5124" width="13.5703125" style="262" bestFit="1" customWidth="1"/>
    <col min="5125" max="5125" width="10" style="262" bestFit="1" customWidth="1"/>
    <col min="5126" max="5126" width="17.140625" style="262" bestFit="1" customWidth="1"/>
    <col min="5127" max="5128" width="13.5703125" style="262" bestFit="1" customWidth="1"/>
    <col min="5129" max="5129" width="4.7109375" style="262" bestFit="1" customWidth="1"/>
    <col min="5130" max="5376" width="9.140625" style="262"/>
    <col min="5377" max="5377" width="6.42578125" style="262" bestFit="1" customWidth="1"/>
    <col min="5378" max="5378" width="36.28515625" style="262" bestFit="1" customWidth="1"/>
    <col min="5379" max="5380" width="13.5703125" style="262" bestFit="1" customWidth="1"/>
    <col min="5381" max="5381" width="10" style="262" bestFit="1" customWidth="1"/>
    <col min="5382" max="5382" width="17.140625" style="262" bestFit="1" customWidth="1"/>
    <col min="5383" max="5384" width="13.5703125" style="262" bestFit="1" customWidth="1"/>
    <col min="5385" max="5385" width="4.7109375" style="262" bestFit="1" customWidth="1"/>
    <col min="5386" max="5632" width="9.140625" style="262"/>
    <col min="5633" max="5633" width="6.42578125" style="262" bestFit="1" customWidth="1"/>
    <col min="5634" max="5634" width="36.28515625" style="262" bestFit="1" customWidth="1"/>
    <col min="5635" max="5636" width="13.5703125" style="262" bestFit="1" customWidth="1"/>
    <col min="5637" max="5637" width="10" style="262" bestFit="1" customWidth="1"/>
    <col min="5638" max="5638" width="17.140625" style="262" bestFit="1" customWidth="1"/>
    <col min="5639" max="5640" width="13.5703125" style="262" bestFit="1" customWidth="1"/>
    <col min="5641" max="5641" width="4.7109375" style="262" bestFit="1" customWidth="1"/>
    <col min="5642" max="5888" width="9.140625" style="262"/>
    <col min="5889" max="5889" width="6.42578125" style="262" bestFit="1" customWidth="1"/>
    <col min="5890" max="5890" width="36.28515625" style="262" bestFit="1" customWidth="1"/>
    <col min="5891" max="5892" width="13.5703125" style="262" bestFit="1" customWidth="1"/>
    <col min="5893" max="5893" width="10" style="262" bestFit="1" customWidth="1"/>
    <col min="5894" max="5894" width="17.140625" style="262" bestFit="1" customWidth="1"/>
    <col min="5895" max="5896" width="13.5703125" style="262" bestFit="1" customWidth="1"/>
    <col min="5897" max="5897" width="4.7109375" style="262" bestFit="1" customWidth="1"/>
    <col min="5898" max="6144" width="9.140625" style="262"/>
    <col min="6145" max="6145" width="6.42578125" style="262" bestFit="1" customWidth="1"/>
    <col min="6146" max="6146" width="36.28515625" style="262" bestFit="1" customWidth="1"/>
    <col min="6147" max="6148" width="13.5703125" style="262" bestFit="1" customWidth="1"/>
    <col min="6149" max="6149" width="10" style="262" bestFit="1" customWidth="1"/>
    <col min="6150" max="6150" width="17.140625" style="262" bestFit="1" customWidth="1"/>
    <col min="6151" max="6152" width="13.5703125" style="262" bestFit="1" customWidth="1"/>
    <col min="6153" max="6153" width="4.7109375" style="262" bestFit="1" customWidth="1"/>
    <col min="6154" max="6400" width="9.140625" style="262"/>
    <col min="6401" max="6401" width="6.42578125" style="262" bestFit="1" customWidth="1"/>
    <col min="6402" max="6402" width="36.28515625" style="262" bestFit="1" customWidth="1"/>
    <col min="6403" max="6404" width="13.5703125" style="262" bestFit="1" customWidth="1"/>
    <col min="6405" max="6405" width="10" style="262" bestFit="1" customWidth="1"/>
    <col min="6406" max="6406" width="17.140625" style="262" bestFit="1" customWidth="1"/>
    <col min="6407" max="6408" width="13.5703125" style="262" bestFit="1" customWidth="1"/>
    <col min="6409" max="6409" width="4.7109375" style="262" bestFit="1" customWidth="1"/>
    <col min="6410" max="6656" width="9.140625" style="262"/>
    <col min="6657" max="6657" width="6.42578125" style="262" bestFit="1" customWidth="1"/>
    <col min="6658" max="6658" width="36.28515625" style="262" bestFit="1" customWidth="1"/>
    <col min="6659" max="6660" width="13.5703125" style="262" bestFit="1" customWidth="1"/>
    <col min="6661" max="6661" width="10" style="262" bestFit="1" customWidth="1"/>
    <col min="6662" max="6662" width="17.140625" style="262" bestFit="1" customWidth="1"/>
    <col min="6663" max="6664" width="13.5703125" style="262" bestFit="1" customWidth="1"/>
    <col min="6665" max="6665" width="4.7109375" style="262" bestFit="1" customWidth="1"/>
    <col min="6666" max="6912" width="9.140625" style="262"/>
    <col min="6913" max="6913" width="6.42578125" style="262" bestFit="1" customWidth="1"/>
    <col min="6914" max="6914" width="36.28515625" style="262" bestFit="1" customWidth="1"/>
    <col min="6915" max="6916" width="13.5703125" style="262" bestFit="1" customWidth="1"/>
    <col min="6917" max="6917" width="10" style="262" bestFit="1" customWidth="1"/>
    <col min="6918" max="6918" width="17.140625" style="262" bestFit="1" customWidth="1"/>
    <col min="6919" max="6920" width="13.5703125" style="262" bestFit="1" customWidth="1"/>
    <col min="6921" max="6921" width="4.7109375" style="262" bestFit="1" customWidth="1"/>
    <col min="6922" max="7168" width="9.140625" style="262"/>
    <col min="7169" max="7169" width="6.42578125" style="262" bestFit="1" customWidth="1"/>
    <col min="7170" max="7170" width="36.28515625" style="262" bestFit="1" customWidth="1"/>
    <col min="7171" max="7172" width="13.5703125" style="262" bestFit="1" customWidth="1"/>
    <col min="7173" max="7173" width="10" style="262" bestFit="1" customWidth="1"/>
    <col min="7174" max="7174" width="17.140625" style="262" bestFit="1" customWidth="1"/>
    <col min="7175" max="7176" width="13.5703125" style="262" bestFit="1" customWidth="1"/>
    <col min="7177" max="7177" width="4.7109375" style="262" bestFit="1" customWidth="1"/>
    <col min="7178" max="7424" width="9.140625" style="262"/>
    <col min="7425" max="7425" width="6.42578125" style="262" bestFit="1" customWidth="1"/>
    <col min="7426" max="7426" width="36.28515625" style="262" bestFit="1" customWidth="1"/>
    <col min="7427" max="7428" width="13.5703125" style="262" bestFit="1" customWidth="1"/>
    <col min="7429" max="7429" width="10" style="262" bestFit="1" customWidth="1"/>
    <col min="7430" max="7430" width="17.140625" style="262" bestFit="1" customWidth="1"/>
    <col min="7431" max="7432" width="13.5703125" style="262" bestFit="1" customWidth="1"/>
    <col min="7433" max="7433" width="4.7109375" style="262" bestFit="1" customWidth="1"/>
    <col min="7434" max="7680" width="9.140625" style="262"/>
    <col min="7681" max="7681" width="6.42578125" style="262" bestFit="1" customWidth="1"/>
    <col min="7682" max="7682" width="36.28515625" style="262" bestFit="1" customWidth="1"/>
    <col min="7683" max="7684" width="13.5703125" style="262" bestFit="1" customWidth="1"/>
    <col min="7685" max="7685" width="10" style="262" bestFit="1" customWidth="1"/>
    <col min="7686" max="7686" width="17.140625" style="262" bestFit="1" customWidth="1"/>
    <col min="7687" max="7688" width="13.5703125" style="262" bestFit="1" customWidth="1"/>
    <col min="7689" max="7689" width="4.7109375" style="262" bestFit="1" customWidth="1"/>
    <col min="7690" max="7936" width="9.140625" style="262"/>
    <col min="7937" max="7937" width="6.42578125" style="262" bestFit="1" customWidth="1"/>
    <col min="7938" max="7938" width="36.28515625" style="262" bestFit="1" customWidth="1"/>
    <col min="7939" max="7940" width="13.5703125" style="262" bestFit="1" customWidth="1"/>
    <col min="7941" max="7941" width="10" style="262" bestFit="1" customWidth="1"/>
    <col min="7942" max="7942" width="17.140625" style="262" bestFit="1" customWidth="1"/>
    <col min="7943" max="7944" width="13.5703125" style="262" bestFit="1" customWidth="1"/>
    <col min="7945" max="7945" width="4.7109375" style="262" bestFit="1" customWidth="1"/>
    <col min="7946" max="8192" width="9.140625" style="262"/>
    <col min="8193" max="8193" width="6.42578125" style="262" bestFit="1" customWidth="1"/>
    <col min="8194" max="8194" width="36.28515625" style="262" bestFit="1" customWidth="1"/>
    <col min="8195" max="8196" width="13.5703125" style="262" bestFit="1" customWidth="1"/>
    <col min="8197" max="8197" width="10" style="262" bestFit="1" customWidth="1"/>
    <col min="8198" max="8198" width="17.140625" style="262" bestFit="1" customWidth="1"/>
    <col min="8199" max="8200" width="13.5703125" style="262" bestFit="1" customWidth="1"/>
    <col min="8201" max="8201" width="4.7109375" style="262" bestFit="1" customWidth="1"/>
    <col min="8202" max="8448" width="9.140625" style="262"/>
    <col min="8449" max="8449" width="6.42578125" style="262" bestFit="1" customWidth="1"/>
    <col min="8450" max="8450" width="36.28515625" style="262" bestFit="1" customWidth="1"/>
    <col min="8451" max="8452" width="13.5703125" style="262" bestFit="1" customWidth="1"/>
    <col min="8453" max="8453" width="10" style="262" bestFit="1" customWidth="1"/>
    <col min="8454" max="8454" width="17.140625" style="262" bestFit="1" customWidth="1"/>
    <col min="8455" max="8456" width="13.5703125" style="262" bestFit="1" customWidth="1"/>
    <col min="8457" max="8457" width="4.7109375" style="262" bestFit="1" customWidth="1"/>
    <col min="8458" max="8704" width="9.140625" style="262"/>
    <col min="8705" max="8705" width="6.42578125" style="262" bestFit="1" customWidth="1"/>
    <col min="8706" max="8706" width="36.28515625" style="262" bestFit="1" customWidth="1"/>
    <col min="8707" max="8708" width="13.5703125" style="262" bestFit="1" customWidth="1"/>
    <col min="8709" max="8709" width="10" style="262" bestFit="1" customWidth="1"/>
    <col min="8710" max="8710" width="17.140625" style="262" bestFit="1" customWidth="1"/>
    <col min="8711" max="8712" width="13.5703125" style="262" bestFit="1" customWidth="1"/>
    <col min="8713" max="8713" width="4.7109375" style="262" bestFit="1" customWidth="1"/>
    <col min="8714" max="8960" width="9.140625" style="262"/>
    <col min="8961" max="8961" width="6.42578125" style="262" bestFit="1" customWidth="1"/>
    <col min="8962" max="8962" width="36.28515625" style="262" bestFit="1" customWidth="1"/>
    <col min="8963" max="8964" width="13.5703125" style="262" bestFit="1" customWidth="1"/>
    <col min="8965" max="8965" width="10" style="262" bestFit="1" customWidth="1"/>
    <col min="8966" max="8966" width="17.140625" style="262" bestFit="1" customWidth="1"/>
    <col min="8967" max="8968" width="13.5703125" style="262" bestFit="1" customWidth="1"/>
    <col min="8969" max="8969" width="4.7109375" style="262" bestFit="1" customWidth="1"/>
    <col min="8970" max="9216" width="9.140625" style="262"/>
    <col min="9217" max="9217" width="6.42578125" style="262" bestFit="1" customWidth="1"/>
    <col min="9218" max="9218" width="36.28515625" style="262" bestFit="1" customWidth="1"/>
    <col min="9219" max="9220" width="13.5703125" style="262" bestFit="1" customWidth="1"/>
    <col min="9221" max="9221" width="10" style="262" bestFit="1" customWidth="1"/>
    <col min="9222" max="9222" width="17.140625" style="262" bestFit="1" customWidth="1"/>
    <col min="9223" max="9224" width="13.5703125" style="262" bestFit="1" customWidth="1"/>
    <col min="9225" max="9225" width="4.7109375" style="262" bestFit="1" customWidth="1"/>
    <col min="9226" max="9472" width="9.140625" style="262"/>
    <col min="9473" max="9473" width="6.42578125" style="262" bestFit="1" customWidth="1"/>
    <col min="9474" max="9474" width="36.28515625" style="262" bestFit="1" customWidth="1"/>
    <col min="9475" max="9476" width="13.5703125" style="262" bestFit="1" customWidth="1"/>
    <col min="9477" max="9477" width="10" style="262" bestFit="1" customWidth="1"/>
    <col min="9478" max="9478" width="17.140625" style="262" bestFit="1" customWidth="1"/>
    <col min="9479" max="9480" width="13.5703125" style="262" bestFit="1" customWidth="1"/>
    <col min="9481" max="9481" width="4.7109375" style="262" bestFit="1" customWidth="1"/>
    <col min="9482" max="9728" width="9.140625" style="262"/>
    <col min="9729" max="9729" width="6.42578125" style="262" bestFit="1" customWidth="1"/>
    <col min="9730" max="9730" width="36.28515625" style="262" bestFit="1" customWidth="1"/>
    <col min="9731" max="9732" width="13.5703125" style="262" bestFit="1" customWidth="1"/>
    <col min="9733" max="9733" width="10" style="262" bestFit="1" customWidth="1"/>
    <col min="9734" max="9734" width="17.140625" style="262" bestFit="1" customWidth="1"/>
    <col min="9735" max="9736" width="13.5703125" style="262" bestFit="1" customWidth="1"/>
    <col min="9737" max="9737" width="4.7109375" style="262" bestFit="1" customWidth="1"/>
    <col min="9738" max="9984" width="9.140625" style="262"/>
    <col min="9985" max="9985" width="6.42578125" style="262" bestFit="1" customWidth="1"/>
    <col min="9986" max="9986" width="36.28515625" style="262" bestFit="1" customWidth="1"/>
    <col min="9987" max="9988" width="13.5703125" style="262" bestFit="1" customWidth="1"/>
    <col min="9989" max="9989" width="10" style="262" bestFit="1" customWidth="1"/>
    <col min="9990" max="9990" width="17.140625" style="262" bestFit="1" customWidth="1"/>
    <col min="9991" max="9992" width="13.5703125" style="262" bestFit="1" customWidth="1"/>
    <col min="9993" max="9993" width="4.7109375" style="262" bestFit="1" customWidth="1"/>
    <col min="9994" max="10240" width="9.140625" style="262"/>
    <col min="10241" max="10241" width="6.42578125" style="262" bestFit="1" customWidth="1"/>
    <col min="10242" max="10242" width="36.28515625" style="262" bestFit="1" customWidth="1"/>
    <col min="10243" max="10244" width="13.5703125" style="262" bestFit="1" customWidth="1"/>
    <col min="10245" max="10245" width="10" style="262" bestFit="1" customWidth="1"/>
    <col min="10246" max="10246" width="17.140625" style="262" bestFit="1" customWidth="1"/>
    <col min="10247" max="10248" width="13.5703125" style="262" bestFit="1" customWidth="1"/>
    <col min="10249" max="10249" width="4.7109375" style="262" bestFit="1" customWidth="1"/>
    <col min="10250" max="10496" width="9.140625" style="262"/>
    <col min="10497" max="10497" width="6.42578125" style="262" bestFit="1" customWidth="1"/>
    <col min="10498" max="10498" width="36.28515625" style="262" bestFit="1" customWidth="1"/>
    <col min="10499" max="10500" width="13.5703125" style="262" bestFit="1" customWidth="1"/>
    <col min="10501" max="10501" width="10" style="262" bestFit="1" customWidth="1"/>
    <col min="10502" max="10502" width="17.140625" style="262" bestFit="1" customWidth="1"/>
    <col min="10503" max="10504" width="13.5703125" style="262" bestFit="1" customWidth="1"/>
    <col min="10505" max="10505" width="4.7109375" style="262" bestFit="1" customWidth="1"/>
    <col min="10506" max="10752" width="9.140625" style="262"/>
    <col min="10753" max="10753" width="6.42578125" style="262" bestFit="1" customWidth="1"/>
    <col min="10754" max="10754" width="36.28515625" style="262" bestFit="1" customWidth="1"/>
    <col min="10755" max="10756" width="13.5703125" style="262" bestFit="1" customWidth="1"/>
    <col min="10757" max="10757" width="10" style="262" bestFit="1" customWidth="1"/>
    <col min="10758" max="10758" width="17.140625" style="262" bestFit="1" customWidth="1"/>
    <col min="10759" max="10760" width="13.5703125" style="262" bestFit="1" customWidth="1"/>
    <col min="10761" max="10761" width="4.7109375" style="262" bestFit="1" customWidth="1"/>
    <col min="10762" max="11008" width="9.140625" style="262"/>
    <col min="11009" max="11009" width="6.42578125" style="262" bestFit="1" customWidth="1"/>
    <col min="11010" max="11010" width="36.28515625" style="262" bestFit="1" customWidth="1"/>
    <col min="11011" max="11012" width="13.5703125" style="262" bestFit="1" customWidth="1"/>
    <col min="11013" max="11013" width="10" style="262" bestFit="1" customWidth="1"/>
    <col min="11014" max="11014" width="17.140625" style="262" bestFit="1" customWidth="1"/>
    <col min="11015" max="11016" width="13.5703125" style="262" bestFit="1" customWidth="1"/>
    <col min="11017" max="11017" width="4.7109375" style="262" bestFit="1" customWidth="1"/>
    <col min="11018" max="11264" width="9.140625" style="262"/>
    <col min="11265" max="11265" width="6.42578125" style="262" bestFit="1" customWidth="1"/>
    <col min="11266" max="11266" width="36.28515625" style="262" bestFit="1" customWidth="1"/>
    <col min="11267" max="11268" width="13.5703125" style="262" bestFit="1" customWidth="1"/>
    <col min="11269" max="11269" width="10" style="262" bestFit="1" customWidth="1"/>
    <col min="11270" max="11270" width="17.140625" style="262" bestFit="1" customWidth="1"/>
    <col min="11271" max="11272" width="13.5703125" style="262" bestFit="1" customWidth="1"/>
    <col min="11273" max="11273" width="4.7109375" style="262" bestFit="1" customWidth="1"/>
    <col min="11274" max="11520" width="9.140625" style="262"/>
    <col min="11521" max="11521" width="6.42578125" style="262" bestFit="1" customWidth="1"/>
    <col min="11522" max="11522" width="36.28515625" style="262" bestFit="1" customWidth="1"/>
    <col min="11523" max="11524" width="13.5703125" style="262" bestFit="1" customWidth="1"/>
    <col min="11525" max="11525" width="10" style="262" bestFit="1" customWidth="1"/>
    <col min="11526" max="11526" width="17.140625" style="262" bestFit="1" customWidth="1"/>
    <col min="11527" max="11528" width="13.5703125" style="262" bestFit="1" customWidth="1"/>
    <col min="11529" max="11529" width="4.7109375" style="262" bestFit="1" customWidth="1"/>
    <col min="11530" max="11776" width="9.140625" style="262"/>
    <col min="11777" max="11777" width="6.42578125" style="262" bestFit="1" customWidth="1"/>
    <col min="11778" max="11778" width="36.28515625" style="262" bestFit="1" customWidth="1"/>
    <col min="11779" max="11780" width="13.5703125" style="262" bestFit="1" customWidth="1"/>
    <col min="11781" max="11781" width="10" style="262" bestFit="1" customWidth="1"/>
    <col min="11782" max="11782" width="17.140625" style="262" bestFit="1" customWidth="1"/>
    <col min="11783" max="11784" width="13.5703125" style="262" bestFit="1" customWidth="1"/>
    <col min="11785" max="11785" width="4.7109375" style="262" bestFit="1" customWidth="1"/>
    <col min="11786" max="12032" width="9.140625" style="262"/>
    <col min="12033" max="12033" width="6.42578125" style="262" bestFit="1" customWidth="1"/>
    <col min="12034" max="12034" width="36.28515625" style="262" bestFit="1" customWidth="1"/>
    <col min="12035" max="12036" width="13.5703125" style="262" bestFit="1" customWidth="1"/>
    <col min="12037" max="12037" width="10" style="262" bestFit="1" customWidth="1"/>
    <col min="12038" max="12038" width="17.140625" style="262" bestFit="1" customWidth="1"/>
    <col min="12039" max="12040" width="13.5703125" style="262" bestFit="1" customWidth="1"/>
    <col min="12041" max="12041" width="4.7109375" style="262" bestFit="1" customWidth="1"/>
    <col min="12042" max="12288" width="9.140625" style="262"/>
    <col min="12289" max="12289" width="6.42578125" style="262" bestFit="1" customWidth="1"/>
    <col min="12290" max="12290" width="36.28515625" style="262" bestFit="1" customWidth="1"/>
    <col min="12291" max="12292" width="13.5703125" style="262" bestFit="1" customWidth="1"/>
    <col min="12293" max="12293" width="10" style="262" bestFit="1" customWidth="1"/>
    <col min="12294" max="12294" width="17.140625" style="262" bestFit="1" customWidth="1"/>
    <col min="12295" max="12296" width="13.5703125" style="262" bestFit="1" customWidth="1"/>
    <col min="12297" max="12297" width="4.7109375" style="262" bestFit="1" customWidth="1"/>
    <col min="12298" max="12544" width="9.140625" style="262"/>
    <col min="12545" max="12545" width="6.42578125" style="262" bestFit="1" customWidth="1"/>
    <col min="12546" max="12546" width="36.28515625" style="262" bestFit="1" customWidth="1"/>
    <col min="12547" max="12548" width="13.5703125" style="262" bestFit="1" customWidth="1"/>
    <col min="12549" max="12549" width="10" style="262" bestFit="1" customWidth="1"/>
    <col min="12550" max="12550" width="17.140625" style="262" bestFit="1" customWidth="1"/>
    <col min="12551" max="12552" width="13.5703125" style="262" bestFit="1" customWidth="1"/>
    <col min="12553" max="12553" width="4.7109375" style="262" bestFit="1" customWidth="1"/>
    <col min="12554" max="12800" width="9.140625" style="262"/>
    <col min="12801" max="12801" width="6.42578125" style="262" bestFit="1" customWidth="1"/>
    <col min="12802" max="12802" width="36.28515625" style="262" bestFit="1" customWidth="1"/>
    <col min="12803" max="12804" width="13.5703125" style="262" bestFit="1" customWidth="1"/>
    <col min="12805" max="12805" width="10" style="262" bestFit="1" customWidth="1"/>
    <col min="12806" max="12806" width="17.140625" style="262" bestFit="1" customWidth="1"/>
    <col min="12807" max="12808" width="13.5703125" style="262" bestFit="1" customWidth="1"/>
    <col min="12809" max="12809" width="4.7109375" style="262" bestFit="1" customWidth="1"/>
    <col min="12810" max="13056" width="9.140625" style="262"/>
    <col min="13057" max="13057" width="6.42578125" style="262" bestFit="1" customWidth="1"/>
    <col min="13058" max="13058" width="36.28515625" style="262" bestFit="1" customWidth="1"/>
    <col min="13059" max="13060" width="13.5703125" style="262" bestFit="1" customWidth="1"/>
    <col min="13061" max="13061" width="10" style="262" bestFit="1" customWidth="1"/>
    <col min="13062" max="13062" width="17.140625" style="262" bestFit="1" customWidth="1"/>
    <col min="13063" max="13064" width="13.5703125" style="262" bestFit="1" customWidth="1"/>
    <col min="13065" max="13065" width="4.7109375" style="262" bestFit="1" customWidth="1"/>
    <col min="13066" max="13312" width="9.140625" style="262"/>
    <col min="13313" max="13313" width="6.42578125" style="262" bestFit="1" customWidth="1"/>
    <col min="13314" max="13314" width="36.28515625" style="262" bestFit="1" customWidth="1"/>
    <col min="13315" max="13316" width="13.5703125" style="262" bestFit="1" customWidth="1"/>
    <col min="13317" max="13317" width="10" style="262" bestFit="1" customWidth="1"/>
    <col min="13318" max="13318" width="17.140625" style="262" bestFit="1" customWidth="1"/>
    <col min="13319" max="13320" width="13.5703125" style="262" bestFit="1" customWidth="1"/>
    <col min="13321" max="13321" width="4.7109375" style="262" bestFit="1" customWidth="1"/>
    <col min="13322" max="13568" width="9.140625" style="262"/>
    <col min="13569" max="13569" width="6.42578125" style="262" bestFit="1" customWidth="1"/>
    <col min="13570" max="13570" width="36.28515625" style="262" bestFit="1" customWidth="1"/>
    <col min="13571" max="13572" width="13.5703125" style="262" bestFit="1" customWidth="1"/>
    <col min="13573" max="13573" width="10" style="262" bestFit="1" customWidth="1"/>
    <col min="13574" max="13574" width="17.140625" style="262" bestFit="1" customWidth="1"/>
    <col min="13575" max="13576" width="13.5703125" style="262" bestFit="1" customWidth="1"/>
    <col min="13577" max="13577" width="4.7109375" style="262" bestFit="1" customWidth="1"/>
    <col min="13578" max="13824" width="9.140625" style="262"/>
    <col min="13825" max="13825" width="6.42578125" style="262" bestFit="1" customWidth="1"/>
    <col min="13826" max="13826" width="36.28515625" style="262" bestFit="1" customWidth="1"/>
    <col min="13827" max="13828" width="13.5703125" style="262" bestFit="1" customWidth="1"/>
    <col min="13829" max="13829" width="10" style="262" bestFit="1" customWidth="1"/>
    <col min="13830" max="13830" width="17.140625" style="262" bestFit="1" customWidth="1"/>
    <col min="13831" max="13832" width="13.5703125" style="262" bestFit="1" customWidth="1"/>
    <col min="13833" max="13833" width="4.7109375" style="262" bestFit="1" customWidth="1"/>
    <col min="13834" max="14080" width="9.140625" style="262"/>
    <col min="14081" max="14081" width="6.42578125" style="262" bestFit="1" customWidth="1"/>
    <col min="14082" max="14082" width="36.28515625" style="262" bestFit="1" customWidth="1"/>
    <col min="14083" max="14084" width="13.5703125" style="262" bestFit="1" customWidth="1"/>
    <col min="14085" max="14085" width="10" style="262" bestFit="1" customWidth="1"/>
    <col min="14086" max="14086" width="17.140625" style="262" bestFit="1" customWidth="1"/>
    <col min="14087" max="14088" width="13.5703125" style="262" bestFit="1" customWidth="1"/>
    <col min="14089" max="14089" width="4.7109375" style="262" bestFit="1" customWidth="1"/>
    <col min="14090" max="14336" width="9.140625" style="262"/>
    <col min="14337" max="14337" width="6.42578125" style="262" bestFit="1" customWidth="1"/>
    <col min="14338" max="14338" width="36.28515625" style="262" bestFit="1" customWidth="1"/>
    <col min="14339" max="14340" width="13.5703125" style="262" bestFit="1" customWidth="1"/>
    <col min="14341" max="14341" width="10" style="262" bestFit="1" customWidth="1"/>
    <col min="14342" max="14342" width="17.140625" style="262" bestFit="1" customWidth="1"/>
    <col min="14343" max="14344" width="13.5703125" style="262" bestFit="1" customWidth="1"/>
    <col min="14345" max="14345" width="4.7109375" style="262" bestFit="1" customWidth="1"/>
    <col min="14346" max="14592" width="9.140625" style="262"/>
    <col min="14593" max="14593" width="6.42578125" style="262" bestFit="1" customWidth="1"/>
    <col min="14594" max="14594" width="36.28515625" style="262" bestFit="1" customWidth="1"/>
    <col min="14595" max="14596" width="13.5703125" style="262" bestFit="1" customWidth="1"/>
    <col min="14597" max="14597" width="10" style="262" bestFit="1" customWidth="1"/>
    <col min="14598" max="14598" width="17.140625" style="262" bestFit="1" customWidth="1"/>
    <col min="14599" max="14600" width="13.5703125" style="262" bestFit="1" customWidth="1"/>
    <col min="14601" max="14601" width="4.7109375" style="262" bestFit="1" customWidth="1"/>
    <col min="14602" max="14848" width="9.140625" style="262"/>
    <col min="14849" max="14849" width="6.42578125" style="262" bestFit="1" customWidth="1"/>
    <col min="14850" max="14850" width="36.28515625" style="262" bestFit="1" customWidth="1"/>
    <col min="14851" max="14852" width="13.5703125" style="262" bestFit="1" customWidth="1"/>
    <col min="14853" max="14853" width="10" style="262" bestFit="1" customWidth="1"/>
    <col min="14854" max="14854" width="17.140625" style="262" bestFit="1" customWidth="1"/>
    <col min="14855" max="14856" width="13.5703125" style="262" bestFit="1" customWidth="1"/>
    <col min="14857" max="14857" width="4.7109375" style="262" bestFit="1" customWidth="1"/>
    <col min="14858" max="15104" width="9.140625" style="262"/>
    <col min="15105" max="15105" width="6.42578125" style="262" bestFit="1" customWidth="1"/>
    <col min="15106" max="15106" width="36.28515625" style="262" bestFit="1" customWidth="1"/>
    <col min="15107" max="15108" width="13.5703125" style="262" bestFit="1" customWidth="1"/>
    <col min="15109" max="15109" width="10" style="262" bestFit="1" customWidth="1"/>
    <col min="15110" max="15110" width="17.140625" style="262" bestFit="1" customWidth="1"/>
    <col min="15111" max="15112" width="13.5703125" style="262" bestFit="1" customWidth="1"/>
    <col min="15113" max="15113" width="4.7109375" style="262" bestFit="1" customWidth="1"/>
    <col min="15114" max="15360" width="9.140625" style="262"/>
    <col min="15361" max="15361" width="6.42578125" style="262" bestFit="1" customWidth="1"/>
    <col min="15362" max="15362" width="36.28515625" style="262" bestFit="1" customWidth="1"/>
    <col min="15363" max="15364" width="13.5703125" style="262" bestFit="1" customWidth="1"/>
    <col min="15365" max="15365" width="10" style="262" bestFit="1" customWidth="1"/>
    <col min="15366" max="15366" width="17.140625" style="262" bestFit="1" customWidth="1"/>
    <col min="15367" max="15368" width="13.5703125" style="262" bestFit="1" customWidth="1"/>
    <col min="15369" max="15369" width="4.7109375" style="262" bestFit="1" customWidth="1"/>
    <col min="15370" max="15616" width="9.140625" style="262"/>
    <col min="15617" max="15617" width="6.42578125" style="262" bestFit="1" customWidth="1"/>
    <col min="15618" max="15618" width="36.28515625" style="262" bestFit="1" customWidth="1"/>
    <col min="15619" max="15620" width="13.5703125" style="262" bestFit="1" customWidth="1"/>
    <col min="15621" max="15621" width="10" style="262" bestFit="1" customWidth="1"/>
    <col min="15622" max="15622" width="17.140625" style="262" bestFit="1" customWidth="1"/>
    <col min="15623" max="15624" width="13.5703125" style="262" bestFit="1" customWidth="1"/>
    <col min="15625" max="15625" width="4.7109375" style="262" bestFit="1" customWidth="1"/>
    <col min="15626" max="15872" width="9.140625" style="262"/>
    <col min="15873" max="15873" width="6.42578125" style="262" bestFit="1" customWidth="1"/>
    <col min="15874" max="15874" width="36.28515625" style="262" bestFit="1" customWidth="1"/>
    <col min="15875" max="15876" width="13.5703125" style="262" bestFit="1" customWidth="1"/>
    <col min="15877" max="15877" width="10" style="262" bestFit="1" customWidth="1"/>
    <col min="15878" max="15878" width="17.140625" style="262" bestFit="1" customWidth="1"/>
    <col min="15879" max="15880" width="13.5703125" style="262" bestFit="1" customWidth="1"/>
    <col min="15881" max="15881" width="4.7109375" style="262" bestFit="1" customWidth="1"/>
    <col min="15882" max="16128" width="9.140625" style="262"/>
    <col min="16129" max="16129" width="6.42578125" style="262" bestFit="1" customWidth="1"/>
    <col min="16130" max="16130" width="36.28515625" style="262" bestFit="1" customWidth="1"/>
    <col min="16131" max="16132" width="13.5703125" style="262" bestFit="1" customWidth="1"/>
    <col min="16133" max="16133" width="10" style="262" bestFit="1" customWidth="1"/>
    <col min="16134" max="16134" width="17.140625" style="262" bestFit="1" customWidth="1"/>
    <col min="16135" max="16136" width="13.5703125" style="262" bestFit="1" customWidth="1"/>
    <col min="16137" max="16137" width="4.7109375" style="262" bestFit="1" customWidth="1"/>
    <col min="16138" max="16384" width="9.140625" style="262"/>
  </cols>
  <sheetData>
    <row r="1" spans="1:8" ht="13.5" customHeight="1" x14ac:dyDescent="0.2">
      <c r="A1" s="390" t="s">
        <v>312</v>
      </c>
      <c r="B1" s="390"/>
      <c r="C1" s="390"/>
      <c r="D1" s="390"/>
      <c r="E1" s="390"/>
    </row>
    <row r="2" spans="1:8" s="265" customFormat="1" ht="19.5" customHeight="1" x14ac:dyDescent="0.2">
      <c r="A2" s="375" t="s">
        <v>313</v>
      </c>
      <c r="B2" s="376"/>
      <c r="C2" s="376"/>
      <c r="D2" s="376"/>
      <c r="E2" s="376"/>
      <c r="F2" s="376"/>
      <c r="G2" s="376"/>
      <c r="H2" s="377"/>
    </row>
    <row r="3" spans="1:8" s="265" customFormat="1" ht="15" customHeight="1" x14ac:dyDescent="0.2">
      <c r="A3" s="363" t="s">
        <v>314</v>
      </c>
      <c r="B3" s="363" t="s">
        <v>315</v>
      </c>
      <c r="C3" s="369" t="s">
        <v>257</v>
      </c>
      <c r="D3" s="370"/>
      <c r="E3" s="369" t="s">
        <v>258</v>
      </c>
      <c r="F3" s="370"/>
      <c r="G3" s="375" t="s">
        <v>259</v>
      </c>
      <c r="H3" s="377"/>
    </row>
    <row r="4" spans="1:8" s="265" customFormat="1" ht="18" customHeight="1" x14ac:dyDescent="0.2">
      <c r="A4" s="365"/>
      <c r="B4" s="365"/>
      <c r="C4" s="299" t="s">
        <v>69</v>
      </c>
      <c r="D4" s="299" t="s">
        <v>167</v>
      </c>
      <c r="E4" s="299" t="s">
        <v>69</v>
      </c>
      <c r="F4" s="299" t="s">
        <v>167</v>
      </c>
      <c r="G4" s="299" t="s">
        <v>69</v>
      </c>
      <c r="H4" s="299" t="s">
        <v>167</v>
      </c>
    </row>
    <row r="5" spans="1:8" s="265" customFormat="1" ht="18" customHeight="1" x14ac:dyDescent="0.2">
      <c r="A5" s="271">
        <v>1</v>
      </c>
      <c r="B5" s="266" t="s">
        <v>316</v>
      </c>
      <c r="C5" s="306">
        <v>5.8614055519999999</v>
      </c>
      <c r="D5" s="306">
        <v>1.9673810819999999</v>
      </c>
      <c r="E5" s="306">
        <v>3.06</v>
      </c>
      <c r="F5" s="306">
        <v>1.77</v>
      </c>
      <c r="G5" s="307">
        <v>0</v>
      </c>
      <c r="H5" s="271">
        <v>0</v>
      </c>
    </row>
    <row r="6" spans="1:8" s="265" customFormat="1" ht="18" customHeight="1" x14ac:dyDescent="0.2">
      <c r="A6" s="271">
        <v>2</v>
      </c>
      <c r="B6" s="266" t="s">
        <v>317</v>
      </c>
      <c r="C6" s="306">
        <v>0.67433423599999998</v>
      </c>
      <c r="D6" s="306">
        <v>0.61836875999999996</v>
      </c>
      <c r="E6" s="306">
        <v>4.42</v>
      </c>
      <c r="F6" s="306">
        <v>3.2</v>
      </c>
      <c r="G6" s="307">
        <v>0</v>
      </c>
      <c r="H6" s="271">
        <v>0</v>
      </c>
    </row>
    <row r="7" spans="1:8" s="265" customFormat="1" ht="18" customHeight="1" x14ac:dyDescent="0.2">
      <c r="A7" s="271">
        <v>3</v>
      </c>
      <c r="B7" s="266" t="s">
        <v>318</v>
      </c>
      <c r="C7" s="306">
        <v>1.764610974</v>
      </c>
      <c r="D7" s="306">
        <v>0.68372556900000003</v>
      </c>
      <c r="E7" s="306">
        <v>0.38</v>
      </c>
      <c r="F7" s="306">
        <v>0.23</v>
      </c>
      <c r="G7" s="307">
        <v>0</v>
      </c>
      <c r="H7" s="271">
        <v>0</v>
      </c>
    </row>
    <row r="8" spans="1:8" s="265" customFormat="1" ht="18" customHeight="1" x14ac:dyDescent="0.2">
      <c r="A8" s="271">
        <v>4</v>
      </c>
      <c r="B8" s="266" t="s">
        <v>319</v>
      </c>
      <c r="C8" s="306">
        <v>3.7488904000000003E-2</v>
      </c>
      <c r="D8" s="306">
        <v>1.0884718E-2</v>
      </c>
      <c r="E8" s="306">
        <v>0</v>
      </c>
      <c r="F8" s="306">
        <v>0</v>
      </c>
      <c r="G8" s="307">
        <v>0</v>
      </c>
      <c r="H8" s="271">
        <v>0</v>
      </c>
    </row>
    <row r="9" spans="1:8" s="265" customFormat="1" ht="18" customHeight="1" x14ac:dyDescent="0.2">
      <c r="A9" s="271">
        <v>5</v>
      </c>
      <c r="B9" s="266" t="s">
        <v>320</v>
      </c>
      <c r="C9" s="306">
        <v>2.1339291440000001</v>
      </c>
      <c r="D9" s="306">
        <v>0.76313665900000005</v>
      </c>
      <c r="E9" s="306">
        <v>0.9</v>
      </c>
      <c r="F9" s="306">
        <v>0.87</v>
      </c>
      <c r="G9" s="307">
        <v>0</v>
      </c>
      <c r="H9" s="271">
        <v>0</v>
      </c>
    </row>
    <row r="10" spans="1:8" s="265" customFormat="1" ht="18" customHeight="1" x14ac:dyDescent="0.2">
      <c r="A10" s="271">
        <v>6</v>
      </c>
      <c r="B10" s="266" t="s">
        <v>321</v>
      </c>
      <c r="C10" s="306">
        <v>0.23613310200000001</v>
      </c>
      <c r="D10" s="306">
        <v>6.3572963999999996E-2</v>
      </c>
      <c r="E10" s="306">
        <v>0.86</v>
      </c>
      <c r="F10" s="306">
        <v>0.76</v>
      </c>
      <c r="G10" s="307">
        <v>0</v>
      </c>
      <c r="H10" s="271">
        <v>0</v>
      </c>
    </row>
    <row r="11" spans="1:8" s="265" customFormat="1" ht="18" customHeight="1" x14ac:dyDescent="0.2">
      <c r="A11" s="271">
        <v>7</v>
      </c>
      <c r="B11" s="266" t="s">
        <v>322</v>
      </c>
      <c r="C11" s="306">
        <v>0.104512772</v>
      </c>
      <c r="D11" s="306">
        <v>4.6422559000000002E-2</v>
      </c>
      <c r="E11" s="306">
        <v>7.0000000000000007E-2</v>
      </c>
      <c r="F11" s="306">
        <v>0.04</v>
      </c>
      <c r="G11" s="307">
        <v>0</v>
      </c>
      <c r="H11" s="271">
        <v>0</v>
      </c>
    </row>
    <row r="12" spans="1:8" s="265" customFormat="1" ht="18" customHeight="1" x14ac:dyDescent="0.2">
      <c r="A12" s="271">
        <v>8</v>
      </c>
      <c r="B12" s="266" t="s">
        <v>323</v>
      </c>
      <c r="C12" s="306">
        <v>6.0892358079999997</v>
      </c>
      <c r="D12" s="306">
        <v>1.405217599</v>
      </c>
      <c r="E12" s="306">
        <v>6.79</v>
      </c>
      <c r="F12" s="306">
        <v>6.58</v>
      </c>
      <c r="G12" s="307">
        <v>4.28</v>
      </c>
      <c r="H12" s="271">
        <v>41.37</v>
      </c>
    </row>
    <row r="13" spans="1:8" s="265" customFormat="1" ht="18" customHeight="1" x14ac:dyDescent="0.2">
      <c r="A13" s="271">
        <v>9</v>
      </c>
      <c r="B13" s="266" t="s">
        <v>324</v>
      </c>
      <c r="C13" s="306">
        <v>0.12652933</v>
      </c>
      <c r="D13" s="306">
        <v>2.5355625E-2</v>
      </c>
      <c r="E13" s="306">
        <v>0</v>
      </c>
      <c r="F13" s="306">
        <v>0</v>
      </c>
      <c r="G13" s="307">
        <v>0</v>
      </c>
      <c r="H13" s="271">
        <v>0</v>
      </c>
    </row>
    <row r="14" spans="1:8" s="265" customFormat="1" ht="18" customHeight="1" x14ac:dyDescent="0.2">
      <c r="A14" s="271">
        <v>10</v>
      </c>
      <c r="B14" s="266" t="s">
        <v>325</v>
      </c>
      <c r="C14" s="306">
        <v>0.68126328800000002</v>
      </c>
      <c r="D14" s="306">
        <v>0.392936165</v>
      </c>
      <c r="E14" s="306">
        <v>3.51</v>
      </c>
      <c r="F14" s="306">
        <v>3.13</v>
      </c>
      <c r="G14" s="307">
        <v>7.0000000000000007E-2</v>
      </c>
      <c r="H14" s="271">
        <v>0</v>
      </c>
    </row>
    <row r="15" spans="1:8" s="265" customFormat="1" ht="18" customHeight="1" x14ac:dyDescent="0.2">
      <c r="A15" s="271">
        <v>11</v>
      </c>
      <c r="B15" s="266" t="s">
        <v>326</v>
      </c>
      <c r="C15" s="306">
        <v>0.78806026399999995</v>
      </c>
      <c r="D15" s="306">
        <v>0.26998444399999999</v>
      </c>
      <c r="E15" s="306">
        <v>0.53</v>
      </c>
      <c r="F15" s="306">
        <v>0.37</v>
      </c>
      <c r="G15" s="307">
        <v>0.24</v>
      </c>
      <c r="H15" s="271">
        <v>0</v>
      </c>
    </row>
    <row r="16" spans="1:8" s="265" customFormat="1" ht="18" customHeight="1" x14ac:dyDescent="0.2">
      <c r="A16" s="271">
        <v>12</v>
      </c>
      <c r="B16" s="266" t="s">
        <v>327</v>
      </c>
      <c r="C16" s="306">
        <v>1.2835809359999999</v>
      </c>
      <c r="D16" s="306">
        <v>0.40890251900000002</v>
      </c>
      <c r="E16" s="306">
        <v>0.48</v>
      </c>
      <c r="F16" s="306">
        <v>0.3</v>
      </c>
      <c r="G16" s="307">
        <v>0.35</v>
      </c>
      <c r="H16" s="271">
        <v>0</v>
      </c>
    </row>
    <row r="17" spans="1:8" s="265" customFormat="1" ht="18" customHeight="1" x14ac:dyDescent="0.2">
      <c r="A17" s="271">
        <v>13</v>
      </c>
      <c r="B17" s="266" t="s">
        <v>328</v>
      </c>
      <c r="C17" s="306">
        <v>0.63683764399999998</v>
      </c>
      <c r="D17" s="306">
        <v>0.27450249599999998</v>
      </c>
      <c r="E17" s="306">
        <v>0.1</v>
      </c>
      <c r="F17" s="306">
        <v>0.08</v>
      </c>
      <c r="G17" s="307">
        <v>0</v>
      </c>
      <c r="H17" s="271">
        <v>0</v>
      </c>
    </row>
    <row r="18" spans="1:8" s="265" customFormat="1" ht="18" customHeight="1" x14ac:dyDescent="0.2">
      <c r="A18" s="271">
        <v>14</v>
      </c>
      <c r="B18" s="266" t="s">
        <v>329</v>
      </c>
      <c r="C18" s="306">
        <v>7.1267984819999999</v>
      </c>
      <c r="D18" s="306">
        <v>1.7944539690000001</v>
      </c>
      <c r="E18" s="306">
        <v>5.04</v>
      </c>
      <c r="F18" s="306">
        <v>4.59</v>
      </c>
      <c r="G18" s="307">
        <v>1.74</v>
      </c>
      <c r="H18" s="271">
        <v>0</v>
      </c>
    </row>
    <row r="19" spans="1:8" s="265" customFormat="1" ht="18" customHeight="1" x14ac:dyDescent="0.2">
      <c r="A19" s="271">
        <v>15</v>
      </c>
      <c r="B19" s="266" t="s">
        <v>330</v>
      </c>
      <c r="C19" s="306">
        <v>0.192915436</v>
      </c>
      <c r="D19" s="306">
        <v>6.7477490000000001E-2</v>
      </c>
      <c r="E19" s="306">
        <v>0.1</v>
      </c>
      <c r="F19" s="306">
        <v>0.13</v>
      </c>
      <c r="G19" s="307">
        <v>0</v>
      </c>
      <c r="H19" s="271">
        <v>0</v>
      </c>
    </row>
    <row r="20" spans="1:8" s="265" customFormat="1" ht="18" customHeight="1" x14ac:dyDescent="0.2">
      <c r="A20" s="271">
        <v>16</v>
      </c>
      <c r="B20" s="266" t="s">
        <v>331</v>
      </c>
      <c r="C20" s="306">
        <v>3.4209834000000001E-2</v>
      </c>
      <c r="D20" s="306">
        <v>1.4438107E-2</v>
      </c>
      <c r="E20" s="306">
        <v>0</v>
      </c>
      <c r="F20" s="306">
        <v>0</v>
      </c>
      <c r="G20" s="307">
        <v>0</v>
      </c>
      <c r="H20" s="271">
        <v>0</v>
      </c>
    </row>
    <row r="21" spans="1:8" s="265" customFormat="1" ht="18" customHeight="1" x14ac:dyDescent="0.2">
      <c r="A21" s="271">
        <v>17</v>
      </c>
      <c r="B21" s="266" t="s">
        <v>332</v>
      </c>
      <c r="C21" s="306">
        <v>116.74557101400001</v>
      </c>
      <c r="D21" s="306">
        <v>65.756585029999997</v>
      </c>
      <c r="E21" s="306">
        <v>62.05</v>
      </c>
      <c r="F21" s="306">
        <v>66.02</v>
      </c>
      <c r="G21" s="307">
        <v>40.090000000000003</v>
      </c>
      <c r="H21" s="271">
        <v>25.17</v>
      </c>
    </row>
    <row r="22" spans="1:8" s="265" customFormat="1" ht="18" customHeight="1" x14ac:dyDescent="0.2">
      <c r="A22" s="271">
        <v>18</v>
      </c>
      <c r="B22" s="266" t="s">
        <v>333</v>
      </c>
      <c r="C22" s="306">
        <v>0.11882181</v>
      </c>
      <c r="D22" s="306">
        <v>3.6339121000000002E-2</v>
      </c>
      <c r="E22" s="306">
        <v>0</v>
      </c>
      <c r="F22" s="306">
        <v>0</v>
      </c>
      <c r="G22" s="307">
        <v>0</v>
      </c>
      <c r="H22" s="271">
        <v>0</v>
      </c>
    </row>
    <row r="23" spans="1:8" s="265" customFormat="1" ht="18" customHeight="1" x14ac:dyDescent="0.2">
      <c r="A23" s="271">
        <v>19</v>
      </c>
      <c r="B23" s="266" t="s">
        <v>334</v>
      </c>
      <c r="C23" s="306">
        <v>0.69588996400000003</v>
      </c>
      <c r="D23" s="306">
        <v>0.247351657</v>
      </c>
      <c r="E23" s="306">
        <v>0.13</v>
      </c>
      <c r="F23" s="306">
        <v>0.09</v>
      </c>
      <c r="G23" s="307">
        <v>0</v>
      </c>
      <c r="H23" s="271">
        <v>0</v>
      </c>
    </row>
    <row r="24" spans="1:8" s="265" customFormat="1" ht="18" customHeight="1" x14ac:dyDescent="0.2">
      <c r="A24" s="271">
        <v>20</v>
      </c>
      <c r="B24" s="266" t="s">
        <v>335</v>
      </c>
      <c r="C24" s="306">
        <v>3.489610334</v>
      </c>
      <c r="D24" s="306">
        <v>1.2630195360000001</v>
      </c>
      <c r="E24" s="306">
        <v>1.3</v>
      </c>
      <c r="F24" s="306">
        <v>1.1100000000000001</v>
      </c>
      <c r="G24" s="307">
        <v>0</v>
      </c>
      <c r="H24" s="271">
        <v>0</v>
      </c>
    </row>
    <row r="25" spans="1:8" s="265" customFormat="1" ht="18" customHeight="1" x14ac:dyDescent="0.2">
      <c r="A25" s="271">
        <v>21</v>
      </c>
      <c r="B25" s="266" t="s">
        <v>336</v>
      </c>
      <c r="C25" s="306">
        <v>51.178261171999999</v>
      </c>
      <c r="D25" s="306">
        <v>23.889943930000001</v>
      </c>
      <c r="E25" s="306">
        <v>10.26</v>
      </c>
      <c r="F25" s="306">
        <v>10.75</v>
      </c>
      <c r="G25" s="307">
        <v>53.24</v>
      </c>
      <c r="H25" s="271">
        <v>33.46</v>
      </c>
    </row>
    <row r="26" spans="1:8" s="265" customFormat="1" ht="18" customHeight="1" x14ac:dyDescent="0.2">
      <c r="A26" s="288"/>
      <c r="B26" s="288" t="s">
        <v>150</v>
      </c>
      <c r="C26" s="308">
        <v>200.00000000000009</v>
      </c>
      <c r="D26" s="308">
        <v>99.999999998999996</v>
      </c>
      <c r="E26" s="309">
        <v>99.98</v>
      </c>
      <c r="F26" s="310">
        <v>100.02000000000001</v>
      </c>
      <c r="G26" s="309">
        <v>100.01</v>
      </c>
      <c r="H26" s="308">
        <v>100</v>
      </c>
    </row>
    <row r="27" spans="1:8" s="265" customFormat="1" ht="14.25" customHeight="1" x14ac:dyDescent="0.2">
      <c r="A27" s="409" t="s">
        <v>337</v>
      </c>
      <c r="B27" s="410"/>
      <c r="C27" s="410"/>
      <c r="D27" s="410"/>
      <c r="E27" s="411"/>
    </row>
    <row r="28" spans="1:8" s="265" customFormat="1" ht="24" customHeight="1" x14ac:dyDescent="0.2">
      <c r="A28" s="409" t="s">
        <v>338</v>
      </c>
      <c r="B28" s="410"/>
      <c r="C28" s="410"/>
      <c r="D28" s="410"/>
      <c r="E28" s="411"/>
    </row>
    <row r="29" spans="1:8" s="265" customFormat="1" ht="13.5" customHeight="1" x14ac:dyDescent="0.2">
      <c r="A29" s="409" t="s">
        <v>249</v>
      </c>
      <c r="B29" s="410"/>
      <c r="C29" s="410"/>
      <c r="D29" s="410"/>
      <c r="E29" s="411"/>
    </row>
    <row r="30" spans="1:8" s="265" customFormat="1" ht="28.35" customHeight="1" x14ac:dyDescent="0.2"/>
  </sheetData>
  <mergeCells count="10">
    <mergeCell ref="A27:E27"/>
    <mergeCell ref="A28:E28"/>
    <mergeCell ref="A29:E29"/>
    <mergeCell ref="A1:E1"/>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F20"/>
  <sheetViews>
    <sheetView workbookViewId="0">
      <selection sqref="A1:F1"/>
    </sheetView>
  </sheetViews>
  <sheetFormatPr defaultRowHeight="12.75" x14ac:dyDescent="0.2"/>
  <cols>
    <col min="1" max="6" width="14.7109375" style="262" bestFit="1" customWidth="1"/>
    <col min="7" max="7" width="4.7109375" style="262" bestFit="1" customWidth="1"/>
    <col min="8" max="256" width="9.140625" style="262"/>
    <col min="257" max="262" width="14.7109375" style="262" bestFit="1" customWidth="1"/>
    <col min="263" max="263" width="4.7109375" style="262" bestFit="1" customWidth="1"/>
    <col min="264" max="512" width="9.140625" style="262"/>
    <col min="513" max="518" width="14.7109375" style="262" bestFit="1" customWidth="1"/>
    <col min="519" max="519" width="4.7109375" style="262" bestFit="1" customWidth="1"/>
    <col min="520" max="768" width="9.140625" style="262"/>
    <col min="769" max="774" width="14.7109375" style="262" bestFit="1" customWidth="1"/>
    <col min="775" max="775" width="4.7109375" style="262" bestFit="1" customWidth="1"/>
    <col min="776" max="1024" width="9.140625" style="262"/>
    <col min="1025" max="1030" width="14.7109375" style="262" bestFit="1" customWidth="1"/>
    <col min="1031" max="1031" width="4.7109375" style="262" bestFit="1" customWidth="1"/>
    <col min="1032" max="1280" width="9.140625" style="262"/>
    <col min="1281" max="1286" width="14.7109375" style="262" bestFit="1" customWidth="1"/>
    <col min="1287" max="1287" width="4.7109375" style="262" bestFit="1" customWidth="1"/>
    <col min="1288" max="1536" width="9.140625" style="262"/>
    <col min="1537" max="1542" width="14.7109375" style="262" bestFit="1" customWidth="1"/>
    <col min="1543" max="1543" width="4.7109375" style="262" bestFit="1" customWidth="1"/>
    <col min="1544" max="1792" width="9.140625" style="262"/>
    <col min="1793" max="1798" width="14.7109375" style="262" bestFit="1" customWidth="1"/>
    <col min="1799" max="1799" width="4.7109375" style="262" bestFit="1" customWidth="1"/>
    <col min="1800" max="2048" width="9.140625" style="262"/>
    <col min="2049" max="2054" width="14.7109375" style="262" bestFit="1" customWidth="1"/>
    <col min="2055" max="2055" width="4.7109375" style="262" bestFit="1" customWidth="1"/>
    <col min="2056" max="2304" width="9.140625" style="262"/>
    <col min="2305" max="2310" width="14.7109375" style="262" bestFit="1" customWidth="1"/>
    <col min="2311" max="2311" width="4.7109375" style="262" bestFit="1" customWidth="1"/>
    <col min="2312" max="2560" width="9.140625" style="262"/>
    <col min="2561" max="2566" width="14.7109375" style="262" bestFit="1" customWidth="1"/>
    <col min="2567" max="2567" width="4.7109375" style="262" bestFit="1" customWidth="1"/>
    <col min="2568" max="2816" width="9.140625" style="262"/>
    <col min="2817" max="2822" width="14.7109375" style="262" bestFit="1" customWidth="1"/>
    <col min="2823" max="2823" width="4.7109375" style="262" bestFit="1" customWidth="1"/>
    <col min="2824" max="3072" width="9.140625" style="262"/>
    <col min="3073" max="3078" width="14.7109375" style="262" bestFit="1" customWidth="1"/>
    <col min="3079" max="3079" width="4.7109375" style="262" bestFit="1" customWidth="1"/>
    <col min="3080" max="3328" width="9.140625" style="262"/>
    <col min="3329" max="3334" width="14.7109375" style="262" bestFit="1" customWidth="1"/>
    <col min="3335" max="3335" width="4.7109375" style="262" bestFit="1" customWidth="1"/>
    <col min="3336" max="3584" width="9.140625" style="262"/>
    <col min="3585" max="3590" width="14.7109375" style="262" bestFit="1" customWidth="1"/>
    <col min="3591" max="3591" width="4.7109375" style="262" bestFit="1" customWidth="1"/>
    <col min="3592" max="3840" width="9.140625" style="262"/>
    <col min="3841" max="3846" width="14.7109375" style="262" bestFit="1" customWidth="1"/>
    <col min="3847" max="3847" width="4.7109375" style="262" bestFit="1" customWidth="1"/>
    <col min="3848" max="4096" width="9.140625" style="262"/>
    <col min="4097" max="4102" width="14.7109375" style="262" bestFit="1" customWidth="1"/>
    <col min="4103" max="4103" width="4.7109375" style="262" bestFit="1" customWidth="1"/>
    <col min="4104" max="4352" width="9.140625" style="262"/>
    <col min="4353" max="4358" width="14.7109375" style="262" bestFit="1" customWidth="1"/>
    <col min="4359" max="4359" width="4.7109375" style="262" bestFit="1" customWidth="1"/>
    <col min="4360" max="4608" width="9.140625" style="262"/>
    <col min="4609" max="4614" width="14.7109375" style="262" bestFit="1" customWidth="1"/>
    <col min="4615" max="4615" width="4.7109375" style="262" bestFit="1" customWidth="1"/>
    <col min="4616" max="4864" width="9.140625" style="262"/>
    <col min="4865" max="4870" width="14.7109375" style="262" bestFit="1" customWidth="1"/>
    <col min="4871" max="4871" width="4.7109375" style="262" bestFit="1" customWidth="1"/>
    <col min="4872" max="5120" width="9.140625" style="262"/>
    <col min="5121" max="5126" width="14.7109375" style="262" bestFit="1" customWidth="1"/>
    <col min="5127" max="5127" width="4.7109375" style="262" bestFit="1" customWidth="1"/>
    <col min="5128" max="5376" width="9.140625" style="262"/>
    <col min="5377" max="5382" width="14.7109375" style="262" bestFit="1" customWidth="1"/>
    <col min="5383" max="5383" width="4.7109375" style="262" bestFit="1" customWidth="1"/>
    <col min="5384" max="5632" width="9.140625" style="262"/>
    <col min="5633" max="5638" width="14.7109375" style="262" bestFit="1" customWidth="1"/>
    <col min="5639" max="5639" width="4.7109375" style="262" bestFit="1" customWidth="1"/>
    <col min="5640" max="5888" width="9.140625" style="262"/>
    <col min="5889" max="5894" width="14.7109375" style="262" bestFit="1" customWidth="1"/>
    <col min="5895" max="5895" width="4.7109375" style="262" bestFit="1" customWidth="1"/>
    <col min="5896" max="6144" width="9.140625" style="262"/>
    <col min="6145" max="6150" width="14.7109375" style="262" bestFit="1" customWidth="1"/>
    <col min="6151" max="6151" width="4.7109375" style="262" bestFit="1" customWidth="1"/>
    <col min="6152" max="6400" width="9.140625" style="262"/>
    <col min="6401" max="6406" width="14.7109375" style="262" bestFit="1" customWidth="1"/>
    <col min="6407" max="6407" width="4.7109375" style="262" bestFit="1" customWidth="1"/>
    <col min="6408" max="6656" width="9.140625" style="262"/>
    <col min="6657" max="6662" width="14.7109375" style="262" bestFit="1" customWidth="1"/>
    <col min="6663" max="6663" width="4.7109375" style="262" bestFit="1" customWidth="1"/>
    <col min="6664" max="6912" width="9.140625" style="262"/>
    <col min="6913" max="6918" width="14.7109375" style="262" bestFit="1" customWidth="1"/>
    <col min="6919" max="6919" width="4.7109375" style="262" bestFit="1" customWidth="1"/>
    <col min="6920" max="7168" width="9.140625" style="262"/>
    <col min="7169" max="7174" width="14.7109375" style="262" bestFit="1" customWidth="1"/>
    <col min="7175" max="7175" width="4.7109375" style="262" bestFit="1" customWidth="1"/>
    <col min="7176" max="7424" width="9.140625" style="262"/>
    <col min="7425" max="7430" width="14.7109375" style="262" bestFit="1" customWidth="1"/>
    <col min="7431" max="7431" width="4.7109375" style="262" bestFit="1" customWidth="1"/>
    <col min="7432" max="7680" width="9.140625" style="262"/>
    <col min="7681" max="7686" width="14.7109375" style="262" bestFit="1" customWidth="1"/>
    <col min="7687" max="7687" width="4.7109375" style="262" bestFit="1" customWidth="1"/>
    <col min="7688" max="7936" width="9.140625" style="262"/>
    <col min="7937" max="7942" width="14.7109375" style="262" bestFit="1" customWidth="1"/>
    <col min="7943" max="7943" width="4.7109375" style="262" bestFit="1" customWidth="1"/>
    <col min="7944" max="8192" width="9.140625" style="262"/>
    <col min="8193" max="8198" width="14.7109375" style="262" bestFit="1" customWidth="1"/>
    <col min="8199" max="8199" width="4.7109375" style="262" bestFit="1" customWidth="1"/>
    <col min="8200" max="8448" width="9.140625" style="262"/>
    <col min="8449" max="8454" width="14.7109375" style="262" bestFit="1" customWidth="1"/>
    <col min="8455" max="8455" width="4.7109375" style="262" bestFit="1" customWidth="1"/>
    <col min="8456" max="8704" width="9.140625" style="262"/>
    <col min="8705" max="8710" width="14.7109375" style="262" bestFit="1" customWidth="1"/>
    <col min="8711" max="8711" width="4.7109375" style="262" bestFit="1" customWidth="1"/>
    <col min="8712" max="8960" width="9.140625" style="262"/>
    <col min="8961" max="8966" width="14.7109375" style="262" bestFit="1" customWidth="1"/>
    <col min="8967" max="8967" width="4.7109375" style="262" bestFit="1" customWidth="1"/>
    <col min="8968" max="9216" width="9.140625" style="262"/>
    <col min="9217" max="9222" width="14.7109375" style="262" bestFit="1" customWidth="1"/>
    <col min="9223" max="9223" width="4.7109375" style="262" bestFit="1" customWidth="1"/>
    <col min="9224" max="9472" width="9.140625" style="262"/>
    <col min="9473" max="9478" width="14.7109375" style="262" bestFit="1" customWidth="1"/>
    <col min="9479" max="9479" width="4.7109375" style="262" bestFit="1" customWidth="1"/>
    <col min="9480" max="9728" width="9.140625" style="262"/>
    <col min="9729" max="9734" width="14.7109375" style="262" bestFit="1" customWidth="1"/>
    <col min="9735" max="9735" width="4.7109375" style="262" bestFit="1" customWidth="1"/>
    <col min="9736" max="9984" width="9.140625" style="262"/>
    <col min="9985" max="9990" width="14.7109375" style="262" bestFit="1" customWidth="1"/>
    <col min="9991" max="9991" width="4.7109375" style="262" bestFit="1" customWidth="1"/>
    <col min="9992" max="10240" width="9.140625" style="262"/>
    <col min="10241" max="10246" width="14.7109375" style="262" bestFit="1" customWidth="1"/>
    <col min="10247" max="10247" width="4.7109375" style="262" bestFit="1" customWidth="1"/>
    <col min="10248" max="10496" width="9.140625" style="262"/>
    <col min="10497" max="10502" width="14.7109375" style="262" bestFit="1" customWidth="1"/>
    <col min="10503" max="10503" width="4.7109375" style="262" bestFit="1" customWidth="1"/>
    <col min="10504" max="10752" width="9.140625" style="262"/>
    <col min="10753" max="10758" width="14.7109375" style="262" bestFit="1" customWidth="1"/>
    <col min="10759" max="10759" width="4.7109375" style="262" bestFit="1" customWidth="1"/>
    <col min="10760" max="11008" width="9.140625" style="262"/>
    <col min="11009" max="11014" width="14.7109375" style="262" bestFit="1" customWidth="1"/>
    <col min="11015" max="11015" width="4.7109375" style="262" bestFit="1" customWidth="1"/>
    <col min="11016" max="11264" width="9.140625" style="262"/>
    <col min="11265" max="11270" width="14.7109375" style="262" bestFit="1" customWidth="1"/>
    <col min="11271" max="11271" width="4.7109375" style="262" bestFit="1" customWidth="1"/>
    <col min="11272" max="11520" width="9.140625" style="262"/>
    <col min="11521" max="11526" width="14.7109375" style="262" bestFit="1" customWidth="1"/>
    <col min="11527" max="11527" width="4.7109375" style="262" bestFit="1" customWidth="1"/>
    <col min="11528" max="11776" width="9.140625" style="262"/>
    <col min="11777" max="11782" width="14.7109375" style="262" bestFit="1" customWidth="1"/>
    <col min="11783" max="11783" width="4.7109375" style="262" bestFit="1" customWidth="1"/>
    <col min="11784" max="12032" width="9.140625" style="262"/>
    <col min="12033" max="12038" width="14.7109375" style="262" bestFit="1" customWidth="1"/>
    <col min="12039" max="12039" width="4.7109375" style="262" bestFit="1" customWidth="1"/>
    <col min="12040" max="12288" width="9.140625" style="262"/>
    <col min="12289" max="12294" width="14.7109375" style="262" bestFit="1" customWidth="1"/>
    <col min="12295" max="12295" width="4.7109375" style="262" bestFit="1" customWidth="1"/>
    <col min="12296" max="12544" width="9.140625" style="262"/>
    <col min="12545" max="12550" width="14.7109375" style="262" bestFit="1" customWidth="1"/>
    <col min="12551" max="12551" width="4.7109375" style="262" bestFit="1" customWidth="1"/>
    <col min="12552" max="12800" width="9.140625" style="262"/>
    <col min="12801" max="12806" width="14.7109375" style="262" bestFit="1" customWidth="1"/>
    <col min="12807" max="12807" width="4.7109375" style="262" bestFit="1" customWidth="1"/>
    <col min="12808" max="13056" width="9.140625" style="262"/>
    <col min="13057" max="13062" width="14.7109375" style="262" bestFit="1" customWidth="1"/>
    <col min="13063" max="13063" width="4.7109375" style="262" bestFit="1" customWidth="1"/>
    <col min="13064" max="13312" width="9.140625" style="262"/>
    <col min="13313" max="13318" width="14.7109375" style="262" bestFit="1" customWidth="1"/>
    <col min="13319" max="13319" width="4.7109375" style="262" bestFit="1" customWidth="1"/>
    <col min="13320" max="13568" width="9.140625" style="262"/>
    <col min="13569" max="13574" width="14.7109375" style="262" bestFit="1" customWidth="1"/>
    <col min="13575" max="13575" width="4.7109375" style="262" bestFit="1" customWidth="1"/>
    <col min="13576" max="13824" width="9.140625" style="262"/>
    <col min="13825" max="13830" width="14.7109375" style="262" bestFit="1" customWidth="1"/>
    <col min="13831" max="13831" width="4.7109375" style="262" bestFit="1" customWidth="1"/>
    <col min="13832" max="14080" width="9.140625" style="262"/>
    <col min="14081" max="14086" width="14.7109375" style="262" bestFit="1" customWidth="1"/>
    <col min="14087" max="14087" width="4.7109375" style="262" bestFit="1" customWidth="1"/>
    <col min="14088" max="14336" width="9.140625" style="262"/>
    <col min="14337" max="14342" width="14.7109375" style="262" bestFit="1" customWidth="1"/>
    <col min="14343" max="14343" width="4.7109375" style="262" bestFit="1" customWidth="1"/>
    <col min="14344" max="14592" width="9.140625" style="262"/>
    <col min="14593" max="14598" width="14.7109375" style="262" bestFit="1" customWidth="1"/>
    <col min="14599" max="14599" width="4.7109375" style="262" bestFit="1" customWidth="1"/>
    <col min="14600" max="14848" width="9.140625" style="262"/>
    <col min="14849" max="14854" width="14.7109375" style="262" bestFit="1" customWidth="1"/>
    <col min="14855" max="14855" width="4.7109375" style="262" bestFit="1" customWidth="1"/>
    <col min="14856" max="15104" width="9.140625" style="262"/>
    <col min="15105" max="15110" width="14.7109375" style="262" bestFit="1" customWidth="1"/>
    <col min="15111" max="15111" width="4.7109375" style="262" bestFit="1" customWidth="1"/>
    <col min="15112" max="15360" width="9.140625" style="262"/>
    <col min="15361" max="15366" width="14.7109375" style="262" bestFit="1" customWidth="1"/>
    <col min="15367" max="15367" width="4.7109375" style="262" bestFit="1" customWidth="1"/>
    <col min="15368" max="15616" width="9.140625" style="262"/>
    <col min="15617" max="15622" width="14.7109375" style="262" bestFit="1" customWidth="1"/>
    <col min="15623" max="15623" width="4.7109375" style="262" bestFit="1" customWidth="1"/>
    <col min="15624" max="15872" width="9.140625" style="262"/>
    <col min="15873" max="15878" width="14.7109375" style="262" bestFit="1" customWidth="1"/>
    <col min="15879" max="15879" width="4.7109375" style="262" bestFit="1" customWidth="1"/>
    <col min="15880" max="16128" width="9.140625" style="262"/>
    <col min="16129" max="16134" width="14.7109375" style="262" bestFit="1" customWidth="1"/>
    <col min="16135" max="16135" width="4.7109375" style="262" bestFit="1" customWidth="1"/>
    <col min="16136" max="16384" width="9.140625" style="262"/>
  </cols>
  <sheetData>
    <row r="1" spans="1:6" ht="15" customHeight="1" x14ac:dyDescent="0.2">
      <c r="A1" s="385" t="s">
        <v>23</v>
      </c>
      <c r="B1" s="385"/>
      <c r="C1" s="385"/>
      <c r="D1" s="385"/>
      <c r="E1" s="385"/>
      <c r="F1" s="385"/>
    </row>
    <row r="2" spans="1:6" s="265" customFormat="1" ht="18" customHeight="1" x14ac:dyDescent="0.2">
      <c r="A2" s="363" t="s">
        <v>147</v>
      </c>
      <c r="B2" s="369" t="s">
        <v>339</v>
      </c>
      <c r="C2" s="395"/>
      <c r="D2" s="395"/>
      <c r="E2" s="395"/>
      <c r="F2" s="370"/>
    </row>
    <row r="3" spans="1:6" s="265" customFormat="1" ht="18" customHeight="1" x14ac:dyDescent="0.2">
      <c r="A3" s="365"/>
      <c r="B3" s="299" t="s">
        <v>340</v>
      </c>
      <c r="C3" s="299" t="s">
        <v>341</v>
      </c>
      <c r="D3" s="299" t="s">
        <v>97</v>
      </c>
      <c r="E3" s="299" t="s">
        <v>342</v>
      </c>
      <c r="F3" s="299" t="s">
        <v>336</v>
      </c>
    </row>
    <row r="4" spans="1:6" s="265" customFormat="1" ht="18" customHeight="1" x14ac:dyDescent="0.2">
      <c r="A4" s="266" t="s">
        <v>69</v>
      </c>
      <c r="B4" s="306">
        <v>16.664204309999999</v>
      </c>
      <c r="C4" s="306">
        <v>15.729892521</v>
      </c>
      <c r="D4" s="306">
        <v>8.2295987089999993</v>
      </c>
      <c r="E4" s="306">
        <v>0.14340144399999999</v>
      </c>
      <c r="F4" s="306">
        <v>59.232903014999998</v>
      </c>
    </row>
    <row r="5" spans="1:6" s="265" customFormat="1" ht="18" customHeight="1" x14ac:dyDescent="0.2">
      <c r="A5" s="266" t="s">
        <v>70</v>
      </c>
      <c r="B5" s="306">
        <v>22.352499999999999</v>
      </c>
      <c r="C5" s="306">
        <v>12.430833333000001</v>
      </c>
      <c r="D5" s="306">
        <v>7.94</v>
      </c>
      <c r="E5" s="306">
        <v>5.1666666999999999E-2</v>
      </c>
      <c r="F5" s="306">
        <v>57.224166666999999</v>
      </c>
    </row>
    <row r="6" spans="1:6" s="265" customFormat="1" ht="18" customHeight="1" x14ac:dyDescent="0.2">
      <c r="A6" s="266" t="s">
        <v>156</v>
      </c>
      <c r="B6" s="306">
        <v>19.98</v>
      </c>
      <c r="C6" s="306">
        <v>15.4</v>
      </c>
      <c r="D6" s="306">
        <v>8.0299999999999994</v>
      </c>
      <c r="E6" s="306">
        <v>0.05</v>
      </c>
      <c r="F6" s="306">
        <v>56.54</v>
      </c>
    </row>
    <row r="7" spans="1:6" s="265" customFormat="1" ht="18" customHeight="1" x14ac:dyDescent="0.2">
      <c r="A7" s="266" t="s">
        <v>157</v>
      </c>
      <c r="B7" s="306">
        <v>21.77</v>
      </c>
      <c r="C7" s="306">
        <v>15.09</v>
      </c>
      <c r="D7" s="306">
        <v>9.4700000000000006</v>
      </c>
      <c r="E7" s="306">
        <v>0.05</v>
      </c>
      <c r="F7" s="306">
        <v>53.62</v>
      </c>
    </row>
    <row r="8" spans="1:6" s="265" customFormat="1" ht="18" customHeight="1" x14ac:dyDescent="0.2">
      <c r="A8" s="266" t="s">
        <v>158</v>
      </c>
      <c r="B8" s="306">
        <v>18.97</v>
      </c>
      <c r="C8" s="306">
        <v>18.77</v>
      </c>
      <c r="D8" s="306">
        <v>8.1999999999999993</v>
      </c>
      <c r="E8" s="306">
        <v>0.12</v>
      </c>
      <c r="F8" s="306">
        <v>53.94</v>
      </c>
    </row>
    <row r="9" spans="1:6" s="265" customFormat="1" ht="18" customHeight="1" x14ac:dyDescent="0.2">
      <c r="A9" s="266" t="s">
        <v>159</v>
      </c>
      <c r="B9" s="306">
        <v>20.54</v>
      </c>
      <c r="C9" s="306">
        <v>15.82</v>
      </c>
      <c r="D9" s="306">
        <v>7.9</v>
      </c>
      <c r="E9" s="306">
        <v>0.04</v>
      </c>
      <c r="F9" s="306">
        <v>55.7</v>
      </c>
    </row>
    <row r="10" spans="1:6" s="265" customFormat="1" ht="18" customHeight="1" x14ac:dyDescent="0.2">
      <c r="A10" s="266" t="s">
        <v>160</v>
      </c>
      <c r="B10" s="306">
        <v>22.8</v>
      </c>
      <c r="C10" s="306">
        <v>10.49</v>
      </c>
      <c r="D10" s="306">
        <v>7.1</v>
      </c>
      <c r="E10" s="306">
        <v>0.06</v>
      </c>
      <c r="F10" s="306">
        <v>59.55</v>
      </c>
    </row>
    <row r="11" spans="1:6" s="265" customFormat="1" ht="18" customHeight="1" x14ac:dyDescent="0.2">
      <c r="A11" s="266" t="s">
        <v>161</v>
      </c>
      <c r="B11" s="306">
        <v>24.6</v>
      </c>
      <c r="C11" s="306">
        <v>12.03</v>
      </c>
      <c r="D11" s="306">
        <v>7.67</v>
      </c>
      <c r="E11" s="306">
        <v>0.04</v>
      </c>
      <c r="F11" s="306">
        <v>55.67</v>
      </c>
    </row>
    <row r="12" spans="1:6" s="265" customFormat="1" ht="18" customHeight="1" x14ac:dyDescent="0.2">
      <c r="A12" s="266" t="s">
        <v>162</v>
      </c>
      <c r="B12" s="306">
        <v>26.14</v>
      </c>
      <c r="C12" s="306">
        <v>9.5299999999999994</v>
      </c>
      <c r="D12" s="306">
        <v>8.43</v>
      </c>
      <c r="E12" s="306">
        <v>0.05</v>
      </c>
      <c r="F12" s="306">
        <v>55.85</v>
      </c>
    </row>
    <row r="13" spans="1:6" s="265" customFormat="1" ht="18" customHeight="1" x14ac:dyDescent="0.2">
      <c r="A13" s="266" t="s">
        <v>163</v>
      </c>
      <c r="B13" s="306">
        <v>22.08</v>
      </c>
      <c r="C13" s="306">
        <v>13.98</v>
      </c>
      <c r="D13" s="306">
        <v>9.73</v>
      </c>
      <c r="E13" s="306">
        <v>0.03</v>
      </c>
      <c r="F13" s="306">
        <v>54.18</v>
      </c>
    </row>
    <row r="14" spans="1:6" s="265" customFormat="1" ht="18" customHeight="1" x14ac:dyDescent="0.2">
      <c r="A14" s="266" t="s">
        <v>164</v>
      </c>
      <c r="B14" s="306">
        <v>26.71</v>
      </c>
      <c r="C14" s="306">
        <v>8.9600000000000009</v>
      </c>
      <c r="D14" s="306">
        <v>5.83</v>
      </c>
      <c r="E14" s="306">
        <v>0.04</v>
      </c>
      <c r="F14" s="306">
        <v>58.46</v>
      </c>
    </row>
    <row r="15" spans="1:6" s="265" customFormat="1" ht="18" customHeight="1" x14ac:dyDescent="0.2">
      <c r="A15" s="266" t="s">
        <v>165</v>
      </c>
      <c r="B15" s="306">
        <v>23.06</v>
      </c>
      <c r="C15" s="306">
        <v>8.89</v>
      </c>
      <c r="D15" s="306">
        <v>11.98</v>
      </c>
      <c r="E15" s="306">
        <v>0.05</v>
      </c>
      <c r="F15" s="306">
        <v>56.02</v>
      </c>
    </row>
    <row r="16" spans="1:6" s="265" customFormat="1" ht="18" customHeight="1" x14ac:dyDescent="0.2">
      <c r="A16" s="266" t="s">
        <v>166</v>
      </c>
      <c r="B16" s="306">
        <v>24.78</v>
      </c>
      <c r="C16" s="306">
        <v>7.89</v>
      </c>
      <c r="D16" s="306">
        <v>5.66</v>
      </c>
      <c r="E16" s="306">
        <v>0.05</v>
      </c>
      <c r="F16" s="306">
        <v>61.62</v>
      </c>
    </row>
    <row r="17" spans="1:6" s="265" customFormat="1" ht="18" customHeight="1" x14ac:dyDescent="0.2">
      <c r="A17" s="266" t="s">
        <v>167</v>
      </c>
      <c r="B17" s="306">
        <v>16.760000000000002</v>
      </c>
      <c r="C17" s="306">
        <v>12.71</v>
      </c>
      <c r="D17" s="306">
        <v>5.28</v>
      </c>
      <c r="E17" s="306">
        <v>0.04</v>
      </c>
      <c r="F17" s="306">
        <v>65.209999999999994</v>
      </c>
    </row>
    <row r="18" spans="1:6" s="265" customFormat="1" ht="15" customHeight="1" x14ac:dyDescent="0.2">
      <c r="A18" s="353" t="s">
        <v>106</v>
      </c>
      <c r="B18" s="353"/>
      <c r="C18" s="353"/>
      <c r="D18" s="353"/>
      <c r="E18" s="353"/>
    </row>
    <row r="19" spans="1:6" s="265" customFormat="1" ht="13.5" customHeight="1" x14ac:dyDescent="0.2">
      <c r="A19" s="353" t="s">
        <v>343</v>
      </c>
      <c r="B19" s="353"/>
      <c r="C19" s="353"/>
      <c r="D19" s="353"/>
      <c r="E19" s="353"/>
    </row>
    <row r="20" spans="1:6" s="265" customFormat="1" ht="28.35" customHeight="1" x14ac:dyDescent="0.2"/>
  </sheetData>
  <mergeCells count="5">
    <mergeCell ref="A1:F1"/>
    <mergeCell ref="A2:A3"/>
    <mergeCell ref="B2:F2"/>
    <mergeCell ref="A18:E18"/>
    <mergeCell ref="A19:E19"/>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F20"/>
  <sheetViews>
    <sheetView workbookViewId="0">
      <selection sqref="A1:F1"/>
    </sheetView>
  </sheetViews>
  <sheetFormatPr defaultRowHeight="12.75" x14ac:dyDescent="0.2"/>
  <cols>
    <col min="1" max="6" width="14.7109375" style="262" bestFit="1" customWidth="1"/>
    <col min="7" max="7" width="4.7109375" style="262" bestFit="1" customWidth="1"/>
    <col min="8" max="256" width="9.140625" style="262"/>
    <col min="257" max="262" width="14.7109375" style="262" bestFit="1" customWidth="1"/>
    <col min="263" max="263" width="4.7109375" style="262" bestFit="1" customWidth="1"/>
    <col min="264" max="512" width="9.140625" style="262"/>
    <col min="513" max="518" width="14.7109375" style="262" bestFit="1" customWidth="1"/>
    <col min="519" max="519" width="4.7109375" style="262" bestFit="1" customWidth="1"/>
    <col min="520" max="768" width="9.140625" style="262"/>
    <col min="769" max="774" width="14.7109375" style="262" bestFit="1" customWidth="1"/>
    <col min="775" max="775" width="4.7109375" style="262" bestFit="1" customWidth="1"/>
    <col min="776" max="1024" width="9.140625" style="262"/>
    <col min="1025" max="1030" width="14.7109375" style="262" bestFit="1" customWidth="1"/>
    <col min="1031" max="1031" width="4.7109375" style="262" bestFit="1" customWidth="1"/>
    <col min="1032" max="1280" width="9.140625" style="262"/>
    <col min="1281" max="1286" width="14.7109375" style="262" bestFit="1" customWidth="1"/>
    <col min="1287" max="1287" width="4.7109375" style="262" bestFit="1" customWidth="1"/>
    <col min="1288" max="1536" width="9.140625" style="262"/>
    <col min="1537" max="1542" width="14.7109375" style="262" bestFit="1" customWidth="1"/>
    <col min="1543" max="1543" width="4.7109375" style="262" bestFit="1" customWidth="1"/>
    <col min="1544" max="1792" width="9.140625" style="262"/>
    <col min="1793" max="1798" width="14.7109375" style="262" bestFit="1" customWidth="1"/>
    <col min="1799" max="1799" width="4.7109375" style="262" bestFit="1" customWidth="1"/>
    <col min="1800" max="2048" width="9.140625" style="262"/>
    <col min="2049" max="2054" width="14.7109375" style="262" bestFit="1" customWidth="1"/>
    <col min="2055" max="2055" width="4.7109375" style="262" bestFit="1" customWidth="1"/>
    <col min="2056" max="2304" width="9.140625" style="262"/>
    <col min="2305" max="2310" width="14.7109375" style="262" bestFit="1" customWidth="1"/>
    <col min="2311" max="2311" width="4.7109375" style="262" bestFit="1" customWidth="1"/>
    <col min="2312" max="2560" width="9.140625" style="262"/>
    <col min="2561" max="2566" width="14.7109375" style="262" bestFit="1" customWidth="1"/>
    <col min="2567" max="2567" width="4.7109375" style="262" bestFit="1" customWidth="1"/>
    <col min="2568" max="2816" width="9.140625" style="262"/>
    <col min="2817" max="2822" width="14.7109375" style="262" bestFit="1" customWidth="1"/>
    <col min="2823" max="2823" width="4.7109375" style="262" bestFit="1" customWidth="1"/>
    <col min="2824" max="3072" width="9.140625" style="262"/>
    <col min="3073" max="3078" width="14.7109375" style="262" bestFit="1" customWidth="1"/>
    <col min="3079" max="3079" width="4.7109375" style="262" bestFit="1" customWidth="1"/>
    <col min="3080" max="3328" width="9.140625" style="262"/>
    <col min="3329" max="3334" width="14.7109375" style="262" bestFit="1" customWidth="1"/>
    <col min="3335" max="3335" width="4.7109375" style="262" bestFit="1" customWidth="1"/>
    <col min="3336" max="3584" width="9.140625" style="262"/>
    <col min="3585" max="3590" width="14.7109375" style="262" bestFit="1" customWidth="1"/>
    <col min="3591" max="3591" width="4.7109375" style="262" bestFit="1" customWidth="1"/>
    <col min="3592" max="3840" width="9.140625" style="262"/>
    <col min="3841" max="3846" width="14.7109375" style="262" bestFit="1" customWidth="1"/>
    <col min="3847" max="3847" width="4.7109375" style="262" bestFit="1" customWidth="1"/>
    <col min="3848" max="4096" width="9.140625" style="262"/>
    <col min="4097" max="4102" width="14.7109375" style="262" bestFit="1" customWidth="1"/>
    <col min="4103" max="4103" width="4.7109375" style="262" bestFit="1" customWidth="1"/>
    <col min="4104" max="4352" width="9.140625" style="262"/>
    <col min="4353" max="4358" width="14.7109375" style="262" bestFit="1" customWidth="1"/>
    <col min="4359" max="4359" width="4.7109375" style="262" bestFit="1" customWidth="1"/>
    <col min="4360" max="4608" width="9.140625" style="262"/>
    <col min="4609" max="4614" width="14.7109375" style="262" bestFit="1" customWidth="1"/>
    <col min="4615" max="4615" width="4.7109375" style="262" bestFit="1" customWidth="1"/>
    <col min="4616" max="4864" width="9.140625" style="262"/>
    <col min="4865" max="4870" width="14.7109375" style="262" bestFit="1" customWidth="1"/>
    <col min="4871" max="4871" width="4.7109375" style="262" bestFit="1" customWidth="1"/>
    <col min="4872" max="5120" width="9.140625" style="262"/>
    <col min="5121" max="5126" width="14.7109375" style="262" bestFit="1" customWidth="1"/>
    <col min="5127" max="5127" width="4.7109375" style="262" bestFit="1" customWidth="1"/>
    <col min="5128" max="5376" width="9.140625" style="262"/>
    <col min="5377" max="5382" width="14.7109375" style="262" bestFit="1" customWidth="1"/>
    <col min="5383" max="5383" width="4.7109375" style="262" bestFit="1" customWidth="1"/>
    <col min="5384" max="5632" width="9.140625" style="262"/>
    <col min="5633" max="5638" width="14.7109375" style="262" bestFit="1" customWidth="1"/>
    <col min="5639" max="5639" width="4.7109375" style="262" bestFit="1" customWidth="1"/>
    <col min="5640" max="5888" width="9.140625" style="262"/>
    <col min="5889" max="5894" width="14.7109375" style="262" bestFit="1" customWidth="1"/>
    <col min="5895" max="5895" width="4.7109375" style="262" bestFit="1" customWidth="1"/>
    <col min="5896" max="6144" width="9.140625" style="262"/>
    <col min="6145" max="6150" width="14.7109375" style="262" bestFit="1" customWidth="1"/>
    <col min="6151" max="6151" width="4.7109375" style="262" bestFit="1" customWidth="1"/>
    <col min="6152" max="6400" width="9.140625" style="262"/>
    <col min="6401" max="6406" width="14.7109375" style="262" bestFit="1" customWidth="1"/>
    <col min="6407" max="6407" width="4.7109375" style="262" bestFit="1" customWidth="1"/>
    <col min="6408" max="6656" width="9.140625" style="262"/>
    <col min="6657" max="6662" width="14.7109375" style="262" bestFit="1" customWidth="1"/>
    <col min="6663" max="6663" width="4.7109375" style="262" bestFit="1" customWidth="1"/>
    <col min="6664" max="6912" width="9.140625" style="262"/>
    <col min="6913" max="6918" width="14.7109375" style="262" bestFit="1" customWidth="1"/>
    <col min="6919" max="6919" width="4.7109375" style="262" bestFit="1" customWidth="1"/>
    <col min="6920" max="7168" width="9.140625" style="262"/>
    <col min="7169" max="7174" width="14.7109375" style="262" bestFit="1" customWidth="1"/>
    <col min="7175" max="7175" width="4.7109375" style="262" bestFit="1" customWidth="1"/>
    <col min="7176" max="7424" width="9.140625" style="262"/>
    <col min="7425" max="7430" width="14.7109375" style="262" bestFit="1" customWidth="1"/>
    <col min="7431" max="7431" width="4.7109375" style="262" bestFit="1" customWidth="1"/>
    <col min="7432" max="7680" width="9.140625" style="262"/>
    <col min="7681" max="7686" width="14.7109375" style="262" bestFit="1" customWidth="1"/>
    <col min="7687" max="7687" width="4.7109375" style="262" bestFit="1" customWidth="1"/>
    <col min="7688" max="7936" width="9.140625" style="262"/>
    <col min="7937" max="7942" width="14.7109375" style="262" bestFit="1" customWidth="1"/>
    <col min="7943" max="7943" width="4.7109375" style="262" bestFit="1" customWidth="1"/>
    <col min="7944" max="8192" width="9.140625" style="262"/>
    <col min="8193" max="8198" width="14.7109375" style="262" bestFit="1" customWidth="1"/>
    <col min="8199" max="8199" width="4.7109375" style="262" bestFit="1" customWidth="1"/>
    <col min="8200" max="8448" width="9.140625" style="262"/>
    <col min="8449" max="8454" width="14.7109375" style="262" bestFit="1" customWidth="1"/>
    <col min="8455" max="8455" width="4.7109375" style="262" bestFit="1" customWidth="1"/>
    <col min="8456" max="8704" width="9.140625" style="262"/>
    <col min="8705" max="8710" width="14.7109375" style="262" bestFit="1" customWidth="1"/>
    <col min="8711" max="8711" width="4.7109375" style="262" bestFit="1" customWidth="1"/>
    <col min="8712" max="8960" width="9.140625" style="262"/>
    <col min="8961" max="8966" width="14.7109375" style="262" bestFit="1" customWidth="1"/>
    <col min="8967" max="8967" width="4.7109375" style="262" bestFit="1" customWidth="1"/>
    <col min="8968" max="9216" width="9.140625" style="262"/>
    <col min="9217" max="9222" width="14.7109375" style="262" bestFit="1" customWidth="1"/>
    <col min="9223" max="9223" width="4.7109375" style="262" bestFit="1" customWidth="1"/>
    <col min="9224" max="9472" width="9.140625" style="262"/>
    <col min="9473" max="9478" width="14.7109375" style="262" bestFit="1" customWidth="1"/>
    <col min="9479" max="9479" width="4.7109375" style="262" bestFit="1" customWidth="1"/>
    <col min="9480" max="9728" width="9.140625" style="262"/>
    <col min="9729" max="9734" width="14.7109375" style="262" bestFit="1" customWidth="1"/>
    <col min="9735" max="9735" width="4.7109375" style="262" bestFit="1" customWidth="1"/>
    <col min="9736" max="9984" width="9.140625" style="262"/>
    <col min="9985" max="9990" width="14.7109375" style="262" bestFit="1" customWidth="1"/>
    <col min="9991" max="9991" width="4.7109375" style="262" bestFit="1" customWidth="1"/>
    <col min="9992" max="10240" width="9.140625" style="262"/>
    <col min="10241" max="10246" width="14.7109375" style="262" bestFit="1" customWidth="1"/>
    <col min="10247" max="10247" width="4.7109375" style="262" bestFit="1" customWidth="1"/>
    <col min="10248" max="10496" width="9.140625" style="262"/>
    <col min="10497" max="10502" width="14.7109375" style="262" bestFit="1" customWidth="1"/>
    <col min="10503" max="10503" width="4.7109375" style="262" bestFit="1" customWidth="1"/>
    <col min="10504" max="10752" width="9.140625" style="262"/>
    <col min="10753" max="10758" width="14.7109375" style="262" bestFit="1" customWidth="1"/>
    <col min="10759" max="10759" width="4.7109375" style="262" bestFit="1" customWidth="1"/>
    <col min="10760" max="11008" width="9.140625" style="262"/>
    <col min="11009" max="11014" width="14.7109375" style="262" bestFit="1" customWidth="1"/>
    <col min="11015" max="11015" width="4.7109375" style="262" bestFit="1" customWidth="1"/>
    <col min="11016" max="11264" width="9.140625" style="262"/>
    <col min="11265" max="11270" width="14.7109375" style="262" bestFit="1" customWidth="1"/>
    <col min="11271" max="11271" width="4.7109375" style="262" bestFit="1" customWidth="1"/>
    <col min="11272" max="11520" width="9.140625" style="262"/>
    <col min="11521" max="11526" width="14.7109375" style="262" bestFit="1" customWidth="1"/>
    <col min="11527" max="11527" width="4.7109375" style="262" bestFit="1" customWidth="1"/>
    <col min="11528" max="11776" width="9.140625" style="262"/>
    <col min="11777" max="11782" width="14.7109375" style="262" bestFit="1" customWidth="1"/>
    <col min="11783" max="11783" width="4.7109375" style="262" bestFit="1" customWidth="1"/>
    <col min="11784" max="12032" width="9.140625" style="262"/>
    <col min="12033" max="12038" width="14.7109375" style="262" bestFit="1" customWidth="1"/>
    <col min="12039" max="12039" width="4.7109375" style="262" bestFit="1" customWidth="1"/>
    <col min="12040" max="12288" width="9.140625" style="262"/>
    <col min="12289" max="12294" width="14.7109375" style="262" bestFit="1" customWidth="1"/>
    <col min="12295" max="12295" width="4.7109375" style="262" bestFit="1" customWidth="1"/>
    <col min="12296" max="12544" width="9.140625" style="262"/>
    <col min="12545" max="12550" width="14.7109375" style="262" bestFit="1" customWidth="1"/>
    <col min="12551" max="12551" width="4.7109375" style="262" bestFit="1" customWidth="1"/>
    <col min="12552" max="12800" width="9.140625" style="262"/>
    <col min="12801" max="12806" width="14.7109375" style="262" bestFit="1" customWidth="1"/>
    <col min="12807" max="12807" width="4.7109375" style="262" bestFit="1" customWidth="1"/>
    <col min="12808" max="13056" width="9.140625" style="262"/>
    <col min="13057" max="13062" width="14.7109375" style="262" bestFit="1" customWidth="1"/>
    <col min="13063" max="13063" width="4.7109375" style="262" bestFit="1" customWidth="1"/>
    <col min="13064" max="13312" width="9.140625" style="262"/>
    <col min="13313" max="13318" width="14.7109375" style="262" bestFit="1" customWidth="1"/>
    <col min="13319" max="13319" width="4.7109375" style="262" bestFit="1" customWidth="1"/>
    <col min="13320" max="13568" width="9.140625" style="262"/>
    <col min="13569" max="13574" width="14.7109375" style="262" bestFit="1" customWidth="1"/>
    <col min="13575" max="13575" width="4.7109375" style="262" bestFit="1" customWidth="1"/>
    <col min="13576" max="13824" width="9.140625" style="262"/>
    <col min="13825" max="13830" width="14.7109375" style="262" bestFit="1" customWidth="1"/>
    <col min="13831" max="13831" width="4.7109375" style="262" bestFit="1" customWidth="1"/>
    <col min="13832" max="14080" width="9.140625" style="262"/>
    <col min="14081" max="14086" width="14.7109375" style="262" bestFit="1" customWidth="1"/>
    <col min="14087" max="14087" width="4.7109375" style="262" bestFit="1" customWidth="1"/>
    <col min="14088" max="14336" width="9.140625" style="262"/>
    <col min="14337" max="14342" width="14.7109375" style="262" bestFit="1" customWidth="1"/>
    <col min="14343" max="14343" width="4.7109375" style="262" bestFit="1" customWidth="1"/>
    <col min="14344" max="14592" width="9.140625" style="262"/>
    <col min="14593" max="14598" width="14.7109375" style="262" bestFit="1" customWidth="1"/>
    <col min="14599" max="14599" width="4.7109375" style="262" bestFit="1" customWidth="1"/>
    <col min="14600" max="14848" width="9.140625" style="262"/>
    <col min="14849" max="14854" width="14.7109375" style="262" bestFit="1" customWidth="1"/>
    <col min="14855" max="14855" width="4.7109375" style="262" bestFit="1" customWidth="1"/>
    <col min="14856" max="15104" width="9.140625" style="262"/>
    <col min="15105" max="15110" width="14.7109375" style="262" bestFit="1" customWidth="1"/>
    <col min="15111" max="15111" width="4.7109375" style="262" bestFit="1" customWidth="1"/>
    <col min="15112" max="15360" width="9.140625" style="262"/>
    <col min="15361" max="15366" width="14.7109375" style="262" bestFit="1" customWidth="1"/>
    <col min="15367" max="15367" width="4.7109375" style="262" bestFit="1" customWidth="1"/>
    <col min="15368" max="15616" width="9.140625" style="262"/>
    <col min="15617" max="15622" width="14.7109375" style="262" bestFit="1" customWidth="1"/>
    <col min="15623" max="15623" width="4.7109375" style="262" bestFit="1" customWidth="1"/>
    <col min="15624" max="15872" width="9.140625" style="262"/>
    <col min="15873" max="15878" width="14.7109375" style="262" bestFit="1" customWidth="1"/>
    <col min="15879" max="15879" width="4.7109375" style="262" bestFit="1" customWidth="1"/>
    <col min="15880" max="16128" width="9.140625" style="262"/>
    <col min="16129" max="16134" width="14.7109375" style="262" bestFit="1" customWidth="1"/>
    <col min="16135" max="16135" width="4.7109375" style="262" bestFit="1" customWidth="1"/>
    <col min="16136" max="16384" width="9.140625" style="262"/>
  </cols>
  <sheetData>
    <row r="1" spans="1:6" ht="18" customHeight="1" x14ac:dyDescent="0.2">
      <c r="A1" s="385" t="s">
        <v>24</v>
      </c>
      <c r="B1" s="385"/>
      <c r="C1" s="385"/>
      <c r="D1" s="385"/>
      <c r="E1" s="385"/>
      <c r="F1" s="385"/>
    </row>
    <row r="2" spans="1:6" s="265" customFormat="1" ht="18" customHeight="1" x14ac:dyDescent="0.2">
      <c r="A2" s="363" t="s">
        <v>344</v>
      </c>
      <c r="B2" s="369" t="s">
        <v>339</v>
      </c>
      <c r="C2" s="395"/>
      <c r="D2" s="395"/>
      <c r="E2" s="395"/>
      <c r="F2" s="370"/>
    </row>
    <row r="3" spans="1:6" s="265" customFormat="1" ht="18" customHeight="1" x14ac:dyDescent="0.2">
      <c r="A3" s="365"/>
      <c r="B3" s="299" t="s">
        <v>340</v>
      </c>
      <c r="C3" s="299" t="s">
        <v>341</v>
      </c>
      <c r="D3" s="299" t="s">
        <v>97</v>
      </c>
      <c r="E3" s="299" t="s">
        <v>342</v>
      </c>
      <c r="F3" s="299" t="s">
        <v>336</v>
      </c>
    </row>
    <row r="4" spans="1:6" s="265" customFormat="1" ht="18" customHeight="1" x14ac:dyDescent="0.2">
      <c r="A4" s="266" t="s">
        <v>69</v>
      </c>
      <c r="B4" s="306">
        <v>17.989999999999998</v>
      </c>
      <c r="C4" s="306">
        <v>16.09</v>
      </c>
      <c r="D4" s="306">
        <v>7.29</v>
      </c>
      <c r="E4" s="306">
        <v>0.49</v>
      </c>
      <c r="F4" s="306">
        <v>58.14</v>
      </c>
    </row>
    <row r="5" spans="1:6" s="265" customFormat="1" ht="18" customHeight="1" x14ac:dyDescent="0.2">
      <c r="A5" s="266" t="s">
        <v>70</v>
      </c>
      <c r="B5" s="306">
        <v>21.53</v>
      </c>
      <c r="C5" s="306">
        <v>15.1</v>
      </c>
      <c r="D5" s="306">
        <v>7.49</v>
      </c>
      <c r="E5" s="306">
        <v>0.22</v>
      </c>
      <c r="F5" s="306">
        <v>55.66</v>
      </c>
    </row>
    <row r="6" spans="1:6" s="265" customFormat="1" ht="18" customHeight="1" x14ac:dyDescent="0.2">
      <c r="A6" s="266" t="s">
        <v>156</v>
      </c>
      <c r="B6" s="306">
        <v>19.260000000000002</v>
      </c>
      <c r="C6" s="306">
        <v>14.05</v>
      </c>
      <c r="D6" s="306">
        <v>7.29</v>
      </c>
      <c r="E6" s="306">
        <v>0.37</v>
      </c>
      <c r="F6" s="306">
        <v>59.02</v>
      </c>
    </row>
    <row r="7" spans="1:6" s="265" customFormat="1" ht="18" customHeight="1" x14ac:dyDescent="0.2">
      <c r="A7" s="266" t="s">
        <v>157</v>
      </c>
      <c r="B7" s="306">
        <v>20.100000000000001</v>
      </c>
      <c r="C7" s="306">
        <v>16.420000000000002</v>
      </c>
      <c r="D7" s="306">
        <v>7.54</v>
      </c>
      <c r="E7" s="306">
        <v>0.3</v>
      </c>
      <c r="F7" s="306">
        <v>55.64</v>
      </c>
    </row>
    <row r="8" spans="1:6" s="265" customFormat="1" ht="18" customHeight="1" x14ac:dyDescent="0.2">
      <c r="A8" s="266" t="s">
        <v>158</v>
      </c>
      <c r="B8" s="306">
        <v>20.02</v>
      </c>
      <c r="C8" s="306">
        <v>17.25</v>
      </c>
      <c r="D8" s="306">
        <v>8.0299999999999994</v>
      </c>
      <c r="E8" s="306">
        <v>0.25</v>
      </c>
      <c r="F8" s="306">
        <v>54.45</v>
      </c>
    </row>
    <row r="9" spans="1:6" s="265" customFormat="1" ht="18" customHeight="1" x14ac:dyDescent="0.2">
      <c r="A9" s="266" t="s">
        <v>159</v>
      </c>
      <c r="B9" s="306">
        <v>22.16</v>
      </c>
      <c r="C9" s="306">
        <v>13.91</v>
      </c>
      <c r="D9" s="306">
        <v>7.87</v>
      </c>
      <c r="E9" s="306">
        <v>0.27</v>
      </c>
      <c r="F9" s="306">
        <v>55.79</v>
      </c>
    </row>
    <row r="10" spans="1:6" s="265" customFormat="1" ht="18" customHeight="1" x14ac:dyDescent="0.2">
      <c r="A10" s="266" t="s">
        <v>160</v>
      </c>
      <c r="B10" s="306">
        <v>21.82</v>
      </c>
      <c r="C10" s="306">
        <v>13.3</v>
      </c>
      <c r="D10" s="306">
        <v>7.25</v>
      </c>
      <c r="E10" s="306">
        <v>0.28000000000000003</v>
      </c>
      <c r="F10" s="306">
        <v>57.35</v>
      </c>
    </row>
    <row r="11" spans="1:6" s="265" customFormat="1" ht="18" customHeight="1" x14ac:dyDescent="0.2">
      <c r="A11" s="266" t="s">
        <v>161</v>
      </c>
      <c r="B11" s="306">
        <v>22.72</v>
      </c>
      <c r="C11" s="306">
        <v>16.149999999999999</v>
      </c>
      <c r="D11" s="306">
        <v>7.44</v>
      </c>
      <c r="E11" s="306">
        <v>0.24</v>
      </c>
      <c r="F11" s="306">
        <v>53.45</v>
      </c>
    </row>
    <row r="12" spans="1:6" s="265" customFormat="1" ht="18" customHeight="1" x14ac:dyDescent="0.2">
      <c r="A12" s="266" t="s">
        <v>162</v>
      </c>
      <c r="B12" s="306">
        <v>22.71</v>
      </c>
      <c r="C12" s="306">
        <v>15.83</v>
      </c>
      <c r="D12" s="306">
        <v>8.1199999999999992</v>
      </c>
      <c r="E12" s="306">
        <v>0.12</v>
      </c>
      <c r="F12" s="306">
        <v>53.22</v>
      </c>
    </row>
    <row r="13" spans="1:6" s="265" customFormat="1" ht="18" customHeight="1" x14ac:dyDescent="0.2">
      <c r="A13" s="266" t="s">
        <v>163</v>
      </c>
      <c r="B13" s="306">
        <v>21.26</v>
      </c>
      <c r="C13" s="306">
        <v>15.34</v>
      </c>
      <c r="D13" s="306">
        <v>7.38</v>
      </c>
      <c r="E13" s="306">
        <v>0.17</v>
      </c>
      <c r="F13" s="306">
        <v>55.85</v>
      </c>
    </row>
    <row r="14" spans="1:6" s="265" customFormat="1" ht="18" customHeight="1" x14ac:dyDescent="0.2">
      <c r="A14" s="266" t="s">
        <v>164</v>
      </c>
      <c r="B14" s="306">
        <v>22.84</v>
      </c>
      <c r="C14" s="306">
        <v>13.06</v>
      </c>
      <c r="D14" s="306">
        <v>7.32</v>
      </c>
      <c r="E14" s="306">
        <v>0.18</v>
      </c>
      <c r="F14" s="306">
        <v>56.6</v>
      </c>
    </row>
    <row r="15" spans="1:6" s="265" customFormat="1" ht="18" customHeight="1" x14ac:dyDescent="0.2">
      <c r="A15" s="266" t="s">
        <v>165</v>
      </c>
      <c r="B15" s="306">
        <v>22.03</v>
      </c>
      <c r="C15" s="306">
        <v>14.31</v>
      </c>
      <c r="D15" s="306">
        <v>6.84</v>
      </c>
      <c r="E15" s="306">
        <v>0.17</v>
      </c>
      <c r="F15" s="306">
        <v>56.65</v>
      </c>
    </row>
    <row r="16" spans="1:6" s="265" customFormat="1" ht="18" customHeight="1" x14ac:dyDescent="0.2">
      <c r="A16" s="266" t="s">
        <v>166</v>
      </c>
      <c r="B16" s="306">
        <v>22.61</v>
      </c>
      <c r="C16" s="306">
        <v>15.43</v>
      </c>
      <c r="D16" s="306">
        <v>7.32</v>
      </c>
      <c r="E16" s="306">
        <v>0.18</v>
      </c>
      <c r="F16" s="306">
        <v>54.46</v>
      </c>
    </row>
    <row r="17" spans="1:6" s="265" customFormat="1" ht="18" customHeight="1" x14ac:dyDescent="0.2">
      <c r="A17" s="266" t="s">
        <v>167</v>
      </c>
      <c r="B17" s="306">
        <v>20.83</v>
      </c>
      <c r="C17" s="306">
        <v>16.14</v>
      </c>
      <c r="D17" s="306">
        <v>7.52</v>
      </c>
      <c r="E17" s="306">
        <v>0.16</v>
      </c>
      <c r="F17" s="306">
        <v>55.35</v>
      </c>
    </row>
    <row r="18" spans="1:6" s="265" customFormat="1" ht="15" customHeight="1" x14ac:dyDescent="0.2">
      <c r="A18" s="353" t="s">
        <v>303</v>
      </c>
      <c r="B18" s="353"/>
      <c r="C18" s="353"/>
      <c r="D18" s="353"/>
      <c r="E18" s="353"/>
      <c r="F18" s="353"/>
    </row>
    <row r="19" spans="1:6" s="265" customFormat="1" ht="13.5" customHeight="1" x14ac:dyDescent="0.2">
      <c r="A19" s="353" t="s">
        <v>345</v>
      </c>
      <c r="B19" s="353"/>
      <c r="C19" s="353"/>
      <c r="D19" s="353"/>
      <c r="E19" s="353"/>
      <c r="F19" s="353"/>
    </row>
    <row r="20" spans="1:6" s="265" customFormat="1" ht="25.35" customHeight="1" x14ac:dyDescent="0.2"/>
  </sheetData>
  <mergeCells count="5">
    <mergeCell ref="A1:F1"/>
    <mergeCell ref="A2:A3"/>
    <mergeCell ref="B2:F2"/>
    <mergeCell ref="A18:F18"/>
    <mergeCell ref="A19:F19"/>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F20"/>
  <sheetViews>
    <sheetView workbookViewId="0">
      <selection sqref="A1:D1"/>
    </sheetView>
  </sheetViews>
  <sheetFormatPr defaultRowHeight="12.75" x14ac:dyDescent="0.2"/>
  <cols>
    <col min="1" max="6" width="14.7109375" style="262" bestFit="1" customWidth="1"/>
    <col min="7" max="7" width="4.7109375" style="262" bestFit="1" customWidth="1"/>
    <col min="8" max="256" width="9.140625" style="262"/>
    <col min="257" max="262" width="14.7109375" style="262" bestFit="1" customWidth="1"/>
    <col min="263" max="263" width="4.7109375" style="262" bestFit="1" customWidth="1"/>
    <col min="264" max="512" width="9.140625" style="262"/>
    <col min="513" max="518" width="14.7109375" style="262" bestFit="1" customWidth="1"/>
    <col min="519" max="519" width="4.7109375" style="262" bestFit="1" customWidth="1"/>
    <col min="520" max="768" width="9.140625" style="262"/>
    <col min="769" max="774" width="14.7109375" style="262" bestFit="1" customWidth="1"/>
    <col min="775" max="775" width="4.7109375" style="262" bestFit="1" customWidth="1"/>
    <col min="776" max="1024" width="9.140625" style="262"/>
    <col min="1025" max="1030" width="14.7109375" style="262" bestFit="1" customWidth="1"/>
    <col min="1031" max="1031" width="4.7109375" style="262" bestFit="1" customWidth="1"/>
    <col min="1032" max="1280" width="9.140625" style="262"/>
    <col min="1281" max="1286" width="14.7109375" style="262" bestFit="1" customWidth="1"/>
    <col min="1287" max="1287" width="4.7109375" style="262" bestFit="1" customWidth="1"/>
    <col min="1288" max="1536" width="9.140625" style="262"/>
    <col min="1537" max="1542" width="14.7109375" style="262" bestFit="1" customWidth="1"/>
    <col min="1543" max="1543" width="4.7109375" style="262" bestFit="1" customWidth="1"/>
    <col min="1544" max="1792" width="9.140625" style="262"/>
    <col min="1793" max="1798" width="14.7109375" style="262" bestFit="1" customWidth="1"/>
    <col min="1799" max="1799" width="4.7109375" style="262" bestFit="1" customWidth="1"/>
    <col min="1800" max="2048" width="9.140625" style="262"/>
    <col min="2049" max="2054" width="14.7109375" style="262" bestFit="1" customWidth="1"/>
    <col min="2055" max="2055" width="4.7109375" style="262" bestFit="1" customWidth="1"/>
    <col min="2056" max="2304" width="9.140625" style="262"/>
    <col min="2305" max="2310" width="14.7109375" style="262" bestFit="1" customWidth="1"/>
    <col min="2311" max="2311" width="4.7109375" style="262" bestFit="1" customWidth="1"/>
    <col min="2312" max="2560" width="9.140625" style="262"/>
    <col min="2561" max="2566" width="14.7109375" style="262" bestFit="1" customWidth="1"/>
    <col min="2567" max="2567" width="4.7109375" style="262" bestFit="1" customWidth="1"/>
    <col min="2568" max="2816" width="9.140625" style="262"/>
    <col min="2817" max="2822" width="14.7109375" style="262" bestFit="1" customWidth="1"/>
    <col min="2823" max="2823" width="4.7109375" style="262" bestFit="1" customWidth="1"/>
    <col min="2824" max="3072" width="9.140625" style="262"/>
    <col min="3073" max="3078" width="14.7109375" style="262" bestFit="1" customWidth="1"/>
    <col min="3079" max="3079" width="4.7109375" style="262" bestFit="1" customWidth="1"/>
    <col min="3080" max="3328" width="9.140625" style="262"/>
    <col min="3329" max="3334" width="14.7109375" style="262" bestFit="1" customWidth="1"/>
    <col min="3335" max="3335" width="4.7109375" style="262" bestFit="1" customWidth="1"/>
    <col min="3336" max="3584" width="9.140625" style="262"/>
    <col min="3585" max="3590" width="14.7109375" style="262" bestFit="1" customWidth="1"/>
    <col min="3591" max="3591" width="4.7109375" style="262" bestFit="1" customWidth="1"/>
    <col min="3592" max="3840" width="9.140625" style="262"/>
    <col min="3841" max="3846" width="14.7109375" style="262" bestFit="1" customWidth="1"/>
    <col min="3847" max="3847" width="4.7109375" style="262" bestFit="1" customWidth="1"/>
    <col min="3848" max="4096" width="9.140625" style="262"/>
    <col min="4097" max="4102" width="14.7109375" style="262" bestFit="1" customWidth="1"/>
    <col min="4103" max="4103" width="4.7109375" style="262" bestFit="1" customWidth="1"/>
    <col min="4104" max="4352" width="9.140625" style="262"/>
    <col min="4353" max="4358" width="14.7109375" style="262" bestFit="1" customWidth="1"/>
    <col min="4359" max="4359" width="4.7109375" style="262" bestFit="1" customWidth="1"/>
    <col min="4360" max="4608" width="9.140625" style="262"/>
    <col min="4609" max="4614" width="14.7109375" style="262" bestFit="1" customWidth="1"/>
    <col min="4615" max="4615" width="4.7109375" style="262" bestFit="1" customWidth="1"/>
    <col min="4616" max="4864" width="9.140625" style="262"/>
    <col min="4865" max="4870" width="14.7109375" style="262" bestFit="1" customWidth="1"/>
    <col min="4871" max="4871" width="4.7109375" style="262" bestFit="1" customWidth="1"/>
    <col min="4872" max="5120" width="9.140625" style="262"/>
    <col min="5121" max="5126" width="14.7109375" style="262" bestFit="1" customWidth="1"/>
    <col min="5127" max="5127" width="4.7109375" style="262" bestFit="1" customWidth="1"/>
    <col min="5128" max="5376" width="9.140625" style="262"/>
    <col min="5377" max="5382" width="14.7109375" style="262" bestFit="1" customWidth="1"/>
    <col min="5383" max="5383" width="4.7109375" style="262" bestFit="1" customWidth="1"/>
    <col min="5384" max="5632" width="9.140625" style="262"/>
    <col min="5633" max="5638" width="14.7109375" style="262" bestFit="1" customWidth="1"/>
    <col min="5639" max="5639" width="4.7109375" style="262" bestFit="1" customWidth="1"/>
    <col min="5640" max="5888" width="9.140625" style="262"/>
    <col min="5889" max="5894" width="14.7109375" style="262" bestFit="1" customWidth="1"/>
    <col min="5895" max="5895" width="4.7109375" style="262" bestFit="1" customWidth="1"/>
    <col min="5896" max="6144" width="9.140625" style="262"/>
    <col min="6145" max="6150" width="14.7109375" style="262" bestFit="1" customWidth="1"/>
    <col min="6151" max="6151" width="4.7109375" style="262" bestFit="1" customWidth="1"/>
    <col min="6152" max="6400" width="9.140625" style="262"/>
    <col min="6401" max="6406" width="14.7109375" style="262" bestFit="1" customWidth="1"/>
    <col min="6407" max="6407" width="4.7109375" style="262" bestFit="1" customWidth="1"/>
    <col min="6408" max="6656" width="9.140625" style="262"/>
    <col min="6657" max="6662" width="14.7109375" style="262" bestFit="1" customWidth="1"/>
    <col min="6663" max="6663" width="4.7109375" style="262" bestFit="1" customWidth="1"/>
    <col min="6664" max="6912" width="9.140625" style="262"/>
    <col min="6913" max="6918" width="14.7109375" style="262" bestFit="1" customWidth="1"/>
    <col min="6919" max="6919" width="4.7109375" style="262" bestFit="1" customWidth="1"/>
    <col min="6920" max="7168" width="9.140625" style="262"/>
    <col min="7169" max="7174" width="14.7109375" style="262" bestFit="1" customWidth="1"/>
    <col min="7175" max="7175" width="4.7109375" style="262" bestFit="1" customWidth="1"/>
    <col min="7176" max="7424" width="9.140625" style="262"/>
    <col min="7425" max="7430" width="14.7109375" style="262" bestFit="1" customWidth="1"/>
    <col min="7431" max="7431" width="4.7109375" style="262" bestFit="1" customWidth="1"/>
    <col min="7432" max="7680" width="9.140625" style="262"/>
    <col min="7681" max="7686" width="14.7109375" style="262" bestFit="1" customWidth="1"/>
    <col min="7687" max="7687" width="4.7109375" style="262" bestFit="1" customWidth="1"/>
    <col min="7688" max="7936" width="9.140625" style="262"/>
    <col min="7937" max="7942" width="14.7109375" style="262" bestFit="1" customWidth="1"/>
    <col min="7943" max="7943" width="4.7109375" style="262" bestFit="1" customWidth="1"/>
    <col min="7944" max="8192" width="9.140625" style="262"/>
    <col min="8193" max="8198" width="14.7109375" style="262" bestFit="1" customWidth="1"/>
    <col min="8199" max="8199" width="4.7109375" style="262" bestFit="1" customWidth="1"/>
    <col min="8200" max="8448" width="9.140625" style="262"/>
    <col min="8449" max="8454" width="14.7109375" style="262" bestFit="1" customWidth="1"/>
    <col min="8455" max="8455" width="4.7109375" style="262" bestFit="1" customWidth="1"/>
    <col min="8456" max="8704" width="9.140625" style="262"/>
    <col min="8705" max="8710" width="14.7109375" style="262" bestFit="1" customWidth="1"/>
    <col min="8711" max="8711" width="4.7109375" style="262" bestFit="1" customWidth="1"/>
    <col min="8712" max="8960" width="9.140625" style="262"/>
    <col min="8961" max="8966" width="14.7109375" style="262" bestFit="1" customWidth="1"/>
    <col min="8967" max="8967" width="4.7109375" style="262" bestFit="1" customWidth="1"/>
    <col min="8968" max="9216" width="9.140625" style="262"/>
    <col min="9217" max="9222" width="14.7109375" style="262" bestFit="1" customWidth="1"/>
    <col min="9223" max="9223" width="4.7109375" style="262" bestFit="1" customWidth="1"/>
    <col min="9224" max="9472" width="9.140625" style="262"/>
    <col min="9473" max="9478" width="14.7109375" style="262" bestFit="1" customWidth="1"/>
    <col min="9479" max="9479" width="4.7109375" style="262" bestFit="1" customWidth="1"/>
    <col min="9480" max="9728" width="9.140625" style="262"/>
    <col min="9729" max="9734" width="14.7109375" style="262" bestFit="1" customWidth="1"/>
    <col min="9735" max="9735" width="4.7109375" style="262" bestFit="1" customWidth="1"/>
    <col min="9736" max="9984" width="9.140625" style="262"/>
    <col min="9985" max="9990" width="14.7109375" style="262" bestFit="1" customWidth="1"/>
    <col min="9991" max="9991" width="4.7109375" style="262" bestFit="1" customWidth="1"/>
    <col min="9992" max="10240" width="9.140625" style="262"/>
    <col min="10241" max="10246" width="14.7109375" style="262" bestFit="1" customWidth="1"/>
    <col min="10247" max="10247" width="4.7109375" style="262" bestFit="1" customWidth="1"/>
    <col min="10248" max="10496" width="9.140625" style="262"/>
    <col min="10497" max="10502" width="14.7109375" style="262" bestFit="1" customWidth="1"/>
    <col min="10503" max="10503" width="4.7109375" style="262" bestFit="1" customWidth="1"/>
    <col min="10504" max="10752" width="9.140625" style="262"/>
    <col min="10753" max="10758" width="14.7109375" style="262" bestFit="1" customWidth="1"/>
    <col min="10759" max="10759" width="4.7109375" style="262" bestFit="1" customWidth="1"/>
    <col min="10760" max="11008" width="9.140625" style="262"/>
    <col min="11009" max="11014" width="14.7109375" style="262" bestFit="1" customWidth="1"/>
    <col min="11015" max="11015" width="4.7109375" style="262" bestFit="1" customWidth="1"/>
    <col min="11016" max="11264" width="9.140625" style="262"/>
    <col min="11265" max="11270" width="14.7109375" style="262" bestFit="1" customWidth="1"/>
    <col min="11271" max="11271" width="4.7109375" style="262" bestFit="1" customWidth="1"/>
    <col min="11272" max="11520" width="9.140625" style="262"/>
    <col min="11521" max="11526" width="14.7109375" style="262" bestFit="1" customWidth="1"/>
    <col min="11527" max="11527" width="4.7109375" style="262" bestFit="1" customWidth="1"/>
    <col min="11528" max="11776" width="9.140625" style="262"/>
    <col min="11777" max="11782" width="14.7109375" style="262" bestFit="1" customWidth="1"/>
    <col min="11783" max="11783" width="4.7109375" style="262" bestFit="1" customWidth="1"/>
    <col min="11784" max="12032" width="9.140625" style="262"/>
    <col min="12033" max="12038" width="14.7109375" style="262" bestFit="1" customWidth="1"/>
    <col min="12039" max="12039" width="4.7109375" style="262" bestFit="1" customWidth="1"/>
    <col min="12040" max="12288" width="9.140625" style="262"/>
    <col min="12289" max="12294" width="14.7109375" style="262" bestFit="1" customWidth="1"/>
    <col min="12295" max="12295" width="4.7109375" style="262" bestFit="1" customWidth="1"/>
    <col min="12296" max="12544" width="9.140625" style="262"/>
    <col min="12545" max="12550" width="14.7109375" style="262" bestFit="1" customWidth="1"/>
    <col min="12551" max="12551" width="4.7109375" style="262" bestFit="1" customWidth="1"/>
    <col min="12552" max="12800" width="9.140625" style="262"/>
    <col min="12801" max="12806" width="14.7109375" style="262" bestFit="1" customWidth="1"/>
    <col min="12807" max="12807" width="4.7109375" style="262" bestFit="1" customWidth="1"/>
    <col min="12808" max="13056" width="9.140625" style="262"/>
    <col min="13057" max="13062" width="14.7109375" style="262" bestFit="1" customWidth="1"/>
    <col min="13063" max="13063" width="4.7109375" style="262" bestFit="1" customWidth="1"/>
    <col min="13064" max="13312" width="9.140625" style="262"/>
    <col min="13313" max="13318" width="14.7109375" style="262" bestFit="1" customWidth="1"/>
    <col min="13319" max="13319" width="4.7109375" style="262" bestFit="1" customWidth="1"/>
    <col min="13320" max="13568" width="9.140625" style="262"/>
    <col min="13569" max="13574" width="14.7109375" style="262" bestFit="1" customWidth="1"/>
    <col min="13575" max="13575" width="4.7109375" style="262" bestFit="1" customWidth="1"/>
    <col min="13576" max="13824" width="9.140625" style="262"/>
    <col min="13825" max="13830" width="14.7109375" style="262" bestFit="1" customWidth="1"/>
    <col min="13831" max="13831" width="4.7109375" style="262" bestFit="1" customWidth="1"/>
    <col min="13832" max="14080" width="9.140625" style="262"/>
    <col min="14081" max="14086" width="14.7109375" style="262" bestFit="1" customWidth="1"/>
    <col min="14087" max="14087" width="4.7109375" style="262" bestFit="1" customWidth="1"/>
    <col min="14088" max="14336" width="9.140625" style="262"/>
    <col min="14337" max="14342" width="14.7109375" style="262" bestFit="1" customWidth="1"/>
    <col min="14343" max="14343" width="4.7109375" style="262" bestFit="1" customWidth="1"/>
    <col min="14344" max="14592" width="9.140625" style="262"/>
    <col min="14593" max="14598" width="14.7109375" style="262" bestFit="1" customWidth="1"/>
    <col min="14599" max="14599" width="4.7109375" style="262" bestFit="1" customWidth="1"/>
    <col min="14600" max="14848" width="9.140625" style="262"/>
    <col min="14849" max="14854" width="14.7109375" style="262" bestFit="1" customWidth="1"/>
    <col min="14855" max="14855" width="4.7109375" style="262" bestFit="1" customWidth="1"/>
    <col min="14856" max="15104" width="9.140625" style="262"/>
    <col min="15105" max="15110" width="14.7109375" style="262" bestFit="1" customWidth="1"/>
    <col min="15111" max="15111" width="4.7109375" style="262" bestFit="1" customWidth="1"/>
    <col min="15112" max="15360" width="9.140625" style="262"/>
    <col min="15361" max="15366" width="14.7109375" style="262" bestFit="1" customWidth="1"/>
    <col min="15367" max="15367" width="4.7109375" style="262" bestFit="1" customWidth="1"/>
    <col min="15368" max="15616" width="9.140625" style="262"/>
    <col min="15617" max="15622" width="14.7109375" style="262" bestFit="1" customWidth="1"/>
    <col min="15623" max="15623" width="4.7109375" style="262" bestFit="1" customWidth="1"/>
    <col min="15624" max="15872" width="9.140625" style="262"/>
    <col min="15873" max="15878" width="14.7109375" style="262" bestFit="1" customWidth="1"/>
    <col min="15879" max="15879" width="4.7109375" style="262" bestFit="1" customWidth="1"/>
    <col min="15880" max="16128" width="9.140625" style="262"/>
    <col min="16129" max="16134" width="14.7109375" style="262" bestFit="1" customWidth="1"/>
    <col min="16135" max="16135" width="4.7109375" style="262" bestFit="1" customWidth="1"/>
    <col min="16136" max="16384" width="9.140625" style="262"/>
  </cols>
  <sheetData>
    <row r="1" spans="1:6" ht="21" customHeight="1" x14ac:dyDescent="0.2">
      <c r="A1" s="351" t="s">
        <v>25</v>
      </c>
      <c r="B1" s="351"/>
      <c r="C1" s="351"/>
      <c r="D1" s="351"/>
    </row>
    <row r="2" spans="1:6" s="265" customFormat="1" ht="18.75" customHeight="1" x14ac:dyDescent="0.2">
      <c r="A2" s="412" t="s">
        <v>147</v>
      </c>
      <c r="B2" s="414" t="s">
        <v>339</v>
      </c>
      <c r="C2" s="415"/>
      <c r="D2" s="415"/>
      <c r="E2" s="415"/>
      <c r="F2" s="416"/>
    </row>
    <row r="3" spans="1:6" s="265" customFormat="1" ht="18" customHeight="1" x14ac:dyDescent="0.2">
      <c r="A3" s="413"/>
      <c r="B3" s="264" t="s">
        <v>340</v>
      </c>
      <c r="C3" s="264" t="s">
        <v>341</v>
      </c>
      <c r="D3" s="264" t="s">
        <v>97</v>
      </c>
      <c r="E3" s="264" t="s">
        <v>342</v>
      </c>
      <c r="F3" s="264" t="s">
        <v>336</v>
      </c>
    </row>
    <row r="4" spans="1:6" s="265" customFormat="1" ht="18" customHeight="1" x14ac:dyDescent="0.2">
      <c r="A4" s="288" t="s">
        <v>69</v>
      </c>
      <c r="B4" s="268">
        <v>0</v>
      </c>
      <c r="C4" s="268">
        <v>0</v>
      </c>
      <c r="D4" s="268">
        <v>0</v>
      </c>
      <c r="E4" s="268">
        <v>0</v>
      </c>
      <c r="F4" s="268">
        <v>100</v>
      </c>
    </row>
    <row r="5" spans="1:6" s="265" customFormat="1" ht="18" customHeight="1" x14ac:dyDescent="0.2">
      <c r="A5" s="288" t="s">
        <v>70</v>
      </c>
      <c r="B5" s="268">
        <v>0</v>
      </c>
      <c r="C5" s="268">
        <v>0</v>
      </c>
      <c r="D5" s="268">
        <v>0</v>
      </c>
      <c r="E5" s="268">
        <v>0</v>
      </c>
      <c r="F5" s="268">
        <v>100</v>
      </c>
    </row>
    <row r="6" spans="1:6" s="265" customFormat="1" ht="18" customHeight="1" x14ac:dyDescent="0.2">
      <c r="A6" s="288" t="s">
        <v>156</v>
      </c>
      <c r="B6" s="268">
        <v>0</v>
      </c>
      <c r="C6" s="268">
        <v>0</v>
      </c>
      <c r="D6" s="268">
        <v>0</v>
      </c>
      <c r="E6" s="268">
        <v>0</v>
      </c>
      <c r="F6" s="268">
        <v>100</v>
      </c>
    </row>
    <row r="7" spans="1:6" s="265" customFormat="1" ht="18" customHeight="1" x14ac:dyDescent="0.2">
      <c r="A7" s="288" t="s">
        <v>157</v>
      </c>
      <c r="B7" s="268">
        <v>0</v>
      </c>
      <c r="C7" s="268">
        <v>0</v>
      </c>
      <c r="D7" s="268">
        <v>0</v>
      </c>
      <c r="E7" s="268">
        <v>0</v>
      </c>
      <c r="F7" s="268">
        <v>100</v>
      </c>
    </row>
    <row r="8" spans="1:6" s="265" customFormat="1" ht="18" customHeight="1" x14ac:dyDescent="0.2">
      <c r="A8" s="288" t="s">
        <v>158</v>
      </c>
      <c r="B8" s="268">
        <v>0</v>
      </c>
      <c r="C8" s="268">
        <v>0</v>
      </c>
      <c r="D8" s="268">
        <v>0</v>
      </c>
      <c r="E8" s="268">
        <v>0</v>
      </c>
      <c r="F8" s="268">
        <v>100</v>
      </c>
    </row>
    <row r="9" spans="1:6" s="265" customFormat="1" ht="18" customHeight="1" x14ac:dyDescent="0.2">
      <c r="A9" s="288" t="s">
        <v>159</v>
      </c>
      <c r="B9" s="268">
        <v>0</v>
      </c>
      <c r="C9" s="268">
        <v>0</v>
      </c>
      <c r="D9" s="268">
        <v>0</v>
      </c>
      <c r="E9" s="268">
        <v>0</v>
      </c>
      <c r="F9" s="268">
        <v>100</v>
      </c>
    </row>
    <row r="10" spans="1:6" s="265" customFormat="1" ht="18" customHeight="1" x14ac:dyDescent="0.2">
      <c r="A10" s="288" t="s">
        <v>160</v>
      </c>
      <c r="B10" s="268">
        <v>0</v>
      </c>
      <c r="C10" s="268">
        <v>0</v>
      </c>
      <c r="D10" s="268">
        <v>0</v>
      </c>
      <c r="E10" s="268">
        <v>0</v>
      </c>
      <c r="F10" s="268">
        <v>100</v>
      </c>
    </row>
    <row r="11" spans="1:6" s="265" customFormat="1" ht="18" customHeight="1" x14ac:dyDescent="0.2">
      <c r="A11" s="288" t="s">
        <v>161</v>
      </c>
      <c r="B11" s="268">
        <v>0</v>
      </c>
      <c r="C11" s="268">
        <v>0</v>
      </c>
      <c r="D11" s="268">
        <v>0</v>
      </c>
      <c r="E11" s="268">
        <v>0</v>
      </c>
      <c r="F11" s="268">
        <v>100</v>
      </c>
    </row>
    <row r="12" spans="1:6" s="265" customFormat="1" ht="18" customHeight="1" x14ac:dyDescent="0.2">
      <c r="A12" s="288" t="s">
        <v>162</v>
      </c>
      <c r="B12" s="268">
        <v>0</v>
      </c>
      <c r="C12" s="268">
        <v>0</v>
      </c>
      <c r="D12" s="268">
        <v>0</v>
      </c>
      <c r="E12" s="268">
        <v>0</v>
      </c>
      <c r="F12" s="268">
        <v>100</v>
      </c>
    </row>
    <row r="13" spans="1:6" s="265" customFormat="1" ht="18" customHeight="1" x14ac:dyDescent="0.2">
      <c r="A13" s="288" t="s">
        <v>163</v>
      </c>
      <c r="B13" s="268">
        <v>0</v>
      </c>
      <c r="C13" s="268">
        <v>0</v>
      </c>
      <c r="D13" s="268">
        <v>0</v>
      </c>
      <c r="E13" s="268">
        <v>0</v>
      </c>
      <c r="F13" s="268">
        <v>100</v>
      </c>
    </row>
    <row r="14" spans="1:6" s="265" customFormat="1" ht="18" customHeight="1" x14ac:dyDescent="0.2">
      <c r="A14" s="288" t="s">
        <v>164</v>
      </c>
      <c r="B14" s="268">
        <v>0</v>
      </c>
      <c r="C14" s="268">
        <v>0</v>
      </c>
      <c r="D14" s="268">
        <v>0</v>
      </c>
      <c r="E14" s="268">
        <v>0</v>
      </c>
      <c r="F14" s="268">
        <v>100</v>
      </c>
    </row>
    <row r="15" spans="1:6" s="265" customFormat="1" ht="18" customHeight="1" x14ac:dyDescent="0.2">
      <c r="A15" s="288" t="s">
        <v>165</v>
      </c>
      <c r="B15" s="268">
        <v>0</v>
      </c>
      <c r="C15" s="268">
        <v>0</v>
      </c>
      <c r="D15" s="268">
        <v>0</v>
      </c>
      <c r="E15" s="268">
        <v>0</v>
      </c>
      <c r="F15" s="268">
        <v>100</v>
      </c>
    </row>
    <row r="16" spans="1:6" s="265" customFormat="1" ht="18" customHeight="1" x14ac:dyDescent="0.2">
      <c r="A16" s="288" t="s">
        <v>166</v>
      </c>
      <c r="B16" s="268">
        <v>0</v>
      </c>
      <c r="C16" s="268">
        <v>0</v>
      </c>
      <c r="D16" s="268">
        <v>0</v>
      </c>
      <c r="E16" s="268">
        <v>0</v>
      </c>
      <c r="F16" s="268">
        <v>100</v>
      </c>
    </row>
    <row r="17" spans="1:6" s="265" customFormat="1" ht="18" customHeight="1" x14ac:dyDescent="0.2">
      <c r="A17" s="288" t="s">
        <v>167</v>
      </c>
      <c r="B17" s="268">
        <v>0</v>
      </c>
      <c r="C17" s="268">
        <v>0</v>
      </c>
      <c r="D17" s="268">
        <v>0</v>
      </c>
      <c r="E17" s="268">
        <v>0</v>
      </c>
      <c r="F17" s="268">
        <v>100</v>
      </c>
    </row>
    <row r="18" spans="1:6" s="265" customFormat="1" ht="18" customHeight="1" x14ac:dyDescent="0.2">
      <c r="A18" s="417" t="s">
        <v>346</v>
      </c>
      <c r="B18" s="418"/>
      <c r="C18" s="418"/>
      <c r="D18" s="418"/>
      <c r="E18" s="418"/>
      <c r="F18" s="419"/>
    </row>
    <row r="19" spans="1:6" s="265" customFormat="1" ht="18" customHeight="1" x14ac:dyDescent="0.2">
      <c r="A19" s="417" t="s">
        <v>303</v>
      </c>
      <c r="B19" s="418"/>
      <c r="C19" s="418"/>
      <c r="D19" s="418"/>
      <c r="E19" s="418"/>
      <c r="F19" s="419"/>
    </row>
    <row r="20" spans="1:6" s="265" customFormat="1" ht="28.35" customHeight="1" x14ac:dyDescent="0.2"/>
  </sheetData>
  <mergeCells count="5">
    <mergeCell ref="A1:D1"/>
    <mergeCell ref="A2:A3"/>
    <mergeCell ref="B2:F2"/>
    <mergeCell ref="A18:F18"/>
    <mergeCell ref="A19:F19"/>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K40"/>
  <sheetViews>
    <sheetView workbookViewId="0">
      <selection sqref="A1:K1"/>
    </sheetView>
  </sheetViews>
  <sheetFormatPr defaultRowHeight="12.75" x14ac:dyDescent="0.2"/>
  <cols>
    <col min="1" max="1" width="6.42578125" style="262" bestFit="1" customWidth="1"/>
    <col min="2" max="2" width="20.7109375" style="262" bestFit="1" customWidth="1"/>
    <col min="3" max="3" width="10" style="262" bestFit="1" customWidth="1"/>
    <col min="4" max="4" width="13.85546875" style="262" bestFit="1" customWidth="1"/>
    <col min="5" max="5" width="7.7109375" style="262" bestFit="1" customWidth="1"/>
    <col min="6" max="7" width="6" style="262" bestFit="1" customWidth="1"/>
    <col min="8" max="8" width="9.7109375" style="262" bestFit="1" customWidth="1"/>
    <col min="9" max="9" width="10.7109375" style="262" bestFit="1" customWidth="1"/>
    <col min="10" max="10" width="10" style="262" bestFit="1" customWidth="1"/>
    <col min="11" max="11" width="35.140625" style="262" bestFit="1" customWidth="1"/>
    <col min="12" max="12" width="4.7109375" style="262" bestFit="1" customWidth="1"/>
    <col min="13" max="256" width="9.140625" style="262"/>
    <col min="257" max="257" width="6.42578125" style="262" bestFit="1" customWidth="1"/>
    <col min="258" max="258" width="20.7109375" style="262" bestFit="1" customWidth="1"/>
    <col min="259" max="259" width="10" style="262" bestFit="1" customWidth="1"/>
    <col min="260" max="260" width="13.85546875" style="262" bestFit="1" customWidth="1"/>
    <col min="261" max="261" width="7.7109375" style="262" bestFit="1" customWidth="1"/>
    <col min="262" max="263" width="6" style="262" bestFit="1" customWidth="1"/>
    <col min="264" max="264" width="9.7109375" style="262" bestFit="1" customWidth="1"/>
    <col min="265" max="265" width="10.7109375" style="262" bestFit="1" customWidth="1"/>
    <col min="266" max="266" width="10" style="262" bestFit="1" customWidth="1"/>
    <col min="267" max="267" width="35.140625" style="262" bestFit="1" customWidth="1"/>
    <col min="268" max="268" width="4.7109375" style="262" bestFit="1" customWidth="1"/>
    <col min="269" max="512" width="9.140625" style="262"/>
    <col min="513" max="513" width="6.42578125" style="262" bestFit="1" customWidth="1"/>
    <col min="514" max="514" width="20.7109375" style="262" bestFit="1" customWidth="1"/>
    <col min="515" max="515" width="10" style="262" bestFit="1" customWidth="1"/>
    <col min="516" max="516" width="13.85546875" style="262" bestFit="1" customWidth="1"/>
    <col min="517" max="517" width="7.7109375" style="262" bestFit="1" customWidth="1"/>
    <col min="518" max="519" width="6" style="262" bestFit="1" customWidth="1"/>
    <col min="520" max="520" width="9.7109375" style="262" bestFit="1" customWidth="1"/>
    <col min="521" max="521" width="10.7109375" style="262" bestFit="1" customWidth="1"/>
    <col min="522" max="522" width="10" style="262" bestFit="1" customWidth="1"/>
    <col min="523" max="523" width="35.140625" style="262" bestFit="1" customWidth="1"/>
    <col min="524" max="524" width="4.7109375" style="262" bestFit="1" customWidth="1"/>
    <col min="525" max="768" width="9.140625" style="262"/>
    <col min="769" max="769" width="6.42578125" style="262" bestFit="1" customWidth="1"/>
    <col min="770" max="770" width="20.7109375" style="262" bestFit="1" customWidth="1"/>
    <col min="771" max="771" width="10" style="262" bestFit="1" customWidth="1"/>
    <col min="772" max="772" width="13.85546875" style="262" bestFit="1" customWidth="1"/>
    <col min="773" max="773" width="7.7109375" style="262" bestFit="1" customWidth="1"/>
    <col min="774" max="775" width="6" style="262" bestFit="1" customWidth="1"/>
    <col min="776" max="776" width="9.7109375" style="262" bestFit="1" customWidth="1"/>
    <col min="777" max="777" width="10.7109375" style="262" bestFit="1" customWidth="1"/>
    <col min="778" max="778" width="10" style="262" bestFit="1" customWidth="1"/>
    <col min="779" max="779" width="35.140625" style="262" bestFit="1" customWidth="1"/>
    <col min="780" max="780" width="4.7109375" style="262" bestFit="1" customWidth="1"/>
    <col min="781" max="1024" width="9.140625" style="262"/>
    <col min="1025" max="1025" width="6.42578125" style="262" bestFit="1" customWidth="1"/>
    <col min="1026" max="1026" width="20.7109375" style="262" bestFit="1" customWidth="1"/>
    <col min="1027" max="1027" width="10" style="262" bestFit="1" customWidth="1"/>
    <col min="1028" max="1028" width="13.85546875" style="262" bestFit="1" customWidth="1"/>
    <col min="1029" max="1029" width="7.7109375" style="262" bestFit="1" customWidth="1"/>
    <col min="1030" max="1031" width="6" style="262" bestFit="1" customWidth="1"/>
    <col min="1032" max="1032" width="9.7109375" style="262" bestFit="1" customWidth="1"/>
    <col min="1033" max="1033" width="10.7109375" style="262" bestFit="1" customWidth="1"/>
    <col min="1034" max="1034" width="10" style="262" bestFit="1" customWidth="1"/>
    <col min="1035" max="1035" width="35.140625" style="262" bestFit="1" customWidth="1"/>
    <col min="1036" max="1036" width="4.7109375" style="262" bestFit="1" customWidth="1"/>
    <col min="1037" max="1280" width="9.140625" style="262"/>
    <col min="1281" max="1281" width="6.42578125" style="262" bestFit="1" customWidth="1"/>
    <col min="1282" max="1282" width="20.7109375" style="262" bestFit="1" customWidth="1"/>
    <col min="1283" max="1283" width="10" style="262" bestFit="1" customWidth="1"/>
    <col min="1284" max="1284" width="13.85546875" style="262" bestFit="1" customWidth="1"/>
    <col min="1285" max="1285" width="7.7109375" style="262" bestFit="1" customWidth="1"/>
    <col min="1286" max="1287" width="6" style="262" bestFit="1" customWidth="1"/>
    <col min="1288" max="1288" width="9.7109375" style="262" bestFit="1" customWidth="1"/>
    <col min="1289" max="1289" width="10.7109375" style="262" bestFit="1" customWidth="1"/>
    <col min="1290" max="1290" width="10" style="262" bestFit="1" customWidth="1"/>
    <col min="1291" max="1291" width="35.140625" style="262" bestFit="1" customWidth="1"/>
    <col min="1292" max="1292" width="4.7109375" style="262" bestFit="1" customWidth="1"/>
    <col min="1293" max="1536" width="9.140625" style="262"/>
    <col min="1537" max="1537" width="6.42578125" style="262" bestFit="1" customWidth="1"/>
    <col min="1538" max="1538" width="20.7109375" style="262" bestFit="1" customWidth="1"/>
    <col min="1539" max="1539" width="10" style="262" bestFit="1" customWidth="1"/>
    <col min="1540" max="1540" width="13.85546875" style="262" bestFit="1" customWidth="1"/>
    <col min="1541" max="1541" width="7.7109375" style="262" bestFit="1" customWidth="1"/>
    <col min="1542" max="1543" width="6" style="262" bestFit="1" customWidth="1"/>
    <col min="1544" max="1544" width="9.7109375" style="262" bestFit="1" customWidth="1"/>
    <col min="1545" max="1545" width="10.7109375" style="262" bestFit="1" customWidth="1"/>
    <col min="1546" max="1546" width="10" style="262" bestFit="1" customWidth="1"/>
    <col min="1547" max="1547" width="35.140625" style="262" bestFit="1" customWidth="1"/>
    <col min="1548" max="1548" width="4.7109375" style="262" bestFit="1" customWidth="1"/>
    <col min="1549" max="1792" width="9.140625" style="262"/>
    <col min="1793" max="1793" width="6.42578125" style="262" bestFit="1" customWidth="1"/>
    <col min="1794" max="1794" width="20.7109375" style="262" bestFit="1" customWidth="1"/>
    <col min="1795" max="1795" width="10" style="262" bestFit="1" customWidth="1"/>
    <col min="1796" max="1796" width="13.85546875" style="262" bestFit="1" customWidth="1"/>
    <col min="1797" max="1797" width="7.7109375" style="262" bestFit="1" customWidth="1"/>
    <col min="1798" max="1799" width="6" style="262" bestFit="1" customWidth="1"/>
    <col min="1800" max="1800" width="9.7109375" style="262" bestFit="1" customWidth="1"/>
    <col min="1801" max="1801" width="10.7109375" style="262" bestFit="1" customWidth="1"/>
    <col min="1802" max="1802" width="10" style="262" bestFit="1" customWidth="1"/>
    <col min="1803" max="1803" width="35.140625" style="262" bestFit="1" customWidth="1"/>
    <col min="1804" max="1804" width="4.7109375" style="262" bestFit="1" customWidth="1"/>
    <col min="1805" max="2048" width="9.140625" style="262"/>
    <col min="2049" max="2049" width="6.42578125" style="262" bestFit="1" customWidth="1"/>
    <col min="2050" max="2050" width="20.7109375" style="262" bestFit="1" customWidth="1"/>
    <col min="2051" max="2051" width="10" style="262" bestFit="1" customWidth="1"/>
    <col min="2052" max="2052" width="13.85546875" style="262" bestFit="1" customWidth="1"/>
    <col min="2053" max="2053" width="7.7109375" style="262" bestFit="1" customWidth="1"/>
    <col min="2054" max="2055" width="6" style="262" bestFit="1" customWidth="1"/>
    <col min="2056" max="2056" width="9.7109375" style="262" bestFit="1" customWidth="1"/>
    <col min="2057" max="2057" width="10.7109375" style="262" bestFit="1" customWidth="1"/>
    <col min="2058" max="2058" width="10" style="262" bestFit="1" customWidth="1"/>
    <col min="2059" max="2059" width="35.140625" style="262" bestFit="1" customWidth="1"/>
    <col min="2060" max="2060" width="4.7109375" style="262" bestFit="1" customWidth="1"/>
    <col min="2061" max="2304" width="9.140625" style="262"/>
    <col min="2305" max="2305" width="6.42578125" style="262" bestFit="1" customWidth="1"/>
    <col min="2306" max="2306" width="20.7109375" style="262" bestFit="1" customWidth="1"/>
    <col min="2307" max="2307" width="10" style="262" bestFit="1" customWidth="1"/>
    <col min="2308" max="2308" width="13.85546875" style="262" bestFit="1" customWidth="1"/>
    <col min="2309" max="2309" width="7.7109375" style="262" bestFit="1" customWidth="1"/>
    <col min="2310" max="2311" width="6" style="262" bestFit="1" customWidth="1"/>
    <col min="2312" max="2312" width="9.7109375" style="262" bestFit="1" customWidth="1"/>
    <col min="2313" max="2313" width="10.7109375" style="262" bestFit="1" customWidth="1"/>
    <col min="2314" max="2314" width="10" style="262" bestFit="1" customWidth="1"/>
    <col min="2315" max="2315" width="35.140625" style="262" bestFit="1" customWidth="1"/>
    <col min="2316" max="2316" width="4.7109375" style="262" bestFit="1" customWidth="1"/>
    <col min="2317" max="2560" width="9.140625" style="262"/>
    <col min="2561" max="2561" width="6.42578125" style="262" bestFit="1" customWidth="1"/>
    <col min="2562" max="2562" width="20.7109375" style="262" bestFit="1" customWidth="1"/>
    <col min="2563" max="2563" width="10" style="262" bestFit="1" customWidth="1"/>
    <col min="2564" max="2564" width="13.85546875" style="262" bestFit="1" customWidth="1"/>
    <col min="2565" max="2565" width="7.7109375" style="262" bestFit="1" customWidth="1"/>
    <col min="2566" max="2567" width="6" style="262" bestFit="1" customWidth="1"/>
    <col min="2568" max="2568" width="9.7109375" style="262" bestFit="1" customWidth="1"/>
    <col min="2569" max="2569" width="10.7109375" style="262" bestFit="1" customWidth="1"/>
    <col min="2570" max="2570" width="10" style="262" bestFit="1" customWidth="1"/>
    <col min="2571" max="2571" width="35.140625" style="262" bestFit="1" customWidth="1"/>
    <col min="2572" max="2572" width="4.7109375" style="262" bestFit="1" customWidth="1"/>
    <col min="2573" max="2816" width="9.140625" style="262"/>
    <col min="2817" max="2817" width="6.42578125" style="262" bestFit="1" customWidth="1"/>
    <col min="2818" max="2818" width="20.7109375" style="262" bestFit="1" customWidth="1"/>
    <col min="2819" max="2819" width="10" style="262" bestFit="1" customWidth="1"/>
    <col min="2820" max="2820" width="13.85546875" style="262" bestFit="1" customWidth="1"/>
    <col min="2821" max="2821" width="7.7109375" style="262" bestFit="1" customWidth="1"/>
    <col min="2822" max="2823" width="6" style="262" bestFit="1" customWidth="1"/>
    <col min="2824" max="2824" width="9.7109375" style="262" bestFit="1" customWidth="1"/>
    <col min="2825" max="2825" width="10.7109375" style="262" bestFit="1" customWidth="1"/>
    <col min="2826" max="2826" width="10" style="262" bestFit="1" customWidth="1"/>
    <col min="2827" max="2827" width="35.140625" style="262" bestFit="1" customWidth="1"/>
    <col min="2828" max="2828" width="4.7109375" style="262" bestFit="1" customWidth="1"/>
    <col min="2829" max="3072" width="9.140625" style="262"/>
    <col min="3073" max="3073" width="6.42578125" style="262" bestFit="1" customWidth="1"/>
    <col min="3074" max="3074" width="20.7109375" style="262" bestFit="1" customWidth="1"/>
    <col min="3075" max="3075" width="10" style="262" bestFit="1" customWidth="1"/>
    <col min="3076" max="3076" width="13.85546875" style="262" bestFit="1" customWidth="1"/>
    <col min="3077" max="3077" width="7.7109375" style="262" bestFit="1" customWidth="1"/>
    <col min="3078" max="3079" width="6" style="262" bestFit="1" customWidth="1"/>
    <col min="3080" max="3080" width="9.7109375" style="262" bestFit="1" customWidth="1"/>
    <col min="3081" max="3081" width="10.7109375" style="262" bestFit="1" customWidth="1"/>
    <col min="3082" max="3082" width="10" style="262" bestFit="1" customWidth="1"/>
    <col min="3083" max="3083" width="35.140625" style="262" bestFit="1" customWidth="1"/>
    <col min="3084" max="3084" width="4.7109375" style="262" bestFit="1" customWidth="1"/>
    <col min="3085" max="3328" width="9.140625" style="262"/>
    <col min="3329" max="3329" width="6.42578125" style="262" bestFit="1" customWidth="1"/>
    <col min="3330" max="3330" width="20.7109375" style="262" bestFit="1" customWidth="1"/>
    <col min="3331" max="3331" width="10" style="262" bestFit="1" customWidth="1"/>
    <col min="3332" max="3332" width="13.85546875" style="262" bestFit="1" customWidth="1"/>
    <col min="3333" max="3333" width="7.7109375" style="262" bestFit="1" customWidth="1"/>
    <col min="3334" max="3335" width="6" style="262" bestFit="1" customWidth="1"/>
    <col min="3336" max="3336" width="9.7109375" style="262" bestFit="1" customWidth="1"/>
    <col min="3337" max="3337" width="10.7109375" style="262" bestFit="1" customWidth="1"/>
    <col min="3338" max="3338" width="10" style="262" bestFit="1" customWidth="1"/>
    <col min="3339" max="3339" width="35.140625" style="262" bestFit="1" customWidth="1"/>
    <col min="3340" max="3340" width="4.7109375" style="262" bestFit="1" customWidth="1"/>
    <col min="3341" max="3584" width="9.140625" style="262"/>
    <col min="3585" max="3585" width="6.42578125" style="262" bestFit="1" customWidth="1"/>
    <col min="3586" max="3586" width="20.7109375" style="262" bestFit="1" customWidth="1"/>
    <col min="3587" max="3587" width="10" style="262" bestFit="1" customWidth="1"/>
    <col min="3588" max="3588" width="13.85546875" style="262" bestFit="1" customWidth="1"/>
    <col min="3589" max="3589" width="7.7109375" style="262" bestFit="1" customWidth="1"/>
    <col min="3590" max="3591" width="6" style="262" bestFit="1" customWidth="1"/>
    <col min="3592" max="3592" width="9.7109375" style="262" bestFit="1" customWidth="1"/>
    <col min="3593" max="3593" width="10.7109375" style="262" bestFit="1" customWidth="1"/>
    <col min="3594" max="3594" width="10" style="262" bestFit="1" customWidth="1"/>
    <col min="3595" max="3595" width="35.140625" style="262" bestFit="1" customWidth="1"/>
    <col min="3596" max="3596" width="4.7109375" style="262" bestFit="1" customWidth="1"/>
    <col min="3597" max="3840" width="9.140625" style="262"/>
    <col min="3841" max="3841" width="6.42578125" style="262" bestFit="1" customWidth="1"/>
    <col min="3842" max="3842" width="20.7109375" style="262" bestFit="1" customWidth="1"/>
    <col min="3843" max="3843" width="10" style="262" bestFit="1" customWidth="1"/>
    <col min="3844" max="3844" width="13.85546875" style="262" bestFit="1" customWidth="1"/>
    <col min="3845" max="3845" width="7.7109375" style="262" bestFit="1" customWidth="1"/>
    <col min="3846" max="3847" width="6" style="262" bestFit="1" customWidth="1"/>
    <col min="3848" max="3848" width="9.7109375" style="262" bestFit="1" customWidth="1"/>
    <col min="3849" max="3849" width="10.7109375" style="262" bestFit="1" customWidth="1"/>
    <col min="3850" max="3850" width="10" style="262" bestFit="1" customWidth="1"/>
    <col min="3851" max="3851" width="35.140625" style="262" bestFit="1" customWidth="1"/>
    <col min="3852" max="3852" width="4.7109375" style="262" bestFit="1" customWidth="1"/>
    <col min="3853" max="4096" width="9.140625" style="262"/>
    <col min="4097" max="4097" width="6.42578125" style="262" bestFit="1" customWidth="1"/>
    <col min="4098" max="4098" width="20.7109375" style="262" bestFit="1" customWidth="1"/>
    <col min="4099" max="4099" width="10" style="262" bestFit="1" customWidth="1"/>
    <col min="4100" max="4100" width="13.85546875" style="262" bestFit="1" customWidth="1"/>
    <col min="4101" max="4101" width="7.7109375" style="262" bestFit="1" customWidth="1"/>
    <col min="4102" max="4103" width="6" style="262" bestFit="1" customWidth="1"/>
    <col min="4104" max="4104" width="9.7109375" style="262" bestFit="1" customWidth="1"/>
    <col min="4105" max="4105" width="10.7109375" style="262" bestFit="1" customWidth="1"/>
    <col min="4106" max="4106" width="10" style="262" bestFit="1" customWidth="1"/>
    <col min="4107" max="4107" width="35.140625" style="262" bestFit="1" customWidth="1"/>
    <col min="4108" max="4108" width="4.7109375" style="262" bestFit="1" customWidth="1"/>
    <col min="4109" max="4352" width="9.140625" style="262"/>
    <col min="4353" max="4353" width="6.42578125" style="262" bestFit="1" customWidth="1"/>
    <col min="4354" max="4354" width="20.7109375" style="262" bestFit="1" customWidth="1"/>
    <col min="4355" max="4355" width="10" style="262" bestFit="1" customWidth="1"/>
    <col min="4356" max="4356" width="13.85546875" style="262" bestFit="1" customWidth="1"/>
    <col min="4357" max="4357" width="7.7109375" style="262" bestFit="1" customWidth="1"/>
    <col min="4358" max="4359" width="6" style="262" bestFit="1" customWidth="1"/>
    <col min="4360" max="4360" width="9.7109375" style="262" bestFit="1" customWidth="1"/>
    <col min="4361" max="4361" width="10.7109375" style="262" bestFit="1" customWidth="1"/>
    <col min="4362" max="4362" width="10" style="262" bestFit="1" customWidth="1"/>
    <col min="4363" max="4363" width="35.140625" style="262" bestFit="1" customWidth="1"/>
    <col min="4364" max="4364" width="4.7109375" style="262" bestFit="1" customWidth="1"/>
    <col min="4365" max="4608" width="9.140625" style="262"/>
    <col min="4609" max="4609" width="6.42578125" style="262" bestFit="1" customWidth="1"/>
    <col min="4610" max="4610" width="20.7109375" style="262" bestFit="1" customWidth="1"/>
    <col min="4611" max="4611" width="10" style="262" bestFit="1" customWidth="1"/>
    <col min="4612" max="4612" width="13.85546875" style="262" bestFit="1" customWidth="1"/>
    <col min="4613" max="4613" width="7.7109375" style="262" bestFit="1" customWidth="1"/>
    <col min="4614" max="4615" width="6" style="262" bestFit="1" customWidth="1"/>
    <col min="4616" max="4616" width="9.7109375" style="262" bestFit="1" customWidth="1"/>
    <col min="4617" max="4617" width="10.7109375" style="262" bestFit="1" customWidth="1"/>
    <col min="4618" max="4618" width="10" style="262" bestFit="1" customWidth="1"/>
    <col min="4619" max="4619" width="35.140625" style="262" bestFit="1" customWidth="1"/>
    <col min="4620" max="4620" width="4.7109375" style="262" bestFit="1" customWidth="1"/>
    <col min="4621" max="4864" width="9.140625" style="262"/>
    <col min="4865" max="4865" width="6.42578125" style="262" bestFit="1" customWidth="1"/>
    <col min="4866" max="4866" width="20.7109375" style="262" bestFit="1" customWidth="1"/>
    <col min="4867" max="4867" width="10" style="262" bestFit="1" customWidth="1"/>
    <col min="4868" max="4868" width="13.85546875" style="262" bestFit="1" customWidth="1"/>
    <col min="4869" max="4869" width="7.7109375" style="262" bestFit="1" customWidth="1"/>
    <col min="4870" max="4871" width="6" style="262" bestFit="1" customWidth="1"/>
    <col min="4872" max="4872" width="9.7109375" style="262" bestFit="1" customWidth="1"/>
    <col min="4873" max="4873" width="10.7109375" style="262" bestFit="1" customWidth="1"/>
    <col min="4874" max="4874" width="10" style="262" bestFit="1" customWidth="1"/>
    <col min="4875" max="4875" width="35.140625" style="262" bestFit="1" customWidth="1"/>
    <col min="4876" max="4876" width="4.7109375" style="262" bestFit="1" customWidth="1"/>
    <col min="4877" max="5120" width="9.140625" style="262"/>
    <col min="5121" max="5121" width="6.42578125" style="262" bestFit="1" customWidth="1"/>
    <col min="5122" max="5122" width="20.7109375" style="262" bestFit="1" customWidth="1"/>
    <col min="5123" max="5123" width="10" style="262" bestFit="1" customWidth="1"/>
    <col min="5124" max="5124" width="13.85546875" style="262" bestFit="1" customWidth="1"/>
    <col min="5125" max="5125" width="7.7109375" style="262" bestFit="1" customWidth="1"/>
    <col min="5126" max="5127" width="6" style="262" bestFit="1" customWidth="1"/>
    <col min="5128" max="5128" width="9.7109375" style="262" bestFit="1" customWidth="1"/>
    <col min="5129" max="5129" width="10.7109375" style="262" bestFit="1" customWidth="1"/>
    <col min="5130" max="5130" width="10" style="262" bestFit="1" customWidth="1"/>
    <col min="5131" max="5131" width="35.140625" style="262" bestFit="1" customWidth="1"/>
    <col min="5132" max="5132" width="4.7109375" style="262" bestFit="1" customWidth="1"/>
    <col min="5133" max="5376" width="9.140625" style="262"/>
    <col min="5377" max="5377" width="6.42578125" style="262" bestFit="1" customWidth="1"/>
    <col min="5378" max="5378" width="20.7109375" style="262" bestFit="1" customWidth="1"/>
    <col min="5379" max="5379" width="10" style="262" bestFit="1" customWidth="1"/>
    <col min="5380" max="5380" width="13.85546875" style="262" bestFit="1" customWidth="1"/>
    <col min="5381" max="5381" width="7.7109375" style="262" bestFit="1" customWidth="1"/>
    <col min="5382" max="5383" width="6" style="262" bestFit="1" customWidth="1"/>
    <col min="5384" max="5384" width="9.7109375" style="262" bestFit="1" customWidth="1"/>
    <col min="5385" max="5385" width="10.7109375" style="262" bestFit="1" customWidth="1"/>
    <col min="5386" max="5386" width="10" style="262" bestFit="1" customWidth="1"/>
    <col min="5387" max="5387" width="35.140625" style="262" bestFit="1" customWidth="1"/>
    <col min="5388" max="5388" width="4.7109375" style="262" bestFit="1" customWidth="1"/>
    <col min="5389" max="5632" width="9.140625" style="262"/>
    <col min="5633" max="5633" width="6.42578125" style="262" bestFit="1" customWidth="1"/>
    <col min="5634" max="5634" width="20.7109375" style="262" bestFit="1" customWidth="1"/>
    <col min="5635" max="5635" width="10" style="262" bestFit="1" customWidth="1"/>
    <col min="5636" max="5636" width="13.85546875" style="262" bestFit="1" customWidth="1"/>
    <col min="5637" max="5637" width="7.7109375" style="262" bestFit="1" customWidth="1"/>
    <col min="5638" max="5639" width="6" style="262" bestFit="1" customWidth="1"/>
    <col min="5640" max="5640" width="9.7109375" style="262" bestFit="1" customWidth="1"/>
    <col min="5641" max="5641" width="10.7109375" style="262" bestFit="1" customWidth="1"/>
    <col min="5642" max="5642" width="10" style="262" bestFit="1" customWidth="1"/>
    <col min="5643" max="5643" width="35.140625" style="262" bestFit="1" customWidth="1"/>
    <col min="5644" max="5644" width="4.7109375" style="262" bestFit="1" customWidth="1"/>
    <col min="5645" max="5888" width="9.140625" style="262"/>
    <col min="5889" max="5889" width="6.42578125" style="262" bestFit="1" customWidth="1"/>
    <col min="5890" max="5890" width="20.7109375" style="262" bestFit="1" customWidth="1"/>
    <col min="5891" max="5891" width="10" style="262" bestFit="1" customWidth="1"/>
    <col min="5892" max="5892" width="13.85546875" style="262" bestFit="1" customWidth="1"/>
    <col min="5893" max="5893" width="7.7109375" style="262" bestFit="1" customWidth="1"/>
    <col min="5894" max="5895" width="6" style="262" bestFit="1" customWidth="1"/>
    <col min="5896" max="5896" width="9.7109375" style="262" bestFit="1" customWidth="1"/>
    <col min="5897" max="5897" width="10.7109375" style="262" bestFit="1" customWidth="1"/>
    <col min="5898" max="5898" width="10" style="262" bestFit="1" customWidth="1"/>
    <col min="5899" max="5899" width="35.140625" style="262" bestFit="1" customWidth="1"/>
    <col min="5900" max="5900" width="4.7109375" style="262" bestFit="1" customWidth="1"/>
    <col min="5901" max="6144" width="9.140625" style="262"/>
    <col min="6145" max="6145" width="6.42578125" style="262" bestFit="1" customWidth="1"/>
    <col min="6146" max="6146" width="20.7109375" style="262" bestFit="1" customWidth="1"/>
    <col min="6147" max="6147" width="10" style="262" bestFit="1" customWidth="1"/>
    <col min="6148" max="6148" width="13.85546875" style="262" bestFit="1" customWidth="1"/>
    <col min="6149" max="6149" width="7.7109375" style="262" bestFit="1" customWidth="1"/>
    <col min="6150" max="6151" width="6" style="262" bestFit="1" customWidth="1"/>
    <col min="6152" max="6152" width="9.7109375" style="262" bestFit="1" customWidth="1"/>
    <col min="6153" max="6153" width="10.7109375" style="262" bestFit="1" customWidth="1"/>
    <col min="6154" max="6154" width="10" style="262" bestFit="1" customWidth="1"/>
    <col min="6155" max="6155" width="35.140625" style="262" bestFit="1" customWidth="1"/>
    <col min="6156" max="6156" width="4.7109375" style="262" bestFit="1" customWidth="1"/>
    <col min="6157" max="6400" width="9.140625" style="262"/>
    <col min="6401" max="6401" width="6.42578125" style="262" bestFit="1" customWidth="1"/>
    <col min="6402" max="6402" width="20.7109375" style="262" bestFit="1" customWidth="1"/>
    <col min="6403" max="6403" width="10" style="262" bestFit="1" customWidth="1"/>
    <col min="6404" max="6404" width="13.85546875" style="262" bestFit="1" customWidth="1"/>
    <col min="6405" max="6405" width="7.7109375" style="262" bestFit="1" customWidth="1"/>
    <col min="6406" max="6407" width="6" style="262" bestFit="1" customWidth="1"/>
    <col min="6408" max="6408" width="9.7109375" style="262" bestFit="1" customWidth="1"/>
    <col min="6409" max="6409" width="10.7109375" style="262" bestFit="1" customWidth="1"/>
    <col min="6410" max="6410" width="10" style="262" bestFit="1" customWidth="1"/>
    <col min="6411" max="6411" width="35.140625" style="262" bestFit="1" customWidth="1"/>
    <col min="6412" max="6412" width="4.7109375" style="262" bestFit="1" customWidth="1"/>
    <col min="6413" max="6656" width="9.140625" style="262"/>
    <col min="6657" max="6657" width="6.42578125" style="262" bestFit="1" customWidth="1"/>
    <col min="6658" max="6658" width="20.7109375" style="262" bestFit="1" customWidth="1"/>
    <col min="6659" max="6659" width="10" style="262" bestFit="1" customWidth="1"/>
    <col min="6660" max="6660" width="13.85546875" style="262" bestFit="1" customWidth="1"/>
    <col min="6661" max="6661" width="7.7109375" style="262" bestFit="1" customWidth="1"/>
    <col min="6662" max="6663" width="6" style="262" bestFit="1" customWidth="1"/>
    <col min="6664" max="6664" width="9.7109375" style="262" bestFit="1" customWidth="1"/>
    <col min="6665" max="6665" width="10.7109375" style="262" bestFit="1" customWidth="1"/>
    <col min="6666" max="6666" width="10" style="262" bestFit="1" customWidth="1"/>
    <col min="6667" max="6667" width="35.140625" style="262" bestFit="1" customWidth="1"/>
    <col min="6668" max="6668" width="4.7109375" style="262" bestFit="1" customWidth="1"/>
    <col min="6669" max="6912" width="9.140625" style="262"/>
    <col min="6913" max="6913" width="6.42578125" style="262" bestFit="1" customWidth="1"/>
    <col min="6914" max="6914" width="20.7109375" style="262" bestFit="1" customWidth="1"/>
    <col min="6915" max="6915" width="10" style="262" bestFit="1" customWidth="1"/>
    <col min="6916" max="6916" width="13.85546875" style="262" bestFit="1" customWidth="1"/>
    <col min="6917" max="6917" width="7.7109375" style="262" bestFit="1" customWidth="1"/>
    <col min="6918" max="6919" width="6" style="262" bestFit="1" customWidth="1"/>
    <col min="6920" max="6920" width="9.7109375" style="262" bestFit="1" customWidth="1"/>
    <col min="6921" max="6921" width="10.7109375" style="262" bestFit="1" customWidth="1"/>
    <col min="6922" max="6922" width="10" style="262" bestFit="1" customWidth="1"/>
    <col min="6923" max="6923" width="35.140625" style="262" bestFit="1" customWidth="1"/>
    <col min="6924" max="6924" width="4.7109375" style="262" bestFit="1" customWidth="1"/>
    <col min="6925" max="7168" width="9.140625" style="262"/>
    <col min="7169" max="7169" width="6.42578125" style="262" bestFit="1" customWidth="1"/>
    <col min="7170" max="7170" width="20.7109375" style="262" bestFit="1" customWidth="1"/>
    <col min="7171" max="7171" width="10" style="262" bestFit="1" customWidth="1"/>
    <col min="7172" max="7172" width="13.85546875" style="262" bestFit="1" customWidth="1"/>
    <col min="7173" max="7173" width="7.7109375" style="262" bestFit="1" customWidth="1"/>
    <col min="7174" max="7175" width="6" style="262" bestFit="1" customWidth="1"/>
    <col min="7176" max="7176" width="9.7109375" style="262" bestFit="1" customWidth="1"/>
    <col min="7177" max="7177" width="10.7109375" style="262" bestFit="1" customWidth="1"/>
    <col min="7178" max="7178" width="10" style="262" bestFit="1" customWidth="1"/>
    <col min="7179" max="7179" width="35.140625" style="262" bestFit="1" customWidth="1"/>
    <col min="7180" max="7180" width="4.7109375" style="262" bestFit="1" customWidth="1"/>
    <col min="7181" max="7424" width="9.140625" style="262"/>
    <col min="7425" max="7425" width="6.42578125" style="262" bestFit="1" customWidth="1"/>
    <col min="7426" max="7426" width="20.7109375" style="262" bestFit="1" customWidth="1"/>
    <col min="7427" max="7427" width="10" style="262" bestFit="1" customWidth="1"/>
    <col min="7428" max="7428" width="13.85546875" style="262" bestFit="1" customWidth="1"/>
    <col min="7429" max="7429" width="7.7109375" style="262" bestFit="1" customWidth="1"/>
    <col min="7430" max="7431" width="6" style="262" bestFit="1" customWidth="1"/>
    <col min="7432" max="7432" width="9.7109375" style="262" bestFit="1" customWidth="1"/>
    <col min="7433" max="7433" width="10.7109375" style="262" bestFit="1" customWidth="1"/>
    <col min="7434" max="7434" width="10" style="262" bestFit="1" customWidth="1"/>
    <col min="7435" max="7435" width="35.140625" style="262" bestFit="1" customWidth="1"/>
    <col min="7436" max="7436" width="4.7109375" style="262" bestFit="1" customWidth="1"/>
    <col min="7437" max="7680" width="9.140625" style="262"/>
    <col min="7681" max="7681" width="6.42578125" style="262" bestFit="1" customWidth="1"/>
    <col min="7682" max="7682" width="20.7109375" style="262" bestFit="1" customWidth="1"/>
    <col min="7683" max="7683" width="10" style="262" bestFit="1" customWidth="1"/>
    <col min="7684" max="7684" width="13.85546875" style="262" bestFit="1" customWidth="1"/>
    <col min="7685" max="7685" width="7.7109375" style="262" bestFit="1" customWidth="1"/>
    <col min="7686" max="7687" width="6" style="262" bestFit="1" customWidth="1"/>
    <col min="7688" max="7688" width="9.7109375" style="262" bestFit="1" customWidth="1"/>
    <col min="7689" max="7689" width="10.7109375" style="262" bestFit="1" customWidth="1"/>
    <col min="7690" max="7690" width="10" style="262" bestFit="1" customWidth="1"/>
    <col min="7691" max="7691" width="35.140625" style="262" bestFit="1" customWidth="1"/>
    <col min="7692" max="7692" width="4.7109375" style="262" bestFit="1" customWidth="1"/>
    <col min="7693" max="7936" width="9.140625" style="262"/>
    <col min="7937" max="7937" width="6.42578125" style="262" bestFit="1" customWidth="1"/>
    <col min="7938" max="7938" width="20.7109375" style="262" bestFit="1" customWidth="1"/>
    <col min="7939" max="7939" width="10" style="262" bestFit="1" customWidth="1"/>
    <col min="7940" max="7940" width="13.85546875" style="262" bestFit="1" customWidth="1"/>
    <col min="7941" max="7941" width="7.7109375" style="262" bestFit="1" customWidth="1"/>
    <col min="7942" max="7943" width="6" style="262" bestFit="1" customWidth="1"/>
    <col min="7944" max="7944" width="9.7109375" style="262" bestFit="1" customWidth="1"/>
    <col min="7945" max="7945" width="10.7109375" style="262" bestFit="1" customWidth="1"/>
    <col min="7946" max="7946" width="10" style="262" bestFit="1" customWidth="1"/>
    <col min="7947" max="7947" width="35.140625" style="262" bestFit="1" customWidth="1"/>
    <col min="7948" max="7948" width="4.7109375" style="262" bestFit="1" customWidth="1"/>
    <col min="7949" max="8192" width="9.140625" style="262"/>
    <col min="8193" max="8193" width="6.42578125" style="262" bestFit="1" customWidth="1"/>
    <col min="8194" max="8194" width="20.7109375" style="262" bestFit="1" customWidth="1"/>
    <col min="8195" max="8195" width="10" style="262" bestFit="1" customWidth="1"/>
    <col min="8196" max="8196" width="13.85546875" style="262" bestFit="1" customWidth="1"/>
    <col min="8197" max="8197" width="7.7109375" style="262" bestFit="1" customWidth="1"/>
    <col min="8198" max="8199" width="6" style="262" bestFit="1" customWidth="1"/>
    <col min="8200" max="8200" width="9.7109375" style="262" bestFit="1" customWidth="1"/>
    <col min="8201" max="8201" width="10.7109375" style="262" bestFit="1" customWidth="1"/>
    <col min="8202" max="8202" width="10" style="262" bestFit="1" customWidth="1"/>
    <col min="8203" max="8203" width="35.140625" style="262" bestFit="1" customWidth="1"/>
    <col min="8204" max="8204" width="4.7109375" style="262" bestFit="1" customWidth="1"/>
    <col min="8205" max="8448" width="9.140625" style="262"/>
    <col min="8449" max="8449" width="6.42578125" style="262" bestFit="1" customWidth="1"/>
    <col min="8450" max="8450" width="20.7109375" style="262" bestFit="1" customWidth="1"/>
    <col min="8451" max="8451" width="10" style="262" bestFit="1" customWidth="1"/>
    <col min="8452" max="8452" width="13.85546875" style="262" bestFit="1" customWidth="1"/>
    <col min="8453" max="8453" width="7.7109375" style="262" bestFit="1" customWidth="1"/>
    <col min="8454" max="8455" width="6" style="262" bestFit="1" customWidth="1"/>
    <col min="8456" max="8456" width="9.7109375" style="262" bestFit="1" customWidth="1"/>
    <col min="8457" max="8457" width="10.7109375" style="262" bestFit="1" customWidth="1"/>
    <col min="8458" max="8458" width="10" style="262" bestFit="1" customWidth="1"/>
    <col min="8459" max="8459" width="35.140625" style="262" bestFit="1" customWidth="1"/>
    <col min="8460" max="8460" width="4.7109375" style="262" bestFit="1" customWidth="1"/>
    <col min="8461" max="8704" width="9.140625" style="262"/>
    <col min="8705" max="8705" width="6.42578125" style="262" bestFit="1" customWidth="1"/>
    <col min="8706" max="8706" width="20.7109375" style="262" bestFit="1" customWidth="1"/>
    <col min="8707" max="8707" width="10" style="262" bestFit="1" customWidth="1"/>
    <col min="8708" max="8708" width="13.85546875" style="262" bestFit="1" customWidth="1"/>
    <col min="8709" max="8709" width="7.7109375" style="262" bestFit="1" customWidth="1"/>
    <col min="8710" max="8711" width="6" style="262" bestFit="1" customWidth="1"/>
    <col min="8712" max="8712" width="9.7109375" style="262" bestFit="1" customWidth="1"/>
    <col min="8713" max="8713" width="10.7109375" style="262" bestFit="1" customWidth="1"/>
    <col min="8714" max="8714" width="10" style="262" bestFit="1" customWidth="1"/>
    <col min="8715" max="8715" width="35.140625" style="262" bestFit="1" customWidth="1"/>
    <col min="8716" max="8716" width="4.7109375" style="262" bestFit="1" customWidth="1"/>
    <col min="8717" max="8960" width="9.140625" style="262"/>
    <col min="8961" max="8961" width="6.42578125" style="262" bestFit="1" customWidth="1"/>
    <col min="8962" max="8962" width="20.7109375" style="262" bestFit="1" customWidth="1"/>
    <col min="8963" max="8963" width="10" style="262" bestFit="1" customWidth="1"/>
    <col min="8964" max="8964" width="13.85546875" style="262" bestFit="1" customWidth="1"/>
    <col min="8965" max="8965" width="7.7109375" style="262" bestFit="1" customWidth="1"/>
    <col min="8966" max="8967" width="6" style="262" bestFit="1" customWidth="1"/>
    <col min="8968" max="8968" width="9.7109375" style="262" bestFit="1" customWidth="1"/>
    <col min="8969" max="8969" width="10.7109375" style="262" bestFit="1" customWidth="1"/>
    <col min="8970" max="8970" width="10" style="262" bestFit="1" customWidth="1"/>
    <col min="8971" max="8971" width="35.140625" style="262" bestFit="1" customWidth="1"/>
    <col min="8972" max="8972" width="4.7109375" style="262" bestFit="1" customWidth="1"/>
    <col min="8973" max="9216" width="9.140625" style="262"/>
    <col min="9217" max="9217" width="6.42578125" style="262" bestFit="1" customWidth="1"/>
    <col min="9218" max="9218" width="20.7109375" style="262" bestFit="1" customWidth="1"/>
    <col min="9219" max="9219" width="10" style="262" bestFit="1" customWidth="1"/>
    <col min="9220" max="9220" width="13.85546875" style="262" bestFit="1" customWidth="1"/>
    <col min="9221" max="9221" width="7.7109375" style="262" bestFit="1" customWidth="1"/>
    <col min="9222" max="9223" width="6" style="262" bestFit="1" customWidth="1"/>
    <col min="9224" max="9224" width="9.7109375" style="262" bestFit="1" customWidth="1"/>
    <col min="9225" max="9225" width="10.7109375" style="262" bestFit="1" customWidth="1"/>
    <col min="9226" max="9226" width="10" style="262" bestFit="1" customWidth="1"/>
    <col min="9227" max="9227" width="35.140625" style="262" bestFit="1" customWidth="1"/>
    <col min="9228" max="9228" width="4.7109375" style="262" bestFit="1" customWidth="1"/>
    <col min="9229" max="9472" width="9.140625" style="262"/>
    <col min="9473" max="9473" width="6.42578125" style="262" bestFit="1" customWidth="1"/>
    <col min="9474" max="9474" width="20.7109375" style="262" bestFit="1" customWidth="1"/>
    <col min="9475" max="9475" width="10" style="262" bestFit="1" customWidth="1"/>
    <col min="9476" max="9476" width="13.85546875" style="262" bestFit="1" customWidth="1"/>
    <col min="9477" max="9477" width="7.7109375" style="262" bestFit="1" customWidth="1"/>
    <col min="9478" max="9479" width="6" style="262" bestFit="1" customWidth="1"/>
    <col min="9480" max="9480" width="9.7109375" style="262" bestFit="1" customWidth="1"/>
    <col min="9481" max="9481" width="10.7109375" style="262" bestFit="1" customWidth="1"/>
    <col min="9482" max="9482" width="10" style="262" bestFit="1" customWidth="1"/>
    <col min="9483" max="9483" width="35.140625" style="262" bestFit="1" customWidth="1"/>
    <col min="9484" max="9484" width="4.7109375" style="262" bestFit="1" customWidth="1"/>
    <col min="9485" max="9728" width="9.140625" style="262"/>
    <col min="9729" max="9729" width="6.42578125" style="262" bestFit="1" customWidth="1"/>
    <col min="9730" max="9730" width="20.7109375" style="262" bestFit="1" customWidth="1"/>
    <col min="9731" max="9731" width="10" style="262" bestFit="1" customWidth="1"/>
    <col min="9732" max="9732" width="13.85546875" style="262" bestFit="1" customWidth="1"/>
    <col min="9733" max="9733" width="7.7109375" style="262" bestFit="1" customWidth="1"/>
    <col min="9734" max="9735" width="6" style="262" bestFit="1" customWidth="1"/>
    <col min="9736" max="9736" width="9.7109375" style="262" bestFit="1" customWidth="1"/>
    <col min="9737" max="9737" width="10.7109375" style="262" bestFit="1" customWidth="1"/>
    <col min="9738" max="9738" width="10" style="262" bestFit="1" customWidth="1"/>
    <col min="9739" max="9739" width="35.140625" style="262" bestFit="1" customWidth="1"/>
    <col min="9740" max="9740" width="4.7109375" style="262" bestFit="1" customWidth="1"/>
    <col min="9741" max="9984" width="9.140625" style="262"/>
    <col min="9985" max="9985" width="6.42578125" style="262" bestFit="1" customWidth="1"/>
    <col min="9986" max="9986" width="20.7109375" style="262" bestFit="1" customWidth="1"/>
    <col min="9987" max="9987" width="10" style="262" bestFit="1" customWidth="1"/>
    <col min="9988" max="9988" width="13.85546875" style="262" bestFit="1" customWidth="1"/>
    <col min="9989" max="9989" width="7.7109375" style="262" bestFit="1" customWidth="1"/>
    <col min="9990" max="9991" width="6" style="262" bestFit="1" customWidth="1"/>
    <col min="9992" max="9992" width="9.7109375" style="262" bestFit="1" customWidth="1"/>
    <col min="9993" max="9993" width="10.7109375" style="262" bestFit="1" customWidth="1"/>
    <col min="9994" max="9994" width="10" style="262" bestFit="1" customWidth="1"/>
    <col min="9995" max="9995" width="35.140625" style="262" bestFit="1" customWidth="1"/>
    <col min="9996" max="9996" width="4.7109375" style="262" bestFit="1" customWidth="1"/>
    <col min="9997" max="10240" width="9.140625" style="262"/>
    <col min="10241" max="10241" width="6.42578125" style="262" bestFit="1" customWidth="1"/>
    <col min="10242" max="10242" width="20.7109375" style="262" bestFit="1" customWidth="1"/>
    <col min="10243" max="10243" width="10" style="262" bestFit="1" customWidth="1"/>
    <col min="10244" max="10244" width="13.85546875" style="262" bestFit="1" customWidth="1"/>
    <col min="10245" max="10245" width="7.7109375" style="262" bestFit="1" customWidth="1"/>
    <col min="10246" max="10247" width="6" style="262" bestFit="1" customWidth="1"/>
    <col min="10248" max="10248" width="9.7109375" style="262" bestFit="1" customWidth="1"/>
    <col min="10249" max="10249" width="10.7109375" style="262" bestFit="1" customWidth="1"/>
    <col min="10250" max="10250" width="10" style="262" bestFit="1" customWidth="1"/>
    <col min="10251" max="10251" width="35.140625" style="262" bestFit="1" customWidth="1"/>
    <col min="10252" max="10252" width="4.7109375" style="262" bestFit="1" customWidth="1"/>
    <col min="10253" max="10496" width="9.140625" style="262"/>
    <col min="10497" max="10497" width="6.42578125" style="262" bestFit="1" customWidth="1"/>
    <col min="10498" max="10498" width="20.7109375" style="262" bestFit="1" customWidth="1"/>
    <col min="10499" max="10499" width="10" style="262" bestFit="1" customWidth="1"/>
    <col min="10500" max="10500" width="13.85546875" style="262" bestFit="1" customWidth="1"/>
    <col min="10501" max="10501" width="7.7109375" style="262" bestFit="1" customWidth="1"/>
    <col min="10502" max="10503" width="6" style="262" bestFit="1" customWidth="1"/>
    <col min="10504" max="10504" width="9.7109375" style="262" bestFit="1" customWidth="1"/>
    <col min="10505" max="10505" width="10.7109375" style="262" bestFit="1" customWidth="1"/>
    <col min="10506" max="10506" width="10" style="262" bestFit="1" customWidth="1"/>
    <col min="10507" max="10507" width="35.140625" style="262" bestFit="1" customWidth="1"/>
    <col min="10508" max="10508" width="4.7109375" style="262" bestFit="1" customWidth="1"/>
    <col min="10509" max="10752" width="9.140625" style="262"/>
    <col min="10753" max="10753" width="6.42578125" style="262" bestFit="1" customWidth="1"/>
    <col min="10754" max="10754" width="20.7109375" style="262" bestFit="1" customWidth="1"/>
    <col min="10755" max="10755" width="10" style="262" bestFit="1" customWidth="1"/>
    <col min="10756" max="10756" width="13.85546875" style="262" bestFit="1" customWidth="1"/>
    <col min="10757" max="10757" width="7.7109375" style="262" bestFit="1" customWidth="1"/>
    <col min="10758" max="10759" width="6" style="262" bestFit="1" customWidth="1"/>
    <col min="10760" max="10760" width="9.7109375" style="262" bestFit="1" customWidth="1"/>
    <col min="10761" max="10761" width="10.7109375" style="262" bestFit="1" customWidth="1"/>
    <col min="10762" max="10762" width="10" style="262" bestFit="1" customWidth="1"/>
    <col min="10763" max="10763" width="35.140625" style="262" bestFit="1" customWidth="1"/>
    <col min="10764" max="10764" width="4.7109375" style="262" bestFit="1" customWidth="1"/>
    <col min="10765" max="11008" width="9.140625" style="262"/>
    <col min="11009" max="11009" width="6.42578125" style="262" bestFit="1" customWidth="1"/>
    <col min="11010" max="11010" width="20.7109375" style="262" bestFit="1" customWidth="1"/>
    <col min="11011" max="11011" width="10" style="262" bestFit="1" customWidth="1"/>
    <col min="11012" max="11012" width="13.85546875" style="262" bestFit="1" customWidth="1"/>
    <col min="11013" max="11013" width="7.7109375" style="262" bestFit="1" customWidth="1"/>
    <col min="11014" max="11015" width="6" style="262" bestFit="1" customWidth="1"/>
    <col min="11016" max="11016" width="9.7109375" style="262" bestFit="1" customWidth="1"/>
    <col min="11017" max="11017" width="10.7109375" style="262" bestFit="1" customWidth="1"/>
    <col min="11018" max="11018" width="10" style="262" bestFit="1" customWidth="1"/>
    <col min="11019" max="11019" width="35.140625" style="262" bestFit="1" customWidth="1"/>
    <col min="11020" max="11020" width="4.7109375" style="262" bestFit="1" customWidth="1"/>
    <col min="11021" max="11264" width="9.140625" style="262"/>
    <col min="11265" max="11265" width="6.42578125" style="262" bestFit="1" customWidth="1"/>
    <col min="11266" max="11266" width="20.7109375" style="262" bestFit="1" customWidth="1"/>
    <col min="11267" max="11267" width="10" style="262" bestFit="1" customWidth="1"/>
    <col min="11268" max="11268" width="13.85546875" style="262" bestFit="1" customWidth="1"/>
    <col min="11269" max="11269" width="7.7109375" style="262" bestFit="1" customWidth="1"/>
    <col min="11270" max="11271" width="6" style="262" bestFit="1" customWidth="1"/>
    <col min="11272" max="11272" width="9.7109375" style="262" bestFit="1" customWidth="1"/>
    <col min="11273" max="11273" width="10.7109375" style="262" bestFit="1" customWidth="1"/>
    <col min="11274" max="11274" width="10" style="262" bestFit="1" customWidth="1"/>
    <col min="11275" max="11275" width="35.140625" style="262" bestFit="1" customWidth="1"/>
    <col min="11276" max="11276" width="4.7109375" style="262" bestFit="1" customWidth="1"/>
    <col min="11277" max="11520" width="9.140625" style="262"/>
    <col min="11521" max="11521" width="6.42578125" style="262" bestFit="1" customWidth="1"/>
    <col min="11522" max="11522" width="20.7109375" style="262" bestFit="1" customWidth="1"/>
    <col min="11523" max="11523" width="10" style="262" bestFit="1" customWidth="1"/>
    <col min="11524" max="11524" width="13.85546875" style="262" bestFit="1" customWidth="1"/>
    <col min="11525" max="11525" width="7.7109375" style="262" bestFit="1" customWidth="1"/>
    <col min="11526" max="11527" width="6" style="262" bestFit="1" customWidth="1"/>
    <col min="11528" max="11528" width="9.7109375" style="262" bestFit="1" customWidth="1"/>
    <col min="11529" max="11529" width="10.7109375" style="262" bestFit="1" customWidth="1"/>
    <col min="11530" max="11530" width="10" style="262" bestFit="1" customWidth="1"/>
    <col min="11531" max="11531" width="35.140625" style="262" bestFit="1" customWidth="1"/>
    <col min="11532" max="11532" width="4.7109375" style="262" bestFit="1" customWidth="1"/>
    <col min="11533" max="11776" width="9.140625" style="262"/>
    <col min="11777" max="11777" width="6.42578125" style="262" bestFit="1" customWidth="1"/>
    <col min="11778" max="11778" width="20.7109375" style="262" bestFit="1" customWidth="1"/>
    <col min="11779" max="11779" width="10" style="262" bestFit="1" customWidth="1"/>
    <col min="11780" max="11780" width="13.85546875" style="262" bestFit="1" customWidth="1"/>
    <col min="11781" max="11781" width="7.7109375" style="262" bestFit="1" customWidth="1"/>
    <col min="11782" max="11783" width="6" style="262" bestFit="1" customWidth="1"/>
    <col min="11784" max="11784" width="9.7109375" style="262" bestFit="1" customWidth="1"/>
    <col min="11785" max="11785" width="10.7109375" style="262" bestFit="1" customWidth="1"/>
    <col min="11786" max="11786" width="10" style="262" bestFit="1" customWidth="1"/>
    <col min="11787" max="11787" width="35.140625" style="262" bestFit="1" customWidth="1"/>
    <col min="11788" max="11788" width="4.7109375" style="262" bestFit="1" customWidth="1"/>
    <col min="11789" max="12032" width="9.140625" style="262"/>
    <col min="12033" max="12033" width="6.42578125" style="262" bestFit="1" customWidth="1"/>
    <col min="12034" max="12034" width="20.7109375" style="262" bestFit="1" customWidth="1"/>
    <col min="12035" max="12035" width="10" style="262" bestFit="1" customWidth="1"/>
    <col min="12036" max="12036" width="13.85546875" style="262" bestFit="1" customWidth="1"/>
    <col min="12037" max="12037" width="7.7109375" style="262" bestFit="1" customWidth="1"/>
    <col min="12038" max="12039" width="6" style="262" bestFit="1" customWidth="1"/>
    <col min="12040" max="12040" width="9.7109375" style="262" bestFit="1" customWidth="1"/>
    <col min="12041" max="12041" width="10.7109375" style="262" bestFit="1" customWidth="1"/>
    <col min="12042" max="12042" width="10" style="262" bestFit="1" customWidth="1"/>
    <col min="12043" max="12043" width="35.140625" style="262" bestFit="1" customWidth="1"/>
    <col min="12044" max="12044" width="4.7109375" style="262" bestFit="1" customWidth="1"/>
    <col min="12045" max="12288" width="9.140625" style="262"/>
    <col min="12289" max="12289" width="6.42578125" style="262" bestFit="1" customWidth="1"/>
    <col min="12290" max="12290" width="20.7109375" style="262" bestFit="1" customWidth="1"/>
    <col min="12291" max="12291" width="10" style="262" bestFit="1" customWidth="1"/>
    <col min="12292" max="12292" width="13.85546875" style="262" bestFit="1" customWidth="1"/>
    <col min="12293" max="12293" width="7.7109375" style="262" bestFit="1" customWidth="1"/>
    <col min="12294" max="12295" width="6" style="262" bestFit="1" customWidth="1"/>
    <col min="12296" max="12296" width="9.7109375" style="262" bestFit="1" customWidth="1"/>
    <col min="12297" max="12297" width="10.7109375" style="262" bestFit="1" customWidth="1"/>
    <col min="12298" max="12298" width="10" style="262" bestFit="1" customWidth="1"/>
    <col min="12299" max="12299" width="35.140625" style="262" bestFit="1" customWidth="1"/>
    <col min="12300" max="12300" width="4.7109375" style="262" bestFit="1" customWidth="1"/>
    <col min="12301" max="12544" width="9.140625" style="262"/>
    <col min="12545" max="12545" width="6.42578125" style="262" bestFit="1" customWidth="1"/>
    <col min="12546" max="12546" width="20.7109375" style="262" bestFit="1" customWidth="1"/>
    <col min="12547" max="12547" width="10" style="262" bestFit="1" customWidth="1"/>
    <col min="12548" max="12548" width="13.85546875" style="262" bestFit="1" customWidth="1"/>
    <col min="12549" max="12549" width="7.7109375" style="262" bestFit="1" customWidth="1"/>
    <col min="12550" max="12551" width="6" style="262" bestFit="1" customWidth="1"/>
    <col min="12552" max="12552" width="9.7109375" style="262" bestFit="1" customWidth="1"/>
    <col min="12553" max="12553" width="10.7109375" style="262" bestFit="1" customWidth="1"/>
    <col min="12554" max="12554" width="10" style="262" bestFit="1" customWidth="1"/>
    <col min="12555" max="12555" width="35.140625" style="262" bestFit="1" customWidth="1"/>
    <col min="12556" max="12556" width="4.7109375" style="262" bestFit="1" customWidth="1"/>
    <col min="12557" max="12800" width="9.140625" style="262"/>
    <col min="12801" max="12801" width="6.42578125" style="262" bestFit="1" customWidth="1"/>
    <col min="12802" max="12802" width="20.7109375" style="262" bestFit="1" customWidth="1"/>
    <col min="12803" max="12803" width="10" style="262" bestFit="1" customWidth="1"/>
    <col min="12804" max="12804" width="13.85546875" style="262" bestFit="1" customWidth="1"/>
    <col min="12805" max="12805" width="7.7109375" style="262" bestFit="1" customWidth="1"/>
    <col min="12806" max="12807" width="6" style="262" bestFit="1" customWidth="1"/>
    <col min="12808" max="12808" width="9.7109375" style="262" bestFit="1" customWidth="1"/>
    <col min="12809" max="12809" width="10.7109375" style="262" bestFit="1" customWidth="1"/>
    <col min="12810" max="12810" width="10" style="262" bestFit="1" customWidth="1"/>
    <col min="12811" max="12811" width="35.140625" style="262" bestFit="1" customWidth="1"/>
    <col min="12812" max="12812" width="4.7109375" style="262" bestFit="1" customWidth="1"/>
    <col min="12813" max="13056" width="9.140625" style="262"/>
    <col min="13057" max="13057" width="6.42578125" style="262" bestFit="1" customWidth="1"/>
    <col min="13058" max="13058" width="20.7109375" style="262" bestFit="1" customWidth="1"/>
    <col min="13059" max="13059" width="10" style="262" bestFit="1" customWidth="1"/>
    <col min="13060" max="13060" width="13.85546875" style="262" bestFit="1" customWidth="1"/>
    <col min="13061" max="13061" width="7.7109375" style="262" bestFit="1" customWidth="1"/>
    <col min="13062" max="13063" width="6" style="262" bestFit="1" customWidth="1"/>
    <col min="13064" max="13064" width="9.7109375" style="262" bestFit="1" customWidth="1"/>
    <col min="13065" max="13065" width="10.7109375" style="262" bestFit="1" customWidth="1"/>
    <col min="13066" max="13066" width="10" style="262" bestFit="1" customWidth="1"/>
    <col min="13067" max="13067" width="35.140625" style="262" bestFit="1" customWidth="1"/>
    <col min="13068" max="13068" width="4.7109375" style="262" bestFit="1" customWidth="1"/>
    <col min="13069" max="13312" width="9.140625" style="262"/>
    <col min="13313" max="13313" width="6.42578125" style="262" bestFit="1" customWidth="1"/>
    <col min="13314" max="13314" width="20.7109375" style="262" bestFit="1" customWidth="1"/>
    <col min="13315" max="13315" width="10" style="262" bestFit="1" customWidth="1"/>
    <col min="13316" max="13316" width="13.85546875" style="262" bestFit="1" customWidth="1"/>
    <col min="13317" max="13317" width="7.7109375" style="262" bestFit="1" customWidth="1"/>
    <col min="13318" max="13319" width="6" style="262" bestFit="1" customWidth="1"/>
    <col min="13320" max="13320" width="9.7109375" style="262" bestFit="1" customWidth="1"/>
    <col min="13321" max="13321" width="10.7109375" style="262" bestFit="1" customWidth="1"/>
    <col min="13322" max="13322" width="10" style="262" bestFit="1" customWidth="1"/>
    <col min="13323" max="13323" width="35.140625" style="262" bestFit="1" customWidth="1"/>
    <col min="13324" max="13324" width="4.7109375" style="262" bestFit="1" customWidth="1"/>
    <col min="13325" max="13568" width="9.140625" style="262"/>
    <col min="13569" max="13569" width="6.42578125" style="262" bestFit="1" customWidth="1"/>
    <col min="13570" max="13570" width="20.7109375" style="262" bestFit="1" customWidth="1"/>
    <col min="13571" max="13571" width="10" style="262" bestFit="1" customWidth="1"/>
    <col min="13572" max="13572" width="13.85546875" style="262" bestFit="1" customWidth="1"/>
    <col min="13573" max="13573" width="7.7109375" style="262" bestFit="1" customWidth="1"/>
    <col min="13574" max="13575" width="6" style="262" bestFit="1" customWidth="1"/>
    <col min="13576" max="13576" width="9.7109375" style="262" bestFit="1" customWidth="1"/>
    <col min="13577" max="13577" width="10.7109375" style="262" bestFit="1" customWidth="1"/>
    <col min="13578" max="13578" width="10" style="262" bestFit="1" customWidth="1"/>
    <col min="13579" max="13579" width="35.140625" style="262" bestFit="1" customWidth="1"/>
    <col min="13580" max="13580" width="4.7109375" style="262" bestFit="1" customWidth="1"/>
    <col min="13581" max="13824" width="9.140625" style="262"/>
    <col min="13825" max="13825" width="6.42578125" style="262" bestFit="1" customWidth="1"/>
    <col min="13826" max="13826" width="20.7109375" style="262" bestFit="1" customWidth="1"/>
    <col min="13827" max="13827" width="10" style="262" bestFit="1" customWidth="1"/>
    <col min="13828" max="13828" width="13.85546875" style="262" bestFit="1" customWidth="1"/>
    <col min="13829" max="13829" width="7.7109375" style="262" bestFit="1" customWidth="1"/>
    <col min="13830" max="13831" width="6" style="262" bestFit="1" customWidth="1"/>
    <col min="13832" max="13832" width="9.7109375" style="262" bestFit="1" customWidth="1"/>
    <col min="13833" max="13833" width="10.7109375" style="262" bestFit="1" customWidth="1"/>
    <col min="13834" max="13834" width="10" style="262" bestFit="1" customWidth="1"/>
    <col min="13835" max="13835" width="35.140625" style="262" bestFit="1" customWidth="1"/>
    <col min="13836" max="13836" width="4.7109375" style="262" bestFit="1" customWidth="1"/>
    <col min="13837" max="14080" width="9.140625" style="262"/>
    <col min="14081" max="14081" width="6.42578125" style="262" bestFit="1" customWidth="1"/>
    <col min="14082" max="14082" width="20.7109375" style="262" bestFit="1" customWidth="1"/>
    <col min="14083" max="14083" width="10" style="262" bestFit="1" customWidth="1"/>
    <col min="14084" max="14084" width="13.85546875" style="262" bestFit="1" customWidth="1"/>
    <col min="14085" max="14085" width="7.7109375" style="262" bestFit="1" customWidth="1"/>
    <col min="14086" max="14087" width="6" style="262" bestFit="1" customWidth="1"/>
    <col min="14088" max="14088" width="9.7109375" style="262" bestFit="1" customWidth="1"/>
    <col min="14089" max="14089" width="10.7109375" style="262" bestFit="1" customWidth="1"/>
    <col min="14090" max="14090" width="10" style="262" bestFit="1" customWidth="1"/>
    <col min="14091" max="14091" width="35.140625" style="262" bestFit="1" customWidth="1"/>
    <col min="14092" max="14092" width="4.7109375" style="262" bestFit="1" customWidth="1"/>
    <col min="14093" max="14336" width="9.140625" style="262"/>
    <col min="14337" max="14337" width="6.42578125" style="262" bestFit="1" customWidth="1"/>
    <col min="14338" max="14338" width="20.7109375" style="262" bestFit="1" customWidth="1"/>
    <col min="14339" max="14339" width="10" style="262" bestFit="1" customWidth="1"/>
    <col min="14340" max="14340" width="13.85546875" style="262" bestFit="1" customWidth="1"/>
    <col min="14341" max="14341" width="7.7109375" style="262" bestFit="1" customWidth="1"/>
    <col min="14342" max="14343" width="6" style="262" bestFit="1" customWidth="1"/>
    <col min="14344" max="14344" width="9.7109375" style="262" bestFit="1" customWidth="1"/>
    <col min="14345" max="14345" width="10.7109375" style="262" bestFit="1" customWidth="1"/>
    <col min="14346" max="14346" width="10" style="262" bestFit="1" customWidth="1"/>
    <col min="14347" max="14347" width="35.140625" style="262" bestFit="1" customWidth="1"/>
    <col min="14348" max="14348" width="4.7109375" style="262" bestFit="1" customWidth="1"/>
    <col min="14349" max="14592" width="9.140625" style="262"/>
    <col min="14593" max="14593" width="6.42578125" style="262" bestFit="1" customWidth="1"/>
    <col min="14594" max="14594" width="20.7109375" style="262" bestFit="1" customWidth="1"/>
    <col min="14595" max="14595" width="10" style="262" bestFit="1" customWidth="1"/>
    <col min="14596" max="14596" width="13.85546875" style="262" bestFit="1" customWidth="1"/>
    <col min="14597" max="14597" width="7.7109375" style="262" bestFit="1" customWidth="1"/>
    <col min="14598" max="14599" width="6" style="262" bestFit="1" customWidth="1"/>
    <col min="14600" max="14600" width="9.7109375" style="262" bestFit="1" customWidth="1"/>
    <col min="14601" max="14601" width="10.7109375" style="262" bestFit="1" customWidth="1"/>
    <col min="14602" max="14602" width="10" style="262" bestFit="1" customWidth="1"/>
    <col min="14603" max="14603" width="35.140625" style="262" bestFit="1" customWidth="1"/>
    <col min="14604" max="14604" width="4.7109375" style="262" bestFit="1" customWidth="1"/>
    <col min="14605" max="14848" width="9.140625" style="262"/>
    <col min="14849" max="14849" width="6.42578125" style="262" bestFit="1" customWidth="1"/>
    <col min="14850" max="14850" width="20.7109375" style="262" bestFit="1" customWidth="1"/>
    <col min="14851" max="14851" width="10" style="262" bestFit="1" customWidth="1"/>
    <col min="14852" max="14852" width="13.85546875" style="262" bestFit="1" customWidth="1"/>
    <col min="14853" max="14853" width="7.7109375" style="262" bestFit="1" customWidth="1"/>
    <col min="14854" max="14855" width="6" style="262" bestFit="1" customWidth="1"/>
    <col min="14856" max="14856" width="9.7109375" style="262" bestFit="1" customWidth="1"/>
    <col min="14857" max="14857" width="10.7109375" style="262" bestFit="1" customWidth="1"/>
    <col min="14858" max="14858" width="10" style="262" bestFit="1" customWidth="1"/>
    <col min="14859" max="14859" width="35.140625" style="262" bestFit="1" customWidth="1"/>
    <col min="14860" max="14860" width="4.7109375" style="262" bestFit="1" customWidth="1"/>
    <col min="14861" max="15104" width="9.140625" style="262"/>
    <col min="15105" max="15105" width="6.42578125" style="262" bestFit="1" customWidth="1"/>
    <col min="15106" max="15106" width="20.7109375" style="262" bestFit="1" customWidth="1"/>
    <col min="15107" max="15107" width="10" style="262" bestFit="1" customWidth="1"/>
    <col min="15108" max="15108" width="13.85546875" style="262" bestFit="1" customWidth="1"/>
    <col min="15109" max="15109" width="7.7109375" style="262" bestFit="1" customWidth="1"/>
    <col min="15110" max="15111" width="6" style="262" bestFit="1" customWidth="1"/>
    <col min="15112" max="15112" width="9.7109375" style="262" bestFit="1" customWidth="1"/>
    <col min="15113" max="15113" width="10.7109375" style="262" bestFit="1" customWidth="1"/>
    <col min="15114" max="15114" width="10" style="262" bestFit="1" customWidth="1"/>
    <col min="15115" max="15115" width="35.140625" style="262" bestFit="1" customWidth="1"/>
    <col min="15116" max="15116" width="4.7109375" style="262" bestFit="1" customWidth="1"/>
    <col min="15117" max="15360" width="9.140625" style="262"/>
    <col min="15361" max="15361" width="6.42578125" style="262" bestFit="1" customWidth="1"/>
    <col min="15362" max="15362" width="20.7109375" style="262" bestFit="1" customWidth="1"/>
    <col min="15363" max="15363" width="10" style="262" bestFit="1" customWidth="1"/>
    <col min="15364" max="15364" width="13.85546875" style="262" bestFit="1" customWidth="1"/>
    <col min="15365" max="15365" width="7.7109375" style="262" bestFit="1" customWidth="1"/>
    <col min="15366" max="15367" width="6" style="262" bestFit="1" customWidth="1"/>
    <col min="15368" max="15368" width="9.7109375" style="262" bestFit="1" customWidth="1"/>
    <col min="15369" max="15369" width="10.7109375" style="262" bestFit="1" customWidth="1"/>
    <col min="15370" max="15370" width="10" style="262" bestFit="1" customWidth="1"/>
    <col min="15371" max="15371" width="35.140625" style="262" bestFit="1" customWidth="1"/>
    <col min="15372" max="15372" width="4.7109375" style="262" bestFit="1" customWidth="1"/>
    <col min="15373" max="15616" width="9.140625" style="262"/>
    <col min="15617" max="15617" width="6.42578125" style="262" bestFit="1" customWidth="1"/>
    <col min="15618" max="15618" width="20.7109375" style="262" bestFit="1" customWidth="1"/>
    <col min="15619" max="15619" width="10" style="262" bestFit="1" customWidth="1"/>
    <col min="15620" max="15620" width="13.85546875" style="262" bestFit="1" customWidth="1"/>
    <col min="15621" max="15621" width="7.7109375" style="262" bestFit="1" customWidth="1"/>
    <col min="15622" max="15623" width="6" style="262" bestFit="1" customWidth="1"/>
    <col min="15624" max="15624" width="9.7109375" style="262" bestFit="1" customWidth="1"/>
    <col min="15625" max="15625" width="10.7109375" style="262" bestFit="1" customWidth="1"/>
    <col min="15626" max="15626" width="10" style="262" bestFit="1" customWidth="1"/>
    <col min="15627" max="15627" width="35.140625" style="262" bestFit="1" customWidth="1"/>
    <col min="15628" max="15628" width="4.7109375" style="262" bestFit="1" customWidth="1"/>
    <col min="15629" max="15872" width="9.140625" style="262"/>
    <col min="15873" max="15873" width="6.42578125" style="262" bestFit="1" customWidth="1"/>
    <col min="15874" max="15874" width="20.7109375" style="262" bestFit="1" customWidth="1"/>
    <col min="15875" max="15875" width="10" style="262" bestFit="1" customWidth="1"/>
    <col min="15876" max="15876" width="13.85546875" style="262" bestFit="1" customWidth="1"/>
    <col min="15877" max="15877" width="7.7109375" style="262" bestFit="1" customWidth="1"/>
    <col min="15878" max="15879" width="6" style="262" bestFit="1" customWidth="1"/>
    <col min="15880" max="15880" width="9.7109375" style="262" bestFit="1" customWidth="1"/>
    <col min="15881" max="15881" width="10.7109375" style="262" bestFit="1" customWidth="1"/>
    <col min="15882" max="15882" width="10" style="262" bestFit="1" customWidth="1"/>
    <col min="15883" max="15883" width="35.140625" style="262" bestFit="1" customWidth="1"/>
    <col min="15884" max="15884" width="4.7109375" style="262" bestFit="1" customWidth="1"/>
    <col min="15885" max="16128" width="9.140625" style="262"/>
    <col min="16129" max="16129" width="6.42578125" style="262" bestFit="1" customWidth="1"/>
    <col min="16130" max="16130" width="20.7109375" style="262" bestFit="1" customWidth="1"/>
    <col min="16131" max="16131" width="10" style="262" bestFit="1" customWidth="1"/>
    <col min="16132" max="16132" width="13.85546875" style="262" bestFit="1" customWidth="1"/>
    <col min="16133" max="16133" width="7.7109375" style="262" bestFit="1" customWidth="1"/>
    <col min="16134" max="16135" width="6" style="262" bestFit="1" customWidth="1"/>
    <col min="16136" max="16136" width="9.7109375" style="262" bestFit="1" customWidth="1"/>
    <col min="16137" max="16137" width="10.7109375" style="262" bestFit="1" customWidth="1"/>
    <col min="16138" max="16138" width="10" style="262" bestFit="1" customWidth="1"/>
    <col min="16139" max="16139" width="35.140625" style="262" bestFit="1" customWidth="1"/>
    <col min="16140" max="16140" width="4.7109375" style="262" bestFit="1" customWidth="1"/>
    <col min="16141" max="16384" width="9.140625" style="262"/>
  </cols>
  <sheetData>
    <row r="1" spans="1:11" ht="15.75" customHeight="1" x14ac:dyDescent="0.2">
      <c r="A1" s="354" t="s">
        <v>347</v>
      </c>
      <c r="B1" s="354"/>
      <c r="C1" s="354"/>
      <c r="D1" s="354"/>
      <c r="E1" s="354"/>
      <c r="F1" s="354"/>
      <c r="G1" s="354"/>
      <c r="H1" s="354"/>
      <c r="I1" s="354"/>
      <c r="J1" s="354"/>
      <c r="K1" s="354"/>
    </row>
    <row r="2" spans="1:11" s="265" customFormat="1" ht="58.5" customHeight="1" x14ac:dyDescent="0.2">
      <c r="A2" s="269" t="s">
        <v>135</v>
      </c>
      <c r="B2" s="269" t="s">
        <v>348</v>
      </c>
      <c r="C2" s="311" t="s">
        <v>349</v>
      </c>
      <c r="D2" s="311" t="s">
        <v>350</v>
      </c>
      <c r="E2" s="269" t="s">
        <v>351</v>
      </c>
      <c r="F2" s="269" t="s">
        <v>352</v>
      </c>
      <c r="G2" s="269" t="s">
        <v>353</v>
      </c>
      <c r="H2" s="276" t="s">
        <v>354</v>
      </c>
      <c r="I2" s="276" t="s">
        <v>355</v>
      </c>
      <c r="J2" s="276" t="s">
        <v>356</v>
      </c>
    </row>
    <row r="3" spans="1:11" s="265" customFormat="1" ht="15" customHeight="1" x14ac:dyDescent="0.2">
      <c r="A3" s="277">
        <v>1</v>
      </c>
      <c r="B3" s="278" t="s">
        <v>357</v>
      </c>
      <c r="C3" s="312">
        <v>544.66</v>
      </c>
      <c r="D3" s="313">
        <v>497252.72</v>
      </c>
      <c r="E3" s="282">
        <v>12.67</v>
      </c>
      <c r="F3" s="314">
        <v>0.71</v>
      </c>
      <c r="G3" s="314">
        <v>0.3</v>
      </c>
      <c r="H3" s="314">
        <v>0.99</v>
      </c>
      <c r="I3" s="314">
        <v>11.26</v>
      </c>
      <c r="J3" s="314">
        <v>0.02</v>
      </c>
    </row>
    <row r="4" spans="1:11" s="265" customFormat="1" ht="15" customHeight="1" x14ac:dyDescent="0.2">
      <c r="A4" s="277">
        <v>2</v>
      </c>
      <c r="B4" s="278" t="s">
        <v>358</v>
      </c>
      <c r="C4" s="312">
        <v>6338.69</v>
      </c>
      <c r="D4" s="313">
        <v>440246.5</v>
      </c>
      <c r="E4" s="282">
        <v>11.21</v>
      </c>
      <c r="F4" s="314">
        <v>1.49</v>
      </c>
      <c r="G4" s="314">
        <v>0.45</v>
      </c>
      <c r="H4" s="314">
        <v>1.71</v>
      </c>
      <c r="I4" s="314">
        <v>10.68</v>
      </c>
      <c r="J4" s="314">
        <v>0.01</v>
      </c>
    </row>
    <row r="5" spans="1:11" s="265" customFormat="1" ht="15" customHeight="1" x14ac:dyDescent="0.2">
      <c r="A5" s="277">
        <v>3</v>
      </c>
      <c r="B5" s="278" t="s">
        <v>359</v>
      </c>
      <c r="C5" s="312">
        <v>344.29</v>
      </c>
      <c r="D5" s="313">
        <v>337933.15</v>
      </c>
      <c r="E5" s="282">
        <v>8.61</v>
      </c>
      <c r="F5" s="314">
        <v>1.22</v>
      </c>
      <c r="G5" s="314">
        <v>0.45</v>
      </c>
      <c r="H5" s="314">
        <v>1.4</v>
      </c>
      <c r="I5" s="314">
        <v>6.82</v>
      </c>
      <c r="J5" s="314">
        <v>0.03</v>
      </c>
    </row>
    <row r="6" spans="1:11" s="265" customFormat="1" ht="15" customHeight="1" x14ac:dyDescent="0.2">
      <c r="A6" s="277">
        <v>4</v>
      </c>
      <c r="B6" s="278" t="s">
        <v>360</v>
      </c>
      <c r="C6" s="312">
        <v>2184.4699999999998</v>
      </c>
      <c r="D6" s="313">
        <v>282100.46999999997</v>
      </c>
      <c r="E6" s="282">
        <v>7.19</v>
      </c>
      <c r="F6" s="314">
        <v>0.87</v>
      </c>
      <c r="G6" s="314">
        <v>0.02</v>
      </c>
      <c r="H6" s="314">
        <v>4.49</v>
      </c>
      <c r="I6" s="314">
        <v>1.1399999999999999</v>
      </c>
      <c r="J6" s="314">
        <v>0.03</v>
      </c>
    </row>
    <row r="7" spans="1:11" s="265" customFormat="1" ht="15" customHeight="1" x14ac:dyDescent="0.2">
      <c r="A7" s="277">
        <v>5</v>
      </c>
      <c r="B7" s="278" t="s">
        <v>361</v>
      </c>
      <c r="C7" s="312">
        <v>1289.24</v>
      </c>
      <c r="D7" s="313">
        <v>255844.53</v>
      </c>
      <c r="E7" s="282">
        <v>6.52</v>
      </c>
      <c r="F7" s="314">
        <v>1.28</v>
      </c>
      <c r="G7" s="314">
        <v>0.26</v>
      </c>
      <c r="H7" s="314">
        <v>1.91</v>
      </c>
      <c r="I7" s="314">
        <v>14.35</v>
      </c>
      <c r="J7" s="314">
        <v>0.03</v>
      </c>
    </row>
    <row r="8" spans="1:11" s="265" customFormat="1" ht="15" customHeight="1" x14ac:dyDescent="0.2">
      <c r="A8" s="277">
        <v>6</v>
      </c>
      <c r="B8" s="278" t="s">
        <v>362</v>
      </c>
      <c r="C8" s="312">
        <v>1225.8599999999999</v>
      </c>
      <c r="D8" s="313">
        <v>252883.74</v>
      </c>
      <c r="E8" s="282">
        <v>6.44</v>
      </c>
      <c r="F8" s="314">
        <v>0.91</v>
      </c>
      <c r="G8" s="314">
        <v>0.3</v>
      </c>
      <c r="H8" s="314">
        <v>1.27</v>
      </c>
      <c r="I8" s="314">
        <v>7.44</v>
      </c>
      <c r="J8" s="314">
        <v>0.03</v>
      </c>
    </row>
    <row r="9" spans="1:11" s="265" customFormat="1" ht="15" customHeight="1" x14ac:dyDescent="0.2">
      <c r="A9" s="277">
        <v>7</v>
      </c>
      <c r="B9" s="278" t="s">
        <v>363</v>
      </c>
      <c r="C9" s="312">
        <v>375.24</v>
      </c>
      <c r="D9" s="313">
        <v>210175.59</v>
      </c>
      <c r="E9" s="282">
        <v>5.35</v>
      </c>
      <c r="F9" s="314">
        <v>-0.04</v>
      </c>
      <c r="G9" s="314">
        <v>0</v>
      </c>
      <c r="H9" s="314">
        <v>4.71</v>
      </c>
      <c r="I9" s="314">
        <v>0.81</v>
      </c>
      <c r="J9" s="314">
        <v>0.03</v>
      </c>
    </row>
    <row r="10" spans="1:11" s="265" customFormat="1" ht="15" customHeight="1" x14ac:dyDescent="0.2">
      <c r="A10" s="277">
        <v>8</v>
      </c>
      <c r="B10" s="278" t="s">
        <v>364</v>
      </c>
      <c r="C10" s="312">
        <v>280.52</v>
      </c>
      <c r="D10" s="313">
        <v>168643.04</v>
      </c>
      <c r="E10" s="282">
        <v>4.3</v>
      </c>
      <c r="F10" s="314">
        <v>0.96</v>
      </c>
      <c r="G10" s="314">
        <v>0.3</v>
      </c>
      <c r="H10" s="314">
        <v>1.34</v>
      </c>
      <c r="I10" s="314">
        <v>6.92</v>
      </c>
      <c r="J10" s="314">
        <v>0.03</v>
      </c>
    </row>
    <row r="11" spans="1:11" s="265" customFormat="1" ht="15" customHeight="1" x14ac:dyDescent="0.2">
      <c r="A11" s="277">
        <v>9</v>
      </c>
      <c r="B11" s="278" t="s">
        <v>365</v>
      </c>
      <c r="C11" s="312">
        <v>954.02</v>
      </c>
      <c r="D11" s="313">
        <v>157646.92000000001</v>
      </c>
      <c r="E11" s="282">
        <v>4.0199999999999996</v>
      </c>
      <c r="F11" s="314">
        <v>1.05</v>
      </c>
      <c r="G11" s="314">
        <v>0.26</v>
      </c>
      <c r="H11" s="314">
        <v>1.59</v>
      </c>
      <c r="I11" s="314">
        <v>10.17</v>
      </c>
      <c r="J11" s="314">
        <v>0.03</v>
      </c>
    </row>
    <row r="12" spans="1:11" s="265" customFormat="1" ht="15" customHeight="1" x14ac:dyDescent="0.2">
      <c r="A12" s="277">
        <v>10</v>
      </c>
      <c r="B12" s="278" t="s">
        <v>366</v>
      </c>
      <c r="C12" s="312">
        <v>514.28</v>
      </c>
      <c r="D12" s="313">
        <v>137298.07999999999</v>
      </c>
      <c r="E12" s="282">
        <v>3.5</v>
      </c>
      <c r="F12" s="314">
        <v>1.19</v>
      </c>
      <c r="G12" s="314">
        <v>0.25</v>
      </c>
      <c r="H12" s="314">
        <v>1.84</v>
      </c>
      <c r="I12" s="314">
        <v>9.41</v>
      </c>
      <c r="J12" s="314">
        <v>0.02</v>
      </c>
    </row>
    <row r="13" spans="1:11" s="265" customFormat="1" ht="15" customHeight="1" x14ac:dyDescent="0.2">
      <c r="A13" s="277">
        <v>11</v>
      </c>
      <c r="B13" s="278" t="s">
        <v>367</v>
      </c>
      <c r="C13" s="312">
        <v>216.47</v>
      </c>
      <c r="D13" s="313">
        <v>121983.62</v>
      </c>
      <c r="E13" s="282">
        <v>3.11</v>
      </c>
      <c r="F13" s="314">
        <v>0.75</v>
      </c>
      <c r="G13" s="314">
        <v>0.19</v>
      </c>
      <c r="H13" s="314">
        <v>1.32</v>
      </c>
      <c r="I13" s="314">
        <v>-1.36</v>
      </c>
      <c r="J13" s="314">
        <v>0.03</v>
      </c>
    </row>
    <row r="14" spans="1:11" s="265" customFormat="1" ht="15" customHeight="1" x14ac:dyDescent="0.2">
      <c r="A14" s="277">
        <v>12</v>
      </c>
      <c r="B14" s="278" t="s">
        <v>368</v>
      </c>
      <c r="C14" s="312">
        <v>892.46</v>
      </c>
      <c r="D14" s="313">
        <v>120246.33</v>
      </c>
      <c r="E14" s="282">
        <v>3.06</v>
      </c>
      <c r="F14" s="314">
        <v>1.35</v>
      </c>
      <c r="G14" s="314">
        <v>0.32</v>
      </c>
      <c r="H14" s="314">
        <v>1.83</v>
      </c>
      <c r="I14" s="314">
        <v>18.920000000000002</v>
      </c>
      <c r="J14" s="314">
        <v>0.03</v>
      </c>
    </row>
    <row r="15" spans="1:11" s="265" customFormat="1" ht="15" customHeight="1" x14ac:dyDescent="0.2">
      <c r="A15" s="277">
        <v>13</v>
      </c>
      <c r="B15" s="278" t="s">
        <v>369</v>
      </c>
      <c r="C15" s="312">
        <v>602.69000000000005</v>
      </c>
      <c r="D15" s="312">
        <v>89620.84</v>
      </c>
      <c r="E15" s="282">
        <v>2.2799999999999998</v>
      </c>
      <c r="F15" s="314">
        <v>1.02</v>
      </c>
      <c r="G15" s="314">
        <v>0.23</v>
      </c>
      <c r="H15" s="314">
        <v>1.65</v>
      </c>
      <c r="I15" s="314">
        <v>20.99</v>
      </c>
      <c r="J15" s="314">
        <v>0.04</v>
      </c>
    </row>
    <row r="16" spans="1:11" s="265" customFormat="1" ht="15" customHeight="1" x14ac:dyDescent="0.2">
      <c r="A16" s="277">
        <v>14</v>
      </c>
      <c r="B16" s="278" t="s">
        <v>370</v>
      </c>
      <c r="C16" s="312">
        <v>151.04</v>
      </c>
      <c r="D16" s="312">
        <v>88677.03</v>
      </c>
      <c r="E16" s="282">
        <v>2.2599999999999998</v>
      </c>
      <c r="F16" s="314">
        <v>1.1299999999999999</v>
      </c>
      <c r="G16" s="314">
        <v>0.28999999999999998</v>
      </c>
      <c r="H16" s="314">
        <v>1.61</v>
      </c>
      <c r="I16" s="314">
        <v>-2.35</v>
      </c>
      <c r="J16" s="314">
        <v>0.02</v>
      </c>
    </row>
    <row r="17" spans="1:10" s="265" customFormat="1" ht="15" customHeight="1" x14ac:dyDescent="0.2">
      <c r="A17" s="277">
        <v>15</v>
      </c>
      <c r="B17" s="278" t="s">
        <v>371</v>
      </c>
      <c r="C17" s="312">
        <v>115.59</v>
      </c>
      <c r="D17" s="312">
        <v>71494.14</v>
      </c>
      <c r="E17" s="282">
        <v>1.82</v>
      </c>
      <c r="F17" s="314">
        <v>1.32</v>
      </c>
      <c r="G17" s="314">
        <v>0.22</v>
      </c>
      <c r="H17" s="314">
        <v>2.15</v>
      </c>
      <c r="I17" s="314">
        <v>14.26</v>
      </c>
      <c r="J17" s="314">
        <v>0.03</v>
      </c>
    </row>
    <row r="18" spans="1:10" s="265" customFormat="1" ht="15" customHeight="1" x14ac:dyDescent="0.2">
      <c r="A18" s="277">
        <v>16</v>
      </c>
      <c r="B18" s="278" t="s">
        <v>372</v>
      </c>
      <c r="C18" s="312">
        <v>95.92</v>
      </c>
      <c r="D18" s="312">
        <v>67258.289999999994</v>
      </c>
      <c r="E18" s="282">
        <v>1.71</v>
      </c>
      <c r="F18" s="314">
        <v>1.02</v>
      </c>
      <c r="G18" s="314">
        <v>0.28999999999999998</v>
      </c>
      <c r="H18" s="314">
        <v>1.44</v>
      </c>
      <c r="I18" s="314">
        <v>6.18</v>
      </c>
      <c r="J18" s="314">
        <v>0.05</v>
      </c>
    </row>
    <row r="19" spans="1:10" s="265" customFormat="1" ht="15" customHeight="1" x14ac:dyDescent="0.2">
      <c r="A19" s="277">
        <v>17</v>
      </c>
      <c r="B19" s="278" t="s">
        <v>373</v>
      </c>
      <c r="C19" s="312">
        <v>621.6</v>
      </c>
      <c r="D19" s="312">
        <v>62587.44</v>
      </c>
      <c r="E19" s="282">
        <v>1.59</v>
      </c>
      <c r="F19" s="314">
        <v>1.28</v>
      </c>
      <c r="G19" s="314">
        <v>0.33</v>
      </c>
      <c r="H19" s="314">
        <v>1.72</v>
      </c>
      <c r="I19" s="314">
        <v>3.91</v>
      </c>
      <c r="J19" s="314">
        <v>0.04</v>
      </c>
    </row>
    <row r="20" spans="1:10" s="265" customFormat="1" ht="15" customHeight="1" x14ac:dyDescent="0.2">
      <c r="A20" s="277">
        <v>18</v>
      </c>
      <c r="B20" s="278" t="s">
        <v>374</v>
      </c>
      <c r="C20" s="312">
        <v>271.26</v>
      </c>
      <c r="D20" s="312">
        <v>60579.32</v>
      </c>
      <c r="E20" s="282">
        <v>1.54</v>
      </c>
      <c r="F20" s="314">
        <v>0.56000000000000005</v>
      </c>
      <c r="G20" s="314">
        <v>0.06</v>
      </c>
      <c r="H20" s="314">
        <v>1.73</v>
      </c>
      <c r="I20" s="314">
        <v>3.3</v>
      </c>
      <c r="J20" s="314">
        <v>0.05</v>
      </c>
    </row>
    <row r="21" spans="1:10" s="265" customFormat="1" ht="15" customHeight="1" x14ac:dyDescent="0.2">
      <c r="A21" s="277">
        <v>19</v>
      </c>
      <c r="B21" s="278" t="s">
        <v>375</v>
      </c>
      <c r="C21" s="312">
        <v>239.93</v>
      </c>
      <c r="D21" s="312">
        <v>51742.74</v>
      </c>
      <c r="E21" s="282">
        <v>1.32</v>
      </c>
      <c r="F21" s="314">
        <v>0.8</v>
      </c>
      <c r="G21" s="314">
        <v>7.0000000000000007E-2</v>
      </c>
      <c r="H21" s="314">
        <v>2.27</v>
      </c>
      <c r="I21" s="314">
        <v>7.6</v>
      </c>
      <c r="J21" s="314">
        <v>0.04</v>
      </c>
    </row>
    <row r="22" spans="1:10" s="265" customFormat="1" ht="15" customHeight="1" x14ac:dyDescent="0.2">
      <c r="A22" s="277">
        <v>20</v>
      </c>
      <c r="B22" s="278" t="s">
        <v>376</v>
      </c>
      <c r="C22" s="312">
        <v>9894.56</v>
      </c>
      <c r="D22" s="312">
        <v>50890.68</v>
      </c>
      <c r="E22" s="282">
        <v>1.3</v>
      </c>
      <c r="F22" s="314">
        <v>0.52</v>
      </c>
      <c r="G22" s="314">
        <v>0.06</v>
      </c>
      <c r="H22" s="314">
        <v>1.71</v>
      </c>
      <c r="I22" s="314">
        <v>14.79</v>
      </c>
      <c r="J22" s="314">
        <v>7.0000000000000007E-2</v>
      </c>
    </row>
    <row r="23" spans="1:10" s="265" customFormat="1" ht="15" customHeight="1" x14ac:dyDescent="0.2">
      <c r="A23" s="277">
        <v>21</v>
      </c>
      <c r="B23" s="278" t="s">
        <v>377</v>
      </c>
      <c r="C23" s="312">
        <v>463.01</v>
      </c>
      <c r="D23" s="312">
        <v>50872.21</v>
      </c>
      <c r="E23" s="282">
        <v>1.3</v>
      </c>
      <c r="F23" s="314">
        <v>1.08</v>
      </c>
      <c r="G23" s="314">
        <v>0.04</v>
      </c>
      <c r="H23" s="314">
        <v>4.07</v>
      </c>
      <c r="I23" s="314">
        <v>18.97</v>
      </c>
      <c r="J23" s="314">
        <v>0.03</v>
      </c>
    </row>
    <row r="24" spans="1:10" s="265" customFormat="1" ht="15" customHeight="1" x14ac:dyDescent="0.2">
      <c r="A24" s="277">
        <v>22</v>
      </c>
      <c r="B24" s="278" t="s">
        <v>378</v>
      </c>
      <c r="C24" s="312">
        <v>5231.59</v>
      </c>
      <c r="D24" s="312">
        <v>45600.63</v>
      </c>
      <c r="E24" s="282">
        <v>1.1599999999999999</v>
      </c>
      <c r="F24" s="314">
        <v>0.6</v>
      </c>
      <c r="G24" s="314">
        <v>0.12</v>
      </c>
      <c r="H24" s="314">
        <v>1.34</v>
      </c>
      <c r="I24" s="314">
        <v>8.52</v>
      </c>
      <c r="J24" s="314">
        <v>0.09</v>
      </c>
    </row>
    <row r="25" spans="1:10" s="265" customFormat="1" ht="15" customHeight="1" x14ac:dyDescent="0.2">
      <c r="A25" s="277">
        <v>23</v>
      </c>
      <c r="B25" s="278" t="s">
        <v>379</v>
      </c>
      <c r="C25" s="312">
        <v>6416.62</v>
      </c>
      <c r="D25" s="312">
        <v>45045.94</v>
      </c>
      <c r="E25" s="282">
        <v>1.1499999999999999</v>
      </c>
      <c r="F25" s="314">
        <v>0.97</v>
      </c>
      <c r="G25" s="314">
        <v>0.15</v>
      </c>
      <c r="H25" s="314">
        <v>1.92</v>
      </c>
      <c r="I25" s="314">
        <v>7.22</v>
      </c>
      <c r="J25" s="314">
        <v>0.05</v>
      </c>
    </row>
    <row r="26" spans="1:10" s="265" customFormat="1" ht="15" customHeight="1" x14ac:dyDescent="0.2">
      <c r="A26" s="277">
        <v>24</v>
      </c>
      <c r="B26" s="278" t="s">
        <v>380</v>
      </c>
      <c r="C26" s="312">
        <v>1998.7</v>
      </c>
      <c r="D26" s="312">
        <v>43914.239999999998</v>
      </c>
      <c r="E26" s="282">
        <v>1.1200000000000001</v>
      </c>
      <c r="F26" s="314">
        <v>1.1399999999999999</v>
      </c>
      <c r="G26" s="314">
        <v>0.16</v>
      </c>
      <c r="H26" s="314">
        <v>2.19</v>
      </c>
      <c r="I26" s="314">
        <v>4.7</v>
      </c>
      <c r="J26" s="314">
        <v>0.05</v>
      </c>
    </row>
    <row r="27" spans="1:10" s="265" customFormat="1" ht="15" customHeight="1" x14ac:dyDescent="0.2">
      <c r="A27" s="277">
        <v>25</v>
      </c>
      <c r="B27" s="278" t="s">
        <v>381</v>
      </c>
      <c r="C27" s="312">
        <v>1145.9000000000001</v>
      </c>
      <c r="D27" s="312">
        <v>39902.01</v>
      </c>
      <c r="E27" s="282">
        <v>1.02</v>
      </c>
      <c r="F27" s="314">
        <v>1.23</v>
      </c>
      <c r="G27" s="314">
        <v>0.24</v>
      </c>
      <c r="H27" s="314">
        <v>1.93</v>
      </c>
      <c r="I27" s="314">
        <v>3.9</v>
      </c>
      <c r="J27" s="314">
        <v>0.03</v>
      </c>
    </row>
    <row r="28" spans="1:10" s="265" customFormat="1" ht="15" customHeight="1" x14ac:dyDescent="0.2">
      <c r="A28" s="277">
        <v>26</v>
      </c>
      <c r="B28" s="278" t="s">
        <v>382</v>
      </c>
      <c r="C28" s="312">
        <v>289.37</v>
      </c>
      <c r="D28" s="312">
        <v>39645.54</v>
      </c>
      <c r="E28" s="282">
        <v>1.01</v>
      </c>
      <c r="F28" s="314">
        <v>0.9</v>
      </c>
      <c r="G28" s="314">
        <v>0.19</v>
      </c>
      <c r="H28" s="314">
        <v>1.6</v>
      </c>
      <c r="I28" s="314">
        <v>0.64</v>
      </c>
      <c r="J28" s="314">
        <v>0.05</v>
      </c>
    </row>
    <row r="29" spans="1:10" s="265" customFormat="1" ht="15" customHeight="1" x14ac:dyDescent="0.2">
      <c r="A29" s="277">
        <v>27</v>
      </c>
      <c r="B29" s="278" t="s">
        <v>383</v>
      </c>
      <c r="C29" s="312">
        <v>371.72</v>
      </c>
      <c r="D29" s="312">
        <v>34151.72</v>
      </c>
      <c r="E29" s="282">
        <v>0.87</v>
      </c>
      <c r="F29" s="314">
        <v>1.31</v>
      </c>
      <c r="G29" s="314">
        <v>0.15</v>
      </c>
      <c r="H29" s="314">
        <v>2.6</v>
      </c>
      <c r="I29" s="314">
        <v>8.4700000000000006</v>
      </c>
      <c r="J29" s="314">
        <v>0.04</v>
      </c>
    </row>
    <row r="30" spans="1:10" s="265" customFormat="1" ht="15" customHeight="1" x14ac:dyDescent="0.2">
      <c r="A30" s="277">
        <v>28</v>
      </c>
      <c r="B30" s="278" t="s">
        <v>384</v>
      </c>
      <c r="C30" s="312">
        <v>39.950000000000003</v>
      </c>
      <c r="D30" s="312">
        <v>33167.919999999998</v>
      </c>
      <c r="E30" s="282">
        <v>0.84</v>
      </c>
      <c r="F30" s="314">
        <v>0.94</v>
      </c>
      <c r="G30" s="314">
        <v>0.18</v>
      </c>
      <c r="H30" s="314">
        <v>1.72</v>
      </c>
      <c r="I30" s="314">
        <v>-3.02</v>
      </c>
      <c r="J30" s="314">
        <v>0.04</v>
      </c>
    </row>
    <row r="31" spans="1:10" s="265" customFormat="1" ht="15" customHeight="1" x14ac:dyDescent="0.2">
      <c r="A31" s="277">
        <v>29</v>
      </c>
      <c r="B31" s="278" t="s">
        <v>385</v>
      </c>
      <c r="C31" s="312">
        <v>6207.41</v>
      </c>
      <c r="D31" s="312">
        <v>32338.12</v>
      </c>
      <c r="E31" s="282">
        <v>0.82</v>
      </c>
      <c r="F31" s="314">
        <v>0.42</v>
      </c>
      <c r="G31" s="314">
        <v>0.04</v>
      </c>
      <c r="H31" s="314">
        <v>1.52</v>
      </c>
      <c r="I31" s="314">
        <v>3.7</v>
      </c>
      <c r="J31" s="314">
        <v>0.06</v>
      </c>
    </row>
    <row r="32" spans="1:10" s="265" customFormat="1" ht="15" customHeight="1" x14ac:dyDescent="0.2">
      <c r="A32" s="277">
        <v>30</v>
      </c>
      <c r="B32" s="278" t="s">
        <v>386</v>
      </c>
      <c r="C32" s="312">
        <v>577.47</v>
      </c>
      <c r="D32" s="312">
        <v>31705.68</v>
      </c>
      <c r="E32" s="282">
        <v>0.81</v>
      </c>
      <c r="F32" s="314">
        <v>1.48</v>
      </c>
      <c r="G32" s="314">
        <v>0.19</v>
      </c>
      <c r="H32" s="314">
        <v>2.61</v>
      </c>
      <c r="I32" s="314">
        <v>-2</v>
      </c>
      <c r="J32" s="314">
        <v>0.04</v>
      </c>
    </row>
    <row r="33" spans="1:10" s="265" customFormat="1" ht="15" customHeight="1" x14ac:dyDescent="0.2">
      <c r="A33" s="277">
        <v>31</v>
      </c>
      <c r="B33" s="278" t="s">
        <v>387</v>
      </c>
      <c r="C33" s="312">
        <v>101.7</v>
      </c>
      <c r="D33" s="312">
        <v>4362.95</v>
      </c>
      <c r="E33" s="282">
        <v>0.11</v>
      </c>
      <c r="F33" s="314">
        <v>1.44</v>
      </c>
      <c r="G33" s="314">
        <v>0.21</v>
      </c>
      <c r="H33" s="314">
        <v>2.41</v>
      </c>
      <c r="I33" s="314">
        <v>0</v>
      </c>
      <c r="J33" s="314">
        <v>0.11</v>
      </c>
    </row>
    <row r="34" spans="1:10" s="265" customFormat="1" ht="24.75" customHeight="1" x14ac:dyDescent="0.2">
      <c r="A34" s="409" t="s">
        <v>388</v>
      </c>
      <c r="B34" s="410"/>
      <c r="C34" s="410"/>
      <c r="D34" s="410"/>
      <c r="E34" s="410"/>
      <c r="F34" s="410"/>
      <c r="G34" s="410"/>
      <c r="H34" s="410"/>
      <c r="I34" s="410"/>
      <c r="J34" s="411"/>
    </row>
    <row r="35" spans="1:10" s="265" customFormat="1" ht="24" customHeight="1" x14ac:dyDescent="0.2">
      <c r="A35" s="409" t="s">
        <v>389</v>
      </c>
      <c r="B35" s="410"/>
      <c r="C35" s="410"/>
      <c r="D35" s="410"/>
      <c r="E35" s="410"/>
      <c r="F35" s="410"/>
      <c r="G35" s="410"/>
      <c r="H35" s="410"/>
      <c r="I35" s="410"/>
      <c r="J35" s="411"/>
    </row>
    <row r="36" spans="1:10" s="265" customFormat="1" ht="13.5" customHeight="1" x14ac:dyDescent="0.2">
      <c r="A36" s="409" t="s">
        <v>390</v>
      </c>
      <c r="B36" s="410"/>
      <c r="C36" s="410"/>
      <c r="D36" s="410"/>
      <c r="E36" s="410"/>
      <c r="F36" s="410"/>
      <c r="G36" s="410"/>
      <c r="H36" s="410"/>
      <c r="I36" s="410"/>
      <c r="J36" s="411"/>
    </row>
    <row r="37" spans="1:10" s="265" customFormat="1" ht="24" customHeight="1" x14ac:dyDescent="0.2">
      <c r="A37" s="409" t="s">
        <v>391</v>
      </c>
      <c r="B37" s="410"/>
      <c r="C37" s="410"/>
      <c r="D37" s="410"/>
      <c r="E37" s="410"/>
      <c r="F37" s="410"/>
      <c r="G37" s="410"/>
      <c r="H37" s="410"/>
      <c r="I37" s="410"/>
      <c r="J37" s="411"/>
    </row>
    <row r="38" spans="1:10" s="265" customFormat="1" ht="13.5" customHeight="1" x14ac:dyDescent="0.2">
      <c r="A38" s="409" t="s">
        <v>392</v>
      </c>
      <c r="B38" s="410"/>
      <c r="C38" s="410"/>
      <c r="D38" s="410"/>
      <c r="E38" s="410"/>
      <c r="F38" s="410"/>
      <c r="G38" s="410"/>
      <c r="H38" s="410"/>
      <c r="I38" s="410"/>
      <c r="J38" s="411"/>
    </row>
    <row r="39" spans="1:10" s="265" customFormat="1" ht="13.5" customHeight="1" x14ac:dyDescent="0.2">
      <c r="A39" s="409" t="s">
        <v>393</v>
      </c>
      <c r="B39" s="410"/>
      <c r="C39" s="410"/>
      <c r="D39" s="410"/>
      <c r="E39" s="410"/>
      <c r="F39" s="410"/>
      <c r="G39" s="410"/>
      <c r="H39" s="410"/>
      <c r="I39" s="410"/>
      <c r="J39" s="411"/>
    </row>
    <row r="40" spans="1:10" s="265" customFormat="1" ht="27.6" customHeight="1" x14ac:dyDescent="0.2"/>
  </sheetData>
  <mergeCells count="7">
    <mergeCell ref="A39:J39"/>
    <mergeCell ref="A1:K1"/>
    <mergeCell ref="A34:J34"/>
    <mergeCell ref="A35:J35"/>
    <mergeCell ref="A36:J36"/>
    <mergeCell ref="A37:J37"/>
    <mergeCell ref="A38:J3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K59"/>
  <sheetViews>
    <sheetView workbookViewId="0">
      <selection sqref="A1:K1"/>
    </sheetView>
  </sheetViews>
  <sheetFormatPr defaultRowHeight="12.75" x14ac:dyDescent="0.2"/>
  <cols>
    <col min="1" max="1" width="6.42578125" style="262" bestFit="1" customWidth="1"/>
    <col min="2" max="2" width="20.7109375" style="262" bestFit="1" customWidth="1"/>
    <col min="3" max="3" width="14.7109375" style="262" bestFit="1" customWidth="1"/>
    <col min="4" max="4" width="13.85546875" style="262" bestFit="1" customWidth="1"/>
    <col min="5" max="5" width="7.7109375" style="262" bestFit="1" customWidth="1"/>
    <col min="6" max="7" width="6" style="262" bestFit="1" customWidth="1"/>
    <col min="8" max="8" width="9.7109375" style="262" bestFit="1" customWidth="1"/>
    <col min="9" max="9" width="10.7109375" style="262" bestFit="1" customWidth="1"/>
    <col min="10" max="10" width="10" style="262" bestFit="1" customWidth="1"/>
    <col min="11" max="11" width="30.42578125" style="262" bestFit="1" customWidth="1"/>
    <col min="12" max="12" width="4.7109375" style="262" bestFit="1" customWidth="1"/>
    <col min="13" max="256" width="9.140625" style="262"/>
    <col min="257" max="257" width="6.42578125" style="262" bestFit="1" customWidth="1"/>
    <col min="258" max="258" width="20.7109375" style="262" bestFit="1" customWidth="1"/>
    <col min="259" max="259" width="14.7109375" style="262" bestFit="1" customWidth="1"/>
    <col min="260" max="260" width="13.85546875" style="262" bestFit="1" customWidth="1"/>
    <col min="261" max="261" width="7.7109375" style="262" bestFit="1" customWidth="1"/>
    <col min="262" max="263" width="6" style="262" bestFit="1" customWidth="1"/>
    <col min="264" max="264" width="9.7109375" style="262" bestFit="1" customWidth="1"/>
    <col min="265" max="265" width="10.7109375" style="262" bestFit="1" customWidth="1"/>
    <col min="266" max="266" width="10" style="262" bestFit="1" customWidth="1"/>
    <col min="267" max="267" width="30.42578125" style="262" bestFit="1" customWidth="1"/>
    <col min="268" max="268" width="4.7109375" style="262" bestFit="1" customWidth="1"/>
    <col min="269" max="512" width="9.140625" style="262"/>
    <col min="513" max="513" width="6.42578125" style="262" bestFit="1" customWidth="1"/>
    <col min="514" max="514" width="20.7109375" style="262" bestFit="1" customWidth="1"/>
    <col min="515" max="515" width="14.7109375" style="262" bestFit="1" customWidth="1"/>
    <col min="516" max="516" width="13.85546875" style="262" bestFit="1" customWidth="1"/>
    <col min="517" max="517" width="7.7109375" style="262" bestFit="1" customWidth="1"/>
    <col min="518" max="519" width="6" style="262" bestFit="1" customWidth="1"/>
    <col min="520" max="520" width="9.7109375" style="262" bestFit="1" customWidth="1"/>
    <col min="521" max="521" width="10.7109375" style="262" bestFit="1" customWidth="1"/>
    <col min="522" max="522" width="10" style="262" bestFit="1" customWidth="1"/>
    <col min="523" max="523" width="30.42578125" style="262" bestFit="1" customWidth="1"/>
    <col min="524" max="524" width="4.7109375" style="262" bestFit="1" customWidth="1"/>
    <col min="525" max="768" width="9.140625" style="262"/>
    <col min="769" max="769" width="6.42578125" style="262" bestFit="1" customWidth="1"/>
    <col min="770" max="770" width="20.7109375" style="262" bestFit="1" customWidth="1"/>
    <col min="771" max="771" width="14.7109375" style="262" bestFit="1" customWidth="1"/>
    <col min="772" max="772" width="13.85546875" style="262" bestFit="1" customWidth="1"/>
    <col min="773" max="773" width="7.7109375" style="262" bestFit="1" customWidth="1"/>
    <col min="774" max="775" width="6" style="262" bestFit="1" customWidth="1"/>
    <col min="776" max="776" width="9.7109375" style="262" bestFit="1" customWidth="1"/>
    <col min="777" max="777" width="10.7109375" style="262" bestFit="1" customWidth="1"/>
    <col min="778" max="778" width="10" style="262" bestFit="1" customWidth="1"/>
    <col min="779" max="779" width="30.42578125" style="262" bestFit="1" customWidth="1"/>
    <col min="780" max="780" width="4.7109375" style="262" bestFit="1" customWidth="1"/>
    <col min="781" max="1024" width="9.140625" style="262"/>
    <col min="1025" max="1025" width="6.42578125" style="262" bestFit="1" customWidth="1"/>
    <col min="1026" max="1026" width="20.7109375" style="262" bestFit="1" customWidth="1"/>
    <col min="1027" max="1027" width="14.7109375" style="262" bestFit="1" customWidth="1"/>
    <col min="1028" max="1028" width="13.85546875" style="262" bestFit="1" customWidth="1"/>
    <col min="1029" max="1029" width="7.7109375" style="262" bestFit="1" customWidth="1"/>
    <col min="1030" max="1031" width="6" style="262" bestFit="1" customWidth="1"/>
    <col min="1032" max="1032" width="9.7109375" style="262" bestFit="1" customWidth="1"/>
    <col min="1033" max="1033" width="10.7109375" style="262" bestFit="1" customWidth="1"/>
    <col min="1034" max="1034" width="10" style="262" bestFit="1" customWidth="1"/>
    <col min="1035" max="1035" width="30.42578125" style="262" bestFit="1" customWidth="1"/>
    <col min="1036" max="1036" width="4.7109375" style="262" bestFit="1" customWidth="1"/>
    <col min="1037" max="1280" width="9.140625" style="262"/>
    <col min="1281" max="1281" width="6.42578125" style="262" bestFit="1" customWidth="1"/>
    <col min="1282" max="1282" width="20.7109375" style="262" bestFit="1" customWidth="1"/>
    <col min="1283" max="1283" width="14.7109375" style="262" bestFit="1" customWidth="1"/>
    <col min="1284" max="1284" width="13.85546875" style="262" bestFit="1" customWidth="1"/>
    <col min="1285" max="1285" width="7.7109375" style="262" bestFit="1" customWidth="1"/>
    <col min="1286" max="1287" width="6" style="262" bestFit="1" customWidth="1"/>
    <col min="1288" max="1288" width="9.7109375" style="262" bestFit="1" customWidth="1"/>
    <col min="1289" max="1289" width="10.7109375" style="262" bestFit="1" customWidth="1"/>
    <col min="1290" max="1290" width="10" style="262" bestFit="1" customWidth="1"/>
    <col min="1291" max="1291" width="30.42578125" style="262" bestFit="1" customWidth="1"/>
    <col min="1292" max="1292" width="4.7109375" style="262" bestFit="1" customWidth="1"/>
    <col min="1293" max="1536" width="9.140625" style="262"/>
    <col min="1537" max="1537" width="6.42578125" style="262" bestFit="1" customWidth="1"/>
    <col min="1538" max="1538" width="20.7109375" style="262" bestFit="1" customWidth="1"/>
    <col min="1539" max="1539" width="14.7109375" style="262" bestFit="1" customWidth="1"/>
    <col min="1540" max="1540" width="13.85546875" style="262" bestFit="1" customWidth="1"/>
    <col min="1541" max="1541" width="7.7109375" style="262" bestFit="1" customWidth="1"/>
    <col min="1542" max="1543" width="6" style="262" bestFit="1" customWidth="1"/>
    <col min="1544" max="1544" width="9.7109375" style="262" bestFit="1" customWidth="1"/>
    <col min="1545" max="1545" width="10.7109375" style="262" bestFit="1" customWidth="1"/>
    <col min="1546" max="1546" width="10" style="262" bestFit="1" customWidth="1"/>
    <col min="1547" max="1547" width="30.42578125" style="262" bestFit="1" customWidth="1"/>
    <col min="1548" max="1548" width="4.7109375" style="262" bestFit="1" customWidth="1"/>
    <col min="1549" max="1792" width="9.140625" style="262"/>
    <col min="1793" max="1793" width="6.42578125" style="262" bestFit="1" customWidth="1"/>
    <col min="1794" max="1794" width="20.7109375" style="262" bestFit="1" customWidth="1"/>
    <col min="1795" max="1795" width="14.7109375" style="262" bestFit="1" customWidth="1"/>
    <col min="1796" max="1796" width="13.85546875" style="262" bestFit="1" customWidth="1"/>
    <col min="1797" max="1797" width="7.7109375" style="262" bestFit="1" customWidth="1"/>
    <col min="1798" max="1799" width="6" style="262" bestFit="1" customWidth="1"/>
    <col min="1800" max="1800" width="9.7109375" style="262" bestFit="1" customWidth="1"/>
    <col min="1801" max="1801" width="10.7109375" style="262" bestFit="1" customWidth="1"/>
    <col min="1802" max="1802" width="10" style="262" bestFit="1" customWidth="1"/>
    <col min="1803" max="1803" width="30.42578125" style="262" bestFit="1" customWidth="1"/>
    <col min="1804" max="1804" width="4.7109375" style="262" bestFit="1" customWidth="1"/>
    <col min="1805" max="2048" width="9.140625" style="262"/>
    <col min="2049" max="2049" width="6.42578125" style="262" bestFit="1" customWidth="1"/>
    <col min="2050" max="2050" width="20.7109375" style="262" bestFit="1" customWidth="1"/>
    <col min="2051" max="2051" width="14.7109375" style="262" bestFit="1" customWidth="1"/>
    <col min="2052" max="2052" width="13.85546875" style="262" bestFit="1" customWidth="1"/>
    <col min="2053" max="2053" width="7.7109375" style="262" bestFit="1" customWidth="1"/>
    <col min="2054" max="2055" width="6" style="262" bestFit="1" customWidth="1"/>
    <col min="2056" max="2056" width="9.7109375" style="262" bestFit="1" customWidth="1"/>
    <col min="2057" max="2057" width="10.7109375" style="262" bestFit="1" customWidth="1"/>
    <col min="2058" max="2058" width="10" style="262" bestFit="1" customWidth="1"/>
    <col min="2059" max="2059" width="30.42578125" style="262" bestFit="1" customWidth="1"/>
    <col min="2060" max="2060" width="4.7109375" style="262" bestFit="1" customWidth="1"/>
    <col min="2061" max="2304" width="9.140625" style="262"/>
    <col min="2305" max="2305" width="6.42578125" style="262" bestFit="1" customWidth="1"/>
    <col min="2306" max="2306" width="20.7109375" style="262" bestFit="1" customWidth="1"/>
    <col min="2307" max="2307" width="14.7109375" style="262" bestFit="1" customWidth="1"/>
    <col min="2308" max="2308" width="13.85546875" style="262" bestFit="1" customWidth="1"/>
    <col min="2309" max="2309" width="7.7109375" style="262" bestFit="1" customWidth="1"/>
    <col min="2310" max="2311" width="6" style="262" bestFit="1" customWidth="1"/>
    <col min="2312" max="2312" width="9.7109375" style="262" bestFit="1" customWidth="1"/>
    <col min="2313" max="2313" width="10.7109375" style="262" bestFit="1" customWidth="1"/>
    <col min="2314" max="2314" width="10" style="262" bestFit="1" customWidth="1"/>
    <col min="2315" max="2315" width="30.42578125" style="262" bestFit="1" customWidth="1"/>
    <col min="2316" max="2316" width="4.7109375" style="262" bestFit="1" customWidth="1"/>
    <col min="2317" max="2560" width="9.140625" style="262"/>
    <col min="2561" max="2561" width="6.42578125" style="262" bestFit="1" customWidth="1"/>
    <col min="2562" max="2562" width="20.7109375" style="262" bestFit="1" customWidth="1"/>
    <col min="2563" max="2563" width="14.7109375" style="262" bestFit="1" customWidth="1"/>
    <col min="2564" max="2564" width="13.85546875" style="262" bestFit="1" customWidth="1"/>
    <col min="2565" max="2565" width="7.7109375" style="262" bestFit="1" customWidth="1"/>
    <col min="2566" max="2567" width="6" style="262" bestFit="1" customWidth="1"/>
    <col min="2568" max="2568" width="9.7109375" style="262" bestFit="1" customWidth="1"/>
    <col min="2569" max="2569" width="10.7109375" style="262" bestFit="1" customWidth="1"/>
    <col min="2570" max="2570" width="10" style="262" bestFit="1" customWidth="1"/>
    <col min="2571" max="2571" width="30.42578125" style="262" bestFit="1" customWidth="1"/>
    <col min="2572" max="2572" width="4.7109375" style="262" bestFit="1" customWidth="1"/>
    <col min="2573" max="2816" width="9.140625" style="262"/>
    <col min="2817" max="2817" width="6.42578125" style="262" bestFit="1" customWidth="1"/>
    <col min="2818" max="2818" width="20.7109375" style="262" bestFit="1" customWidth="1"/>
    <col min="2819" max="2819" width="14.7109375" style="262" bestFit="1" customWidth="1"/>
    <col min="2820" max="2820" width="13.85546875" style="262" bestFit="1" customWidth="1"/>
    <col min="2821" max="2821" width="7.7109375" style="262" bestFit="1" customWidth="1"/>
    <col min="2822" max="2823" width="6" style="262" bestFit="1" customWidth="1"/>
    <col min="2824" max="2824" width="9.7109375" style="262" bestFit="1" customWidth="1"/>
    <col min="2825" max="2825" width="10.7109375" style="262" bestFit="1" customWidth="1"/>
    <col min="2826" max="2826" width="10" style="262" bestFit="1" customWidth="1"/>
    <col min="2827" max="2827" width="30.42578125" style="262" bestFit="1" customWidth="1"/>
    <col min="2828" max="2828" width="4.7109375" style="262" bestFit="1" customWidth="1"/>
    <col min="2829" max="3072" width="9.140625" style="262"/>
    <col min="3073" max="3073" width="6.42578125" style="262" bestFit="1" customWidth="1"/>
    <col min="3074" max="3074" width="20.7109375" style="262" bestFit="1" customWidth="1"/>
    <col min="3075" max="3075" width="14.7109375" style="262" bestFit="1" customWidth="1"/>
    <col min="3076" max="3076" width="13.85546875" style="262" bestFit="1" customWidth="1"/>
    <col min="3077" max="3077" width="7.7109375" style="262" bestFit="1" customWidth="1"/>
    <col min="3078" max="3079" width="6" style="262" bestFit="1" customWidth="1"/>
    <col min="3080" max="3080" width="9.7109375" style="262" bestFit="1" customWidth="1"/>
    <col min="3081" max="3081" width="10.7109375" style="262" bestFit="1" customWidth="1"/>
    <col min="3082" max="3082" width="10" style="262" bestFit="1" customWidth="1"/>
    <col min="3083" max="3083" width="30.42578125" style="262" bestFit="1" customWidth="1"/>
    <col min="3084" max="3084" width="4.7109375" style="262" bestFit="1" customWidth="1"/>
    <col min="3085" max="3328" width="9.140625" style="262"/>
    <col min="3329" max="3329" width="6.42578125" style="262" bestFit="1" customWidth="1"/>
    <col min="3330" max="3330" width="20.7109375" style="262" bestFit="1" customWidth="1"/>
    <col min="3331" max="3331" width="14.7109375" style="262" bestFit="1" customWidth="1"/>
    <col min="3332" max="3332" width="13.85546875" style="262" bestFit="1" customWidth="1"/>
    <col min="3333" max="3333" width="7.7109375" style="262" bestFit="1" customWidth="1"/>
    <col min="3334" max="3335" width="6" style="262" bestFit="1" customWidth="1"/>
    <col min="3336" max="3336" width="9.7109375" style="262" bestFit="1" customWidth="1"/>
    <col min="3337" max="3337" width="10.7109375" style="262" bestFit="1" customWidth="1"/>
    <col min="3338" max="3338" width="10" style="262" bestFit="1" customWidth="1"/>
    <col min="3339" max="3339" width="30.42578125" style="262" bestFit="1" customWidth="1"/>
    <col min="3340" max="3340" width="4.7109375" style="262" bestFit="1" customWidth="1"/>
    <col min="3341" max="3584" width="9.140625" style="262"/>
    <col min="3585" max="3585" width="6.42578125" style="262" bestFit="1" customWidth="1"/>
    <col min="3586" max="3586" width="20.7109375" style="262" bestFit="1" customWidth="1"/>
    <col min="3587" max="3587" width="14.7109375" style="262" bestFit="1" customWidth="1"/>
    <col min="3588" max="3588" width="13.85546875" style="262" bestFit="1" customWidth="1"/>
    <col min="3589" max="3589" width="7.7109375" style="262" bestFit="1" customWidth="1"/>
    <col min="3590" max="3591" width="6" style="262" bestFit="1" customWidth="1"/>
    <col min="3592" max="3592" width="9.7109375" style="262" bestFit="1" customWidth="1"/>
    <col min="3593" max="3593" width="10.7109375" style="262" bestFit="1" customWidth="1"/>
    <col min="3594" max="3594" width="10" style="262" bestFit="1" customWidth="1"/>
    <col min="3595" max="3595" width="30.42578125" style="262" bestFit="1" customWidth="1"/>
    <col min="3596" max="3596" width="4.7109375" style="262" bestFit="1" customWidth="1"/>
    <col min="3597" max="3840" width="9.140625" style="262"/>
    <col min="3841" max="3841" width="6.42578125" style="262" bestFit="1" customWidth="1"/>
    <col min="3842" max="3842" width="20.7109375" style="262" bestFit="1" customWidth="1"/>
    <col min="3843" max="3843" width="14.7109375" style="262" bestFit="1" customWidth="1"/>
    <col min="3844" max="3844" width="13.85546875" style="262" bestFit="1" customWidth="1"/>
    <col min="3845" max="3845" width="7.7109375" style="262" bestFit="1" customWidth="1"/>
    <col min="3846" max="3847" width="6" style="262" bestFit="1" customWidth="1"/>
    <col min="3848" max="3848" width="9.7109375" style="262" bestFit="1" customWidth="1"/>
    <col min="3849" max="3849" width="10.7109375" style="262" bestFit="1" customWidth="1"/>
    <col min="3850" max="3850" width="10" style="262" bestFit="1" customWidth="1"/>
    <col min="3851" max="3851" width="30.42578125" style="262" bestFit="1" customWidth="1"/>
    <col min="3852" max="3852" width="4.7109375" style="262" bestFit="1" customWidth="1"/>
    <col min="3853" max="4096" width="9.140625" style="262"/>
    <col min="4097" max="4097" width="6.42578125" style="262" bestFit="1" customWidth="1"/>
    <col min="4098" max="4098" width="20.7109375" style="262" bestFit="1" customWidth="1"/>
    <col min="4099" max="4099" width="14.7109375" style="262" bestFit="1" customWidth="1"/>
    <col min="4100" max="4100" width="13.85546875" style="262" bestFit="1" customWidth="1"/>
    <col min="4101" max="4101" width="7.7109375" style="262" bestFit="1" customWidth="1"/>
    <col min="4102" max="4103" width="6" style="262" bestFit="1" customWidth="1"/>
    <col min="4104" max="4104" width="9.7109375" style="262" bestFit="1" customWidth="1"/>
    <col min="4105" max="4105" width="10.7109375" style="262" bestFit="1" customWidth="1"/>
    <col min="4106" max="4106" width="10" style="262" bestFit="1" customWidth="1"/>
    <col min="4107" max="4107" width="30.42578125" style="262" bestFit="1" customWidth="1"/>
    <col min="4108" max="4108" width="4.7109375" style="262" bestFit="1" customWidth="1"/>
    <col min="4109" max="4352" width="9.140625" style="262"/>
    <col min="4353" max="4353" width="6.42578125" style="262" bestFit="1" customWidth="1"/>
    <col min="4354" max="4354" width="20.7109375" style="262" bestFit="1" customWidth="1"/>
    <col min="4355" max="4355" width="14.7109375" style="262" bestFit="1" customWidth="1"/>
    <col min="4356" max="4356" width="13.85546875" style="262" bestFit="1" customWidth="1"/>
    <col min="4357" max="4357" width="7.7109375" style="262" bestFit="1" customWidth="1"/>
    <col min="4358" max="4359" width="6" style="262" bestFit="1" customWidth="1"/>
    <col min="4360" max="4360" width="9.7109375" style="262" bestFit="1" customWidth="1"/>
    <col min="4361" max="4361" width="10.7109375" style="262" bestFit="1" customWidth="1"/>
    <col min="4362" max="4362" width="10" style="262" bestFit="1" customWidth="1"/>
    <col min="4363" max="4363" width="30.42578125" style="262" bestFit="1" customWidth="1"/>
    <col min="4364" max="4364" width="4.7109375" style="262" bestFit="1" customWidth="1"/>
    <col min="4365" max="4608" width="9.140625" style="262"/>
    <col min="4609" max="4609" width="6.42578125" style="262" bestFit="1" customWidth="1"/>
    <col min="4610" max="4610" width="20.7109375" style="262" bestFit="1" customWidth="1"/>
    <col min="4611" max="4611" width="14.7109375" style="262" bestFit="1" customWidth="1"/>
    <col min="4612" max="4612" width="13.85546875" style="262" bestFit="1" customWidth="1"/>
    <col min="4613" max="4613" width="7.7109375" style="262" bestFit="1" customWidth="1"/>
    <col min="4614" max="4615" width="6" style="262" bestFit="1" customWidth="1"/>
    <col min="4616" max="4616" width="9.7109375" style="262" bestFit="1" customWidth="1"/>
    <col min="4617" max="4617" width="10.7109375" style="262" bestFit="1" customWidth="1"/>
    <col min="4618" max="4618" width="10" style="262" bestFit="1" customWidth="1"/>
    <col min="4619" max="4619" width="30.42578125" style="262" bestFit="1" customWidth="1"/>
    <col min="4620" max="4620" width="4.7109375" style="262" bestFit="1" customWidth="1"/>
    <col min="4621" max="4864" width="9.140625" style="262"/>
    <col min="4865" max="4865" width="6.42578125" style="262" bestFit="1" customWidth="1"/>
    <col min="4866" max="4866" width="20.7109375" style="262" bestFit="1" customWidth="1"/>
    <col min="4867" max="4867" width="14.7109375" style="262" bestFit="1" customWidth="1"/>
    <col min="4868" max="4868" width="13.85546875" style="262" bestFit="1" customWidth="1"/>
    <col min="4869" max="4869" width="7.7109375" style="262" bestFit="1" customWidth="1"/>
    <col min="4870" max="4871" width="6" style="262" bestFit="1" customWidth="1"/>
    <col min="4872" max="4872" width="9.7109375" style="262" bestFit="1" customWidth="1"/>
    <col min="4873" max="4873" width="10.7109375" style="262" bestFit="1" customWidth="1"/>
    <col min="4874" max="4874" width="10" style="262" bestFit="1" customWidth="1"/>
    <col min="4875" max="4875" width="30.42578125" style="262" bestFit="1" customWidth="1"/>
    <col min="4876" max="4876" width="4.7109375" style="262" bestFit="1" customWidth="1"/>
    <col min="4877" max="5120" width="9.140625" style="262"/>
    <col min="5121" max="5121" width="6.42578125" style="262" bestFit="1" customWidth="1"/>
    <col min="5122" max="5122" width="20.7109375" style="262" bestFit="1" customWidth="1"/>
    <col min="5123" max="5123" width="14.7109375" style="262" bestFit="1" customWidth="1"/>
    <col min="5124" max="5124" width="13.85546875" style="262" bestFit="1" customWidth="1"/>
    <col min="5125" max="5125" width="7.7109375" style="262" bestFit="1" customWidth="1"/>
    <col min="5126" max="5127" width="6" style="262" bestFit="1" customWidth="1"/>
    <col min="5128" max="5128" width="9.7109375" style="262" bestFit="1" customWidth="1"/>
    <col min="5129" max="5129" width="10.7109375" style="262" bestFit="1" customWidth="1"/>
    <col min="5130" max="5130" width="10" style="262" bestFit="1" customWidth="1"/>
    <col min="5131" max="5131" width="30.42578125" style="262" bestFit="1" customWidth="1"/>
    <col min="5132" max="5132" width="4.7109375" style="262" bestFit="1" customWidth="1"/>
    <col min="5133" max="5376" width="9.140625" style="262"/>
    <col min="5377" max="5377" width="6.42578125" style="262" bestFit="1" customWidth="1"/>
    <col min="5378" max="5378" width="20.7109375" style="262" bestFit="1" customWidth="1"/>
    <col min="5379" max="5379" width="14.7109375" style="262" bestFit="1" customWidth="1"/>
    <col min="5380" max="5380" width="13.85546875" style="262" bestFit="1" customWidth="1"/>
    <col min="5381" max="5381" width="7.7109375" style="262" bestFit="1" customWidth="1"/>
    <col min="5382" max="5383" width="6" style="262" bestFit="1" customWidth="1"/>
    <col min="5384" max="5384" width="9.7109375" style="262" bestFit="1" customWidth="1"/>
    <col min="5385" max="5385" width="10.7109375" style="262" bestFit="1" customWidth="1"/>
    <col min="5386" max="5386" width="10" style="262" bestFit="1" customWidth="1"/>
    <col min="5387" max="5387" width="30.42578125" style="262" bestFit="1" customWidth="1"/>
    <col min="5388" max="5388" width="4.7109375" style="262" bestFit="1" customWidth="1"/>
    <col min="5389" max="5632" width="9.140625" style="262"/>
    <col min="5633" max="5633" width="6.42578125" style="262" bestFit="1" customWidth="1"/>
    <col min="5634" max="5634" width="20.7109375" style="262" bestFit="1" customWidth="1"/>
    <col min="5635" max="5635" width="14.7109375" style="262" bestFit="1" customWidth="1"/>
    <col min="5636" max="5636" width="13.85546875" style="262" bestFit="1" customWidth="1"/>
    <col min="5637" max="5637" width="7.7109375" style="262" bestFit="1" customWidth="1"/>
    <col min="5638" max="5639" width="6" style="262" bestFit="1" customWidth="1"/>
    <col min="5640" max="5640" width="9.7109375" style="262" bestFit="1" customWidth="1"/>
    <col min="5641" max="5641" width="10.7109375" style="262" bestFit="1" customWidth="1"/>
    <col min="5642" max="5642" width="10" style="262" bestFit="1" customWidth="1"/>
    <col min="5643" max="5643" width="30.42578125" style="262" bestFit="1" customWidth="1"/>
    <col min="5644" max="5644" width="4.7109375" style="262" bestFit="1" customWidth="1"/>
    <col min="5645" max="5888" width="9.140625" style="262"/>
    <col min="5889" max="5889" width="6.42578125" style="262" bestFit="1" customWidth="1"/>
    <col min="5890" max="5890" width="20.7109375" style="262" bestFit="1" customWidth="1"/>
    <col min="5891" max="5891" width="14.7109375" style="262" bestFit="1" customWidth="1"/>
    <col min="5892" max="5892" width="13.85546875" style="262" bestFit="1" customWidth="1"/>
    <col min="5893" max="5893" width="7.7109375" style="262" bestFit="1" customWidth="1"/>
    <col min="5894" max="5895" width="6" style="262" bestFit="1" customWidth="1"/>
    <col min="5896" max="5896" width="9.7109375" style="262" bestFit="1" customWidth="1"/>
    <col min="5897" max="5897" width="10.7109375" style="262" bestFit="1" customWidth="1"/>
    <col min="5898" max="5898" width="10" style="262" bestFit="1" customWidth="1"/>
    <col min="5899" max="5899" width="30.42578125" style="262" bestFit="1" customWidth="1"/>
    <col min="5900" max="5900" width="4.7109375" style="262" bestFit="1" customWidth="1"/>
    <col min="5901" max="6144" width="9.140625" style="262"/>
    <col min="6145" max="6145" width="6.42578125" style="262" bestFit="1" customWidth="1"/>
    <col min="6146" max="6146" width="20.7109375" style="262" bestFit="1" customWidth="1"/>
    <col min="6147" max="6147" width="14.7109375" style="262" bestFit="1" customWidth="1"/>
    <col min="6148" max="6148" width="13.85546875" style="262" bestFit="1" customWidth="1"/>
    <col min="6149" max="6149" width="7.7109375" style="262" bestFit="1" customWidth="1"/>
    <col min="6150" max="6151" width="6" style="262" bestFit="1" customWidth="1"/>
    <col min="6152" max="6152" width="9.7109375" style="262" bestFit="1" customWidth="1"/>
    <col min="6153" max="6153" width="10.7109375" style="262" bestFit="1" customWidth="1"/>
    <col min="6154" max="6154" width="10" style="262" bestFit="1" customWidth="1"/>
    <col min="6155" max="6155" width="30.42578125" style="262" bestFit="1" customWidth="1"/>
    <col min="6156" max="6156" width="4.7109375" style="262" bestFit="1" customWidth="1"/>
    <col min="6157" max="6400" width="9.140625" style="262"/>
    <col min="6401" max="6401" width="6.42578125" style="262" bestFit="1" customWidth="1"/>
    <col min="6402" max="6402" width="20.7109375" style="262" bestFit="1" customWidth="1"/>
    <col min="6403" max="6403" width="14.7109375" style="262" bestFit="1" customWidth="1"/>
    <col min="6404" max="6404" width="13.85546875" style="262" bestFit="1" customWidth="1"/>
    <col min="6405" max="6405" width="7.7109375" style="262" bestFit="1" customWidth="1"/>
    <col min="6406" max="6407" width="6" style="262" bestFit="1" customWidth="1"/>
    <col min="6408" max="6408" width="9.7109375" style="262" bestFit="1" customWidth="1"/>
    <col min="6409" max="6409" width="10.7109375" style="262" bestFit="1" customWidth="1"/>
    <col min="6410" max="6410" width="10" style="262" bestFit="1" customWidth="1"/>
    <col min="6411" max="6411" width="30.42578125" style="262" bestFit="1" customWidth="1"/>
    <col min="6412" max="6412" width="4.7109375" style="262" bestFit="1" customWidth="1"/>
    <col min="6413" max="6656" width="9.140625" style="262"/>
    <col min="6657" max="6657" width="6.42578125" style="262" bestFit="1" customWidth="1"/>
    <col min="6658" max="6658" width="20.7109375" style="262" bestFit="1" customWidth="1"/>
    <col min="6659" max="6659" width="14.7109375" style="262" bestFit="1" customWidth="1"/>
    <col min="6660" max="6660" width="13.85546875" style="262" bestFit="1" customWidth="1"/>
    <col min="6661" max="6661" width="7.7109375" style="262" bestFit="1" customWidth="1"/>
    <col min="6662" max="6663" width="6" style="262" bestFit="1" customWidth="1"/>
    <col min="6664" max="6664" width="9.7109375" style="262" bestFit="1" customWidth="1"/>
    <col min="6665" max="6665" width="10.7109375" style="262" bestFit="1" customWidth="1"/>
    <col min="6666" max="6666" width="10" style="262" bestFit="1" customWidth="1"/>
    <col min="6667" max="6667" width="30.42578125" style="262" bestFit="1" customWidth="1"/>
    <col min="6668" max="6668" width="4.7109375" style="262" bestFit="1" customWidth="1"/>
    <col min="6669" max="6912" width="9.140625" style="262"/>
    <col min="6913" max="6913" width="6.42578125" style="262" bestFit="1" customWidth="1"/>
    <col min="6914" max="6914" width="20.7109375" style="262" bestFit="1" customWidth="1"/>
    <col min="6915" max="6915" width="14.7109375" style="262" bestFit="1" customWidth="1"/>
    <col min="6916" max="6916" width="13.85546875" style="262" bestFit="1" customWidth="1"/>
    <col min="6917" max="6917" width="7.7109375" style="262" bestFit="1" customWidth="1"/>
    <col min="6918" max="6919" width="6" style="262" bestFit="1" customWidth="1"/>
    <col min="6920" max="6920" width="9.7109375" style="262" bestFit="1" customWidth="1"/>
    <col min="6921" max="6921" width="10.7109375" style="262" bestFit="1" customWidth="1"/>
    <col min="6922" max="6922" width="10" style="262" bestFit="1" customWidth="1"/>
    <col min="6923" max="6923" width="30.42578125" style="262" bestFit="1" customWidth="1"/>
    <col min="6924" max="6924" width="4.7109375" style="262" bestFit="1" customWidth="1"/>
    <col min="6925" max="7168" width="9.140625" style="262"/>
    <col min="7169" max="7169" width="6.42578125" style="262" bestFit="1" customWidth="1"/>
    <col min="7170" max="7170" width="20.7109375" style="262" bestFit="1" customWidth="1"/>
    <col min="7171" max="7171" width="14.7109375" style="262" bestFit="1" customWidth="1"/>
    <col min="7172" max="7172" width="13.85546875" style="262" bestFit="1" customWidth="1"/>
    <col min="7173" max="7173" width="7.7109375" style="262" bestFit="1" customWidth="1"/>
    <col min="7174" max="7175" width="6" style="262" bestFit="1" customWidth="1"/>
    <col min="7176" max="7176" width="9.7109375" style="262" bestFit="1" customWidth="1"/>
    <col min="7177" max="7177" width="10.7109375" style="262" bestFit="1" customWidth="1"/>
    <col min="7178" max="7178" width="10" style="262" bestFit="1" customWidth="1"/>
    <col min="7179" max="7179" width="30.42578125" style="262" bestFit="1" customWidth="1"/>
    <col min="7180" max="7180" width="4.7109375" style="262" bestFit="1" customWidth="1"/>
    <col min="7181" max="7424" width="9.140625" style="262"/>
    <col min="7425" max="7425" width="6.42578125" style="262" bestFit="1" customWidth="1"/>
    <col min="7426" max="7426" width="20.7109375" style="262" bestFit="1" customWidth="1"/>
    <col min="7427" max="7427" width="14.7109375" style="262" bestFit="1" customWidth="1"/>
    <col min="7428" max="7428" width="13.85546875" style="262" bestFit="1" customWidth="1"/>
    <col min="7429" max="7429" width="7.7109375" style="262" bestFit="1" customWidth="1"/>
    <col min="7430" max="7431" width="6" style="262" bestFit="1" customWidth="1"/>
    <col min="7432" max="7432" width="9.7109375" style="262" bestFit="1" customWidth="1"/>
    <col min="7433" max="7433" width="10.7109375" style="262" bestFit="1" customWidth="1"/>
    <col min="7434" max="7434" width="10" style="262" bestFit="1" customWidth="1"/>
    <col min="7435" max="7435" width="30.42578125" style="262" bestFit="1" customWidth="1"/>
    <col min="7436" max="7436" width="4.7109375" style="262" bestFit="1" customWidth="1"/>
    <col min="7437" max="7680" width="9.140625" style="262"/>
    <col min="7681" max="7681" width="6.42578125" style="262" bestFit="1" customWidth="1"/>
    <col min="7682" max="7682" width="20.7109375" style="262" bestFit="1" customWidth="1"/>
    <col min="7683" max="7683" width="14.7109375" style="262" bestFit="1" customWidth="1"/>
    <col min="7684" max="7684" width="13.85546875" style="262" bestFit="1" customWidth="1"/>
    <col min="7685" max="7685" width="7.7109375" style="262" bestFit="1" customWidth="1"/>
    <col min="7686" max="7687" width="6" style="262" bestFit="1" customWidth="1"/>
    <col min="7688" max="7688" width="9.7109375" style="262" bestFit="1" customWidth="1"/>
    <col min="7689" max="7689" width="10.7109375" style="262" bestFit="1" customWidth="1"/>
    <col min="7690" max="7690" width="10" style="262" bestFit="1" customWidth="1"/>
    <col min="7691" max="7691" width="30.42578125" style="262" bestFit="1" customWidth="1"/>
    <col min="7692" max="7692" width="4.7109375" style="262" bestFit="1" customWidth="1"/>
    <col min="7693" max="7936" width="9.140625" style="262"/>
    <col min="7937" max="7937" width="6.42578125" style="262" bestFit="1" customWidth="1"/>
    <col min="7938" max="7938" width="20.7109375" style="262" bestFit="1" customWidth="1"/>
    <col min="7939" max="7939" width="14.7109375" style="262" bestFit="1" customWidth="1"/>
    <col min="7940" max="7940" width="13.85546875" style="262" bestFit="1" customWidth="1"/>
    <col min="7941" max="7941" width="7.7109375" style="262" bestFit="1" customWidth="1"/>
    <col min="7942" max="7943" width="6" style="262" bestFit="1" customWidth="1"/>
    <col min="7944" max="7944" width="9.7109375" style="262" bestFit="1" customWidth="1"/>
    <col min="7945" max="7945" width="10.7109375" style="262" bestFit="1" customWidth="1"/>
    <col min="7946" max="7946" width="10" style="262" bestFit="1" customWidth="1"/>
    <col min="7947" max="7947" width="30.42578125" style="262" bestFit="1" customWidth="1"/>
    <col min="7948" max="7948" width="4.7109375" style="262" bestFit="1" customWidth="1"/>
    <col min="7949" max="8192" width="9.140625" style="262"/>
    <col min="8193" max="8193" width="6.42578125" style="262" bestFit="1" customWidth="1"/>
    <col min="8194" max="8194" width="20.7109375" style="262" bestFit="1" customWidth="1"/>
    <col min="8195" max="8195" width="14.7109375" style="262" bestFit="1" customWidth="1"/>
    <col min="8196" max="8196" width="13.85546875" style="262" bestFit="1" customWidth="1"/>
    <col min="8197" max="8197" width="7.7109375" style="262" bestFit="1" customWidth="1"/>
    <col min="8198" max="8199" width="6" style="262" bestFit="1" customWidth="1"/>
    <col min="8200" max="8200" width="9.7109375" style="262" bestFit="1" customWidth="1"/>
    <col min="8201" max="8201" width="10.7109375" style="262" bestFit="1" customWidth="1"/>
    <col min="8202" max="8202" width="10" style="262" bestFit="1" customWidth="1"/>
    <col min="8203" max="8203" width="30.42578125" style="262" bestFit="1" customWidth="1"/>
    <col min="8204" max="8204" width="4.7109375" style="262" bestFit="1" customWidth="1"/>
    <col min="8205" max="8448" width="9.140625" style="262"/>
    <col min="8449" max="8449" width="6.42578125" style="262" bestFit="1" customWidth="1"/>
    <col min="8450" max="8450" width="20.7109375" style="262" bestFit="1" customWidth="1"/>
    <col min="8451" max="8451" width="14.7109375" style="262" bestFit="1" customWidth="1"/>
    <col min="8452" max="8452" width="13.85546875" style="262" bestFit="1" customWidth="1"/>
    <col min="8453" max="8453" width="7.7109375" style="262" bestFit="1" customWidth="1"/>
    <col min="8454" max="8455" width="6" style="262" bestFit="1" customWidth="1"/>
    <col min="8456" max="8456" width="9.7109375" style="262" bestFit="1" customWidth="1"/>
    <col min="8457" max="8457" width="10.7109375" style="262" bestFit="1" customWidth="1"/>
    <col min="8458" max="8458" width="10" style="262" bestFit="1" customWidth="1"/>
    <col min="8459" max="8459" width="30.42578125" style="262" bestFit="1" customWidth="1"/>
    <col min="8460" max="8460" width="4.7109375" style="262" bestFit="1" customWidth="1"/>
    <col min="8461" max="8704" width="9.140625" style="262"/>
    <col min="8705" max="8705" width="6.42578125" style="262" bestFit="1" customWidth="1"/>
    <col min="8706" max="8706" width="20.7109375" style="262" bestFit="1" customWidth="1"/>
    <col min="8707" max="8707" width="14.7109375" style="262" bestFit="1" customWidth="1"/>
    <col min="8708" max="8708" width="13.85546875" style="262" bestFit="1" customWidth="1"/>
    <col min="8709" max="8709" width="7.7109375" style="262" bestFit="1" customWidth="1"/>
    <col min="8710" max="8711" width="6" style="262" bestFit="1" customWidth="1"/>
    <col min="8712" max="8712" width="9.7109375" style="262" bestFit="1" customWidth="1"/>
    <col min="8713" max="8713" width="10.7109375" style="262" bestFit="1" customWidth="1"/>
    <col min="8714" max="8714" width="10" style="262" bestFit="1" customWidth="1"/>
    <col min="8715" max="8715" width="30.42578125" style="262" bestFit="1" customWidth="1"/>
    <col min="8716" max="8716" width="4.7109375" style="262" bestFit="1" customWidth="1"/>
    <col min="8717" max="8960" width="9.140625" style="262"/>
    <col min="8961" max="8961" width="6.42578125" style="262" bestFit="1" customWidth="1"/>
    <col min="8962" max="8962" width="20.7109375" style="262" bestFit="1" customWidth="1"/>
    <col min="8963" max="8963" width="14.7109375" style="262" bestFit="1" customWidth="1"/>
    <col min="8964" max="8964" width="13.85546875" style="262" bestFit="1" customWidth="1"/>
    <col min="8965" max="8965" width="7.7109375" style="262" bestFit="1" customWidth="1"/>
    <col min="8966" max="8967" width="6" style="262" bestFit="1" customWidth="1"/>
    <col min="8968" max="8968" width="9.7109375" style="262" bestFit="1" customWidth="1"/>
    <col min="8969" max="8969" width="10.7109375" style="262" bestFit="1" customWidth="1"/>
    <col min="8970" max="8970" width="10" style="262" bestFit="1" customWidth="1"/>
    <col min="8971" max="8971" width="30.42578125" style="262" bestFit="1" customWidth="1"/>
    <col min="8972" max="8972" width="4.7109375" style="262" bestFit="1" customWidth="1"/>
    <col min="8973" max="9216" width="9.140625" style="262"/>
    <col min="9217" max="9217" width="6.42578125" style="262" bestFit="1" customWidth="1"/>
    <col min="9218" max="9218" width="20.7109375" style="262" bestFit="1" customWidth="1"/>
    <col min="9219" max="9219" width="14.7109375" style="262" bestFit="1" customWidth="1"/>
    <col min="9220" max="9220" width="13.85546875" style="262" bestFit="1" customWidth="1"/>
    <col min="9221" max="9221" width="7.7109375" style="262" bestFit="1" customWidth="1"/>
    <col min="9222" max="9223" width="6" style="262" bestFit="1" customWidth="1"/>
    <col min="9224" max="9224" width="9.7109375" style="262" bestFit="1" customWidth="1"/>
    <col min="9225" max="9225" width="10.7109375" style="262" bestFit="1" customWidth="1"/>
    <col min="9226" max="9226" width="10" style="262" bestFit="1" customWidth="1"/>
    <col min="9227" max="9227" width="30.42578125" style="262" bestFit="1" customWidth="1"/>
    <col min="9228" max="9228" width="4.7109375" style="262" bestFit="1" customWidth="1"/>
    <col min="9229" max="9472" width="9.140625" style="262"/>
    <col min="9473" max="9473" width="6.42578125" style="262" bestFit="1" customWidth="1"/>
    <col min="9474" max="9474" width="20.7109375" style="262" bestFit="1" customWidth="1"/>
    <col min="9475" max="9475" width="14.7109375" style="262" bestFit="1" customWidth="1"/>
    <col min="9476" max="9476" width="13.85546875" style="262" bestFit="1" customWidth="1"/>
    <col min="9477" max="9477" width="7.7109375" style="262" bestFit="1" customWidth="1"/>
    <col min="9478" max="9479" width="6" style="262" bestFit="1" customWidth="1"/>
    <col min="9480" max="9480" width="9.7109375" style="262" bestFit="1" customWidth="1"/>
    <col min="9481" max="9481" width="10.7109375" style="262" bestFit="1" customWidth="1"/>
    <col min="9482" max="9482" width="10" style="262" bestFit="1" customWidth="1"/>
    <col min="9483" max="9483" width="30.42578125" style="262" bestFit="1" customWidth="1"/>
    <col min="9484" max="9484" width="4.7109375" style="262" bestFit="1" customWidth="1"/>
    <col min="9485" max="9728" width="9.140625" style="262"/>
    <col min="9729" max="9729" width="6.42578125" style="262" bestFit="1" customWidth="1"/>
    <col min="9730" max="9730" width="20.7109375" style="262" bestFit="1" customWidth="1"/>
    <col min="9731" max="9731" width="14.7109375" style="262" bestFit="1" customWidth="1"/>
    <col min="9732" max="9732" width="13.85546875" style="262" bestFit="1" customWidth="1"/>
    <col min="9733" max="9733" width="7.7109375" style="262" bestFit="1" customWidth="1"/>
    <col min="9734" max="9735" width="6" style="262" bestFit="1" customWidth="1"/>
    <col min="9736" max="9736" width="9.7109375" style="262" bestFit="1" customWidth="1"/>
    <col min="9737" max="9737" width="10.7109375" style="262" bestFit="1" customWidth="1"/>
    <col min="9738" max="9738" width="10" style="262" bestFit="1" customWidth="1"/>
    <col min="9739" max="9739" width="30.42578125" style="262" bestFit="1" customWidth="1"/>
    <col min="9740" max="9740" width="4.7109375" style="262" bestFit="1" customWidth="1"/>
    <col min="9741" max="9984" width="9.140625" style="262"/>
    <col min="9985" max="9985" width="6.42578125" style="262" bestFit="1" customWidth="1"/>
    <col min="9986" max="9986" width="20.7109375" style="262" bestFit="1" customWidth="1"/>
    <col min="9987" max="9987" width="14.7109375" style="262" bestFit="1" customWidth="1"/>
    <col min="9988" max="9988" width="13.85546875" style="262" bestFit="1" customWidth="1"/>
    <col min="9989" max="9989" width="7.7109375" style="262" bestFit="1" customWidth="1"/>
    <col min="9990" max="9991" width="6" style="262" bestFit="1" customWidth="1"/>
    <col min="9992" max="9992" width="9.7109375" style="262" bestFit="1" customWidth="1"/>
    <col min="9993" max="9993" width="10.7109375" style="262" bestFit="1" customWidth="1"/>
    <col min="9994" max="9994" width="10" style="262" bestFit="1" customWidth="1"/>
    <col min="9995" max="9995" width="30.42578125" style="262" bestFit="1" customWidth="1"/>
    <col min="9996" max="9996" width="4.7109375" style="262" bestFit="1" customWidth="1"/>
    <col min="9997" max="10240" width="9.140625" style="262"/>
    <col min="10241" max="10241" width="6.42578125" style="262" bestFit="1" customWidth="1"/>
    <col min="10242" max="10242" width="20.7109375" style="262" bestFit="1" customWidth="1"/>
    <col min="10243" max="10243" width="14.7109375" style="262" bestFit="1" customWidth="1"/>
    <col min="10244" max="10244" width="13.85546875" style="262" bestFit="1" customWidth="1"/>
    <col min="10245" max="10245" width="7.7109375" style="262" bestFit="1" customWidth="1"/>
    <col min="10246" max="10247" width="6" style="262" bestFit="1" customWidth="1"/>
    <col min="10248" max="10248" width="9.7109375" style="262" bestFit="1" customWidth="1"/>
    <col min="10249" max="10249" width="10.7109375" style="262" bestFit="1" customWidth="1"/>
    <col min="10250" max="10250" width="10" style="262" bestFit="1" customWidth="1"/>
    <col min="10251" max="10251" width="30.42578125" style="262" bestFit="1" customWidth="1"/>
    <col min="10252" max="10252" width="4.7109375" style="262" bestFit="1" customWidth="1"/>
    <col min="10253" max="10496" width="9.140625" style="262"/>
    <col min="10497" max="10497" width="6.42578125" style="262" bestFit="1" customWidth="1"/>
    <col min="10498" max="10498" width="20.7109375" style="262" bestFit="1" customWidth="1"/>
    <col min="10499" max="10499" width="14.7109375" style="262" bestFit="1" customWidth="1"/>
    <col min="10500" max="10500" width="13.85546875" style="262" bestFit="1" customWidth="1"/>
    <col min="10501" max="10501" width="7.7109375" style="262" bestFit="1" customWidth="1"/>
    <col min="10502" max="10503" width="6" style="262" bestFit="1" customWidth="1"/>
    <col min="10504" max="10504" width="9.7109375" style="262" bestFit="1" customWidth="1"/>
    <col min="10505" max="10505" width="10.7109375" style="262" bestFit="1" customWidth="1"/>
    <col min="10506" max="10506" width="10" style="262" bestFit="1" customWidth="1"/>
    <col min="10507" max="10507" width="30.42578125" style="262" bestFit="1" customWidth="1"/>
    <col min="10508" max="10508" width="4.7109375" style="262" bestFit="1" customWidth="1"/>
    <col min="10509" max="10752" width="9.140625" style="262"/>
    <col min="10753" max="10753" width="6.42578125" style="262" bestFit="1" customWidth="1"/>
    <col min="10754" max="10754" width="20.7109375" style="262" bestFit="1" customWidth="1"/>
    <col min="10755" max="10755" width="14.7109375" style="262" bestFit="1" customWidth="1"/>
    <col min="10756" max="10756" width="13.85546875" style="262" bestFit="1" customWidth="1"/>
    <col min="10757" max="10757" width="7.7109375" style="262" bestFit="1" customWidth="1"/>
    <col min="10758" max="10759" width="6" style="262" bestFit="1" customWidth="1"/>
    <col min="10760" max="10760" width="9.7109375" style="262" bestFit="1" customWidth="1"/>
    <col min="10761" max="10761" width="10.7109375" style="262" bestFit="1" customWidth="1"/>
    <col min="10762" max="10762" width="10" style="262" bestFit="1" customWidth="1"/>
    <col min="10763" max="10763" width="30.42578125" style="262" bestFit="1" customWidth="1"/>
    <col min="10764" max="10764" width="4.7109375" style="262" bestFit="1" customWidth="1"/>
    <col min="10765" max="11008" width="9.140625" style="262"/>
    <col min="11009" max="11009" width="6.42578125" style="262" bestFit="1" customWidth="1"/>
    <col min="11010" max="11010" width="20.7109375" style="262" bestFit="1" customWidth="1"/>
    <col min="11011" max="11011" width="14.7109375" style="262" bestFit="1" customWidth="1"/>
    <col min="11012" max="11012" width="13.85546875" style="262" bestFit="1" customWidth="1"/>
    <col min="11013" max="11013" width="7.7109375" style="262" bestFit="1" customWidth="1"/>
    <col min="11014" max="11015" width="6" style="262" bestFit="1" customWidth="1"/>
    <col min="11016" max="11016" width="9.7109375" style="262" bestFit="1" customWidth="1"/>
    <col min="11017" max="11017" width="10.7109375" style="262" bestFit="1" customWidth="1"/>
    <col min="11018" max="11018" width="10" style="262" bestFit="1" customWidth="1"/>
    <col min="11019" max="11019" width="30.42578125" style="262" bestFit="1" customWidth="1"/>
    <col min="11020" max="11020" width="4.7109375" style="262" bestFit="1" customWidth="1"/>
    <col min="11021" max="11264" width="9.140625" style="262"/>
    <col min="11265" max="11265" width="6.42578125" style="262" bestFit="1" customWidth="1"/>
    <col min="11266" max="11266" width="20.7109375" style="262" bestFit="1" customWidth="1"/>
    <col min="11267" max="11267" width="14.7109375" style="262" bestFit="1" customWidth="1"/>
    <col min="11268" max="11268" width="13.85546875" style="262" bestFit="1" customWidth="1"/>
    <col min="11269" max="11269" width="7.7109375" style="262" bestFit="1" customWidth="1"/>
    <col min="11270" max="11271" width="6" style="262" bestFit="1" customWidth="1"/>
    <col min="11272" max="11272" width="9.7109375" style="262" bestFit="1" customWidth="1"/>
    <col min="11273" max="11273" width="10.7109375" style="262" bestFit="1" customWidth="1"/>
    <col min="11274" max="11274" width="10" style="262" bestFit="1" customWidth="1"/>
    <col min="11275" max="11275" width="30.42578125" style="262" bestFit="1" customWidth="1"/>
    <col min="11276" max="11276" width="4.7109375" style="262" bestFit="1" customWidth="1"/>
    <col min="11277" max="11520" width="9.140625" style="262"/>
    <col min="11521" max="11521" width="6.42578125" style="262" bestFit="1" customWidth="1"/>
    <col min="11522" max="11522" width="20.7109375" style="262" bestFit="1" customWidth="1"/>
    <col min="11523" max="11523" width="14.7109375" style="262" bestFit="1" customWidth="1"/>
    <col min="11524" max="11524" width="13.85546875" style="262" bestFit="1" customWidth="1"/>
    <col min="11525" max="11525" width="7.7109375" style="262" bestFit="1" customWidth="1"/>
    <col min="11526" max="11527" width="6" style="262" bestFit="1" customWidth="1"/>
    <col min="11528" max="11528" width="9.7109375" style="262" bestFit="1" customWidth="1"/>
    <col min="11529" max="11529" width="10.7109375" style="262" bestFit="1" customWidth="1"/>
    <col min="11530" max="11530" width="10" style="262" bestFit="1" customWidth="1"/>
    <col min="11531" max="11531" width="30.42578125" style="262" bestFit="1" customWidth="1"/>
    <col min="11532" max="11532" width="4.7109375" style="262" bestFit="1" customWidth="1"/>
    <col min="11533" max="11776" width="9.140625" style="262"/>
    <col min="11777" max="11777" width="6.42578125" style="262" bestFit="1" customWidth="1"/>
    <col min="11778" max="11778" width="20.7109375" style="262" bestFit="1" customWidth="1"/>
    <col min="11779" max="11779" width="14.7109375" style="262" bestFit="1" customWidth="1"/>
    <col min="11780" max="11780" width="13.85546875" style="262" bestFit="1" customWidth="1"/>
    <col min="11781" max="11781" width="7.7109375" style="262" bestFit="1" customWidth="1"/>
    <col min="11782" max="11783" width="6" style="262" bestFit="1" customWidth="1"/>
    <col min="11784" max="11784" width="9.7109375" style="262" bestFit="1" customWidth="1"/>
    <col min="11785" max="11785" width="10.7109375" style="262" bestFit="1" customWidth="1"/>
    <col min="11786" max="11786" width="10" style="262" bestFit="1" customWidth="1"/>
    <col min="11787" max="11787" width="30.42578125" style="262" bestFit="1" customWidth="1"/>
    <col min="11788" max="11788" width="4.7109375" style="262" bestFit="1" customWidth="1"/>
    <col min="11789" max="12032" width="9.140625" style="262"/>
    <col min="12033" max="12033" width="6.42578125" style="262" bestFit="1" customWidth="1"/>
    <col min="12034" max="12034" width="20.7109375" style="262" bestFit="1" customWidth="1"/>
    <col min="12035" max="12035" width="14.7109375" style="262" bestFit="1" customWidth="1"/>
    <col min="12036" max="12036" width="13.85546875" style="262" bestFit="1" customWidth="1"/>
    <col min="12037" max="12037" width="7.7109375" style="262" bestFit="1" customWidth="1"/>
    <col min="12038" max="12039" width="6" style="262" bestFit="1" customWidth="1"/>
    <col min="12040" max="12040" width="9.7109375" style="262" bestFit="1" customWidth="1"/>
    <col min="12041" max="12041" width="10.7109375" style="262" bestFit="1" customWidth="1"/>
    <col min="12042" max="12042" width="10" style="262" bestFit="1" customWidth="1"/>
    <col min="12043" max="12043" width="30.42578125" style="262" bestFit="1" customWidth="1"/>
    <col min="12044" max="12044" width="4.7109375" style="262" bestFit="1" customWidth="1"/>
    <col min="12045" max="12288" width="9.140625" style="262"/>
    <col min="12289" max="12289" width="6.42578125" style="262" bestFit="1" customWidth="1"/>
    <col min="12290" max="12290" width="20.7109375" style="262" bestFit="1" customWidth="1"/>
    <col min="12291" max="12291" width="14.7109375" style="262" bestFit="1" customWidth="1"/>
    <col min="12292" max="12292" width="13.85546875" style="262" bestFit="1" customWidth="1"/>
    <col min="12293" max="12293" width="7.7109375" style="262" bestFit="1" customWidth="1"/>
    <col min="12294" max="12295" width="6" style="262" bestFit="1" customWidth="1"/>
    <col min="12296" max="12296" width="9.7109375" style="262" bestFit="1" customWidth="1"/>
    <col min="12297" max="12297" width="10.7109375" style="262" bestFit="1" customWidth="1"/>
    <col min="12298" max="12298" width="10" style="262" bestFit="1" customWidth="1"/>
    <col min="12299" max="12299" width="30.42578125" style="262" bestFit="1" customWidth="1"/>
    <col min="12300" max="12300" width="4.7109375" style="262" bestFit="1" customWidth="1"/>
    <col min="12301" max="12544" width="9.140625" style="262"/>
    <col min="12545" max="12545" width="6.42578125" style="262" bestFit="1" customWidth="1"/>
    <col min="12546" max="12546" width="20.7109375" style="262" bestFit="1" customWidth="1"/>
    <col min="12547" max="12547" width="14.7109375" style="262" bestFit="1" customWidth="1"/>
    <col min="12548" max="12548" width="13.85546875" style="262" bestFit="1" customWidth="1"/>
    <col min="12549" max="12549" width="7.7109375" style="262" bestFit="1" customWidth="1"/>
    <col min="12550" max="12551" width="6" style="262" bestFit="1" customWidth="1"/>
    <col min="12552" max="12552" width="9.7109375" style="262" bestFit="1" customWidth="1"/>
    <col min="12553" max="12553" width="10.7109375" style="262" bestFit="1" customWidth="1"/>
    <col min="12554" max="12554" width="10" style="262" bestFit="1" customWidth="1"/>
    <col min="12555" max="12555" width="30.42578125" style="262" bestFit="1" customWidth="1"/>
    <col min="12556" max="12556" width="4.7109375" style="262" bestFit="1" customWidth="1"/>
    <col min="12557" max="12800" width="9.140625" style="262"/>
    <col min="12801" max="12801" width="6.42578125" style="262" bestFit="1" customWidth="1"/>
    <col min="12802" max="12802" width="20.7109375" style="262" bestFit="1" customWidth="1"/>
    <col min="12803" max="12803" width="14.7109375" style="262" bestFit="1" customWidth="1"/>
    <col min="12804" max="12804" width="13.85546875" style="262" bestFit="1" customWidth="1"/>
    <col min="12805" max="12805" width="7.7109375" style="262" bestFit="1" customWidth="1"/>
    <col min="12806" max="12807" width="6" style="262" bestFit="1" customWidth="1"/>
    <col min="12808" max="12808" width="9.7109375" style="262" bestFit="1" customWidth="1"/>
    <col min="12809" max="12809" width="10.7109375" style="262" bestFit="1" customWidth="1"/>
    <col min="12810" max="12810" width="10" style="262" bestFit="1" customWidth="1"/>
    <col min="12811" max="12811" width="30.42578125" style="262" bestFit="1" customWidth="1"/>
    <col min="12812" max="12812" width="4.7109375" style="262" bestFit="1" customWidth="1"/>
    <col min="12813" max="13056" width="9.140625" style="262"/>
    <col min="13057" max="13057" width="6.42578125" style="262" bestFit="1" customWidth="1"/>
    <col min="13058" max="13058" width="20.7109375" style="262" bestFit="1" customWidth="1"/>
    <col min="13059" max="13059" width="14.7109375" style="262" bestFit="1" customWidth="1"/>
    <col min="13060" max="13060" width="13.85546875" style="262" bestFit="1" customWidth="1"/>
    <col min="13061" max="13061" width="7.7109375" style="262" bestFit="1" customWidth="1"/>
    <col min="13062" max="13063" width="6" style="262" bestFit="1" customWidth="1"/>
    <col min="13064" max="13064" width="9.7109375" style="262" bestFit="1" customWidth="1"/>
    <col min="13065" max="13065" width="10.7109375" style="262" bestFit="1" customWidth="1"/>
    <col min="13066" max="13066" width="10" style="262" bestFit="1" customWidth="1"/>
    <col min="13067" max="13067" width="30.42578125" style="262" bestFit="1" customWidth="1"/>
    <col min="13068" max="13068" width="4.7109375" style="262" bestFit="1" customWidth="1"/>
    <col min="13069" max="13312" width="9.140625" style="262"/>
    <col min="13313" max="13313" width="6.42578125" style="262" bestFit="1" customWidth="1"/>
    <col min="13314" max="13314" width="20.7109375" style="262" bestFit="1" customWidth="1"/>
    <col min="13315" max="13315" width="14.7109375" style="262" bestFit="1" customWidth="1"/>
    <col min="13316" max="13316" width="13.85546875" style="262" bestFit="1" customWidth="1"/>
    <col min="13317" max="13317" width="7.7109375" style="262" bestFit="1" customWidth="1"/>
    <col min="13318" max="13319" width="6" style="262" bestFit="1" customWidth="1"/>
    <col min="13320" max="13320" width="9.7109375" style="262" bestFit="1" customWidth="1"/>
    <col min="13321" max="13321" width="10.7109375" style="262" bestFit="1" customWidth="1"/>
    <col min="13322" max="13322" width="10" style="262" bestFit="1" customWidth="1"/>
    <col min="13323" max="13323" width="30.42578125" style="262" bestFit="1" customWidth="1"/>
    <col min="13324" max="13324" width="4.7109375" style="262" bestFit="1" customWidth="1"/>
    <col min="13325" max="13568" width="9.140625" style="262"/>
    <col min="13569" max="13569" width="6.42578125" style="262" bestFit="1" customWidth="1"/>
    <col min="13570" max="13570" width="20.7109375" style="262" bestFit="1" customWidth="1"/>
    <col min="13571" max="13571" width="14.7109375" style="262" bestFit="1" customWidth="1"/>
    <col min="13572" max="13572" width="13.85546875" style="262" bestFit="1" customWidth="1"/>
    <col min="13573" max="13573" width="7.7109375" style="262" bestFit="1" customWidth="1"/>
    <col min="13574" max="13575" width="6" style="262" bestFit="1" customWidth="1"/>
    <col min="13576" max="13576" width="9.7109375" style="262" bestFit="1" customWidth="1"/>
    <col min="13577" max="13577" width="10.7109375" style="262" bestFit="1" customWidth="1"/>
    <col min="13578" max="13578" width="10" style="262" bestFit="1" customWidth="1"/>
    <col min="13579" max="13579" width="30.42578125" style="262" bestFit="1" customWidth="1"/>
    <col min="13580" max="13580" width="4.7109375" style="262" bestFit="1" customWidth="1"/>
    <col min="13581" max="13824" width="9.140625" style="262"/>
    <col min="13825" max="13825" width="6.42578125" style="262" bestFit="1" customWidth="1"/>
    <col min="13826" max="13826" width="20.7109375" style="262" bestFit="1" customWidth="1"/>
    <col min="13827" max="13827" width="14.7109375" style="262" bestFit="1" customWidth="1"/>
    <col min="13828" max="13828" width="13.85546875" style="262" bestFit="1" customWidth="1"/>
    <col min="13829" max="13829" width="7.7109375" style="262" bestFit="1" customWidth="1"/>
    <col min="13830" max="13831" width="6" style="262" bestFit="1" customWidth="1"/>
    <col min="13832" max="13832" width="9.7109375" style="262" bestFit="1" customWidth="1"/>
    <col min="13833" max="13833" width="10.7109375" style="262" bestFit="1" customWidth="1"/>
    <col min="13834" max="13834" width="10" style="262" bestFit="1" customWidth="1"/>
    <col min="13835" max="13835" width="30.42578125" style="262" bestFit="1" customWidth="1"/>
    <col min="13836" max="13836" width="4.7109375" style="262" bestFit="1" customWidth="1"/>
    <col min="13837" max="14080" width="9.140625" style="262"/>
    <col min="14081" max="14081" width="6.42578125" style="262" bestFit="1" customWidth="1"/>
    <col min="14082" max="14082" width="20.7109375" style="262" bestFit="1" customWidth="1"/>
    <col min="14083" max="14083" width="14.7109375" style="262" bestFit="1" customWidth="1"/>
    <col min="14084" max="14084" width="13.85546875" style="262" bestFit="1" customWidth="1"/>
    <col min="14085" max="14085" width="7.7109375" style="262" bestFit="1" customWidth="1"/>
    <col min="14086" max="14087" width="6" style="262" bestFit="1" customWidth="1"/>
    <col min="14088" max="14088" width="9.7109375" style="262" bestFit="1" customWidth="1"/>
    <col min="14089" max="14089" width="10.7109375" style="262" bestFit="1" customWidth="1"/>
    <col min="14090" max="14090" width="10" style="262" bestFit="1" customWidth="1"/>
    <col min="14091" max="14091" width="30.42578125" style="262" bestFit="1" customWidth="1"/>
    <col min="14092" max="14092" width="4.7109375" style="262" bestFit="1" customWidth="1"/>
    <col min="14093" max="14336" width="9.140625" style="262"/>
    <col min="14337" max="14337" width="6.42578125" style="262" bestFit="1" customWidth="1"/>
    <col min="14338" max="14338" width="20.7109375" style="262" bestFit="1" customWidth="1"/>
    <col min="14339" max="14339" width="14.7109375" style="262" bestFit="1" customWidth="1"/>
    <col min="14340" max="14340" width="13.85546875" style="262" bestFit="1" customWidth="1"/>
    <col min="14341" max="14341" width="7.7109375" style="262" bestFit="1" customWidth="1"/>
    <col min="14342" max="14343" width="6" style="262" bestFit="1" customWidth="1"/>
    <col min="14344" max="14344" width="9.7109375" style="262" bestFit="1" customWidth="1"/>
    <col min="14345" max="14345" width="10.7109375" style="262" bestFit="1" customWidth="1"/>
    <col min="14346" max="14346" width="10" style="262" bestFit="1" customWidth="1"/>
    <col min="14347" max="14347" width="30.42578125" style="262" bestFit="1" customWidth="1"/>
    <col min="14348" max="14348" width="4.7109375" style="262" bestFit="1" customWidth="1"/>
    <col min="14349" max="14592" width="9.140625" style="262"/>
    <col min="14593" max="14593" width="6.42578125" style="262" bestFit="1" customWidth="1"/>
    <col min="14594" max="14594" width="20.7109375" style="262" bestFit="1" customWidth="1"/>
    <col min="14595" max="14595" width="14.7109375" style="262" bestFit="1" customWidth="1"/>
    <col min="14596" max="14596" width="13.85546875" style="262" bestFit="1" customWidth="1"/>
    <col min="14597" max="14597" width="7.7109375" style="262" bestFit="1" customWidth="1"/>
    <col min="14598" max="14599" width="6" style="262" bestFit="1" customWidth="1"/>
    <col min="14600" max="14600" width="9.7109375" style="262" bestFit="1" customWidth="1"/>
    <col min="14601" max="14601" width="10.7109375" style="262" bestFit="1" customWidth="1"/>
    <col min="14602" max="14602" width="10" style="262" bestFit="1" customWidth="1"/>
    <col min="14603" max="14603" width="30.42578125" style="262" bestFit="1" customWidth="1"/>
    <col min="14604" max="14604" width="4.7109375" style="262" bestFit="1" customWidth="1"/>
    <col min="14605" max="14848" width="9.140625" style="262"/>
    <col min="14849" max="14849" width="6.42578125" style="262" bestFit="1" customWidth="1"/>
    <col min="14850" max="14850" width="20.7109375" style="262" bestFit="1" customWidth="1"/>
    <col min="14851" max="14851" width="14.7109375" style="262" bestFit="1" customWidth="1"/>
    <col min="14852" max="14852" width="13.85546875" style="262" bestFit="1" customWidth="1"/>
    <col min="14853" max="14853" width="7.7109375" style="262" bestFit="1" customWidth="1"/>
    <col min="14854" max="14855" width="6" style="262" bestFit="1" customWidth="1"/>
    <col min="14856" max="14856" width="9.7109375" style="262" bestFit="1" customWidth="1"/>
    <col min="14857" max="14857" width="10.7109375" style="262" bestFit="1" customWidth="1"/>
    <col min="14858" max="14858" width="10" style="262" bestFit="1" customWidth="1"/>
    <col min="14859" max="14859" width="30.42578125" style="262" bestFit="1" customWidth="1"/>
    <col min="14860" max="14860" width="4.7109375" style="262" bestFit="1" customWidth="1"/>
    <col min="14861" max="15104" width="9.140625" style="262"/>
    <col min="15105" max="15105" width="6.42578125" style="262" bestFit="1" customWidth="1"/>
    <col min="15106" max="15106" width="20.7109375" style="262" bestFit="1" customWidth="1"/>
    <col min="15107" max="15107" width="14.7109375" style="262" bestFit="1" customWidth="1"/>
    <col min="15108" max="15108" width="13.85546875" style="262" bestFit="1" customWidth="1"/>
    <col min="15109" max="15109" width="7.7109375" style="262" bestFit="1" customWidth="1"/>
    <col min="15110" max="15111" width="6" style="262" bestFit="1" customWidth="1"/>
    <col min="15112" max="15112" width="9.7109375" style="262" bestFit="1" customWidth="1"/>
    <col min="15113" max="15113" width="10.7109375" style="262" bestFit="1" customWidth="1"/>
    <col min="15114" max="15114" width="10" style="262" bestFit="1" customWidth="1"/>
    <col min="15115" max="15115" width="30.42578125" style="262" bestFit="1" customWidth="1"/>
    <col min="15116" max="15116" width="4.7109375" style="262" bestFit="1" customWidth="1"/>
    <col min="15117" max="15360" width="9.140625" style="262"/>
    <col min="15361" max="15361" width="6.42578125" style="262" bestFit="1" customWidth="1"/>
    <col min="15362" max="15362" width="20.7109375" style="262" bestFit="1" customWidth="1"/>
    <col min="15363" max="15363" width="14.7109375" style="262" bestFit="1" customWidth="1"/>
    <col min="15364" max="15364" width="13.85546875" style="262" bestFit="1" customWidth="1"/>
    <col min="15365" max="15365" width="7.7109375" style="262" bestFit="1" customWidth="1"/>
    <col min="15366" max="15367" width="6" style="262" bestFit="1" customWidth="1"/>
    <col min="15368" max="15368" width="9.7109375" style="262" bestFit="1" customWidth="1"/>
    <col min="15369" max="15369" width="10.7109375" style="262" bestFit="1" customWidth="1"/>
    <col min="15370" max="15370" width="10" style="262" bestFit="1" customWidth="1"/>
    <col min="15371" max="15371" width="30.42578125" style="262" bestFit="1" customWidth="1"/>
    <col min="15372" max="15372" width="4.7109375" style="262" bestFit="1" customWidth="1"/>
    <col min="15373" max="15616" width="9.140625" style="262"/>
    <col min="15617" max="15617" width="6.42578125" style="262" bestFit="1" customWidth="1"/>
    <col min="15618" max="15618" width="20.7109375" style="262" bestFit="1" customWidth="1"/>
    <col min="15619" max="15619" width="14.7109375" style="262" bestFit="1" customWidth="1"/>
    <col min="15620" max="15620" width="13.85546875" style="262" bestFit="1" customWidth="1"/>
    <col min="15621" max="15621" width="7.7109375" style="262" bestFit="1" customWidth="1"/>
    <col min="15622" max="15623" width="6" style="262" bestFit="1" customWidth="1"/>
    <col min="15624" max="15624" width="9.7109375" style="262" bestFit="1" customWidth="1"/>
    <col min="15625" max="15625" width="10.7109375" style="262" bestFit="1" customWidth="1"/>
    <col min="15626" max="15626" width="10" style="262" bestFit="1" customWidth="1"/>
    <col min="15627" max="15627" width="30.42578125" style="262" bestFit="1" customWidth="1"/>
    <col min="15628" max="15628" width="4.7109375" style="262" bestFit="1" customWidth="1"/>
    <col min="15629" max="15872" width="9.140625" style="262"/>
    <col min="15873" max="15873" width="6.42578125" style="262" bestFit="1" customWidth="1"/>
    <col min="15874" max="15874" width="20.7109375" style="262" bestFit="1" customWidth="1"/>
    <col min="15875" max="15875" width="14.7109375" style="262" bestFit="1" customWidth="1"/>
    <col min="15876" max="15876" width="13.85546875" style="262" bestFit="1" customWidth="1"/>
    <col min="15877" max="15877" width="7.7109375" style="262" bestFit="1" customWidth="1"/>
    <col min="15878" max="15879" width="6" style="262" bestFit="1" customWidth="1"/>
    <col min="15880" max="15880" width="9.7109375" style="262" bestFit="1" customWidth="1"/>
    <col min="15881" max="15881" width="10.7109375" style="262" bestFit="1" customWidth="1"/>
    <col min="15882" max="15882" width="10" style="262" bestFit="1" customWidth="1"/>
    <col min="15883" max="15883" width="30.42578125" style="262" bestFit="1" customWidth="1"/>
    <col min="15884" max="15884" width="4.7109375" style="262" bestFit="1" customWidth="1"/>
    <col min="15885" max="16128" width="9.140625" style="262"/>
    <col min="16129" max="16129" width="6.42578125" style="262" bestFit="1" customWidth="1"/>
    <col min="16130" max="16130" width="20.7109375" style="262" bestFit="1" customWidth="1"/>
    <col min="16131" max="16131" width="14.7109375" style="262" bestFit="1" customWidth="1"/>
    <col min="16132" max="16132" width="13.85546875" style="262" bestFit="1" customWidth="1"/>
    <col min="16133" max="16133" width="7.7109375" style="262" bestFit="1" customWidth="1"/>
    <col min="16134" max="16135" width="6" style="262" bestFit="1" customWidth="1"/>
    <col min="16136" max="16136" width="9.7109375" style="262" bestFit="1" customWidth="1"/>
    <col min="16137" max="16137" width="10.7109375" style="262" bestFit="1" customWidth="1"/>
    <col min="16138" max="16138" width="10" style="262" bestFit="1" customWidth="1"/>
    <col min="16139" max="16139" width="30.42578125" style="262" bestFit="1" customWidth="1"/>
    <col min="16140" max="16140" width="4.7109375" style="262" bestFit="1" customWidth="1"/>
    <col min="16141" max="16384" width="9.140625" style="262"/>
  </cols>
  <sheetData>
    <row r="1" spans="1:11" ht="17.25" customHeight="1" x14ac:dyDescent="0.2">
      <c r="A1" s="354" t="s">
        <v>394</v>
      </c>
      <c r="B1" s="354"/>
      <c r="C1" s="354"/>
      <c r="D1" s="354"/>
      <c r="E1" s="354"/>
      <c r="F1" s="354"/>
      <c r="G1" s="354"/>
      <c r="H1" s="354"/>
      <c r="I1" s="354"/>
      <c r="J1" s="354"/>
      <c r="K1" s="354"/>
    </row>
    <row r="2" spans="1:11" s="265" customFormat="1" ht="58.5" customHeight="1" x14ac:dyDescent="0.2">
      <c r="A2" s="269" t="s">
        <v>395</v>
      </c>
      <c r="B2" s="269" t="s">
        <v>348</v>
      </c>
      <c r="C2" s="311" t="s">
        <v>396</v>
      </c>
      <c r="D2" s="311" t="s">
        <v>350</v>
      </c>
      <c r="E2" s="269" t="s">
        <v>351</v>
      </c>
      <c r="F2" s="269" t="s">
        <v>352</v>
      </c>
      <c r="G2" s="269" t="s">
        <v>353</v>
      </c>
      <c r="H2" s="276" t="s">
        <v>354</v>
      </c>
      <c r="I2" s="276" t="s">
        <v>355</v>
      </c>
      <c r="J2" s="276" t="s">
        <v>356</v>
      </c>
    </row>
    <row r="3" spans="1:11" s="265" customFormat="1" ht="15" customHeight="1" x14ac:dyDescent="0.2">
      <c r="A3" s="277">
        <v>1</v>
      </c>
      <c r="B3" s="278" t="s">
        <v>397</v>
      </c>
      <c r="C3" s="312">
        <v>544.66</v>
      </c>
      <c r="D3" s="313">
        <v>498890.98</v>
      </c>
      <c r="E3" s="314">
        <v>10.67</v>
      </c>
      <c r="F3" s="314">
        <v>0.66</v>
      </c>
      <c r="G3" s="314">
        <v>0.27</v>
      </c>
      <c r="H3" s="314">
        <v>0.85</v>
      </c>
      <c r="I3" s="314">
        <v>11.62</v>
      </c>
      <c r="J3" s="314">
        <v>0.02</v>
      </c>
    </row>
    <row r="4" spans="1:11" s="265" customFormat="1" ht="27" customHeight="1" x14ac:dyDescent="0.2">
      <c r="A4" s="277">
        <v>2</v>
      </c>
      <c r="B4" s="278" t="s">
        <v>398</v>
      </c>
      <c r="C4" s="312">
        <v>6338.69</v>
      </c>
      <c r="D4" s="313">
        <v>466626.03</v>
      </c>
      <c r="E4" s="314">
        <v>9.98</v>
      </c>
      <c r="F4" s="314">
        <v>1.44</v>
      </c>
      <c r="G4" s="314">
        <v>0.43</v>
      </c>
      <c r="H4" s="314">
        <v>1.56</v>
      </c>
      <c r="I4" s="314">
        <v>10.74</v>
      </c>
      <c r="J4" s="314">
        <v>0.01</v>
      </c>
    </row>
    <row r="5" spans="1:11" s="265" customFormat="1" ht="39" customHeight="1" x14ac:dyDescent="0.2">
      <c r="A5" s="277">
        <v>3</v>
      </c>
      <c r="B5" s="278" t="s">
        <v>399</v>
      </c>
      <c r="C5" s="312">
        <v>343.74</v>
      </c>
      <c r="D5" s="313">
        <v>324751.99</v>
      </c>
      <c r="E5" s="314">
        <v>6.94</v>
      </c>
      <c r="F5" s="314">
        <v>1.2</v>
      </c>
      <c r="G5" s="314">
        <v>0.42</v>
      </c>
      <c r="H5" s="314">
        <v>0.91</v>
      </c>
      <c r="I5" s="314">
        <v>6.9</v>
      </c>
      <c r="J5" s="314">
        <v>0.01</v>
      </c>
    </row>
    <row r="6" spans="1:11" s="265" customFormat="1" ht="15" customHeight="1" x14ac:dyDescent="0.2">
      <c r="A6" s="277">
        <v>4</v>
      </c>
      <c r="B6" s="278" t="s">
        <v>400</v>
      </c>
      <c r="C6" s="312">
        <v>2184.4699999999998</v>
      </c>
      <c r="D6" s="313">
        <v>282735.18</v>
      </c>
      <c r="E6" s="314">
        <v>6.04</v>
      </c>
      <c r="F6" s="314">
        <v>0.61</v>
      </c>
      <c r="G6" s="314">
        <v>0.1</v>
      </c>
      <c r="H6" s="314">
        <v>1.1000000000000001</v>
      </c>
      <c r="I6" s="314">
        <v>1.3</v>
      </c>
      <c r="J6" s="314">
        <v>0.02</v>
      </c>
    </row>
    <row r="7" spans="1:11" s="265" customFormat="1" ht="15" customHeight="1" x14ac:dyDescent="0.2">
      <c r="A7" s="277">
        <v>5</v>
      </c>
      <c r="B7" s="278" t="s">
        <v>401</v>
      </c>
      <c r="C7" s="312">
        <v>1288.92</v>
      </c>
      <c r="D7" s="313">
        <v>258106.06</v>
      </c>
      <c r="E7" s="314">
        <v>5.52</v>
      </c>
      <c r="F7" s="314">
        <v>1.3</v>
      </c>
      <c r="G7" s="314">
        <v>0.28999999999999998</v>
      </c>
      <c r="H7" s="314">
        <v>1.46</v>
      </c>
      <c r="I7" s="314">
        <v>14.38</v>
      </c>
      <c r="J7" s="314">
        <v>0.02</v>
      </c>
    </row>
    <row r="8" spans="1:11" s="265" customFormat="1" ht="15" customHeight="1" x14ac:dyDescent="0.2">
      <c r="A8" s="277">
        <v>6</v>
      </c>
      <c r="B8" s="278" t="s">
        <v>402</v>
      </c>
      <c r="C8" s="312">
        <v>1225.3900000000001</v>
      </c>
      <c r="D8" s="313">
        <v>254973.15</v>
      </c>
      <c r="E8" s="314">
        <v>5.45</v>
      </c>
      <c r="F8" s="314">
        <v>0.88</v>
      </c>
      <c r="G8" s="314">
        <v>0.28000000000000003</v>
      </c>
      <c r="H8" s="314">
        <v>1.02</v>
      </c>
      <c r="I8" s="314">
        <v>7.68</v>
      </c>
      <c r="J8" s="314">
        <v>0.02</v>
      </c>
    </row>
    <row r="9" spans="1:11" s="265" customFormat="1" ht="27" customHeight="1" x14ac:dyDescent="0.2">
      <c r="A9" s="277">
        <v>7</v>
      </c>
      <c r="B9" s="278" t="s">
        <v>403</v>
      </c>
      <c r="C9" s="312">
        <v>375.24</v>
      </c>
      <c r="D9" s="313">
        <v>210306.9</v>
      </c>
      <c r="E9" s="314">
        <v>4.5</v>
      </c>
      <c r="F9" s="314">
        <v>0.44</v>
      </c>
      <c r="G9" s="314">
        <v>0.05</v>
      </c>
      <c r="H9" s="314">
        <v>0.89</v>
      </c>
      <c r="I9" s="314">
        <v>0.92</v>
      </c>
      <c r="J9" s="314">
        <v>0.02</v>
      </c>
    </row>
    <row r="10" spans="1:11" s="265" customFormat="1" ht="27" customHeight="1" x14ac:dyDescent="0.2">
      <c r="A10" s="277">
        <v>8</v>
      </c>
      <c r="B10" s="278" t="s">
        <v>404</v>
      </c>
      <c r="C10" s="312">
        <v>954.02</v>
      </c>
      <c r="D10" s="313">
        <v>178239</v>
      </c>
      <c r="E10" s="314">
        <v>3.81</v>
      </c>
      <c r="F10" s="314">
        <v>0.99</v>
      </c>
      <c r="G10" s="314">
        <v>0.24</v>
      </c>
      <c r="H10" s="314">
        <v>1.36</v>
      </c>
      <c r="I10" s="314">
        <v>10.01</v>
      </c>
      <c r="J10" s="314">
        <v>0.02</v>
      </c>
    </row>
    <row r="11" spans="1:11" s="265" customFormat="1" ht="15" customHeight="1" x14ac:dyDescent="0.2">
      <c r="A11" s="277">
        <v>9</v>
      </c>
      <c r="B11" s="278" t="s">
        <v>405</v>
      </c>
      <c r="C11" s="312">
        <v>280.52</v>
      </c>
      <c r="D11" s="313">
        <v>170988.91</v>
      </c>
      <c r="E11" s="314">
        <v>3.66</v>
      </c>
      <c r="F11" s="314">
        <v>0.97</v>
      </c>
      <c r="G11" s="314">
        <v>0.31</v>
      </c>
      <c r="H11" s="314">
        <v>1.3</v>
      </c>
      <c r="I11" s="314">
        <v>7.14</v>
      </c>
      <c r="J11" s="314">
        <v>0.02</v>
      </c>
    </row>
    <row r="12" spans="1:11" s="265" customFormat="1" ht="15" customHeight="1" x14ac:dyDescent="0.2">
      <c r="A12" s="277">
        <v>10</v>
      </c>
      <c r="B12" s="278" t="s">
        <v>406</v>
      </c>
      <c r="C12" s="312">
        <v>514.25</v>
      </c>
      <c r="D12" s="313">
        <v>151885.07999999999</v>
      </c>
      <c r="E12" s="314">
        <v>3.25</v>
      </c>
      <c r="F12" s="314">
        <v>1.2</v>
      </c>
      <c r="G12" s="314">
        <v>0.25</v>
      </c>
      <c r="H12" s="314">
        <v>1.49</v>
      </c>
      <c r="I12" s="314">
        <v>9.5399999999999991</v>
      </c>
      <c r="J12" s="314">
        <v>0.02</v>
      </c>
    </row>
    <row r="13" spans="1:11" s="265" customFormat="1" ht="27" customHeight="1" x14ac:dyDescent="0.2">
      <c r="A13" s="277">
        <v>11</v>
      </c>
      <c r="B13" s="278" t="s">
        <v>407</v>
      </c>
      <c r="C13" s="312">
        <v>216.47</v>
      </c>
      <c r="D13" s="313">
        <v>121923.85</v>
      </c>
      <c r="E13" s="314">
        <v>2.61</v>
      </c>
      <c r="F13" s="314">
        <v>0.74</v>
      </c>
      <c r="G13" s="314">
        <v>0.18</v>
      </c>
      <c r="H13" s="314">
        <v>0.84</v>
      </c>
      <c r="I13" s="314">
        <v>-1.49</v>
      </c>
      <c r="J13" s="314">
        <v>0.01</v>
      </c>
    </row>
    <row r="14" spans="1:11" s="265" customFormat="1" ht="15" customHeight="1" x14ac:dyDescent="0.2">
      <c r="A14" s="277">
        <v>12</v>
      </c>
      <c r="B14" s="278" t="s">
        <v>408</v>
      </c>
      <c r="C14" s="312">
        <v>892.46</v>
      </c>
      <c r="D14" s="313">
        <v>120227.9</v>
      </c>
      <c r="E14" s="314">
        <v>2.57</v>
      </c>
      <c r="F14" s="314">
        <v>1.37</v>
      </c>
      <c r="G14" s="314">
        <v>0.33</v>
      </c>
      <c r="H14" s="314">
        <v>1.37</v>
      </c>
      <c r="I14" s="314">
        <v>19.22</v>
      </c>
      <c r="J14" s="314">
        <v>0.02</v>
      </c>
    </row>
    <row r="15" spans="1:11" s="265" customFormat="1" ht="15" customHeight="1" x14ac:dyDescent="0.2">
      <c r="A15" s="277">
        <v>13</v>
      </c>
      <c r="B15" s="278" t="s">
        <v>409</v>
      </c>
      <c r="C15" s="312">
        <v>602.69000000000005</v>
      </c>
      <c r="D15" s="312">
        <v>91186.32</v>
      </c>
      <c r="E15" s="314">
        <v>1.95</v>
      </c>
      <c r="F15" s="314">
        <v>1</v>
      </c>
      <c r="G15" s="314">
        <v>0.23</v>
      </c>
      <c r="H15" s="314">
        <v>1.96</v>
      </c>
      <c r="I15" s="314">
        <v>20.77</v>
      </c>
      <c r="J15" s="314">
        <v>0.02</v>
      </c>
    </row>
    <row r="16" spans="1:11" s="265" customFormat="1" ht="27" customHeight="1" x14ac:dyDescent="0.2">
      <c r="A16" s="277">
        <v>14</v>
      </c>
      <c r="B16" s="278" t="s">
        <v>410</v>
      </c>
      <c r="C16" s="312">
        <v>151.04</v>
      </c>
      <c r="D16" s="312">
        <v>88688.35</v>
      </c>
      <c r="E16" s="314">
        <v>1.9</v>
      </c>
      <c r="F16" s="314">
        <v>1.1299999999999999</v>
      </c>
      <c r="G16" s="314">
        <v>0.3</v>
      </c>
      <c r="H16" s="314">
        <v>1.38</v>
      </c>
      <c r="I16" s="314">
        <v>-2.2999999999999998</v>
      </c>
      <c r="J16" s="314">
        <v>0.02</v>
      </c>
    </row>
    <row r="17" spans="1:10" s="265" customFormat="1" ht="15" customHeight="1" x14ac:dyDescent="0.2">
      <c r="A17" s="277">
        <v>15</v>
      </c>
      <c r="B17" s="278" t="s">
        <v>411</v>
      </c>
      <c r="C17" s="312">
        <v>115.59</v>
      </c>
      <c r="D17" s="312">
        <v>71682.53</v>
      </c>
      <c r="E17" s="314">
        <v>1.53</v>
      </c>
      <c r="F17" s="314">
        <v>1.44</v>
      </c>
      <c r="G17" s="314">
        <v>0.26</v>
      </c>
      <c r="H17" s="314">
        <v>1.44</v>
      </c>
      <c r="I17" s="314">
        <v>14.19</v>
      </c>
      <c r="J17" s="314">
        <v>0.02</v>
      </c>
    </row>
    <row r="18" spans="1:10" s="265" customFormat="1" ht="15" customHeight="1" x14ac:dyDescent="0.2">
      <c r="A18" s="277">
        <v>16</v>
      </c>
      <c r="B18" s="278" t="s">
        <v>412</v>
      </c>
      <c r="C18" s="312">
        <v>95.92</v>
      </c>
      <c r="D18" s="312">
        <v>67294.34</v>
      </c>
      <c r="E18" s="314">
        <v>1.44</v>
      </c>
      <c r="F18" s="314">
        <v>0.99</v>
      </c>
      <c r="G18" s="314">
        <v>0.3</v>
      </c>
      <c r="H18" s="314">
        <v>1.01</v>
      </c>
      <c r="I18" s="314">
        <v>6.23</v>
      </c>
      <c r="J18" s="314">
        <v>0.01</v>
      </c>
    </row>
    <row r="19" spans="1:10" s="265" customFormat="1" ht="27" customHeight="1" x14ac:dyDescent="0.2">
      <c r="A19" s="277">
        <v>17</v>
      </c>
      <c r="B19" s="278" t="s">
        <v>413</v>
      </c>
      <c r="C19" s="312">
        <v>621.6</v>
      </c>
      <c r="D19" s="312">
        <v>62834.06</v>
      </c>
      <c r="E19" s="314">
        <v>1.34</v>
      </c>
      <c r="F19" s="314">
        <v>1.27</v>
      </c>
      <c r="G19" s="314">
        <v>0.33</v>
      </c>
      <c r="H19" s="314">
        <v>1.25</v>
      </c>
      <c r="I19" s="314">
        <v>4.34</v>
      </c>
      <c r="J19" s="314">
        <v>0.02</v>
      </c>
    </row>
    <row r="20" spans="1:10" s="265" customFormat="1" ht="27" customHeight="1" x14ac:dyDescent="0.2">
      <c r="A20" s="277">
        <v>18</v>
      </c>
      <c r="B20" s="278" t="s">
        <v>414</v>
      </c>
      <c r="C20" s="312">
        <v>271.25</v>
      </c>
      <c r="D20" s="312">
        <v>58994.73</v>
      </c>
      <c r="E20" s="314">
        <v>1.26</v>
      </c>
      <c r="F20" s="314">
        <v>0.56000000000000005</v>
      </c>
      <c r="G20" s="314">
        <v>0.06</v>
      </c>
      <c r="H20" s="314">
        <v>1.6</v>
      </c>
      <c r="I20" s="314">
        <v>3.18</v>
      </c>
      <c r="J20" s="314">
        <v>0.02</v>
      </c>
    </row>
    <row r="21" spans="1:10" s="265" customFormat="1" ht="15" customHeight="1" x14ac:dyDescent="0.2">
      <c r="A21" s="277">
        <v>19</v>
      </c>
      <c r="B21" s="278" t="s">
        <v>415</v>
      </c>
      <c r="C21" s="312">
        <v>9894.56</v>
      </c>
      <c r="D21" s="312">
        <v>54644.67</v>
      </c>
      <c r="E21" s="314">
        <v>1.17</v>
      </c>
      <c r="F21" s="314">
        <v>0.64</v>
      </c>
      <c r="G21" s="314">
        <v>0.12</v>
      </c>
      <c r="H21" s="314">
        <v>2.42</v>
      </c>
      <c r="I21" s="314">
        <v>14.44</v>
      </c>
      <c r="J21" s="314">
        <v>0.03</v>
      </c>
    </row>
    <row r="22" spans="1:10" s="265" customFormat="1" ht="27" customHeight="1" x14ac:dyDescent="0.2">
      <c r="A22" s="277">
        <v>20</v>
      </c>
      <c r="B22" s="278" t="s">
        <v>416</v>
      </c>
      <c r="C22" s="312">
        <v>239.93</v>
      </c>
      <c r="D22" s="312">
        <v>52850.39</v>
      </c>
      <c r="E22" s="314">
        <v>1.1299999999999999</v>
      </c>
      <c r="F22" s="314">
        <v>0.85</v>
      </c>
      <c r="G22" s="314">
        <v>0.09</v>
      </c>
      <c r="H22" s="314">
        <v>1.46</v>
      </c>
      <c r="I22" s="314">
        <v>7.57</v>
      </c>
      <c r="J22" s="314">
        <v>0.02</v>
      </c>
    </row>
    <row r="23" spans="1:10" s="265" customFormat="1" ht="15" customHeight="1" x14ac:dyDescent="0.2">
      <c r="A23" s="277">
        <v>21</v>
      </c>
      <c r="B23" s="278" t="s">
        <v>417</v>
      </c>
      <c r="C23" s="312">
        <v>462.77</v>
      </c>
      <c r="D23" s="312">
        <v>50922.68</v>
      </c>
      <c r="E23" s="314">
        <v>1.0900000000000001</v>
      </c>
      <c r="F23" s="314">
        <v>1.05</v>
      </c>
      <c r="G23" s="314">
        <v>0.04</v>
      </c>
      <c r="H23" s="314">
        <v>1.99</v>
      </c>
      <c r="I23" s="314">
        <v>19.010000000000002</v>
      </c>
      <c r="J23" s="314">
        <v>0.03</v>
      </c>
    </row>
    <row r="24" spans="1:10" s="265" customFormat="1" ht="15" customHeight="1" x14ac:dyDescent="0.2">
      <c r="A24" s="277">
        <v>22</v>
      </c>
      <c r="B24" s="278" t="s">
        <v>418</v>
      </c>
      <c r="C24" s="312">
        <v>491.68</v>
      </c>
      <c r="D24" s="312">
        <v>48831.42</v>
      </c>
      <c r="E24" s="314">
        <v>1.04</v>
      </c>
      <c r="F24" s="314">
        <v>0.7</v>
      </c>
      <c r="G24" s="314">
        <v>0.09</v>
      </c>
      <c r="H24" s="314">
        <v>1.19</v>
      </c>
      <c r="I24" s="314">
        <v>-6.53</v>
      </c>
      <c r="J24" s="314">
        <v>0.02</v>
      </c>
    </row>
    <row r="25" spans="1:10" s="265" customFormat="1" ht="27" customHeight="1" x14ac:dyDescent="0.2">
      <c r="A25" s="277">
        <v>23</v>
      </c>
      <c r="B25" s="278" t="s">
        <v>419</v>
      </c>
      <c r="C25" s="312">
        <v>6290.14</v>
      </c>
      <c r="D25" s="312">
        <v>48232.79</v>
      </c>
      <c r="E25" s="314">
        <v>1.03</v>
      </c>
      <c r="F25" s="314">
        <v>1.01</v>
      </c>
      <c r="G25" s="314">
        <v>0.18</v>
      </c>
      <c r="H25" s="314">
        <v>2.04</v>
      </c>
      <c r="I25" s="314">
        <v>7.47</v>
      </c>
      <c r="J25" s="314">
        <v>0.03</v>
      </c>
    </row>
    <row r="26" spans="1:10" s="265" customFormat="1" ht="15" customHeight="1" x14ac:dyDescent="0.2">
      <c r="A26" s="277">
        <v>24</v>
      </c>
      <c r="B26" s="278" t="s">
        <v>420</v>
      </c>
      <c r="C26" s="312">
        <v>88.78</v>
      </c>
      <c r="D26" s="312">
        <v>47644.78</v>
      </c>
      <c r="E26" s="314">
        <v>1.02</v>
      </c>
      <c r="F26" s="314">
        <v>0.89</v>
      </c>
      <c r="G26" s="314">
        <v>0.17</v>
      </c>
      <c r="H26" s="314">
        <v>0.89</v>
      </c>
      <c r="I26" s="314">
        <v>11.38</v>
      </c>
      <c r="J26" s="314">
        <v>0.02</v>
      </c>
    </row>
    <row r="27" spans="1:10" s="265" customFormat="1" ht="39" customHeight="1" x14ac:dyDescent="0.2">
      <c r="A27" s="277">
        <v>25</v>
      </c>
      <c r="B27" s="278" t="s">
        <v>421</v>
      </c>
      <c r="C27" s="312">
        <v>5231.59</v>
      </c>
      <c r="D27" s="312">
        <v>45554.59</v>
      </c>
      <c r="E27" s="314">
        <v>0.97</v>
      </c>
      <c r="F27" s="314">
        <v>0.6</v>
      </c>
      <c r="G27" s="314">
        <v>0.12</v>
      </c>
      <c r="H27" s="314">
        <v>1.63</v>
      </c>
      <c r="I27" s="314">
        <v>8.23</v>
      </c>
      <c r="J27" s="314">
        <v>0.03</v>
      </c>
    </row>
    <row r="28" spans="1:10" s="265" customFormat="1" ht="15" customHeight="1" x14ac:dyDescent="0.2">
      <c r="A28" s="277">
        <v>26</v>
      </c>
      <c r="B28" s="278" t="s">
        <v>422</v>
      </c>
      <c r="C28" s="312">
        <v>1998.7</v>
      </c>
      <c r="D28" s="312">
        <v>43940.62</v>
      </c>
      <c r="E28" s="314">
        <v>0.94</v>
      </c>
      <c r="F28" s="314">
        <v>1.17</v>
      </c>
      <c r="G28" s="314">
        <v>0.18</v>
      </c>
      <c r="H28" s="314">
        <v>2.76</v>
      </c>
      <c r="I28" s="314">
        <v>4.7300000000000004</v>
      </c>
      <c r="J28" s="314">
        <v>0.03</v>
      </c>
    </row>
    <row r="29" spans="1:10" s="265" customFormat="1" ht="15" customHeight="1" x14ac:dyDescent="0.2">
      <c r="A29" s="277">
        <v>27</v>
      </c>
      <c r="B29" s="278" t="s">
        <v>423</v>
      </c>
      <c r="C29" s="312">
        <v>79.569999999999993</v>
      </c>
      <c r="D29" s="312">
        <v>42554.25</v>
      </c>
      <c r="E29" s="314">
        <v>0.91</v>
      </c>
      <c r="F29" s="314">
        <v>1.45</v>
      </c>
      <c r="G29" s="314">
        <v>0.34</v>
      </c>
      <c r="H29" s="314">
        <v>0.82</v>
      </c>
      <c r="I29" s="314">
        <v>8.89</v>
      </c>
      <c r="J29" s="314">
        <v>0.02</v>
      </c>
    </row>
    <row r="30" spans="1:10" s="265" customFormat="1" ht="15" customHeight="1" x14ac:dyDescent="0.2">
      <c r="A30" s="277">
        <v>28</v>
      </c>
      <c r="B30" s="278" t="s">
        <v>424</v>
      </c>
      <c r="C30" s="312">
        <v>274.64</v>
      </c>
      <c r="D30" s="312">
        <v>41728.14</v>
      </c>
      <c r="E30" s="314">
        <v>0.89</v>
      </c>
      <c r="F30" s="314">
        <v>1.1499999999999999</v>
      </c>
      <c r="G30" s="314">
        <v>0.28999999999999998</v>
      </c>
      <c r="H30" s="314">
        <v>1.38</v>
      </c>
      <c r="I30" s="314">
        <v>4.49</v>
      </c>
      <c r="J30" s="314">
        <v>0.02</v>
      </c>
    </row>
    <row r="31" spans="1:10" s="265" customFormat="1" ht="15" customHeight="1" x14ac:dyDescent="0.2">
      <c r="A31" s="277">
        <v>29</v>
      </c>
      <c r="B31" s="278" t="s">
        <v>425</v>
      </c>
      <c r="C31" s="312">
        <v>6207.41</v>
      </c>
      <c r="D31" s="312">
        <v>39754.730000000003</v>
      </c>
      <c r="E31" s="314">
        <v>0.85</v>
      </c>
      <c r="F31" s="314">
        <v>0.51</v>
      </c>
      <c r="G31" s="314">
        <v>0.06</v>
      </c>
      <c r="H31" s="314">
        <v>1.84</v>
      </c>
      <c r="I31" s="314">
        <v>3.9</v>
      </c>
      <c r="J31" s="314">
        <v>0.03</v>
      </c>
    </row>
    <row r="32" spans="1:10" s="265" customFormat="1" ht="15" customHeight="1" x14ac:dyDescent="0.2">
      <c r="A32" s="277">
        <v>30</v>
      </c>
      <c r="B32" s="278" t="s">
        <v>426</v>
      </c>
      <c r="C32" s="312">
        <v>289.37</v>
      </c>
      <c r="D32" s="312">
        <v>39591.69</v>
      </c>
      <c r="E32" s="314">
        <v>0.85</v>
      </c>
      <c r="F32" s="314">
        <v>0.87</v>
      </c>
      <c r="G32" s="314">
        <v>0.18</v>
      </c>
      <c r="H32" s="314">
        <v>0.87</v>
      </c>
      <c r="I32" s="314">
        <v>0.36</v>
      </c>
      <c r="J32" s="314">
        <v>0.02</v>
      </c>
    </row>
    <row r="33" spans="1:10" s="265" customFormat="1" ht="15" customHeight="1" x14ac:dyDescent="0.2">
      <c r="A33" s="277">
        <v>31</v>
      </c>
      <c r="B33" s="278" t="s">
        <v>427</v>
      </c>
      <c r="C33" s="312">
        <v>1126.6099999999999</v>
      </c>
      <c r="D33" s="312">
        <v>39326.730000000003</v>
      </c>
      <c r="E33" s="314">
        <v>0.84</v>
      </c>
      <c r="F33" s="314">
        <v>1.3</v>
      </c>
      <c r="G33" s="314">
        <v>0.27</v>
      </c>
      <c r="H33" s="314">
        <v>1.67</v>
      </c>
      <c r="I33" s="314">
        <v>4.1100000000000003</v>
      </c>
      <c r="J33" s="314">
        <v>0.02</v>
      </c>
    </row>
    <row r="34" spans="1:10" s="265" customFormat="1" ht="15" customHeight="1" x14ac:dyDescent="0.2">
      <c r="A34" s="277">
        <v>32</v>
      </c>
      <c r="B34" s="278" t="s">
        <v>428</v>
      </c>
      <c r="C34" s="312">
        <v>1206.78</v>
      </c>
      <c r="D34" s="312">
        <v>38435.79</v>
      </c>
      <c r="E34" s="314">
        <v>0.82</v>
      </c>
      <c r="F34" s="314">
        <v>0.49</v>
      </c>
      <c r="G34" s="314">
        <v>7.0000000000000007E-2</v>
      </c>
      <c r="H34" s="314">
        <v>1.78</v>
      </c>
      <c r="I34" s="314">
        <v>-7.91</v>
      </c>
      <c r="J34" s="314">
        <v>0.02</v>
      </c>
    </row>
    <row r="35" spans="1:10" s="265" customFormat="1" ht="27" customHeight="1" x14ac:dyDescent="0.2">
      <c r="A35" s="277">
        <v>33</v>
      </c>
      <c r="B35" s="278" t="s">
        <v>429</v>
      </c>
      <c r="C35" s="312">
        <v>9414.16</v>
      </c>
      <c r="D35" s="312">
        <v>38327.39</v>
      </c>
      <c r="E35" s="314">
        <v>0.82</v>
      </c>
      <c r="F35" s="314">
        <v>1.35</v>
      </c>
      <c r="G35" s="314">
        <v>0.18</v>
      </c>
      <c r="H35" s="314">
        <v>2.4</v>
      </c>
      <c r="I35" s="314">
        <v>12.62</v>
      </c>
      <c r="J35" s="314">
        <v>0.03</v>
      </c>
    </row>
    <row r="36" spans="1:10" s="265" customFormat="1" ht="27" customHeight="1" x14ac:dyDescent="0.2">
      <c r="A36" s="277">
        <v>34</v>
      </c>
      <c r="B36" s="278" t="s">
        <v>430</v>
      </c>
      <c r="C36" s="312">
        <v>24.03</v>
      </c>
      <c r="D36" s="312">
        <v>36333.599999999999</v>
      </c>
      <c r="E36" s="314">
        <v>0.78</v>
      </c>
      <c r="F36" s="314">
        <v>0.88</v>
      </c>
      <c r="G36" s="314">
        <v>0.23</v>
      </c>
      <c r="H36" s="314">
        <v>1.03</v>
      </c>
      <c r="I36" s="314">
        <v>0.94</v>
      </c>
      <c r="J36" s="314">
        <v>0.02</v>
      </c>
    </row>
    <row r="37" spans="1:10" s="265" customFormat="1" ht="15" customHeight="1" x14ac:dyDescent="0.2">
      <c r="A37" s="277">
        <v>35</v>
      </c>
      <c r="B37" s="278" t="s">
        <v>431</v>
      </c>
      <c r="C37" s="312">
        <v>101.87</v>
      </c>
      <c r="D37" s="312">
        <v>35163.589999999997</v>
      </c>
      <c r="E37" s="314">
        <v>0.75</v>
      </c>
      <c r="F37" s="314">
        <v>1.28</v>
      </c>
      <c r="G37" s="314">
        <v>0.22</v>
      </c>
      <c r="H37" s="314">
        <v>1.37</v>
      </c>
      <c r="I37" s="314">
        <v>9.26</v>
      </c>
      <c r="J37" s="314">
        <v>0.02</v>
      </c>
    </row>
    <row r="38" spans="1:10" s="265" customFormat="1" ht="15" customHeight="1" x14ac:dyDescent="0.2">
      <c r="A38" s="277">
        <v>36</v>
      </c>
      <c r="B38" s="278" t="s">
        <v>432</v>
      </c>
      <c r="C38" s="312">
        <v>131.52000000000001</v>
      </c>
      <c r="D38" s="312">
        <v>33851.19</v>
      </c>
      <c r="E38" s="314">
        <v>0.72</v>
      </c>
      <c r="F38" s="314">
        <v>1.21</v>
      </c>
      <c r="G38" s="314">
        <v>0.27</v>
      </c>
      <c r="H38" s="314">
        <v>1.4</v>
      </c>
      <c r="I38" s="314">
        <v>10.41</v>
      </c>
      <c r="J38" s="314">
        <v>0.02</v>
      </c>
    </row>
    <row r="39" spans="1:10" s="265" customFormat="1" ht="27" customHeight="1" x14ac:dyDescent="0.2">
      <c r="A39" s="277">
        <v>37</v>
      </c>
      <c r="B39" s="278" t="s">
        <v>433</v>
      </c>
      <c r="C39" s="312">
        <v>83.03</v>
      </c>
      <c r="D39" s="312">
        <v>33703.42</v>
      </c>
      <c r="E39" s="314">
        <v>0.72</v>
      </c>
      <c r="F39" s="314">
        <v>0.51</v>
      </c>
      <c r="G39" s="314">
        <v>0.04</v>
      </c>
      <c r="H39" s="314">
        <v>1.1499999999999999</v>
      </c>
      <c r="I39" s="314">
        <v>5.65</v>
      </c>
      <c r="J39" s="314">
        <v>0.02</v>
      </c>
    </row>
    <row r="40" spans="1:10" s="265" customFormat="1" ht="15" customHeight="1" x14ac:dyDescent="0.2">
      <c r="A40" s="277">
        <v>38</v>
      </c>
      <c r="B40" s="278" t="s">
        <v>434</v>
      </c>
      <c r="C40" s="312">
        <v>371.72</v>
      </c>
      <c r="D40" s="312">
        <v>33596.21</v>
      </c>
      <c r="E40" s="314">
        <v>0.72</v>
      </c>
      <c r="F40" s="314">
        <v>1.35</v>
      </c>
      <c r="G40" s="314">
        <v>0.17</v>
      </c>
      <c r="H40" s="314">
        <v>2.0299999999999998</v>
      </c>
      <c r="I40" s="314">
        <v>8.8800000000000008</v>
      </c>
      <c r="J40" s="314">
        <v>0.03</v>
      </c>
    </row>
    <row r="41" spans="1:10" s="265" customFormat="1" ht="15" customHeight="1" x14ac:dyDescent="0.2">
      <c r="A41" s="277">
        <v>39</v>
      </c>
      <c r="B41" s="278" t="s">
        <v>435</v>
      </c>
      <c r="C41" s="312">
        <v>39.950000000000003</v>
      </c>
      <c r="D41" s="312">
        <v>33145.629999999997</v>
      </c>
      <c r="E41" s="314">
        <v>0.71</v>
      </c>
      <c r="F41" s="314">
        <v>0.93</v>
      </c>
      <c r="G41" s="314">
        <v>0.17</v>
      </c>
      <c r="H41" s="314">
        <v>1.65</v>
      </c>
      <c r="I41" s="314">
        <v>-2.85</v>
      </c>
      <c r="J41" s="314">
        <v>0.02</v>
      </c>
    </row>
    <row r="42" spans="1:10" s="265" customFormat="1" ht="15" customHeight="1" x14ac:dyDescent="0.2">
      <c r="A42" s="277">
        <v>40</v>
      </c>
      <c r="B42" s="278" t="s">
        <v>436</v>
      </c>
      <c r="C42" s="312">
        <v>577.47</v>
      </c>
      <c r="D42" s="312">
        <v>31696.59</v>
      </c>
      <c r="E42" s="314">
        <v>0.68</v>
      </c>
      <c r="F42" s="314">
        <v>1.45</v>
      </c>
      <c r="G42" s="314">
        <v>0.2</v>
      </c>
      <c r="H42" s="314">
        <v>2.5099999999999998</v>
      </c>
      <c r="I42" s="314">
        <v>-1.8</v>
      </c>
      <c r="J42" s="314">
        <v>0.03</v>
      </c>
    </row>
    <row r="43" spans="1:10" s="265" customFormat="1" ht="15" customHeight="1" x14ac:dyDescent="0.2">
      <c r="A43" s="277">
        <v>41</v>
      </c>
      <c r="B43" s="278" t="s">
        <v>437</v>
      </c>
      <c r="C43" s="312">
        <v>2255.0700000000002</v>
      </c>
      <c r="D43" s="312">
        <v>31359.02</v>
      </c>
      <c r="E43" s="314">
        <v>0.67</v>
      </c>
      <c r="F43" s="314">
        <v>0.85</v>
      </c>
      <c r="G43" s="314">
        <v>0.12</v>
      </c>
      <c r="H43" s="314">
        <v>1.27</v>
      </c>
      <c r="I43" s="314">
        <v>1.65</v>
      </c>
      <c r="J43" s="314">
        <v>0.02</v>
      </c>
    </row>
    <row r="44" spans="1:10" s="265" customFormat="1" ht="27" customHeight="1" x14ac:dyDescent="0.2">
      <c r="A44" s="277">
        <v>42</v>
      </c>
      <c r="B44" s="278" t="s">
        <v>438</v>
      </c>
      <c r="C44" s="312">
        <v>2169.25</v>
      </c>
      <c r="D44" s="312">
        <v>31045.91</v>
      </c>
      <c r="E44" s="314">
        <v>0.66</v>
      </c>
      <c r="F44" s="314">
        <v>1.54</v>
      </c>
      <c r="G44" s="314">
        <v>0.2</v>
      </c>
      <c r="H44" s="314">
        <v>2.34</v>
      </c>
      <c r="I44" s="314">
        <v>17.78</v>
      </c>
      <c r="J44" s="314">
        <v>0.02</v>
      </c>
    </row>
    <row r="45" spans="1:10" s="265" customFormat="1" ht="27" customHeight="1" x14ac:dyDescent="0.2">
      <c r="A45" s="277">
        <v>43</v>
      </c>
      <c r="B45" s="278" t="s">
        <v>439</v>
      </c>
      <c r="C45" s="312">
        <v>224.55</v>
      </c>
      <c r="D45" s="312">
        <v>29994.67</v>
      </c>
      <c r="E45" s="314">
        <v>0.64</v>
      </c>
      <c r="F45" s="314">
        <v>1.43</v>
      </c>
      <c r="G45" s="314">
        <v>0.23</v>
      </c>
      <c r="H45" s="314">
        <v>1.55</v>
      </c>
      <c r="I45" s="314">
        <v>4.9800000000000004</v>
      </c>
      <c r="J45" s="314">
        <v>0.02</v>
      </c>
    </row>
    <row r="46" spans="1:10" s="265" customFormat="1" ht="39" customHeight="1" x14ac:dyDescent="0.2">
      <c r="A46" s="277">
        <v>44</v>
      </c>
      <c r="B46" s="278" t="s">
        <v>440</v>
      </c>
      <c r="C46" s="312">
        <v>414.19</v>
      </c>
      <c r="D46" s="312">
        <v>29758.959999999999</v>
      </c>
      <c r="E46" s="314">
        <v>0.64</v>
      </c>
      <c r="F46" s="314">
        <v>1.39</v>
      </c>
      <c r="G46" s="314">
        <v>0.25</v>
      </c>
      <c r="H46" s="314">
        <v>1.47</v>
      </c>
      <c r="I46" s="314">
        <v>16.05</v>
      </c>
      <c r="J46" s="314">
        <v>0.03</v>
      </c>
    </row>
    <row r="47" spans="1:10" s="265" customFormat="1" ht="15" customHeight="1" x14ac:dyDescent="0.2">
      <c r="A47" s="277">
        <v>45</v>
      </c>
      <c r="B47" s="278" t="s">
        <v>441</v>
      </c>
      <c r="C47" s="312">
        <v>241.72</v>
      </c>
      <c r="D47" s="312">
        <v>29751.39</v>
      </c>
      <c r="E47" s="314">
        <v>0.64</v>
      </c>
      <c r="F47" s="314">
        <v>1.25</v>
      </c>
      <c r="G47" s="314">
        <v>0.25</v>
      </c>
      <c r="H47" s="314">
        <v>1.62</v>
      </c>
      <c r="I47" s="314">
        <v>4.25</v>
      </c>
      <c r="J47" s="314">
        <v>0.02</v>
      </c>
    </row>
    <row r="48" spans="1:10" s="265" customFormat="1" ht="27" customHeight="1" x14ac:dyDescent="0.2">
      <c r="A48" s="277">
        <v>46</v>
      </c>
      <c r="B48" s="278" t="s">
        <v>442</v>
      </c>
      <c r="C48" s="312">
        <v>85.48</v>
      </c>
      <c r="D48" s="312">
        <v>28611.88</v>
      </c>
      <c r="E48" s="314">
        <v>0.61</v>
      </c>
      <c r="F48" s="314">
        <v>2.29</v>
      </c>
      <c r="G48" s="314">
        <v>0.27</v>
      </c>
      <c r="H48" s="314">
        <v>3.48</v>
      </c>
      <c r="I48" s="314">
        <v>30.98</v>
      </c>
      <c r="J48" s="314">
        <v>0.03</v>
      </c>
    </row>
    <row r="49" spans="1:10" s="265" customFormat="1" ht="15" customHeight="1" x14ac:dyDescent="0.2">
      <c r="A49" s="277">
        <v>47</v>
      </c>
      <c r="B49" s="278" t="s">
        <v>443</v>
      </c>
      <c r="C49" s="312">
        <v>27.28</v>
      </c>
      <c r="D49" s="312">
        <v>28590.3</v>
      </c>
      <c r="E49" s="314">
        <v>0.61</v>
      </c>
      <c r="F49" s="314">
        <v>1.44</v>
      </c>
      <c r="G49" s="314">
        <v>0.27</v>
      </c>
      <c r="H49" s="314">
        <v>2.48</v>
      </c>
      <c r="I49" s="314">
        <v>3.42</v>
      </c>
      <c r="J49" s="314">
        <v>0.02</v>
      </c>
    </row>
    <row r="50" spans="1:10" s="265" customFormat="1" ht="15" customHeight="1" x14ac:dyDescent="0.2">
      <c r="A50" s="277">
        <v>48</v>
      </c>
      <c r="B50" s="278" t="s">
        <v>444</v>
      </c>
      <c r="C50" s="312">
        <v>161.13999999999999</v>
      </c>
      <c r="D50" s="312">
        <v>26846.46</v>
      </c>
      <c r="E50" s="314">
        <v>0.56999999999999995</v>
      </c>
      <c r="F50" s="314">
        <v>0.76</v>
      </c>
      <c r="G50" s="314">
        <v>0.14000000000000001</v>
      </c>
      <c r="H50" s="314">
        <v>0.5</v>
      </c>
      <c r="I50" s="314">
        <v>-4.63</v>
      </c>
      <c r="J50" s="314">
        <v>0.02</v>
      </c>
    </row>
    <row r="51" spans="1:10" s="265" customFormat="1" ht="15" customHeight="1" x14ac:dyDescent="0.2">
      <c r="A51" s="277">
        <v>49</v>
      </c>
      <c r="B51" s="278" t="s">
        <v>445</v>
      </c>
      <c r="C51" s="312">
        <v>1849.61</v>
      </c>
      <c r="D51" s="312">
        <v>26664.69</v>
      </c>
      <c r="E51" s="314">
        <v>0.56999999999999995</v>
      </c>
      <c r="F51" s="314">
        <v>0.19</v>
      </c>
      <c r="G51" s="314">
        <v>0.01</v>
      </c>
      <c r="H51" s="314">
        <v>1.83</v>
      </c>
      <c r="I51" s="314">
        <v>6.73</v>
      </c>
      <c r="J51" s="314">
        <v>0.03</v>
      </c>
    </row>
    <row r="52" spans="1:10" s="265" customFormat="1" ht="27" customHeight="1" x14ac:dyDescent="0.2">
      <c r="A52" s="277">
        <v>50</v>
      </c>
      <c r="B52" s="278" t="s">
        <v>446</v>
      </c>
      <c r="C52" s="312">
        <v>96.05</v>
      </c>
      <c r="D52" s="312">
        <v>24817.49</v>
      </c>
      <c r="E52" s="314">
        <v>0.53</v>
      </c>
      <c r="F52" s="314">
        <v>0.79</v>
      </c>
      <c r="G52" s="314">
        <v>0.05</v>
      </c>
      <c r="H52" s="314">
        <v>2.5299999999999998</v>
      </c>
      <c r="I52" s="314">
        <v>-4.54</v>
      </c>
      <c r="J52" s="314">
        <v>0.03</v>
      </c>
    </row>
    <row r="53" spans="1:10" s="265" customFormat="1" ht="24.75" customHeight="1" x14ac:dyDescent="0.2">
      <c r="A53" s="373" t="s">
        <v>447</v>
      </c>
      <c r="B53" s="373"/>
      <c r="C53" s="373"/>
      <c r="D53" s="373"/>
      <c r="E53" s="373"/>
      <c r="F53" s="373"/>
      <c r="G53" s="373"/>
      <c r="H53" s="373"/>
      <c r="I53" s="373"/>
      <c r="J53" s="373"/>
    </row>
    <row r="54" spans="1:10" s="265" customFormat="1" ht="24" customHeight="1" x14ac:dyDescent="0.2">
      <c r="A54" s="373" t="s">
        <v>389</v>
      </c>
      <c r="B54" s="373"/>
      <c r="C54" s="373"/>
      <c r="D54" s="373"/>
      <c r="E54" s="373"/>
      <c r="F54" s="373"/>
      <c r="G54" s="373"/>
      <c r="H54" s="373"/>
      <c r="I54" s="373"/>
      <c r="J54" s="373"/>
    </row>
    <row r="55" spans="1:10" s="265" customFormat="1" ht="13.5" customHeight="1" x14ac:dyDescent="0.2">
      <c r="A55" s="373" t="s">
        <v>448</v>
      </c>
      <c r="B55" s="373"/>
      <c r="C55" s="373"/>
      <c r="D55" s="373"/>
      <c r="E55" s="373"/>
      <c r="F55" s="373"/>
      <c r="G55" s="373"/>
      <c r="H55" s="373"/>
      <c r="I55" s="373"/>
      <c r="J55" s="373"/>
    </row>
    <row r="56" spans="1:10" s="265" customFormat="1" ht="24" customHeight="1" x14ac:dyDescent="0.2">
      <c r="A56" s="373" t="s">
        <v>391</v>
      </c>
      <c r="B56" s="373"/>
      <c r="C56" s="373"/>
      <c r="D56" s="373"/>
      <c r="E56" s="373"/>
      <c r="F56" s="373"/>
      <c r="G56" s="373"/>
      <c r="H56" s="373"/>
      <c r="I56" s="373"/>
      <c r="J56" s="373"/>
    </row>
    <row r="57" spans="1:10" s="265" customFormat="1" ht="13.5" customHeight="1" x14ac:dyDescent="0.2">
      <c r="A57" s="373" t="s">
        <v>449</v>
      </c>
      <c r="B57" s="373"/>
      <c r="C57" s="373"/>
      <c r="D57" s="373"/>
      <c r="E57" s="373"/>
      <c r="F57" s="373"/>
      <c r="G57" s="373"/>
      <c r="H57" s="373"/>
      <c r="I57" s="373"/>
      <c r="J57" s="373"/>
    </row>
    <row r="58" spans="1:10" s="265" customFormat="1" ht="13.5" customHeight="1" x14ac:dyDescent="0.2">
      <c r="A58" s="373" t="s">
        <v>450</v>
      </c>
      <c r="B58" s="373"/>
      <c r="C58" s="373"/>
      <c r="D58" s="373"/>
      <c r="E58" s="373"/>
      <c r="F58" s="373"/>
      <c r="G58" s="373"/>
      <c r="H58" s="373"/>
      <c r="I58" s="373"/>
      <c r="J58" s="373"/>
    </row>
    <row r="59" spans="1:10" s="265" customFormat="1" ht="26.1" customHeight="1" x14ac:dyDescent="0.2"/>
  </sheetData>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rgb="FFFFFF00"/>
    <pageSetUpPr fitToPage="1"/>
  </sheetPr>
  <dimension ref="A1:K49"/>
  <sheetViews>
    <sheetView workbookViewId="0">
      <selection sqref="A1:B1"/>
    </sheetView>
  </sheetViews>
  <sheetFormatPr defaultRowHeight="12.75" x14ac:dyDescent="0.2"/>
  <cols>
    <col min="1" max="1" width="6.28515625" style="262" bestFit="1" customWidth="1"/>
    <col min="2" max="2" width="40.28515625" style="262" bestFit="1" customWidth="1"/>
    <col min="3" max="3" width="13.28515625" style="262" bestFit="1" customWidth="1"/>
    <col min="4" max="4" width="13" style="262" bestFit="1" customWidth="1"/>
    <col min="5" max="5" width="10.42578125" style="262" bestFit="1" customWidth="1"/>
    <col min="6" max="6" width="7.5703125" style="262" bestFit="1" customWidth="1"/>
    <col min="7" max="7" width="6.140625" style="262" bestFit="1" customWidth="1"/>
    <col min="8" max="8" width="10.28515625" style="262" bestFit="1" customWidth="1"/>
    <col min="9" max="9" width="12.5703125" style="262" bestFit="1" customWidth="1"/>
    <col min="10" max="10" width="12.140625" style="262" bestFit="1" customWidth="1"/>
    <col min="11" max="11" width="14.28515625" style="262" bestFit="1" customWidth="1"/>
    <col min="12" max="12" width="4.7109375" style="262" bestFit="1" customWidth="1"/>
    <col min="13" max="256" width="9.140625" style="262"/>
    <col min="257" max="257" width="6.28515625" style="262" bestFit="1" customWidth="1"/>
    <col min="258" max="258" width="40.28515625" style="262" bestFit="1" customWidth="1"/>
    <col min="259" max="259" width="13.28515625" style="262" bestFit="1" customWidth="1"/>
    <col min="260" max="260" width="13" style="262" bestFit="1" customWidth="1"/>
    <col min="261" max="261" width="10.42578125" style="262" bestFit="1" customWidth="1"/>
    <col min="262" max="262" width="7.5703125" style="262" bestFit="1" customWidth="1"/>
    <col min="263" max="263" width="6.140625" style="262" bestFit="1" customWidth="1"/>
    <col min="264" max="264" width="10.28515625" style="262" bestFit="1" customWidth="1"/>
    <col min="265" max="265" width="12.5703125" style="262" bestFit="1" customWidth="1"/>
    <col min="266" max="266" width="12.140625" style="262" bestFit="1" customWidth="1"/>
    <col min="267" max="267" width="14.28515625" style="262" bestFit="1" customWidth="1"/>
    <col min="268" max="268" width="4.7109375" style="262" bestFit="1" customWidth="1"/>
    <col min="269" max="512" width="9.140625" style="262"/>
    <col min="513" max="513" width="6.28515625" style="262" bestFit="1" customWidth="1"/>
    <col min="514" max="514" width="40.28515625" style="262" bestFit="1" customWidth="1"/>
    <col min="515" max="515" width="13.28515625" style="262" bestFit="1" customWidth="1"/>
    <col min="516" max="516" width="13" style="262" bestFit="1" customWidth="1"/>
    <col min="517" max="517" width="10.42578125" style="262" bestFit="1" customWidth="1"/>
    <col min="518" max="518" width="7.5703125" style="262" bestFit="1" customWidth="1"/>
    <col min="519" max="519" width="6.140625" style="262" bestFit="1" customWidth="1"/>
    <col min="520" max="520" width="10.28515625" style="262" bestFit="1" customWidth="1"/>
    <col min="521" max="521" width="12.5703125" style="262" bestFit="1" customWidth="1"/>
    <col min="522" max="522" width="12.140625" style="262" bestFit="1" customWidth="1"/>
    <col min="523" max="523" width="14.28515625" style="262" bestFit="1" customWidth="1"/>
    <col min="524" max="524" width="4.7109375" style="262" bestFit="1" customWidth="1"/>
    <col min="525" max="768" width="9.140625" style="262"/>
    <col min="769" max="769" width="6.28515625" style="262" bestFit="1" customWidth="1"/>
    <col min="770" max="770" width="40.28515625" style="262" bestFit="1" customWidth="1"/>
    <col min="771" max="771" width="13.28515625" style="262" bestFit="1" customWidth="1"/>
    <col min="772" max="772" width="13" style="262" bestFit="1" customWidth="1"/>
    <col min="773" max="773" width="10.42578125" style="262" bestFit="1" customWidth="1"/>
    <col min="774" max="774" width="7.5703125" style="262" bestFit="1" customWidth="1"/>
    <col min="775" max="775" width="6.140625" style="262" bestFit="1" customWidth="1"/>
    <col min="776" max="776" width="10.28515625" style="262" bestFit="1" customWidth="1"/>
    <col min="777" max="777" width="12.5703125" style="262" bestFit="1" customWidth="1"/>
    <col min="778" max="778" width="12.140625" style="262" bestFit="1" customWidth="1"/>
    <col min="779" max="779" width="14.28515625" style="262" bestFit="1" customWidth="1"/>
    <col min="780" max="780" width="4.7109375" style="262" bestFit="1" customWidth="1"/>
    <col min="781" max="1024" width="9.140625" style="262"/>
    <col min="1025" max="1025" width="6.28515625" style="262" bestFit="1" customWidth="1"/>
    <col min="1026" max="1026" width="40.28515625" style="262" bestFit="1" customWidth="1"/>
    <col min="1027" max="1027" width="13.28515625" style="262" bestFit="1" customWidth="1"/>
    <col min="1028" max="1028" width="13" style="262" bestFit="1" customWidth="1"/>
    <col min="1029" max="1029" width="10.42578125" style="262" bestFit="1" customWidth="1"/>
    <col min="1030" max="1030" width="7.5703125" style="262" bestFit="1" customWidth="1"/>
    <col min="1031" max="1031" width="6.140625" style="262" bestFit="1" customWidth="1"/>
    <col min="1032" max="1032" width="10.28515625" style="262" bestFit="1" customWidth="1"/>
    <col min="1033" max="1033" width="12.5703125" style="262" bestFit="1" customWidth="1"/>
    <col min="1034" max="1034" width="12.140625" style="262" bestFit="1" customWidth="1"/>
    <col min="1035" max="1035" width="14.28515625" style="262" bestFit="1" customWidth="1"/>
    <col min="1036" max="1036" width="4.7109375" style="262" bestFit="1" customWidth="1"/>
    <col min="1037" max="1280" width="9.140625" style="262"/>
    <col min="1281" max="1281" width="6.28515625" style="262" bestFit="1" customWidth="1"/>
    <col min="1282" max="1282" width="40.28515625" style="262" bestFit="1" customWidth="1"/>
    <col min="1283" max="1283" width="13.28515625" style="262" bestFit="1" customWidth="1"/>
    <col min="1284" max="1284" width="13" style="262" bestFit="1" customWidth="1"/>
    <col min="1285" max="1285" width="10.42578125" style="262" bestFit="1" customWidth="1"/>
    <col min="1286" max="1286" width="7.5703125" style="262" bestFit="1" customWidth="1"/>
    <col min="1287" max="1287" width="6.140625" style="262" bestFit="1" customWidth="1"/>
    <col min="1288" max="1288" width="10.28515625" style="262" bestFit="1" customWidth="1"/>
    <col min="1289" max="1289" width="12.5703125" style="262" bestFit="1" customWidth="1"/>
    <col min="1290" max="1290" width="12.140625" style="262" bestFit="1" customWidth="1"/>
    <col min="1291" max="1291" width="14.28515625" style="262" bestFit="1" customWidth="1"/>
    <col min="1292" max="1292" width="4.7109375" style="262" bestFit="1" customWidth="1"/>
    <col min="1293" max="1536" width="9.140625" style="262"/>
    <col min="1537" max="1537" width="6.28515625" style="262" bestFit="1" customWidth="1"/>
    <col min="1538" max="1538" width="40.28515625" style="262" bestFit="1" customWidth="1"/>
    <col min="1539" max="1539" width="13.28515625" style="262" bestFit="1" customWidth="1"/>
    <col min="1540" max="1540" width="13" style="262" bestFit="1" customWidth="1"/>
    <col min="1541" max="1541" width="10.42578125" style="262" bestFit="1" customWidth="1"/>
    <col min="1542" max="1542" width="7.5703125" style="262" bestFit="1" customWidth="1"/>
    <col min="1543" max="1543" width="6.140625" style="262" bestFit="1" customWidth="1"/>
    <col min="1544" max="1544" width="10.28515625" style="262" bestFit="1" customWidth="1"/>
    <col min="1545" max="1545" width="12.5703125" style="262" bestFit="1" customWidth="1"/>
    <col min="1546" max="1546" width="12.140625" style="262" bestFit="1" customWidth="1"/>
    <col min="1547" max="1547" width="14.28515625" style="262" bestFit="1" customWidth="1"/>
    <col min="1548" max="1548" width="4.7109375" style="262" bestFit="1" customWidth="1"/>
    <col min="1549" max="1792" width="9.140625" style="262"/>
    <col min="1793" max="1793" width="6.28515625" style="262" bestFit="1" customWidth="1"/>
    <col min="1794" max="1794" width="40.28515625" style="262" bestFit="1" customWidth="1"/>
    <col min="1795" max="1795" width="13.28515625" style="262" bestFit="1" customWidth="1"/>
    <col min="1796" max="1796" width="13" style="262" bestFit="1" customWidth="1"/>
    <col min="1797" max="1797" width="10.42578125" style="262" bestFit="1" customWidth="1"/>
    <col min="1798" max="1798" width="7.5703125" style="262" bestFit="1" customWidth="1"/>
    <col min="1799" max="1799" width="6.140625" style="262" bestFit="1" customWidth="1"/>
    <col min="1800" max="1800" width="10.28515625" style="262" bestFit="1" customWidth="1"/>
    <col min="1801" max="1801" width="12.5703125" style="262" bestFit="1" customWidth="1"/>
    <col min="1802" max="1802" width="12.140625" style="262" bestFit="1" customWidth="1"/>
    <col min="1803" max="1803" width="14.28515625" style="262" bestFit="1" customWidth="1"/>
    <col min="1804" max="1804" width="4.7109375" style="262" bestFit="1" customWidth="1"/>
    <col min="1805" max="2048" width="9.140625" style="262"/>
    <col min="2049" max="2049" width="6.28515625" style="262" bestFit="1" customWidth="1"/>
    <col min="2050" max="2050" width="40.28515625" style="262" bestFit="1" customWidth="1"/>
    <col min="2051" max="2051" width="13.28515625" style="262" bestFit="1" customWidth="1"/>
    <col min="2052" max="2052" width="13" style="262" bestFit="1" customWidth="1"/>
    <col min="2053" max="2053" width="10.42578125" style="262" bestFit="1" customWidth="1"/>
    <col min="2054" max="2054" width="7.5703125" style="262" bestFit="1" customWidth="1"/>
    <col min="2055" max="2055" width="6.140625" style="262" bestFit="1" customWidth="1"/>
    <col min="2056" max="2056" width="10.28515625" style="262" bestFit="1" customWidth="1"/>
    <col min="2057" max="2057" width="12.5703125" style="262" bestFit="1" customWidth="1"/>
    <col min="2058" max="2058" width="12.140625" style="262" bestFit="1" customWidth="1"/>
    <col min="2059" max="2059" width="14.28515625" style="262" bestFit="1" customWidth="1"/>
    <col min="2060" max="2060" width="4.7109375" style="262" bestFit="1" customWidth="1"/>
    <col min="2061" max="2304" width="9.140625" style="262"/>
    <col min="2305" max="2305" width="6.28515625" style="262" bestFit="1" customWidth="1"/>
    <col min="2306" max="2306" width="40.28515625" style="262" bestFit="1" customWidth="1"/>
    <col min="2307" max="2307" width="13.28515625" style="262" bestFit="1" customWidth="1"/>
    <col min="2308" max="2308" width="13" style="262" bestFit="1" customWidth="1"/>
    <col min="2309" max="2309" width="10.42578125" style="262" bestFit="1" customWidth="1"/>
    <col min="2310" max="2310" width="7.5703125" style="262" bestFit="1" customWidth="1"/>
    <col min="2311" max="2311" width="6.140625" style="262" bestFit="1" customWidth="1"/>
    <col min="2312" max="2312" width="10.28515625" style="262" bestFit="1" customWidth="1"/>
    <col min="2313" max="2313" width="12.5703125" style="262" bestFit="1" customWidth="1"/>
    <col min="2314" max="2314" width="12.140625" style="262" bestFit="1" customWidth="1"/>
    <col min="2315" max="2315" width="14.28515625" style="262" bestFit="1" customWidth="1"/>
    <col min="2316" max="2316" width="4.7109375" style="262" bestFit="1" customWidth="1"/>
    <col min="2317" max="2560" width="9.140625" style="262"/>
    <col min="2561" max="2561" width="6.28515625" style="262" bestFit="1" customWidth="1"/>
    <col min="2562" max="2562" width="40.28515625" style="262" bestFit="1" customWidth="1"/>
    <col min="2563" max="2563" width="13.28515625" style="262" bestFit="1" customWidth="1"/>
    <col min="2564" max="2564" width="13" style="262" bestFit="1" customWidth="1"/>
    <col min="2565" max="2565" width="10.42578125" style="262" bestFit="1" customWidth="1"/>
    <col min="2566" max="2566" width="7.5703125" style="262" bestFit="1" customWidth="1"/>
    <col min="2567" max="2567" width="6.140625" style="262" bestFit="1" customWidth="1"/>
    <col min="2568" max="2568" width="10.28515625" style="262" bestFit="1" customWidth="1"/>
    <col min="2569" max="2569" width="12.5703125" style="262" bestFit="1" customWidth="1"/>
    <col min="2570" max="2570" width="12.140625" style="262" bestFit="1" customWidth="1"/>
    <col min="2571" max="2571" width="14.28515625" style="262" bestFit="1" customWidth="1"/>
    <col min="2572" max="2572" width="4.7109375" style="262" bestFit="1" customWidth="1"/>
    <col min="2573" max="2816" width="9.140625" style="262"/>
    <col min="2817" max="2817" width="6.28515625" style="262" bestFit="1" customWidth="1"/>
    <col min="2818" max="2818" width="40.28515625" style="262" bestFit="1" customWidth="1"/>
    <col min="2819" max="2819" width="13.28515625" style="262" bestFit="1" customWidth="1"/>
    <col min="2820" max="2820" width="13" style="262" bestFit="1" customWidth="1"/>
    <col min="2821" max="2821" width="10.42578125" style="262" bestFit="1" customWidth="1"/>
    <col min="2822" max="2822" width="7.5703125" style="262" bestFit="1" customWidth="1"/>
    <col min="2823" max="2823" width="6.140625" style="262" bestFit="1" customWidth="1"/>
    <col min="2824" max="2824" width="10.28515625" style="262" bestFit="1" customWidth="1"/>
    <col min="2825" max="2825" width="12.5703125" style="262" bestFit="1" customWidth="1"/>
    <col min="2826" max="2826" width="12.140625" style="262" bestFit="1" customWidth="1"/>
    <col min="2827" max="2827" width="14.28515625" style="262" bestFit="1" customWidth="1"/>
    <col min="2828" max="2828" width="4.7109375" style="262" bestFit="1" customWidth="1"/>
    <col min="2829" max="3072" width="9.140625" style="262"/>
    <col min="3073" max="3073" width="6.28515625" style="262" bestFit="1" customWidth="1"/>
    <col min="3074" max="3074" width="40.28515625" style="262" bestFit="1" customWidth="1"/>
    <col min="3075" max="3075" width="13.28515625" style="262" bestFit="1" customWidth="1"/>
    <col min="3076" max="3076" width="13" style="262" bestFit="1" customWidth="1"/>
    <col min="3077" max="3077" width="10.42578125" style="262" bestFit="1" customWidth="1"/>
    <col min="3078" max="3078" width="7.5703125" style="262" bestFit="1" customWidth="1"/>
    <col min="3079" max="3079" width="6.140625" style="262" bestFit="1" customWidth="1"/>
    <col min="3080" max="3080" width="10.28515625" style="262" bestFit="1" customWidth="1"/>
    <col min="3081" max="3081" width="12.5703125" style="262" bestFit="1" customWidth="1"/>
    <col min="3082" max="3082" width="12.140625" style="262" bestFit="1" customWidth="1"/>
    <col min="3083" max="3083" width="14.28515625" style="262" bestFit="1" customWidth="1"/>
    <col min="3084" max="3084" width="4.7109375" style="262" bestFit="1" customWidth="1"/>
    <col min="3085" max="3328" width="9.140625" style="262"/>
    <col min="3329" max="3329" width="6.28515625" style="262" bestFit="1" customWidth="1"/>
    <col min="3330" max="3330" width="40.28515625" style="262" bestFit="1" customWidth="1"/>
    <col min="3331" max="3331" width="13.28515625" style="262" bestFit="1" customWidth="1"/>
    <col min="3332" max="3332" width="13" style="262" bestFit="1" customWidth="1"/>
    <col min="3333" max="3333" width="10.42578125" style="262" bestFit="1" customWidth="1"/>
    <col min="3334" max="3334" width="7.5703125" style="262" bestFit="1" customWidth="1"/>
    <col min="3335" max="3335" width="6.140625" style="262" bestFit="1" customWidth="1"/>
    <col min="3336" max="3336" width="10.28515625" style="262" bestFit="1" customWidth="1"/>
    <col min="3337" max="3337" width="12.5703125" style="262" bestFit="1" customWidth="1"/>
    <col min="3338" max="3338" width="12.140625" style="262" bestFit="1" customWidth="1"/>
    <col min="3339" max="3339" width="14.28515625" style="262" bestFit="1" customWidth="1"/>
    <col min="3340" max="3340" width="4.7109375" style="262" bestFit="1" customWidth="1"/>
    <col min="3341" max="3584" width="9.140625" style="262"/>
    <col min="3585" max="3585" width="6.28515625" style="262" bestFit="1" customWidth="1"/>
    <col min="3586" max="3586" width="40.28515625" style="262" bestFit="1" customWidth="1"/>
    <col min="3587" max="3587" width="13.28515625" style="262" bestFit="1" customWidth="1"/>
    <col min="3588" max="3588" width="13" style="262" bestFit="1" customWidth="1"/>
    <col min="3589" max="3589" width="10.42578125" style="262" bestFit="1" customWidth="1"/>
    <col min="3590" max="3590" width="7.5703125" style="262" bestFit="1" customWidth="1"/>
    <col min="3591" max="3591" width="6.140625" style="262" bestFit="1" customWidth="1"/>
    <col min="3592" max="3592" width="10.28515625" style="262" bestFit="1" customWidth="1"/>
    <col min="3593" max="3593" width="12.5703125" style="262" bestFit="1" customWidth="1"/>
    <col min="3594" max="3594" width="12.140625" style="262" bestFit="1" customWidth="1"/>
    <col min="3595" max="3595" width="14.28515625" style="262" bestFit="1" customWidth="1"/>
    <col min="3596" max="3596" width="4.7109375" style="262" bestFit="1" customWidth="1"/>
    <col min="3597" max="3840" width="9.140625" style="262"/>
    <col min="3841" max="3841" width="6.28515625" style="262" bestFit="1" customWidth="1"/>
    <col min="3842" max="3842" width="40.28515625" style="262" bestFit="1" customWidth="1"/>
    <col min="3843" max="3843" width="13.28515625" style="262" bestFit="1" customWidth="1"/>
    <col min="3844" max="3844" width="13" style="262" bestFit="1" customWidth="1"/>
    <col min="3845" max="3845" width="10.42578125" style="262" bestFit="1" customWidth="1"/>
    <col min="3846" max="3846" width="7.5703125" style="262" bestFit="1" customWidth="1"/>
    <col min="3847" max="3847" width="6.140625" style="262" bestFit="1" customWidth="1"/>
    <col min="3848" max="3848" width="10.28515625" style="262" bestFit="1" customWidth="1"/>
    <col min="3849" max="3849" width="12.5703125" style="262" bestFit="1" customWidth="1"/>
    <col min="3850" max="3850" width="12.140625" style="262" bestFit="1" customWidth="1"/>
    <col min="3851" max="3851" width="14.28515625" style="262" bestFit="1" customWidth="1"/>
    <col min="3852" max="3852" width="4.7109375" style="262" bestFit="1" customWidth="1"/>
    <col min="3853" max="4096" width="9.140625" style="262"/>
    <col min="4097" max="4097" width="6.28515625" style="262" bestFit="1" customWidth="1"/>
    <col min="4098" max="4098" width="40.28515625" style="262" bestFit="1" customWidth="1"/>
    <col min="4099" max="4099" width="13.28515625" style="262" bestFit="1" customWidth="1"/>
    <col min="4100" max="4100" width="13" style="262" bestFit="1" customWidth="1"/>
    <col min="4101" max="4101" width="10.42578125" style="262" bestFit="1" customWidth="1"/>
    <col min="4102" max="4102" width="7.5703125" style="262" bestFit="1" customWidth="1"/>
    <col min="4103" max="4103" width="6.140625" style="262" bestFit="1" customWidth="1"/>
    <col min="4104" max="4104" width="10.28515625" style="262" bestFit="1" customWidth="1"/>
    <col min="4105" max="4105" width="12.5703125" style="262" bestFit="1" customWidth="1"/>
    <col min="4106" max="4106" width="12.140625" style="262" bestFit="1" customWidth="1"/>
    <col min="4107" max="4107" width="14.28515625" style="262" bestFit="1" customWidth="1"/>
    <col min="4108" max="4108" width="4.7109375" style="262" bestFit="1" customWidth="1"/>
    <col min="4109" max="4352" width="9.140625" style="262"/>
    <col min="4353" max="4353" width="6.28515625" style="262" bestFit="1" customWidth="1"/>
    <col min="4354" max="4354" width="40.28515625" style="262" bestFit="1" customWidth="1"/>
    <col min="4355" max="4355" width="13.28515625" style="262" bestFit="1" customWidth="1"/>
    <col min="4356" max="4356" width="13" style="262" bestFit="1" customWidth="1"/>
    <col min="4357" max="4357" width="10.42578125" style="262" bestFit="1" customWidth="1"/>
    <col min="4358" max="4358" width="7.5703125" style="262" bestFit="1" customWidth="1"/>
    <col min="4359" max="4359" width="6.140625" style="262" bestFit="1" customWidth="1"/>
    <col min="4360" max="4360" width="10.28515625" style="262" bestFit="1" customWidth="1"/>
    <col min="4361" max="4361" width="12.5703125" style="262" bestFit="1" customWidth="1"/>
    <col min="4362" max="4362" width="12.140625" style="262" bestFit="1" customWidth="1"/>
    <col min="4363" max="4363" width="14.28515625" style="262" bestFit="1" customWidth="1"/>
    <col min="4364" max="4364" width="4.7109375" style="262" bestFit="1" customWidth="1"/>
    <col min="4365" max="4608" width="9.140625" style="262"/>
    <col min="4609" max="4609" width="6.28515625" style="262" bestFit="1" customWidth="1"/>
    <col min="4610" max="4610" width="40.28515625" style="262" bestFit="1" customWidth="1"/>
    <col min="4611" max="4611" width="13.28515625" style="262" bestFit="1" customWidth="1"/>
    <col min="4612" max="4612" width="13" style="262" bestFit="1" customWidth="1"/>
    <col min="4613" max="4613" width="10.42578125" style="262" bestFit="1" customWidth="1"/>
    <col min="4614" max="4614" width="7.5703125" style="262" bestFit="1" customWidth="1"/>
    <col min="4615" max="4615" width="6.140625" style="262" bestFit="1" customWidth="1"/>
    <col min="4616" max="4616" width="10.28515625" style="262" bestFit="1" customWidth="1"/>
    <col min="4617" max="4617" width="12.5703125" style="262" bestFit="1" customWidth="1"/>
    <col min="4618" max="4618" width="12.140625" style="262" bestFit="1" customWidth="1"/>
    <col min="4619" max="4619" width="14.28515625" style="262" bestFit="1" customWidth="1"/>
    <col min="4620" max="4620" width="4.7109375" style="262" bestFit="1" customWidth="1"/>
    <col min="4621" max="4864" width="9.140625" style="262"/>
    <col min="4865" max="4865" width="6.28515625" style="262" bestFit="1" customWidth="1"/>
    <col min="4866" max="4866" width="40.28515625" style="262" bestFit="1" customWidth="1"/>
    <col min="4867" max="4867" width="13.28515625" style="262" bestFit="1" customWidth="1"/>
    <col min="4868" max="4868" width="13" style="262" bestFit="1" customWidth="1"/>
    <col min="4869" max="4869" width="10.42578125" style="262" bestFit="1" customWidth="1"/>
    <col min="4870" max="4870" width="7.5703125" style="262" bestFit="1" customWidth="1"/>
    <col min="4871" max="4871" width="6.140625" style="262" bestFit="1" customWidth="1"/>
    <col min="4872" max="4872" width="10.28515625" style="262" bestFit="1" customWidth="1"/>
    <col min="4873" max="4873" width="12.5703125" style="262" bestFit="1" customWidth="1"/>
    <col min="4874" max="4874" width="12.140625" style="262" bestFit="1" customWidth="1"/>
    <col min="4875" max="4875" width="14.28515625" style="262" bestFit="1" customWidth="1"/>
    <col min="4876" max="4876" width="4.7109375" style="262" bestFit="1" customWidth="1"/>
    <col min="4877" max="5120" width="9.140625" style="262"/>
    <col min="5121" max="5121" width="6.28515625" style="262" bestFit="1" customWidth="1"/>
    <col min="5122" max="5122" width="40.28515625" style="262" bestFit="1" customWidth="1"/>
    <col min="5123" max="5123" width="13.28515625" style="262" bestFit="1" customWidth="1"/>
    <col min="5124" max="5124" width="13" style="262" bestFit="1" customWidth="1"/>
    <col min="5125" max="5125" width="10.42578125" style="262" bestFit="1" customWidth="1"/>
    <col min="5126" max="5126" width="7.5703125" style="262" bestFit="1" customWidth="1"/>
    <col min="5127" max="5127" width="6.140625" style="262" bestFit="1" customWidth="1"/>
    <col min="5128" max="5128" width="10.28515625" style="262" bestFit="1" customWidth="1"/>
    <col min="5129" max="5129" width="12.5703125" style="262" bestFit="1" customWidth="1"/>
    <col min="5130" max="5130" width="12.140625" style="262" bestFit="1" customWidth="1"/>
    <col min="5131" max="5131" width="14.28515625" style="262" bestFit="1" customWidth="1"/>
    <col min="5132" max="5132" width="4.7109375" style="262" bestFit="1" customWidth="1"/>
    <col min="5133" max="5376" width="9.140625" style="262"/>
    <col min="5377" max="5377" width="6.28515625" style="262" bestFit="1" customWidth="1"/>
    <col min="5378" max="5378" width="40.28515625" style="262" bestFit="1" customWidth="1"/>
    <col min="5379" max="5379" width="13.28515625" style="262" bestFit="1" customWidth="1"/>
    <col min="5380" max="5380" width="13" style="262" bestFit="1" customWidth="1"/>
    <col min="5381" max="5381" width="10.42578125" style="262" bestFit="1" customWidth="1"/>
    <col min="5382" max="5382" width="7.5703125" style="262" bestFit="1" customWidth="1"/>
    <col min="5383" max="5383" width="6.140625" style="262" bestFit="1" customWidth="1"/>
    <col min="5384" max="5384" width="10.28515625" style="262" bestFit="1" customWidth="1"/>
    <col min="5385" max="5385" width="12.5703125" style="262" bestFit="1" customWidth="1"/>
    <col min="5386" max="5386" width="12.140625" style="262" bestFit="1" customWidth="1"/>
    <col min="5387" max="5387" width="14.28515625" style="262" bestFit="1" customWidth="1"/>
    <col min="5388" max="5388" width="4.7109375" style="262" bestFit="1" customWidth="1"/>
    <col min="5389" max="5632" width="9.140625" style="262"/>
    <col min="5633" max="5633" width="6.28515625" style="262" bestFit="1" customWidth="1"/>
    <col min="5634" max="5634" width="40.28515625" style="262" bestFit="1" customWidth="1"/>
    <col min="5635" max="5635" width="13.28515625" style="262" bestFit="1" customWidth="1"/>
    <col min="5636" max="5636" width="13" style="262" bestFit="1" customWidth="1"/>
    <col min="5637" max="5637" width="10.42578125" style="262" bestFit="1" customWidth="1"/>
    <col min="5638" max="5638" width="7.5703125" style="262" bestFit="1" customWidth="1"/>
    <col min="5639" max="5639" width="6.140625" style="262" bestFit="1" customWidth="1"/>
    <col min="5640" max="5640" width="10.28515625" style="262" bestFit="1" customWidth="1"/>
    <col min="5641" max="5641" width="12.5703125" style="262" bestFit="1" customWidth="1"/>
    <col min="5642" max="5642" width="12.140625" style="262" bestFit="1" customWidth="1"/>
    <col min="5643" max="5643" width="14.28515625" style="262" bestFit="1" customWidth="1"/>
    <col min="5644" max="5644" width="4.7109375" style="262" bestFit="1" customWidth="1"/>
    <col min="5645" max="5888" width="9.140625" style="262"/>
    <col min="5889" max="5889" width="6.28515625" style="262" bestFit="1" customWidth="1"/>
    <col min="5890" max="5890" width="40.28515625" style="262" bestFit="1" customWidth="1"/>
    <col min="5891" max="5891" width="13.28515625" style="262" bestFit="1" customWidth="1"/>
    <col min="5892" max="5892" width="13" style="262" bestFit="1" customWidth="1"/>
    <col min="5893" max="5893" width="10.42578125" style="262" bestFit="1" customWidth="1"/>
    <col min="5894" max="5894" width="7.5703125" style="262" bestFit="1" customWidth="1"/>
    <col min="5895" max="5895" width="6.140625" style="262" bestFit="1" customWidth="1"/>
    <col min="5896" max="5896" width="10.28515625" style="262" bestFit="1" customWidth="1"/>
    <col min="5897" max="5897" width="12.5703125" style="262" bestFit="1" customWidth="1"/>
    <col min="5898" max="5898" width="12.140625" style="262" bestFit="1" customWidth="1"/>
    <col min="5899" max="5899" width="14.28515625" style="262" bestFit="1" customWidth="1"/>
    <col min="5900" max="5900" width="4.7109375" style="262" bestFit="1" customWidth="1"/>
    <col min="5901" max="6144" width="9.140625" style="262"/>
    <col min="6145" max="6145" width="6.28515625" style="262" bestFit="1" customWidth="1"/>
    <col min="6146" max="6146" width="40.28515625" style="262" bestFit="1" customWidth="1"/>
    <col min="6147" max="6147" width="13.28515625" style="262" bestFit="1" customWidth="1"/>
    <col min="6148" max="6148" width="13" style="262" bestFit="1" customWidth="1"/>
    <col min="6149" max="6149" width="10.42578125" style="262" bestFit="1" customWidth="1"/>
    <col min="6150" max="6150" width="7.5703125" style="262" bestFit="1" customWidth="1"/>
    <col min="6151" max="6151" width="6.140625" style="262" bestFit="1" customWidth="1"/>
    <col min="6152" max="6152" width="10.28515625" style="262" bestFit="1" customWidth="1"/>
    <col min="6153" max="6153" width="12.5703125" style="262" bestFit="1" customWidth="1"/>
    <col min="6154" max="6154" width="12.140625" style="262" bestFit="1" customWidth="1"/>
    <col min="6155" max="6155" width="14.28515625" style="262" bestFit="1" customWidth="1"/>
    <col min="6156" max="6156" width="4.7109375" style="262" bestFit="1" customWidth="1"/>
    <col min="6157" max="6400" width="9.140625" style="262"/>
    <col min="6401" max="6401" width="6.28515625" style="262" bestFit="1" customWidth="1"/>
    <col min="6402" max="6402" width="40.28515625" style="262" bestFit="1" customWidth="1"/>
    <col min="6403" max="6403" width="13.28515625" style="262" bestFit="1" customWidth="1"/>
    <col min="6404" max="6404" width="13" style="262" bestFit="1" customWidth="1"/>
    <col min="6405" max="6405" width="10.42578125" style="262" bestFit="1" customWidth="1"/>
    <col min="6406" max="6406" width="7.5703125" style="262" bestFit="1" customWidth="1"/>
    <col min="6407" max="6407" width="6.140625" style="262" bestFit="1" customWidth="1"/>
    <col min="6408" max="6408" width="10.28515625" style="262" bestFit="1" customWidth="1"/>
    <col min="6409" max="6409" width="12.5703125" style="262" bestFit="1" customWidth="1"/>
    <col min="6410" max="6410" width="12.140625" style="262" bestFit="1" customWidth="1"/>
    <col min="6411" max="6411" width="14.28515625" style="262" bestFit="1" customWidth="1"/>
    <col min="6412" max="6412" width="4.7109375" style="262" bestFit="1" customWidth="1"/>
    <col min="6413" max="6656" width="9.140625" style="262"/>
    <col min="6657" max="6657" width="6.28515625" style="262" bestFit="1" customWidth="1"/>
    <col min="6658" max="6658" width="40.28515625" style="262" bestFit="1" customWidth="1"/>
    <col min="6659" max="6659" width="13.28515625" style="262" bestFit="1" customWidth="1"/>
    <col min="6660" max="6660" width="13" style="262" bestFit="1" customWidth="1"/>
    <col min="6661" max="6661" width="10.42578125" style="262" bestFit="1" customWidth="1"/>
    <col min="6662" max="6662" width="7.5703125" style="262" bestFit="1" customWidth="1"/>
    <col min="6663" max="6663" width="6.140625" style="262" bestFit="1" customWidth="1"/>
    <col min="6664" max="6664" width="10.28515625" style="262" bestFit="1" customWidth="1"/>
    <col min="6665" max="6665" width="12.5703125" style="262" bestFit="1" customWidth="1"/>
    <col min="6666" max="6666" width="12.140625" style="262" bestFit="1" customWidth="1"/>
    <col min="6667" max="6667" width="14.28515625" style="262" bestFit="1" customWidth="1"/>
    <col min="6668" max="6668" width="4.7109375" style="262" bestFit="1" customWidth="1"/>
    <col min="6669" max="6912" width="9.140625" style="262"/>
    <col min="6913" max="6913" width="6.28515625" style="262" bestFit="1" customWidth="1"/>
    <col min="6914" max="6914" width="40.28515625" style="262" bestFit="1" customWidth="1"/>
    <col min="6915" max="6915" width="13.28515625" style="262" bestFit="1" customWidth="1"/>
    <col min="6916" max="6916" width="13" style="262" bestFit="1" customWidth="1"/>
    <col min="6917" max="6917" width="10.42578125" style="262" bestFit="1" customWidth="1"/>
    <col min="6918" max="6918" width="7.5703125" style="262" bestFit="1" customWidth="1"/>
    <col min="6919" max="6919" width="6.140625" style="262" bestFit="1" customWidth="1"/>
    <col min="6920" max="6920" width="10.28515625" style="262" bestFit="1" customWidth="1"/>
    <col min="6921" max="6921" width="12.5703125" style="262" bestFit="1" customWidth="1"/>
    <col min="6922" max="6922" width="12.140625" style="262" bestFit="1" customWidth="1"/>
    <col min="6923" max="6923" width="14.28515625" style="262" bestFit="1" customWidth="1"/>
    <col min="6924" max="6924" width="4.7109375" style="262" bestFit="1" customWidth="1"/>
    <col min="6925" max="7168" width="9.140625" style="262"/>
    <col min="7169" max="7169" width="6.28515625" style="262" bestFit="1" customWidth="1"/>
    <col min="7170" max="7170" width="40.28515625" style="262" bestFit="1" customWidth="1"/>
    <col min="7171" max="7171" width="13.28515625" style="262" bestFit="1" customWidth="1"/>
    <col min="7172" max="7172" width="13" style="262" bestFit="1" customWidth="1"/>
    <col min="7173" max="7173" width="10.42578125" style="262" bestFit="1" customWidth="1"/>
    <col min="7174" max="7174" width="7.5703125" style="262" bestFit="1" customWidth="1"/>
    <col min="7175" max="7175" width="6.140625" style="262" bestFit="1" customWidth="1"/>
    <col min="7176" max="7176" width="10.28515625" style="262" bestFit="1" customWidth="1"/>
    <col min="7177" max="7177" width="12.5703125" style="262" bestFit="1" customWidth="1"/>
    <col min="7178" max="7178" width="12.140625" style="262" bestFit="1" customWidth="1"/>
    <col min="7179" max="7179" width="14.28515625" style="262" bestFit="1" customWidth="1"/>
    <col min="7180" max="7180" width="4.7109375" style="262" bestFit="1" customWidth="1"/>
    <col min="7181" max="7424" width="9.140625" style="262"/>
    <col min="7425" max="7425" width="6.28515625" style="262" bestFit="1" customWidth="1"/>
    <col min="7426" max="7426" width="40.28515625" style="262" bestFit="1" customWidth="1"/>
    <col min="7427" max="7427" width="13.28515625" style="262" bestFit="1" customWidth="1"/>
    <col min="7428" max="7428" width="13" style="262" bestFit="1" customWidth="1"/>
    <col min="7429" max="7429" width="10.42578125" style="262" bestFit="1" customWidth="1"/>
    <col min="7430" max="7430" width="7.5703125" style="262" bestFit="1" customWidth="1"/>
    <col min="7431" max="7431" width="6.140625" style="262" bestFit="1" customWidth="1"/>
    <col min="7432" max="7432" width="10.28515625" style="262" bestFit="1" customWidth="1"/>
    <col min="7433" max="7433" width="12.5703125" style="262" bestFit="1" customWidth="1"/>
    <col min="7434" max="7434" width="12.140625" style="262" bestFit="1" customWidth="1"/>
    <col min="7435" max="7435" width="14.28515625" style="262" bestFit="1" customWidth="1"/>
    <col min="7436" max="7436" width="4.7109375" style="262" bestFit="1" customWidth="1"/>
    <col min="7437" max="7680" width="9.140625" style="262"/>
    <col min="7681" max="7681" width="6.28515625" style="262" bestFit="1" customWidth="1"/>
    <col min="7682" max="7682" width="40.28515625" style="262" bestFit="1" customWidth="1"/>
    <col min="7683" max="7683" width="13.28515625" style="262" bestFit="1" customWidth="1"/>
    <col min="7684" max="7684" width="13" style="262" bestFit="1" customWidth="1"/>
    <col min="7685" max="7685" width="10.42578125" style="262" bestFit="1" customWidth="1"/>
    <col min="7686" max="7686" width="7.5703125" style="262" bestFit="1" customWidth="1"/>
    <col min="7687" max="7687" width="6.140625" style="262" bestFit="1" customWidth="1"/>
    <col min="7688" max="7688" width="10.28515625" style="262" bestFit="1" customWidth="1"/>
    <col min="7689" max="7689" width="12.5703125" style="262" bestFit="1" customWidth="1"/>
    <col min="7690" max="7690" width="12.140625" style="262" bestFit="1" customWidth="1"/>
    <col min="7691" max="7691" width="14.28515625" style="262" bestFit="1" customWidth="1"/>
    <col min="7692" max="7692" width="4.7109375" style="262" bestFit="1" customWidth="1"/>
    <col min="7693" max="7936" width="9.140625" style="262"/>
    <col min="7937" max="7937" width="6.28515625" style="262" bestFit="1" customWidth="1"/>
    <col min="7938" max="7938" width="40.28515625" style="262" bestFit="1" customWidth="1"/>
    <col min="7939" max="7939" width="13.28515625" style="262" bestFit="1" customWidth="1"/>
    <col min="7940" max="7940" width="13" style="262" bestFit="1" customWidth="1"/>
    <col min="7941" max="7941" width="10.42578125" style="262" bestFit="1" customWidth="1"/>
    <col min="7942" max="7942" width="7.5703125" style="262" bestFit="1" customWidth="1"/>
    <col min="7943" max="7943" width="6.140625" style="262" bestFit="1" customWidth="1"/>
    <col min="7944" max="7944" width="10.28515625" style="262" bestFit="1" customWidth="1"/>
    <col min="7945" max="7945" width="12.5703125" style="262" bestFit="1" customWidth="1"/>
    <col min="7946" max="7946" width="12.140625" style="262" bestFit="1" customWidth="1"/>
    <col min="7947" max="7947" width="14.28515625" style="262" bestFit="1" customWidth="1"/>
    <col min="7948" max="7948" width="4.7109375" style="262" bestFit="1" customWidth="1"/>
    <col min="7949" max="8192" width="9.140625" style="262"/>
    <col min="8193" max="8193" width="6.28515625" style="262" bestFit="1" customWidth="1"/>
    <col min="8194" max="8194" width="40.28515625" style="262" bestFit="1" customWidth="1"/>
    <col min="8195" max="8195" width="13.28515625" style="262" bestFit="1" customWidth="1"/>
    <col min="8196" max="8196" width="13" style="262" bestFit="1" customWidth="1"/>
    <col min="8197" max="8197" width="10.42578125" style="262" bestFit="1" customWidth="1"/>
    <col min="8198" max="8198" width="7.5703125" style="262" bestFit="1" customWidth="1"/>
    <col min="8199" max="8199" width="6.140625" style="262" bestFit="1" customWidth="1"/>
    <col min="8200" max="8200" width="10.28515625" style="262" bestFit="1" customWidth="1"/>
    <col min="8201" max="8201" width="12.5703125" style="262" bestFit="1" customWidth="1"/>
    <col min="8202" max="8202" width="12.140625" style="262" bestFit="1" customWidth="1"/>
    <col min="8203" max="8203" width="14.28515625" style="262" bestFit="1" customWidth="1"/>
    <col min="8204" max="8204" width="4.7109375" style="262" bestFit="1" customWidth="1"/>
    <col min="8205" max="8448" width="9.140625" style="262"/>
    <col min="8449" max="8449" width="6.28515625" style="262" bestFit="1" customWidth="1"/>
    <col min="8450" max="8450" width="40.28515625" style="262" bestFit="1" customWidth="1"/>
    <col min="8451" max="8451" width="13.28515625" style="262" bestFit="1" customWidth="1"/>
    <col min="8452" max="8452" width="13" style="262" bestFit="1" customWidth="1"/>
    <col min="8453" max="8453" width="10.42578125" style="262" bestFit="1" customWidth="1"/>
    <col min="8454" max="8454" width="7.5703125" style="262" bestFit="1" customWidth="1"/>
    <col min="8455" max="8455" width="6.140625" style="262" bestFit="1" customWidth="1"/>
    <col min="8456" max="8456" width="10.28515625" style="262" bestFit="1" customWidth="1"/>
    <col min="8457" max="8457" width="12.5703125" style="262" bestFit="1" customWidth="1"/>
    <col min="8458" max="8458" width="12.140625" style="262" bestFit="1" customWidth="1"/>
    <col min="8459" max="8459" width="14.28515625" style="262" bestFit="1" customWidth="1"/>
    <col min="8460" max="8460" width="4.7109375" style="262" bestFit="1" customWidth="1"/>
    <col min="8461" max="8704" width="9.140625" style="262"/>
    <col min="8705" max="8705" width="6.28515625" style="262" bestFit="1" customWidth="1"/>
    <col min="8706" max="8706" width="40.28515625" style="262" bestFit="1" customWidth="1"/>
    <col min="8707" max="8707" width="13.28515625" style="262" bestFit="1" customWidth="1"/>
    <col min="8708" max="8708" width="13" style="262" bestFit="1" customWidth="1"/>
    <col min="8709" max="8709" width="10.42578125" style="262" bestFit="1" customWidth="1"/>
    <col min="8710" max="8710" width="7.5703125" style="262" bestFit="1" customWidth="1"/>
    <col min="8711" max="8711" width="6.140625" style="262" bestFit="1" customWidth="1"/>
    <col min="8712" max="8712" width="10.28515625" style="262" bestFit="1" customWidth="1"/>
    <col min="8713" max="8713" width="12.5703125" style="262" bestFit="1" customWidth="1"/>
    <col min="8714" max="8714" width="12.140625" style="262" bestFit="1" customWidth="1"/>
    <col min="8715" max="8715" width="14.28515625" style="262" bestFit="1" customWidth="1"/>
    <col min="8716" max="8716" width="4.7109375" style="262" bestFit="1" customWidth="1"/>
    <col min="8717" max="8960" width="9.140625" style="262"/>
    <col min="8961" max="8961" width="6.28515625" style="262" bestFit="1" customWidth="1"/>
    <col min="8962" max="8962" width="40.28515625" style="262" bestFit="1" customWidth="1"/>
    <col min="8963" max="8963" width="13.28515625" style="262" bestFit="1" customWidth="1"/>
    <col min="8964" max="8964" width="13" style="262" bestFit="1" customWidth="1"/>
    <col min="8965" max="8965" width="10.42578125" style="262" bestFit="1" customWidth="1"/>
    <col min="8966" max="8966" width="7.5703125" style="262" bestFit="1" customWidth="1"/>
    <col min="8967" max="8967" width="6.140625" style="262" bestFit="1" customWidth="1"/>
    <col min="8968" max="8968" width="10.28515625" style="262" bestFit="1" customWidth="1"/>
    <col min="8969" max="8969" width="12.5703125" style="262" bestFit="1" customWidth="1"/>
    <col min="8970" max="8970" width="12.140625" style="262" bestFit="1" customWidth="1"/>
    <col min="8971" max="8971" width="14.28515625" style="262" bestFit="1" customWidth="1"/>
    <col min="8972" max="8972" width="4.7109375" style="262" bestFit="1" customWidth="1"/>
    <col min="8973" max="9216" width="9.140625" style="262"/>
    <col min="9217" max="9217" width="6.28515625" style="262" bestFit="1" customWidth="1"/>
    <col min="9218" max="9218" width="40.28515625" style="262" bestFit="1" customWidth="1"/>
    <col min="9219" max="9219" width="13.28515625" style="262" bestFit="1" customWidth="1"/>
    <col min="9220" max="9220" width="13" style="262" bestFit="1" customWidth="1"/>
    <col min="9221" max="9221" width="10.42578125" style="262" bestFit="1" customWidth="1"/>
    <col min="9222" max="9222" width="7.5703125" style="262" bestFit="1" customWidth="1"/>
    <col min="9223" max="9223" width="6.140625" style="262" bestFit="1" customWidth="1"/>
    <col min="9224" max="9224" width="10.28515625" style="262" bestFit="1" customWidth="1"/>
    <col min="9225" max="9225" width="12.5703125" style="262" bestFit="1" customWidth="1"/>
    <col min="9226" max="9226" width="12.140625" style="262" bestFit="1" customWidth="1"/>
    <col min="9227" max="9227" width="14.28515625" style="262" bestFit="1" customWidth="1"/>
    <col min="9228" max="9228" width="4.7109375" style="262" bestFit="1" customWidth="1"/>
    <col min="9229" max="9472" width="9.140625" style="262"/>
    <col min="9473" max="9473" width="6.28515625" style="262" bestFit="1" customWidth="1"/>
    <col min="9474" max="9474" width="40.28515625" style="262" bestFit="1" customWidth="1"/>
    <col min="9475" max="9475" width="13.28515625" style="262" bestFit="1" customWidth="1"/>
    <col min="9476" max="9476" width="13" style="262" bestFit="1" customWidth="1"/>
    <col min="9477" max="9477" width="10.42578125" style="262" bestFit="1" customWidth="1"/>
    <col min="9478" max="9478" width="7.5703125" style="262" bestFit="1" customWidth="1"/>
    <col min="9479" max="9479" width="6.140625" style="262" bestFit="1" customWidth="1"/>
    <col min="9480" max="9480" width="10.28515625" style="262" bestFit="1" customWidth="1"/>
    <col min="9481" max="9481" width="12.5703125" style="262" bestFit="1" customWidth="1"/>
    <col min="9482" max="9482" width="12.140625" style="262" bestFit="1" customWidth="1"/>
    <col min="9483" max="9483" width="14.28515625" style="262" bestFit="1" customWidth="1"/>
    <col min="9484" max="9484" width="4.7109375" style="262" bestFit="1" customWidth="1"/>
    <col min="9485" max="9728" width="9.140625" style="262"/>
    <col min="9729" max="9729" width="6.28515625" style="262" bestFit="1" customWidth="1"/>
    <col min="9730" max="9730" width="40.28515625" style="262" bestFit="1" customWidth="1"/>
    <col min="9731" max="9731" width="13.28515625" style="262" bestFit="1" customWidth="1"/>
    <col min="9732" max="9732" width="13" style="262" bestFit="1" customWidth="1"/>
    <col min="9733" max="9733" width="10.42578125" style="262" bestFit="1" customWidth="1"/>
    <col min="9734" max="9734" width="7.5703125" style="262" bestFit="1" customWidth="1"/>
    <col min="9735" max="9735" width="6.140625" style="262" bestFit="1" customWidth="1"/>
    <col min="9736" max="9736" width="10.28515625" style="262" bestFit="1" customWidth="1"/>
    <col min="9737" max="9737" width="12.5703125" style="262" bestFit="1" customWidth="1"/>
    <col min="9738" max="9738" width="12.140625" style="262" bestFit="1" customWidth="1"/>
    <col min="9739" max="9739" width="14.28515625" style="262" bestFit="1" customWidth="1"/>
    <col min="9740" max="9740" width="4.7109375" style="262" bestFit="1" customWidth="1"/>
    <col min="9741" max="9984" width="9.140625" style="262"/>
    <col min="9985" max="9985" width="6.28515625" style="262" bestFit="1" customWidth="1"/>
    <col min="9986" max="9986" width="40.28515625" style="262" bestFit="1" customWidth="1"/>
    <col min="9987" max="9987" width="13.28515625" style="262" bestFit="1" customWidth="1"/>
    <col min="9988" max="9988" width="13" style="262" bestFit="1" customWidth="1"/>
    <col min="9989" max="9989" width="10.42578125" style="262" bestFit="1" customWidth="1"/>
    <col min="9990" max="9990" width="7.5703125" style="262" bestFit="1" customWidth="1"/>
    <col min="9991" max="9991" width="6.140625" style="262" bestFit="1" customWidth="1"/>
    <col min="9992" max="9992" width="10.28515625" style="262" bestFit="1" customWidth="1"/>
    <col min="9993" max="9993" width="12.5703125" style="262" bestFit="1" customWidth="1"/>
    <col min="9994" max="9994" width="12.140625" style="262" bestFit="1" customWidth="1"/>
    <col min="9995" max="9995" width="14.28515625" style="262" bestFit="1" customWidth="1"/>
    <col min="9996" max="9996" width="4.7109375" style="262" bestFit="1" customWidth="1"/>
    <col min="9997" max="10240" width="9.140625" style="262"/>
    <col min="10241" max="10241" width="6.28515625" style="262" bestFit="1" customWidth="1"/>
    <col min="10242" max="10242" width="40.28515625" style="262" bestFit="1" customWidth="1"/>
    <col min="10243" max="10243" width="13.28515625" style="262" bestFit="1" customWidth="1"/>
    <col min="10244" max="10244" width="13" style="262" bestFit="1" customWidth="1"/>
    <col min="10245" max="10245" width="10.42578125" style="262" bestFit="1" customWidth="1"/>
    <col min="10246" max="10246" width="7.5703125" style="262" bestFit="1" customWidth="1"/>
    <col min="10247" max="10247" width="6.140625" style="262" bestFit="1" customWidth="1"/>
    <col min="10248" max="10248" width="10.28515625" style="262" bestFit="1" customWidth="1"/>
    <col min="10249" max="10249" width="12.5703125" style="262" bestFit="1" customWidth="1"/>
    <col min="10250" max="10250" width="12.140625" style="262" bestFit="1" customWidth="1"/>
    <col min="10251" max="10251" width="14.28515625" style="262" bestFit="1" customWidth="1"/>
    <col min="10252" max="10252" width="4.7109375" style="262" bestFit="1" customWidth="1"/>
    <col min="10253" max="10496" width="9.140625" style="262"/>
    <col min="10497" max="10497" width="6.28515625" style="262" bestFit="1" customWidth="1"/>
    <col min="10498" max="10498" width="40.28515625" style="262" bestFit="1" customWidth="1"/>
    <col min="10499" max="10499" width="13.28515625" style="262" bestFit="1" customWidth="1"/>
    <col min="10500" max="10500" width="13" style="262" bestFit="1" customWidth="1"/>
    <col min="10501" max="10501" width="10.42578125" style="262" bestFit="1" customWidth="1"/>
    <col min="10502" max="10502" width="7.5703125" style="262" bestFit="1" customWidth="1"/>
    <col min="10503" max="10503" width="6.140625" style="262" bestFit="1" customWidth="1"/>
    <col min="10504" max="10504" width="10.28515625" style="262" bestFit="1" customWidth="1"/>
    <col min="10505" max="10505" width="12.5703125" style="262" bestFit="1" customWidth="1"/>
    <col min="10506" max="10506" width="12.140625" style="262" bestFit="1" customWidth="1"/>
    <col min="10507" max="10507" width="14.28515625" style="262" bestFit="1" customWidth="1"/>
    <col min="10508" max="10508" width="4.7109375" style="262" bestFit="1" customWidth="1"/>
    <col min="10509" max="10752" width="9.140625" style="262"/>
    <col min="10753" max="10753" width="6.28515625" style="262" bestFit="1" customWidth="1"/>
    <col min="10754" max="10754" width="40.28515625" style="262" bestFit="1" customWidth="1"/>
    <col min="10755" max="10755" width="13.28515625" style="262" bestFit="1" customWidth="1"/>
    <col min="10756" max="10756" width="13" style="262" bestFit="1" customWidth="1"/>
    <col min="10757" max="10757" width="10.42578125" style="262" bestFit="1" customWidth="1"/>
    <col min="10758" max="10758" width="7.5703125" style="262" bestFit="1" customWidth="1"/>
    <col min="10759" max="10759" width="6.140625" style="262" bestFit="1" customWidth="1"/>
    <col min="10760" max="10760" width="10.28515625" style="262" bestFit="1" customWidth="1"/>
    <col min="10761" max="10761" width="12.5703125" style="262" bestFit="1" customWidth="1"/>
    <col min="10762" max="10762" width="12.140625" style="262" bestFit="1" customWidth="1"/>
    <col min="10763" max="10763" width="14.28515625" style="262" bestFit="1" customWidth="1"/>
    <col min="10764" max="10764" width="4.7109375" style="262" bestFit="1" customWidth="1"/>
    <col min="10765" max="11008" width="9.140625" style="262"/>
    <col min="11009" max="11009" width="6.28515625" style="262" bestFit="1" customWidth="1"/>
    <col min="11010" max="11010" width="40.28515625" style="262" bestFit="1" customWidth="1"/>
    <col min="11011" max="11011" width="13.28515625" style="262" bestFit="1" customWidth="1"/>
    <col min="11012" max="11012" width="13" style="262" bestFit="1" customWidth="1"/>
    <col min="11013" max="11013" width="10.42578125" style="262" bestFit="1" customWidth="1"/>
    <col min="11014" max="11014" width="7.5703125" style="262" bestFit="1" customWidth="1"/>
    <col min="11015" max="11015" width="6.140625" style="262" bestFit="1" customWidth="1"/>
    <col min="11016" max="11016" width="10.28515625" style="262" bestFit="1" customWidth="1"/>
    <col min="11017" max="11017" width="12.5703125" style="262" bestFit="1" customWidth="1"/>
    <col min="11018" max="11018" width="12.140625" style="262" bestFit="1" customWidth="1"/>
    <col min="11019" max="11019" width="14.28515625" style="262" bestFit="1" customWidth="1"/>
    <col min="11020" max="11020" width="4.7109375" style="262" bestFit="1" customWidth="1"/>
    <col min="11021" max="11264" width="9.140625" style="262"/>
    <col min="11265" max="11265" width="6.28515625" style="262" bestFit="1" customWidth="1"/>
    <col min="11266" max="11266" width="40.28515625" style="262" bestFit="1" customWidth="1"/>
    <col min="11267" max="11267" width="13.28515625" style="262" bestFit="1" customWidth="1"/>
    <col min="11268" max="11268" width="13" style="262" bestFit="1" customWidth="1"/>
    <col min="11269" max="11269" width="10.42578125" style="262" bestFit="1" customWidth="1"/>
    <col min="11270" max="11270" width="7.5703125" style="262" bestFit="1" customWidth="1"/>
    <col min="11271" max="11271" width="6.140625" style="262" bestFit="1" customWidth="1"/>
    <col min="11272" max="11272" width="10.28515625" style="262" bestFit="1" customWidth="1"/>
    <col min="11273" max="11273" width="12.5703125" style="262" bestFit="1" customWidth="1"/>
    <col min="11274" max="11274" width="12.140625" style="262" bestFit="1" customWidth="1"/>
    <col min="11275" max="11275" width="14.28515625" style="262" bestFit="1" customWidth="1"/>
    <col min="11276" max="11276" width="4.7109375" style="262" bestFit="1" customWidth="1"/>
    <col min="11277" max="11520" width="9.140625" style="262"/>
    <col min="11521" max="11521" width="6.28515625" style="262" bestFit="1" customWidth="1"/>
    <col min="11522" max="11522" width="40.28515625" style="262" bestFit="1" customWidth="1"/>
    <col min="11523" max="11523" width="13.28515625" style="262" bestFit="1" customWidth="1"/>
    <col min="11524" max="11524" width="13" style="262" bestFit="1" customWidth="1"/>
    <col min="11525" max="11525" width="10.42578125" style="262" bestFit="1" customWidth="1"/>
    <col min="11526" max="11526" width="7.5703125" style="262" bestFit="1" customWidth="1"/>
    <col min="11527" max="11527" width="6.140625" style="262" bestFit="1" customWidth="1"/>
    <col min="11528" max="11528" width="10.28515625" style="262" bestFit="1" customWidth="1"/>
    <col min="11529" max="11529" width="12.5703125" style="262" bestFit="1" customWidth="1"/>
    <col min="11530" max="11530" width="12.140625" style="262" bestFit="1" customWidth="1"/>
    <col min="11531" max="11531" width="14.28515625" style="262" bestFit="1" customWidth="1"/>
    <col min="11532" max="11532" width="4.7109375" style="262" bestFit="1" customWidth="1"/>
    <col min="11533" max="11776" width="9.140625" style="262"/>
    <col min="11777" max="11777" width="6.28515625" style="262" bestFit="1" customWidth="1"/>
    <col min="11778" max="11778" width="40.28515625" style="262" bestFit="1" customWidth="1"/>
    <col min="11779" max="11779" width="13.28515625" style="262" bestFit="1" customWidth="1"/>
    <col min="11780" max="11780" width="13" style="262" bestFit="1" customWidth="1"/>
    <col min="11781" max="11781" width="10.42578125" style="262" bestFit="1" customWidth="1"/>
    <col min="11782" max="11782" width="7.5703125" style="262" bestFit="1" customWidth="1"/>
    <col min="11783" max="11783" width="6.140625" style="262" bestFit="1" customWidth="1"/>
    <col min="11784" max="11784" width="10.28515625" style="262" bestFit="1" customWidth="1"/>
    <col min="11785" max="11785" width="12.5703125" style="262" bestFit="1" customWidth="1"/>
    <col min="11786" max="11786" width="12.140625" style="262" bestFit="1" customWidth="1"/>
    <col min="11787" max="11787" width="14.28515625" style="262" bestFit="1" customWidth="1"/>
    <col min="11788" max="11788" width="4.7109375" style="262" bestFit="1" customWidth="1"/>
    <col min="11789" max="12032" width="9.140625" style="262"/>
    <col min="12033" max="12033" width="6.28515625" style="262" bestFit="1" customWidth="1"/>
    <col min="12034" max="12034" width="40.28515625" style="262" bestFit="1" customWidth="1"/>
    <col min="12035" max="12035" width="13.28515625" style="262" bestFit="1" customWidth="1"/>
    <col min="12036" max="12036" width="13" style="262" bestFit="1" customWidth="1"/>
    <col min="12037" max="12037" width="10.42578125" style="262" bestFit="1" customWidth="1"/>
    <col min="12038" max="12038" width="7.5703125" style="262" bestFit="1" customWidth="1"/>
    <col min="12039" max="12039" width="6.140625" style="262" bestFit="1" customWidth="1"/>
    <col min="12040" max="12040" width="10.28515625" style="262" bestFit="1" customWidth="1"/>
    <col min="12041" max="12041" width="12.5703125" style="262" bestFit="1" customWidth="1"/>
    <col min="12042" max="12042" width="12.140625" style="262" bestFit="1" customWidth="1"/>
    <col min="12043" max="12043" width="14.28515625" style="262" bestFit="1" customWidth="1"/>
    <col min="12044" max="12044" width="4.7109375" style="262" bestFit="1" customWidth="1"/>
    <col min="12045" max="12288" width="9.140625" style="262"/>
    <col min="12289" max="12289" width="6.28515625" style="262" bestFit="1" customWidth="1"/>
    <col min="12290" max="12290" width="40.28515625" style="262" bestFit="1" customWidth="1"/>
    <col min="12291" max="12291" width="13.28515625" style="262" bestFit="1" customWidth="1"/>
    <col min="12292" max="12292" width="13" style="262" bestFit="1" customWidth="1"/>
    <col min="12293" max="12293" width="10.42578125" style="262" bestFit="1" customWidth="1"/>
    <col min="12294" max="12294" width="7.5703125" style="262" bestFit="1" customWidth="1"/>
    <col min="12295" max="12295" width="6.140625" style="262" bestFit="1" customWidth="1"/>
    <col min="12296" max="12296" width="10.28515625" style="262" bestFit="1" customWidth="1"/>
    <col min="12297" max="12297" width="12.5703125" style="262" bestFit="1" customWidth="1"/>
    <col min="12298" max="12298" width="12.140625" style="262" bestFit="1" customWidth="1"/>
    <col min="12299" max="12299" width="14.28515625" style="262" bestFit="1" customWidth="1"/>
    <col min="12300" max="12300" width="4.7109375" style="262" bestFit="1" customWidth="1"/>
    <col min="12301" max="12544" width="9.140625" style="262"/>
    <col min="12545" max="12545" width="6.28515625" style="262" bestFit="1" customWidth="1"/>
    <col min="12546" max="12546" width="40.28515625" style="262" bestFit="1" customWidth="1"/>
    <col min="12547" max="12547" width="13.28515625" style="262" bestFit="1" customWidth="1"/>
    <col min="12548" max="12548" width="13" style="262" bestFit="1" customWidth="1"/>
    <col min="12549" max="12549" width="10.42578125" style="262" bestFit="1" customWidth="1"/>
    <col min="12550" max="12550" width="7.5703125" style="262" bestFit="1" customWidth="1"/>
    <col min="12551" max="12551" width="6.140625" style="262" bestFit="1" customWidth="1"/>
    <col min="12552" max="12552" width="10.28515625" style="262" bestFit="1" customWidth="1"/>
    <col min="12553" max="12553" width="12.5703125" style="262" bestFit="1" customWidth="1"/>
    <col min="12554" max="12554" width="12.140625" style="262" bestFit="1" customWidth="1"/>
    <col min="12555" max="12555" width="14.28515625" style="262" bestFit="1" customWidth="1"/>
    <col min="12556" max="12556" width="4.7109375" style="262" bestFit="1" customWidth="1"/>
    <col min="12557" max="12800" width="9.140625" style="262"/>
    <col min="12801" max="12801" width="6.28515625" style="262" bestFit="1" customWidth="1"/>
    <col min="12802" max="12802" width="40.28515625" style="262" bestFit="1" customWidth="1"/>
    <col min="12803" max="12803" width="13.28515625" style="262" bestFit="1" customWidth="1"/>
    <col min="12804" max="12804" width="13" style="262" bestFit="1" customWidth="1"/>
    <col min="12805" max="12805" width="10.42578125" style="262" bestFit="1" customWidth="1"/>
    <col min="12806" max="12806" width="7.5703125" style="262" bestFit="1" customWidth="1"/>
    <col min="12807" max="12807" width="6.140625" style="262" bestFit="1" customWidth="1"/>
    <col min="12808" max="12808" width="10.28515625" style="262" bestFit="1" customWidth="1"/>
    <col min="12809" max="12809" width="12.5703125" style="262" bestFit="1" customWidth="1"/>
    <col min="12810" max="12810" width="12.140625" style="262" bestFit="1" customWidth="1"/>
    <col min="12811" max="12811" width="14.28515625" style="262" bestFit="1" customWidth="1"/>
    <col min="12812" max="12812" width="4.7109375" style="262" bestFit="1" customWidth="1"/>
    <col min="12813" max="13056" width="9.140625" style="262"/>
    <col min="13057" max="13057" width="6.28515625" style="262" bestFit="1" customWidth="1"/>
    <col min="13058" max="13058" width="40.28515625" style="262" bestFit="1" customWidth="1"/>
    <col min="13059" max="13059" width="13.28515625" style="262" bestFit="1" customWidth="1"/>
    <col min="13060" max="13060" width="13" style="262" bestFit="1" customWidth="1"/>
    <col min="13061" max="13061" width="10.42578125" style="262" bestFit="1" customWidth="1"/>
    <col min="13062" max="13062" width="7.5703125" style="262" bestFit="1" customWidth="1"/>
    <col min="13063" max="13063" width="6.140625" style="262" bestFit="1" customWidth="1"/>
    <col min="13064" max="13064" width="10.28515625" style="262" bestFit="1" customWidth="1"/>
    <col min="13065" max="13065" width="12.5703125" style="262" bestFit="1" customWidth="1"/>
    <col min="13066" max="13066" width="12.140625" style="262" bestFit="1" customWidth="1"/>
    <col min="13067" max="13067" width="14.28515625" style="262" bestFit="1" customWidth="1"/>
    <col min="13068" max="13068" width="4.7109375" style="262" bestFit="1" customWidth="1"/>
    <col min="13069" max="13312" width="9.140625" style="262"/>
    <col min="13313" max="13313" width="6.28515625" style="262" bestFit="1" customWidth="1"/>
    <col min="13314" max="13314" width="40.28515625" style="262" bestFit="1" customWidth="1"/>
    <col min="13315" max="13315" width="13.28515625" style="262" bestFit="1" customWidth="1"/>
    <col min="13316" max="13316" width="13" style="262" bestFit="1" customWidth="1"/>
    <col min="13317" max="13317" width="10.42578125" style="262" bestFit="1" customWidth="1"/>
    <col min="13318" max="13318" width="7.5703125" style="262" bestFit="1" customWidth="1"/>
    <col min="13319" max="13319" width="6.140625" style="262" bestFit="1" customWidth="1"/>
    <col min="13320" max="13320" width="10.28515625" style="262" bestFit="1" customWidth="1"/>
    <col min="13321" max="13321" width="12.5703125" style="262" bestFit="1" customWidth="1"/>
    <col min="13322" max="13322" width="12.140625" style="262" bestFit="1" customWidth="1"/>
    <col min="13323" max="13323" width="14.28515625" style="262" bestFit="1" customWidth="1"/>
    <col min="13324" max="13324" width="4.7109375" style="262" bestFit="1" customWidth="1"/>
    <col min="13325" max="13568" width="9.140625" style="262"/>
    <col min="13569" max="13569" width="6.28515625" style="262" bestFit="1" customWidth="1"/>
    <col min="13570" max="13570" width="40.28515625" style="262" bestFit="1" customWidth="1"/>
    <col min="13571" max="13571" width="13.28515625" style="262" bestFit="1" customWidth="1"/>
    <col min="13572" max="13572" width="13" style="262" bestFit="1" customWidth="1"/>
    <col min="13573" max="13573" width="10.42578125" style="262" bestFit="1" customWidth="1"/>
    <col min="13574" max="13574" width="7.5703125" style="262" bestFit="1" customWidth="1"/>
    <col min="13575" max="13575" width="6.140625" style="262" bestFit="1" customWidth="1"/>
    <col min="13576" max="13576" width="10.28515625" style="262" bestFit="1" customWidth="1"/>
    <col min="13577" max="13577" width="12.5703125" style="262" bestFit="1" customWidth="1"/>
    <col min="13578" max="13578" width="12.140625" style="262" bestFit="1" customWidth="1"/>
    <col min="13579" max="13579" width="14.28515625" style="262" bestFit="1" customWidth="1"/>
    <col min="13580" max="13580" width="4.7109375" style="262" bestFit="1" customWidth="1"/>
    <col min="13581" max="13824" width="9.140625" style="262"/>
    <col min="13825" max="13825" width="6.28515625" style="262" bestFit="1" customWidth="1"/>
    <col min="13826" max="13826" width="40.28515625" style="262" bestFit="1" customWidth="1"/>
    <col min="13827" max="13827" width="13.28515625" style="262" bestFit="1" customWidth="1"/>
    <col min="13828" max="13828" width="13" style="262" bestFit="1" customWidth="1"/>
    <col min="13829" max="13829" width="10.42578125" style="262" bestFit="1" customWidth="1"/>
    <col min="13830" max="13830" width="7.5703125" style="262" bestFit="1" customWidth="1"/>
    <col min="13831" max="13831" width="6.140625" style="262" bestFit="1" customWidth="1"/>
    <col min="13832" max="13832" width="10.28515625" style="262" bestFit="1" customWidth="1"/>
    <col min="13833" max="13833" width="12.5703125" style="262" bestFit="1" customWidth="1"/>
    <col min="13834" max="13834" width="12.140625" style="262" bestFit="1" customWidth="1"/>
    <col min="13835" max="13835" width="14.28515625" style="262" bestFit="1" customWidth="1"/>
    <col min="13836" max="13836" width="4.7109375" style="262" bestFit="1" customWidth="1"/>
    <col min="13837" max="14080" width="9.140625" style="262"/>
    <col min="14081" max="14081" width="6.28515625" style="262" bestFit="1" customWidth="1"/>
    <col min="14082" max="14082" width="40.28515625" style="262" bestFit="1" customWidth="1"/>
    <col min="14083" max="14083" width="13.28515625" style="262" bestFit="1" customWidth="1"/>
    <col min="14084" max="14084" width="13" style="262" bestFit="1" customWidth="1"/>
    <col min="14085" max="14085" width="10.42578125" style="262" bestFit="1" customWidth="1"/>
    <col min="14086" max="14086" width="7.5703125" style="262" bestFit="1" customWidth="1"/>
    <col min="14087" max="14087" width="6.140625" style="262" bestFit="1" customWidth="1"/>
    <col min="14088" max="14088" width="10.28515625" style="262" bestFit="1" customWidth="1"/>
    <col min="14089" max="14089" width="12.5703125" style="262" bestFit="1" customWidth="1"/>
    <col min="14090" max="14090" width="12.140625" style="262" bestFit="1" customWidth="1"/>
    <col min="14091" max="14091" width="14.28515625" style="262" bestFit="1" customWidth="1"/>
    <col min="14092" max="14092" width="4.7109375" style="262" bestFit="1" customWidth="1"/>
    <col min="14093" max="14336" width="9.140625" style="262"/>
    <col min="14337" max="14337" width="6.28515625" style="262" bestFit="1" customWidth="1"/>
    <col min="14338" max="14338" width="40.28515625" style="262" bestFit="1" customWidth="1"/>
    <col min="14339" max="14339" width="13.28515625" style="262" bestFit="1" customWidth="1"/>
    <col min="14340" max="14340" width="13" style="262" bestFit="1" customWidth="1"/>
    <col min="14341" max="14341" width="10.42578125" style="262" bestFit="1" customWidth="1"/>
    <col min="14342" max="14342" width="7.5703125" style="262" bestFit="1" customWidth="1"/>
    <col min="14343" max="14343" width="6.140625" style="262" bestFit="1" customWidth="1"/>
    <col min="14344" max="14344" width="10.28515625" style="262" bestFit="1" customWidth="1"/>
    <col min="14345" max="14345" width="12.5703125" style="262" bestFit="1" customWidth="1"/>
    <col min="14346" max="14346" width="12.140625" style="262" bestFit="1" customWidth="1"/>
    <col min="14347" max="14347" width="14.28515625" style="262" bestFit="1" customWidth="1"/>
    <col min="14348" max="14348" width="4.7109375" style="262" bestFit="1" customWidth="1"/>
    <col min="14349" max="14592" width="9.140625" style="262"/>
    <col min="14593" max="14593" width="6.28515625" style="262" bestFit="1" customWidth="1"/>
    <col min="14594" max="14594" width="40.28515625" style="262" bestFit="1" customWidth="1"/>
    <col min="14595" max="14595" width="13.28515625" style="262" bestFit="1" customWidth="1"/>
    <col min="14596" max="14596" width="13" style="262" bestFit="1" customWidth="1"/>
    <col min="14597" max="14597" width="10.42578125" style="262" bestFit="1" customWidth="1"/>
    <col min="14598" max="14598" width="7.5703125" style="262" bestFit="1" customWidth="1"/>
    <col min="14599" max="14599" width="6.140625" style="262" bestFit="1" customWidth="1"/>
    <col min="14600" max="14600" width="10.28515625" style="262" bestFit="1" customWidth="1"/>
    <col min="14601" max="14601" width="12.5703125" style="262" bestFit="1" customWidth="1"/>
    <col min="14602" max="14602" width="12.140625" style="262" bestFit="1" customWidth="1"/>
    <col min="14603" max="14603" width="14.28515625" style="262" bestFit="1" customWidth="1"/>
    <col min="14604" max="14604" width="4.7109375" style="262" bestFit="1" customWidth="1"/>
    <col min="14605" max="14848" width="9.140625" style="262"/>
    <col min="14849" max="14849" width="6.28515625" style="262" bestFit="1" customWidth="1"/>
    <col min="14850" max="14850" width="40.28515625" style="262" bestFit="1" customWidth="1"/>
    <col min="14851" max="14851" width="13.28515625" style="262" bestFit="1" customWidth="1"/>
    <col min="14852" max="14852" width="13" style="262" bestFit="1" customWidth="1"/>
    <col min="14853" max="14853" width="10.42578125" style="262" bestFit="1" customWidth="1"/>
    <col min="14854" max="14854" width="7.5703125" style="262" bestFit="1" customWidth="1"/>
    <col min="14855" max="14855" width="6.140625" style="262" bestFit="1" customWidth="1"/>
    <col min="14856" max="14856" width="10.28515625" style="262" bestFit="1" customWidth="1"/>
    <col min="14857" max="14857" width="12.5703125" style="262" bestFit="1" customWidth="1"/>
    <col min="14858" max="14858" width="12.140625" style="262" bestFit="1" customWidth="1"/>
    <col min="14859" max="14859" width="14.28515625" style="262" bestFit="1" customWidth="1"/>
    <col min="14860" max="14860" width="4.7109375" style="262" bestFit="1" customWidth="1"/>
    <col min="14861" max="15104" width="9.140625" style="262"/>
    <col min="15105" max="15105" width="6.28515625" style="262" bestFit="1" customWidth="1"/>
    <col min="15106" max="15106" width="40.28515625" style="262" bestFit="1" customWidth="1"/>
    <col min="15107" max="15107" width="13.28515625" style="262" bestFit="1" customWidth="1"/>
    <col min="15108" max="15108" width="13" style="262" bestFit="1" customWidth="1"/>
    <col min="15109" max="15109" width="10.42578125" style="262" bestFit="1" customWidth="1"/>
    <col min="15110" max="15110" width="7.5703125" style="262" bestFit="1" customWidth="1"/>
    <col min="15111" max="15111" width="6.140625" style="262" bestFit="1" customWidth="1"/>
    <col min="15112" max="15112" width="10.28515625" style="262" bestFit="1" customWidth="1"/>
    <col min="15113" max="15113" width="12.5703125" style="262" bestFit="1" customWidth="1"/>
    <col min="15114" max="15114" width="12.140625" style="262" bestFit="1" customWidth="1"/>
    <col min="15115" max="15115" width="14.28515625" style="262" bestFit="1" customWidth="1"/>
    <col min="15116" max="15116" width="4.7109375" style="262" bestFit="1" customWidth="1"/>
    <col min="15117" max="15360" width="9.140625" style="262"/>
    <col min="15361" max="15361" width="6.28515625" style="262" bestFit="1" customWidth="1"/>
    <col min="15362" max="15362" width="40.28515625" style="262" bestFit="1" customWidth="1"/>
    <col min="15363" max="15363" width="13.28515625" style="262" bestFit="1" customWidth="1"/>
    <col min="15364" max="15364" width="13" style="262" bestFit="1" customWidth="1"/>
    <col min="15365" max="15365" width="10.42578125" style="262" bestFit="1" customWidth="1"/>
    <col min="15366" max="15366" width="7.5703125" style="262" bestFit="1" customWidth="1"/>
    <col min="15367" max="15367" width="6.140625" style="262" bestFit="1" customWidth="1"/>
    <col min="15368" max="15368" width="10.28515625" style="262" bestFit="1" customWidth="1"/>
    <col min="15369" max="15369" width="12.5703125" style="262" bestFit="1" customWidth="1"/>
    <col min="15370" max="15370" width="12.140625" style="262" bestFit="1" customWidth="1"/>
    <col min="15371" max="15371" width="14.28515625" style="262" bestFit="1" customWidth="1"/>
    <col min="15372" max="15372" width="4.7109375" style="262" bestFit="1" customWidth="1"/>
    <col min="15373" max="15616" width="9.140625" style="262"/>
    <col min="15617" max="15617" width="6.28515625" style="262" bestFit="1" customWidth="1"/>
    <col min="15618" max="15618" width="40.28515625" style="262" bestFit="1" customWidth="1"/>
    <col min="15619" max="15619" width="13.28515625" style="262" bestFit="1" customWidth="1"/>
    <col min="15620" max="15620" width="13" style="262" bestFit="1" customWidth="1"/>
    <col min="15621" max="15621" width="10.42578125" style="262" bestFit="1" customWidth="1"/>
    <col min="15622" max="15622" width="7.5703125" style="262" bestFit="1" customWidth="1"/>
    <col min="15623" max="15623" width="6.140625" style="262" bestFit="1" customWidth="1"/>
    <col min="15624" max="15624" width="10.28515625" style="262" bestFit="1" customWidth="1"/>
    <col min="15625" max="15625" width="12.5703125" style="262" bestFit="1" customWidth="1"/>
    <col min="15626" max="15626" width="12.140625" style="262" bestFit="1" customWidth="1"/>
    <col min="15627" max="15627" width="14.28515625" style="262" bestFit="1" customWidth="1"/>
    <col min="15628" max="15628" width="4.7109375" style="262" bestFit="1" customWidth="1"/>
    <col min="15629" max="15872" width="9.140625" style="262"/>
    <col min="15873" max="15873" width="6.28515625" style="262" bestFit="1" customWidth="1"/>
    <col min="15874" max="15874" width="40.28515625" style="262" bestFit="1" customWidth="1"/>
    <col min="15875" max="15875" width="13.28515625" style="262" bestFit="1" customWidth="1"/>
    <col min="15876" max="15876" width="13" style="262" bestFit="1" customWidth="1"/>
    <col min="15877" max="15877" width="10.42578125" style="262" bestFit="1" customWidth="1"/>
    <col min="15878" max="15878" width="7.5703125" style="262" bestFit="1" customWidth="1"/>
    <col min="15879" max="15879" width="6.140625" style="262" bestFit="1" customWidth="1"/>
    <col min="15880" max="15880" width="10.28515625" style="262" bestFit="1" customWidth="1"/>
    <col min="15881" max="15881" width="12.5703125" style="262" bestFit="1" customWidth="1"/>
    <col min="15882" max="15882" width="12.140625" style="262" bestFit="1" customWidth="1"/>
    <col min="15883" max="15883" width="14.28515625" style="262" bestFit="1" customWidth="1"/>
    <col min="15884" max="15884" width="4.7109375" style="262" bestFit="1" customWidth="1"/>
    <col min="15885" max="16128" width="9.140625" style="262"/>
    <col min="16129" max="16129" width="6.28515625" style="262" bestFit="1" customWidth="1"/>
    <col min="16130" max="16130" width="40.28515625" style="262" bestFit="1" customWidth="1"/>
    <col min="16131" max="16131" width="13.28515625" style="262" bestFit="1" customWidth="1"/>
    <col min="16132" max="16132" width="13" style="262" bestFit="1" customWidth="1"/>
    <col min="16133" max="16133" width="10.42578125" style="262" bestFit="1" customWidth="1"/>
    <col min="16134" max="16134" width="7.5703125" style="262" bestFit="1" customWidth="1"/>
    <col min="16135" max="16135" width="6.140625" style="262" bestFit="1" customWidth="1"/>
    <col min="16136" max="16136" width="10.28515625" style="262" bestFit="1" customWidth="1"/>
    <col min="16137" max="16137" width="12.5703125" style="262" bestFit="1" customWidth="1"/>
    <col min="16138" max="16138" width="12.140625" style="262" bestFit="1" customWidth="1"/>
    <col min="16139" max="16139" width="14.28515625" style="262" bestFit="1" customWidth="1"/>
    <col min="16140" max="16140" width="4.7109375" style="262" bestFit="1" customWidth="1"/>
    <col min="16141" max="16384" width="9.140625" style="262"/>
  </cols>
  <sheetData>
    <row r="1" spans="1:10" ht="15.75" customHeight="1" x14ac:dyDescent="0.25">
      <c r="A1" s="421" t="s">
        <v>451</v>
      </c>
      <c r="B1" s="421"/>
    </row>
    <row r="2" spans="1:10" s="265" customFormat="1" ht="43.5" customHeight="1" x14ac:dyDescent="0.2">
      <c r="A2" s="304" t="s">
        <v>452</v>
      </c>
      <c r="B2" s="304" t="s">
        <v>348</v>
      </c>
      <c r="C2" s="304" t="s">
        <v>453</v>
      </c>
      <c r="D2" s="304" t="s">
        <v>454</v>
      </c>
      <c r="E2" s="304" t="s">
        <v>455</v>
      </c>
      <c r="F2" s="304" t="s">
        <v>352</v>
      </c>
      <c r="G2" s="304" t="s">
        <v>456</v>
      </c>
      <c r="H2" s="304" t="s">
        <v>457</v>
      </c>
      <c r="I2" s="304" t="s">
        <v>458</v>
      </c>
      <c r="J2" s="304" t="s">
        <v>459</v>
      </c>
    </row>
    <row r="3" spans="1:10" s="265" customFormat="1" ht="18" customHeight="1" x14ac:dyDescent="0.2">
      <c r="A3" s="315">
        <v>1</v>
      </c>
      <c r="B3" s="316" t="s">
        <v>1010</v>
      </c>
      <c r="C3" s="317">
        <v>544.66132200000004</v>
      </c>
      <c r="D3" s="318">
        <v>444011.58975382999</v>
      </c>
      <c r="E3" s="319">
        <v>11.08</v>
      </c>
      <c r="F3" s="319">
        <v>0.67</v>
      </c>
      <c r="G3" s="319">
        <v>0.27</v>
      </c>
      <c r="H3" s="319">
        <v>0.96</v>
      </c>
      <c r="I3" s="319">
        <v>10.41</v>
      </c>
      <c r="J3" s="319" t="s">
        <v>916</v>
      </c>
    </row>
    <row r="4" spans="1:10" s="265" customFormat="1" ht="18" customHeight="1" x14ac:dyDescent="0.2">
      <c r="A4" s="315">
        <v>2</v>
      </c>
      <c r="B4" s="316" t="s">
        <v>1011</v>
      </c>
      <c r="C4" s="317">
        <v>6338.6938229999996</v>
      </c>
      <c r="D4" s="318">
        <v>398928.698945835</v>
      </c>
      <c r="E4" s="319">
        <v>9.9600000000000009</v>
      </c>
      <c r="F4" s="319">
        <v>1.45</v>
      </c>
      <c r="G4" s="319">
        <v>0.44</v>
      </c>
      <c r="H4" s="319">
        <v>1.5</v>
      </c>
      <c r="I4" s="319">
        <v>9.6999999999999993</v>
      </c>
      <c r="J4" s="319" t="s">
        <v>916</v>
      </c>
    </row>
    <row r="5" spans="1:10" s="265" customFormat="1" ht="18" customHeight="1" x14ac:dyDescent="0.2">
      <c r="A5" s="315">
        <v>3</v>
      </c>
      <c r="B5" s="316" t="s">
        <v>1012</v>
      </c>
      <c r="C5" s="317">
        <v>344.27048580000002</v>
      </c>
      <c r="D5" s="318">
        <v>304728.98712980002</v>
      </c>
      <c r="E5" s="319">
        <v>7.61</v>
      </c>
      <c r="F5" s="319">
        <v>1.2</v>
      </c>
      <c r="G5" s="319">
        <v>0.41</v>
      </c>
      <c r="H5" s="319">
        <v>1.0900000000000001</v>
      </c>
      <c r="I5" s="319">
        <v>6.45</v>
      </c>
      <c r="J5" s="319" t="s">
        <v>916</v>
      </c>
    </row>
    <row r="6" spans="1:10" s="265" customFormat="1" ht="18" customHeight="1" x14ac:dyDescent="0.2">
      <c r="A6" s="315">
        <v>4</v>
      </c>
      <c r="B6" s="316" t="s">
        <v>1013</v>
      </c>
      <c r="C6" s="317">
        <v>2184.4657219999999</v>
      </c>
      <c r="D6" s="318">
        <v>278134.91000946</v>
      </c>
      <c r="E6" s="319">
        <v>6.94</v>
      </c>
      <c r="F6" s="319">
        <v>0.76</v>
      </c>
      <c r="G6" s="319">
        <v>0.15</v>
      </c>
      <c r="H6" s="319">
        <v>1.27</v>
      </c>
      <c r="I6" s="319">
        <v>1.28</v>
      </c>
      <c r="J6" s="319" t="s">
        <v>916</v>
      </c>
    </row>
    <row r="7" spans="1:10" s="265" customFormat="1" ht="18" customHeight="1" x14ac:dyDescent="0.2">
      <c r="A7" s="315">
        <v>5</v>
      </c>
      <c r="B7" s="316" t="s">
        <v>1014</v>
      </c>
      <c r="C7" s="317">
        <v>1225.4194130000001</v>
      </c>
      <c r="D7" s="318">
        <v>238033.452237675</v>
      </c>
      <c r="E7" s="319">
        <v>5.94</v>
      </c>
      <c r="F7" s="319">
        <v>0.95</v>
      </c>
      <c r="G7" s="319">
        <v>0.32</v>
      </c>
      <c r="H7" s="319">
        <v>1.01</v>
      </c>
      <c r="I7" s="319">
        <v>7.13</v>
      </c>
      <c r="J7" s="319" t="s">
        <v>916</v>
      </c>
    </row>
    <row r="8" spans="1:10" s="265" customFormat="1" ht="18" customHeight="1" x14ac:dyDescent="0.2">
      <c r="A8" s="315">
        <v>6</v>
      </c>
      <c r="B8" s="316" t="s">
        <v>1015</v>
      </c>
      <c r="C8" s="317">
        <v>1289.108209</v>
      </c>
      <c r="D8" s="318">
        <v>225519.98697369499</v>
      </c>
      <c r="E8" s="319">
        <v>5.63</v>
      </c>
      <c r="F8" s="319">
        <v>1.22</v>
      </c>
      <c r="G8" s="319">
        <v>0.24</v>
      </c>
      <c r="H8" s="319">
        <v>1.55</v>
      </c>
      <c r="I8" s="319">
        <v>12.57</v>
      </c>
      <c r="J8" s="319" t="s">
        <v>916</v>
      </c>
    </row>
    <row r="9" spans="1:10" s="265" customFormat="1" ht="18" customHeight="1" x14ac:dyDescent="0.2">
      <c r="A9" s="315">
        <v>7</v>
      </c>
      <c r="B9" s="316" t="s">
        <v>1016</v>
      </c>
      <c r="C9" s="317">
        <v>382.85751820000002</v>
      </c>
      <c r="D9" s="318">
        <v>223144.70648379001</v>
      </c>
      <c r="E9" s="319">
        <v>5.57</v>
      </c>
      <c r="F9" s="319">
        <v>0.56000000000000005</v>
      </c>
      <c r="G9" s="319">
        <v>0.08</v>
      </c>
      <c r="H9" s="319">
        <v>1.44</v>
      </c>
      <c r="I9" s="319">
        <v>0.91</v>
      </c>
      <c r="J9" s="319" t="s">
        <v>916</v>
      </c>
    </row>
    <row r="10" spans="1:10" s="265" customFormat="1" ht="18" customHeight="1" x14ac:dyDescent="0.2">
      <c r="A10" s="315">
        <v>8</v>
      </c>
      <c r="B10" s="316" t="s">
        <v>1017</v>
      </c>
      <c r="C10" s="317">
        <v>280.4705012</v>
      </c>
      <c r="D10" s="318">
        <v>159009.551687475</v>
      </c>
      <c r="E10" s="319">
        <v>3.97</v>
      </c>
      <c r="F10" s="319">
        <v>1.03</v>
      </c>
      <c r="G10" s="319">
        <v>0.35</v>
      </c>
      <c r="H10" s="319">
        <v>1.28</v>
      </c>
      <c r="I10" s="319">
        <v>6.67</v>
      </c>
      <c r="J10" s="319" t="s">
        <v>916</v>
      </c>
    </row>
    <row r="11" spans="1:10" s="265" customFormat="1" ht="18" customHeight="1" x14ac:dyDescent="0.2">
      <c r="A11" s="315">
        <v>9</v>
      </c>
      <c r="B11" s="316" t="s">
        <v>1018</v>
      </c>
      <c r="C11" s="317">
        <v>954.01700049999999</v>
      </c>
      <c r="D11" s="318">
        <v>150906.39313785001</v>
      </c>
      <c r="E11" s="319">
        <v>3.77</v>
      </c>
      <c r="F11" s="319">
        <v>0.96</v>
      </c>
      <c r="G11" s="319">
        <v>0.23</v>
      </c>
      <c r="H11" s="319">
        <v>1.36</v>
      </c>
      <c r="I11" s="319">
        <v>9.1</v>
      </c>
      <c r="J11" s="319" t="s">
        <v>916</v>
      </c>
    </row>
    <row r="12" spans="1:10" s="265" customFormat="1" ht="18" customHeight="1" x14ac:dyDescent="0.2">
      <c r="A12" s="315">
        <v>10</v>
      </c>
      <c r="B12" s="316" t="s">
        <v>1019</v>
      </c>
      <c r="C12" s="317">
        <v>514.18477819999998</v>
      </c>
      <c r="D12" s="318">
        <v>140069.172642505</v>
      </c>
      <c r="E12" s="319">
        <v>3.5</v>
      </c>
      <c r="F12" s="319">
        <v>1.19</v>
      </c>
      <c r="G12" s="319">
        <v>0.24</v>
      </c>
      <c r="H12" s="319">
        <v>1.47</v>
      </c>
      <c r="I12" s="319">
        <v>8.7100000000000009</v>
      </c>
      <c r="J12" s="319" t="s">
        <v>916</v>
      </c>
    </row>
    <row r="13" spans="1:10" s="265" customFormat="1" ht="18" customHeight="1" x14ac:dyDescent="0.2">
      <c r="A13" s="315">
        <v>11</v>
      </c>
      <c r="B13" s="316" t="s">
        <v>1020</v>
      </c>
      <c r="C13" s="317">
        <v>216.4704405</v>
      </c>
      <c r="D13" s="318">
        <v>123059.05526752499</v>
      </c>
      <c r="E13" s="319">
        <v>3.07</v>
      </c>
      <c r="F13" s="319">
        <v>0.79</v>
      </c>
      <c r="G13" s="319">
        <v>0.21</v>
      </c>
      <c r="H13" s="319">
        <v>0.91</v>
      </c>
      <c r="I13" s="319">
        <v>-1.51</v>
      </c>
      <c r="J13" s="319" t="s">
        <v>916</v>
      </c>
    </row>
    <row r="14" spans="1:10" s="265" customFormat="1" ht="18" customHeight="1" x14ac:dyDescent="0.2">
      <c r="A14" s="315">
        <v>12</v>
      </c>
      <c r="B14" s="316" t="s">
        <v>1021</v>
      </c>
      <c r="C14" s="317">
        <v>892.46115339999994</v>
      </c>
      <c r="D14" s="318">
        <v>101453.64455668</v>
      </c>
      <c r="E14" s="319">
        <v>2.5299999999999998</v>
      </c>
      <c r="F14" s="319">
        <v>1.32</v>
      </c>
      <c r="G14" s="319">
        <v>0.28999999999999998</v>
      </c>
      <c r="H14" s="319">
        <v>1.39</v>
      </c>
      <c r="I14" s="319">
        <v>16.12</v>
      </c>
      <c r="J14" s="319" t="s">
        <v>916</v>
      </c>
    </row>
    <row r="15" spans="1:10" s="265" customFormat="1" ht="18" customHeight="1" x14ac:dyDescent="0.2">
      <c r="A15" s="315">
        <v>13</v>
      </c>
      <c r="B15" s="316" t="s">
        <v>1022</v>
      </c>
      <c r="C15" s="317">
        <v>151.04003</v>
      </c>
      <c r="D15" s="317">
        <v>90351.207711399999</v>
      </c>
      <c r="E15" s="319">
        <v>2.25</v>
      </c>
      <c r="F15" s="319">
        <v>1.1100000000000001</v>
      </c>
      <c r="G15" s="319">
        <v>0.28999999999999998</v>
      </c>
      <c r="H15" s="319">
        <v>1.53</v>
      </c>
      <c r="I15" s="319">
        <v>-2.36</v>
      </c>
      <c r="J15" s="319" t="s">
        <v>916</v>
      </c>
    </row>
    <row r="16" spans="1:10" s="265" customFormat="1" ht="18" customHeight="1" x14ac:dyDescent="0.2">
      <c r="A16" s="315">
        <v>14</v>
      </c>
      <c r="B16" s="316" t="s">
        <v>1023</v>
      </c>
      <c r="C16" s="317">
        <v>602.686868</v>
      </c>
      <c r="D16" s="317">
        <v>74465.013171640006</v>
      </c>
      <c r="E16" s="319">
        <v>1.86</v>
      </c>
      <c r="F16" s="319">
        <v>0.9</v>
      </c>
      <c r="G16" s="319">
        <v>0.21</v>
      </c>
      <c r="H16" s="319">
        <v>1.63</v>
      </c>
      <c r="I16" s="319">
        <v>17.2</v>
      </c>
      <c r="J16" s="319" t="s">
        <v>916</v>
      </c>
    </row>
    <row r="17" spans="1:10" s="265" customFormat="1" ht="18" customHeight="1" x14ac:dyDescent="0.2">
      <c r="A17" s="315">
        <v>15</v>
      </c>
      <c r="B17" s="316" t="s">
        <v>1024</v>
      </c>
      <c r="C17" s="317">
        <v>95.919779000000005</v>
      </c>
      <c r="D17" s="317">
        <v>63629.326040159998</v>
      </c>
      <c r="E17" s="319">
        <v>1.59</v>
      </c>
      <c r="F17" s="319">
        <v>0.97</v>
      </c>
      <c r="G17" s="319">
        <v>0.28000000000000003</v>
      </c>
      <c r="H17" s="319">
        <v>1.01</v>
      </c>
      <c r="I17" s="319">
        <v>5.86</v>
      </c>
      <c r="J17" s="319" t="s">
        <v>916</v>
      </c>
    </row>
    <row r="18" spans="1:10" s="265" customFormat="1" ht="18" customHeight="1" x14ac:dyDescent="0.2">
      <c r="A18" s="315">
        <v>16</v>
      </c>
      <c r="B18" s="316" t="s">
        <v>1025</v>
      </c>
      <c r="C18" s="317">
        <v>115.5861776</v>
      </c>
      <c r="D18" s="317">
        <v>63253.270740599997</v>
      </c>
      <c r="E18" s="319">
        <v>1.58</v>
      </c>
      <c r="F18" s="319">
        <v>1.38</v>
      </c>
      <c r="G18" s="319">
        <v>0.24</v>
      </c>
      <c r="H18" s="319">
        <v>1.55</v>
      </c>
      <c r="I18" s="319">
        <v>12.43</v>
      </c>
      <c r="J18" s="319" t="s">
        <v>916</v>
      </c>
    </row>
    <row r="19" spans="1:10" s="265" customFormat="1" ht="18" customHeight="1" x14ac:dyDescent="0.2">
      <c r="A19" s="315">
        <v>17</v>
      </c>
      <c r="B19" s="316" t="s">
        <v>1026</v>
      </c>
      <c r="C19" s="317">
        <v>278.50550879999997</v>
      </c>
      <c r="D19" s="317">
        <v>60988.379599979999</v>
      </c>
      <c r="E19" s="319">
        <v>1.52</v>
      </c>
      <c r="F19" s="319">
        <v>0.63</v>
      </c>
      <c r="G19" s="319">
        <v>0.08</v>
      </c>
      <c r="H19" s="319">
        <v>1.39</v>
      </c>
      <c r="I19" s="319">
        <v>3.09</v>
      </c>
      <c r="J19" s="319" t="s">
        <v>916</v>
      </c>
    </row>
    <row r="20" spans="1:10" s="265" customFormat="1" ht="18" customHeight="1" x14ac:dyDescent="0.2">
      <c r="A20" s="315">
        <v>18</v>
      </c>
      <c r="B20" s="316" t="s">
        <v>1027</v>
      </c>
      <c r="C20" s="317">
        <v>621.596272</v>
      </c>
      <c r="D20" s="317">
        <v>60227.684151239999</v>
      </c>
      <c r="E20" s="319">
        <v>1.5</v>
      </c>
      <c r="F20" s="319">
        <v>1.23</v>
      </c>
      <c r="G20" s="319">
        <v>0.31</v>
      </c>
      <c r="H20" s="319">
        <v>1.41</v>
      </c>
      <c r="I20" s="319">
        <v>4.1500000000000004</v>
      </c>
      <c r="J20" s="319" t="s">
        <v>916</v>
      </c>
    </row>
    <row r="21" spans="1:10" s="265" customFormat="1" ht="18" customHeight="1" x14ac:dyDescent="0.2">
      <c r="A21" s="315">
        <v>19</v>
      </c>
      <c r="B21" s="316" t="s">
        <v>1028</v>
      </c>
      <c r="C21" s="317">
        <v>491.68123500000002</v>
      </c>
      <c r="D21" s="317">
        <v>52154.932009010001</v>
      </c>
      <c r="E21" s="319">
        <v>1.3</v>
      </c>
      <c r="F21" s="319">
        <v>0.77</v>
      </c>
      <c r="G21" s="319">
        <v>0.1</v>
      </c>
      <c r="H21" s="319">
        <v>1.49</v>
      </c>
      <c r="I21" s="319">
        <v>-6.99</v>
      </c>
      <c r="J21" s="319" t="s">
        <v>916</v>
      </c>
    </row>
    <row r="22" spans="1:10" s="265" customFormat="1" ht="18" customHeight="1" x14ac:dyDescent="0.2">
      <c r="A22" s="315">
        <v>20</v>
      </c>
      <c r="B22" s="316" t="s">
        <v>1029</v>
      </c>
      <c r="C22" s="317">
        <v>239.92753300000001</v>
      </c>
      <c r="D22" s="317">
        <v>48717.805957295001</v>
      </c>
      <c r="E22" s="319">
        <v>1.22</v>
      </c>
      <c r="F22" s="319">
        <v>0.84</v>
      </c>
      <c r="G22" s="319">
        <v>0.08</v>
      </c>
      <c r="H22" s="319">
        <v>1.92</v>
      </c>
      <c r="I22" s="319">
        <v>7.04</v>
      </c>
      <c r="J22" s="319" t="s">
        <v>916</v>
      </c>
    </row>
    <row r="23" spans="1:10" s="265" customFormat="1" ht="18" customHeight="1" x14ac:dyDescent="0.2">
      <c r="A23" s="315">
        <v>21</v>
      </c>
      <c r="B23" s="316" t="s">
        <v>1030</v>
      </c>
      <c r="C23" s="317">
        <v>9894.5572800000009</v>
      </c>
      <c r="D23" s="317">
        <v>47830.347527749997</v>
      </c>
      <c r="E23" s="319">
        <v>1.19</v>
      </c>
      <c r="F23" s="319">
        <v>0.65</v>
      </c>
      <c r="G23" s="319">
        <v>0.16</v>
      </c>
      <c r="H23" s="319">
        <v>2</v>
      </c>
      <c r="I23" s="319">
        <v>-4.8600000000000003</v>
      </c>
      <c r="J23" s="319" t="s">
        <v>916</v>
      </c>
    </row>
    <row r="24" spans="1:10" s="265" customFormat="1" ht="18" customHeight="1" x14ac:dyDescent="0.2">
      <c r="A24" s="315">
        <v>22</v>
      </c>
      <c r="B24" s="316" t="s">
        <v>1031</v>
      </c>
      <c r="C24" s="317">
        <v>6416.6175899999998</v>
      </c>
      <c r="D24" s="317">
        <v>46285.015971749999</v>
      </c>
      <c r="E24" s="319">
        <v>1.1599999999999999</v>
      </c>
      <c r="F24" s="319">
        <v>1.02</v>
      </c>
      <c r="G24" s="319">
        <v>0.19</v>
      </c>
      <c r="H24" s="319">
        <v>1.98</v>
      </c>
      <c r="I24" s="319">
        <v>6.95</v>
      </c>
      <c r="J24" s="319" t="s">
        <v>916</v>
      </c>
    </row>
    <row r="25" spans="1:10" s="265" customFormat="1" ht="18" customHeight="1" x14ac:dyDescent="0.2">
      <c r="A25" s="315">
        <v>23</v>
      </c>
      <c r="B25" s="316" t="s">
        <v>1032</v>
      </c>
      <c r="C25" s="317">
        <v>463.00660779999998</v>
      </c>
      <c r="D25" s="317">
        <v>42866.550357690001</v>
      </c>
      <c r="E25" s="319">
        <v>1.07</v>
      </c>
      <c r="F25" s="319">
        <v>1.02</v>
      </c>
      <c r="G25" s="319">
        <v>0.04</v>
      </c>
      <c r="H25" s="319">
        <v>4.24</v>
      </c>
      <c r="I25" s="319">
        <v>15.98</v>
      </c>
      <c r="J25" s="319" t="s">
        <v>916</v>
      </c>
    </row>
    <row r="26" spans="1:10" s="265" customFormat="1" ht="18" customHeight="1" x14ac:dyDescent="0.2">
      <c r="A26" s="315">
        <v>24</v>
      </c>
      <c r="B26" s="316" t="s">
        <v>1033</v>
      </c>
      <c r="C26" s="317">
        <v>1206.7870776</v>
      </c>
      <c r="D26" s="317">
        <v>42126.507094699999</v>
      </c>
      <c r="E26" s="319">
        <v>1.05</v>
      </c>
      <c r="F26" s="319">
        <v>0.56999999999999995</v>
      </c>
      <c r="G26" s="319">
        <v>0.09</v>
      </c>
      <c r="H26" s="319">
        <v>1.88</v>
      </c>
      <c r="I26" s="319">
        <v>-44.78</v>
      </c>
      <c r="J26" s="319" t="s">
        <v>916</v>
      </c>
    </row>
    <row r="27" spans="1:10" s="265" customFormat="1" ht="18" customHeight="1" x14ac:dyDescent="0.2">
      <c r="A27" s="315">
        <v>25</v>
      </c>
      <c r="B27" s="316" t="s">
        <v>1034</v>
      </c>
      <c r="C27" s="317">
        <v>5231.5896480000001</v>
      </c>
      <c r="D27" s="317">
        <v>41766.830078895</v>
      </c>
      <c r="E27" s="319">
        <v>1.04</v>
      </c>
      <c r="F27" s="319">
        <v>0.59</v>
      </c>
      <c r="G27" s="319">
        <v>0.13</v>
      </c>
      <c r="H27" s="319">
        <v>1.36</v>
      </c>
      <c r="I27" s="319">
        <v>7.6</v>
      </c>
      <c r="J27" s="319" t="s">
        <v>916</v>
      </c>
    </row>
    <row r="28" spans="1:10" s="265" customFormat="1" ht="18" customHeight="1" x14ac:dyDescent="0.2">
      <c r="A28" s="315">
        <v>26</v>
      </c>
      <c r="B28" s="316" t="s">
        <v>1035</v>
      </c>
      <c r="C28" s="317">
        <v>1998.7000535</v>
      </c>
      <c r="D28" s="317">
        <v>41732.72643468</v>
      </c>
      <c r="E28" s="319">
        <v>1.04</v>
      </c>
      <c r="F28" s="319">
        <v>1.2</v>
      </c>
      <c r="G28" s="319">
        <v>0.19</v>
      </c>
      <c r="H28" s="319">
        <v>2.2400000000000002</v>
      </c>
      <c r="I28" s="319">
        <v>4.5199999999999996</v>
      </c>
      <c r="J28" s="319" t="s">
        <v>916</v>
      </c>
    </row>
    <row r="29" spans="1:10" s="265" customFormat="1" ht="18" customHeight="1" x14ac:dyDescent="0.2">
      <c r="A29" s="315">
        <v>27</v>
      </c>
      <c r="B29" s="316" t="s">
        <v>1036</v>
      </c>
      <c r="C29" s="317">
        <v>6207.4091770000005</v>
      </c>
      <c r="D29" s="317">
        <v>38393.819716290003</v>
      </c>
      <c r="E29" s="319">
        <v>0.96</v>
      </c>
      <c r="F29" s="319">
        <v>0.41</v>
      </c>
      <c r="G29" s="319">
        <v>0.04</v>
      </c>
      <c r="H29" s="319">
        <v>1.71</v>
      </c>
      <c r="I29" s="319">
        <v>3.75</v>
      </c>
      <c r="J29" s="319" t="s">
        <v>916</v>
      </c>
    </row>
    <row r="30" spans="1:10" s="265" customFormat="1" ht="18" customHeight="1" x14ac:dyDescent="0.2">
      <c r="A30" s="315">
        <v>28</v>
      </c>
      <c r="B30" s="316" t="s">
        <v>1037</v>
      </c>
      <c r="C30" s="317">
        <v>1126.4910850000001</v>
      </c>
      <c r="D30" s="317">
        <v>38365.021671779999</v>
      </c>
      <c r="E30" s="319">
        <v>0.96</v>
      </c>
      <c r="F30" s="319">
        <v>1.37</v>
      </c>
      <c r="G30" s="319">
        <v>0.28000000000000003</v>
      </c>
      <c r="H30" s="319">
        <v>1.82</v>
      </c>
      <c r="I30" s="319">
        <v>3.94</v>
      </c>
      <c r="J30" s="319" t="s">
        <v>916</v>
      </c>
    </row>
    <row r="31" spans="1:10" s="265" customFormat="1" ht="18" customHeight="1" x14ac:dyDescent="0.2">
      <c r="A31" s="315">
        <v>29</v>
      </c>
      <c r="B31" s="316" t="s">
        <v>1038</v>
      </c>
      <c r="C31" s="317">
        <v>289.36702000000002</v>
      </c>
      <c r="D31" s="317">
        <v>36726.774731240002</v>
      </c>
      <c r="E31" s="319">
        <v>0.92</v>
      </c>
      <c r="F31" s="319">
        <v>0.98</v>
      </c>
      <c r="G31" s="319">
        <v>0.22</v>
      </c>
      <c r="H31" s="319">
        <v>1.1200000000000001</v>
      </c>
      <c r="I31" s="319">
        <v>0.36</v>
      </c>
      <c r="J31" s="319" t="s">
        <v>916</v>
      </c>
    </row>
    <row r="32" spans="1:10" s="265" customFormat="1" ht="18" customHeight="1" x14ac:dyDescent="0.2">
      <c r="A32" s="315">
        <v>30</v>
      </c>
      <c r="B32" s="316" t="s">
        <v>1039</v>
      </c>
      <c r="C32" s="317">
        <v>9711.8099280000006</v>
      </c>
      <c r="D32" s="317">
        <v>34630.454892779999</v>
      </c>
      <c r="E32" s="319">
        <v>0.86</v>
      </c>
      <c r="F32" s="319">
        <v>1.31</v>
      </c>
      <c r="G32" s="319">
        <v>0.17</v>
      </c>
      <c r="H32" s="319">
        <v>2.3199999999999998</v>
      </c>
      <c r="I32" s="319">
        <v>11.21</v>
      </c>
      <c r="J32" s="319" t="s">
        <v>916</v>
      </c>
    </row>
    <row r="33" spans="1:11" s="265" customFormat="1" ht="18" customHeight="1" x14ac:dyDescent="0.2">
      <c r="A33" s="315">
        <v>31</v>
      </c>
      <c r="B33" s="316" t="s">
        <v>1040</v>
      </c>
      <c r="C33" s="317">
        <v>39.945376799999998</v>
      </c>
      <c r="D33" s="317">
        <v>34310.701472170003</v>
      </c>
      <c r="E33" s="319">
        <v>0.86</v>
      </c>
      <c r="F33" s="319">
        <v>0.96</v>
      </c>
      <c r="G33" s="319">
        <v>0.19</v>
      </c>
      <c r="H33" s="319">
        <v>1.87</v>
      </c>
      <c r="I33" s="319">
        <v>-2.94</v>
      </c>
      <c r="J33" s="319" t="s">
        <v>916</v>
      </c>
    </row>
    <row r="34" spans="1:11" s="265" customFormat="1" ht="18" customHeight="1" x14ac:dyDescent="0.2">
      <c r="A34" s="315">
        <v>32</v>
      </c>
      <c r="B34" s="316" t="s">
        <v>1041</v>
      </c>
      <c r="C34" s="317">
        <v>85.541694000000007</v>
      </c>
      <c r="D34" s="317">
        <v>33323.2312819</v>
      </c>
      <c r="E34" s="319">
        <v>0.83</v>
      </c>
      <c r="F34" s="319">
        <v>0.61</v>
      </c>
      <c r="G34" s="319">
        <v>0.06</v>
      </c>
      <c r="H34" s="319">
        <v>1.5</v>
      </c>
      <c r="I34" s="319">
        <v>5.34</v>
      </c>
      <c r="J34" s="319" t="s">
        <v>916</v>
      </c>
    </row>
    <row r="35" spans="1:11" s="265" customFormat="1" ht="18" customHeight="1" x14ac:dyDescent="0.2">
      <c r="A35" s="315">
        <v>33</v>
      </c>
      <c r="B35" s="316" t="s">
        <v>1042</v>
      </c>
      <c r="C35" s="317">
        <v>577.46973879999996</v>
      </c>
      <c r="D35" s="317">
        <v>32137.892025329998</v>
      </c>
      <c r="E35" s="319">
        <v>0.8</v>
      </c>
      <c r="F35" s="319">
        <v>1.47</v>
      </c>
      <c r="G35" s="319">
        <v>0.21</v>
      </c>
      <c r="H35" s="319">
        <v>3.3</v>
      </c>
      <c r="I35" s="319">
        <v>-1.84</v>
      </c>
      <c r="J35" s="319" t="s">
        <v>916</v>
      </c>
    </row>
    <row r="36" spans="1:11" s="265" customFormat="1" ht="18" customHeight="1" x14ac:dyDescent="0.2">
      <c r="A36" s="315">
        <v>34</v>
      </c>
      <c r="B36" s="316" t="s">
        <v>1043</v>
      </c>
      <c r="C36" s="317">
        <v>371.7196639</v>
      </c>
      <c r="D36" s="317">
        <v>31145.53078406</v>
      </c>
      <c r="E36" s="319">
        <v>0.78</v>
      </c>
      <c r="F36" s="319">
        <v>1.41</v>
      </c>
      <c r="G36" s="319">
        <v>0.19</v>
      </c>
      <c r="H36" s="319">
        <v>2.95</v>
      </c>
      <c r="I36" s="319">
        <v>8.16</v>
      </c>
      <c r="J36" s="319" t="s">
        <v>916</v>
      </c>
    </row>
    <row r="37" spans="1:11" s="265" customFormat="1" ht="18" customHeight="1" x14ac:dyDescent="0.2">
      <c r="A37" s="315">
        <v>35</v>
      </c>
      <c r="B37" s="316" t="s">
        <v>1044</v>
      </c>
      <c r="C37" s="317">
        <v>131.51967260000001</v>
      </c>
      <c r="D37" s="317">
        <v>30478.678487519999</v>
      </c>
      <c r="E37" s="319">
        <v>0.76</v>
      </c>
      <c r="F37" s="319">
        <v>1.1599999999999999</v>
      </c>
      <c r="G37" s="319">
        <v>0.25</v>
      </c>
      <c r="H37" s="319">
        <v>1.64</v>
      </c>
      <c r="I37" s="319">
        <v>9.43</v>
      </c>
      <c r="J37" s="319" t="s">
        <v>916</v>
      </c>
    </row>
    <row r="38" spans="1:11" s="265" customFormat="1" ht="18" customHeight="1" x14ac:dyDescent="0.2">
      <c r="A38" s="315">
        <v>36</v>
      </c>
      <c r="B38" s="316" t="s">
        <v>1045</v>
      </c>
      <c r="C38" s="317">
        <v>224.55302449999999</v>
      </c>
      <c r="D38" s="317">
        <v>28632.563812125001</v>
      </c>
      <c r="E38" s="319">
        <v>0.71</v>
      </c>
      <c r="F38" s="319">
        <v>1.55</v>
      </c>
      <c r="G38" s="319">
        <v>0.26</v>
      </c>
      <c r="H38" s="319">
        <v>1.61</v>
      </c>
      <c r="I38" s="319">
        <v>4.74</v>
      </c>
      <c r="J38" s="319" t="s">
        <v>916</v>
      </c>
    </row>
    <row r="39" spans="1:11" s="265" customFormat="1" ht="18" customHeight="1" x14ac:dyDescent="0.2">
      <c r="A39" s="315">
        <v>37</v>
      </c>
      <c r="B39" s="316" t="s">
        <v>1046</v>
      </c>
      <c r="C39" s="317">
        <v>27.28257</v>
      </c>
      <c r="D39" s="317">
        <v>27455.764151930001</v>
      </c>
      <c r="E39" s="319">
        <v>0.69</v>
      </c>
      <c r="F39" s="319">
        <v>1.37</v>
      </c>
      <c r="G39" s="319">
        <v>0.26</v>
      </c>
      <c r="H39" s="319">
        <v>2.41</v>
      </c>
      <c r="I39" s="319">
        <v>3.3</v>
      </c>
      <c r="J39" s="319" t="s">
        <v>916</v>
      </c>
    </row>
    <row r="40" spans="1:11" s="265" customFormat="1" ht="18" customHeight="1" x14ac:dyDescent="0.2">
      <c r="A40" s="315">
        <v>38</v>
      </c>
      <c r="B40" s="316" t="s">
        <v>1047</v>
      </c>
      <c r="C40" s="317">
        <v>2169.2140439999998</v>
      </c>
      <c r="D40" s="317">
        <v>26269.122831684999</v>
      </c>
      <c r="E40" s="319">
        <v>0.66</v>
      </c>
      <c r="F40" s="319">
        <v>1.33</v>
      </c>
      <c r="G40" s="319">
        <v>0.15</v>
      </c>
      <c r="H40" s="319">
        <v>2.25</v>
      </c>
      <c r="I40" s="319">
        <v>15.09</v>
      </c>
      <c r="J40" s="319" t="s">
        <v>916</v>
      </c>
    </row>
    <row r="41" spans="1:11" s="265" customFormat="1" ht="18" customHeight="1" x14ac:dyDescent="0.2">
      <c r="A41" s="315">
        <v>39</v>
      </c>
      <c r="B41" s="316" t="s">
        <v>1048</v>
      </c>
      <c r="C41" s="317">
        <v>96.04665</v>
      </c>
      <c r="D41" s="317">
        <v>26168.16246096</v>
      </c>
      <c r="E41" s="319">
        <v>0.65</v>
      </c>
      <c r="F41" s="319">
        <v>0.71</v>
      </c>
      <c r="G41" s="319">
        <v>0.04</v>
      </c>
      <c r="H41" s="319">
        <v>4.03</v>
      </c>
      <c r="I41" s="319">
        <v>-4.76</v>
      </c>
      <c r="J41" s="319" t="s">
        <v>916</v>
      </c>
    </row>
    <row r="42" spans="1:11" s="265" customFormat="1" ht="18" customHeight="1" x14ac:dyDescent="0.2">
      <c r="A42" s="315">
        <v>40</v>
      </c>
      <c r="B42" s="316" t="s">
        <v>1049</v>
      </c>
      <c r="C42" s="317">
        <v>414.19035220000001</v>
      </c>
      <c r="D42" s="317">
        <v>25439.826598094998</v>
      </c>
      <c r="E42" s="319">
        <v>0.63</v>
      </c>
      <c r="F42" s="319">
        <v>1.4</v>
      </c>
      <c r="G42" s="319">
        <v>0.24</v>
      </c>
      <c r="H42" s="319">
        <v>2.59</v>
      </c>
      <c r="I42" s="319">
        <v>13.83</v>
      </c>
      <c r="J42" s="319" t="s">
        <v>916</v>
      </c>
    </row>
    <row r="43" spans="1:11" s="265" customFormat="1" ht="18.75" customHeight="1" x14ac:dyDescent="0.2">
      <c r="A43" s="420" t="s">
        <v>105</v>
      </c>
      <c r="B43" s="420"/>
      <c r="C43" s="420"/>
      <c r="D43" s="420"/>
      <c r="E43" s="420"/>
      <c r="F43" s="420"/>
      <c r="G43" s="420"/>
      <c r="H43" s="420"/>
      <c r="I43" s="420"/>
      <c r="J43" s="420"/>
      <c r="K43" s="420"/>
    </row>
    <row r="44" spans="1:11" s="265" customFormat="1" ht="18" customHeight="1" x14ac:dyDescent="0.2">
      <c r="A44" s="420" t="s">
        <v>460</v>
      </c>
      <c r="B44" s="420"/>
      <c r="C44" s="420"/>
      <c r="D44" s="420"/>
      <c r="E44" s="420"/>
      <c r="F44" s="420"/>
      <c r="G44" s="420"/>
      <c r="H44" s="420"/>
      <c r="I44" s="420"/>
      <c r="J44" s="420"/>
      <c r="K44" s="420"/>
    </row>
    <row r="45" spans="1:11" s="265" customFormat="1" ht="18" customHeight="1" x14ac:dyDescent="0.2">
      <c r="A45" s="420" t="s">
        <v>461</v>
      </c>
      <c r="B45" s="420"/>
      <c r="C45" s="420"/>
      <c r="D45" s="420"/>
      <c r="E45" s="420"/>
      <c r="F45" s="420"/>
      <c r="G45" s="420"/>
      <c r="H45" s="420"/>
      <c r="I45" s="420"/>
      <c r="J45" s="420"/>
      <c r="K45" s="420"/>
    </row>
    <row r="46" spans="1:11" s="265" customFormat="1" ht="18" customHeight="1" x14ac:dyDescent="0.2">
      <c r="A46" s="420" t="s">
        <v>462</v>
      </c>
      <c r="B46" s="420"/>
      <c r="C46" s="420"/>
      <c r="D46" s="420"/>
      <c r="E46" s="420"/>
      <c r="F46" s="420"/>
      <c r="G46" s="420"/>
      <c r="H46" s="420"/>
      <c r="I46" s="420"/>
      <c r="J46" s="420"/>
      <c r="K46" s="420"/>
    </row>
    <row r="47" spans="1:11" s="265" customFormat="1" ht="18" customHeight="1" x14ac:dyDescent="0.2">
      <c r="A47" s="420" t="s">
        <v>463</v>
      </c>
      <c r="B47" s="420"/>
      <c r="C47" s="420"/>
      <c r="D47" s="420"/>
      <c r="E47" s="420"/>
      <c r="F47" s="420"/>
      <c r="G47" s="420"/>
      <c r="H47" s="420"/>
      <c r="I47" s="420"/>
      <c r="J47" s="420"/>
      <c r="K47" s="420"/>
    </row>
    <row r="48" spans="1:11" s="265" customFormat="1" ht="18" customHeight="1" x14ac:dyDescent="0.2">
      <c r="A48" s="420" t="s">
        <v>464</v>
      </c>
      <c r="B48" s="420"/>
      <c r="C48" s="420"/>
      <c r="D48" s="420"/>
      <c r="E48" s="420"/>
      <c r="F48" s="420"/>
      <c r="G48" s="420"/>
      <c r="H48" s="420"/>
      <c r="I48" s="420"/>
      <c r="J48" s="420"/>
      <c r="K48" s="420"/>
    </row>
    <row r="49" s="265" customFormat="1" ht="28.35" customHeight="1" x14ac:dyDescent="0.2"/>
  </sheetData>
  <mergeCells count="7">
    <mergeCell ref="A48:K48"/>
    <mergeCell ref="A1:B1"/>
    <mergeCell ref="A43:K43"/>
    <mergeCell ref="A44:K44"/>
    <mergeCell ref="A45:K45"/>
    <mergeCell ref="A46:K46"/>
    <mergeCell ref="A47:K4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J21"/>
  <sheetViews>
    <sheetView workbookViewId="0">
      <selection sqref="A1:G1"/>
    </sheetView>
  </sheetViews>
  <sheetFormatPr defaultRowHeight="12.75" x14ac:dyDescent="0.2"/>
  <cols>
    <col min="1" max="10" width="10.7109375" style="262" bestFit="1" customWidth="1"/>
    <col min="11" max="11" width="4.7109375" style="262" bestFit="1" customWidth="1"/>
    <col min="12" max="256" width="9.140625" style="262"/>
    <col min="257" max="266" width="10.7109375" style="262" bestFit="1" customWidth="1"/>
    <col min="267" max="267" width="4.7109375" style="262" bestFit="1" customWidth="1"/>
    <col min="268" max="512" width="9.140625" style="262"/>
    <col min="513" max="522" width="10.7109375" style="262" bestFit="1" customWidth="1"/>
    <col min="523" max="523" width="4.7109375" style="262" bestFit="1" customWidth="1"/>
    <col min="524" max="768" width="9.140625" style="262"/>
    <col min="769" max="778" width="10.7109375" style="262" bestFit="1" customWidth="1"/>
    <col min="779" max="779" width="4.7109375" style="262" bestFit="1" customWidth="1"/>
    <col min="780" max="1024" width="9.140625" style="262"/>
    <col min="1025" max="1034" width="10.7109375" style="262" bestFit="1" customWidth="1"/>
    <col min="1035" max="1035" width="4.7109375" style="262" bestFit="1" customWidth="1"/>
    <col min="1036" max="1280" width="9.140625" style="262"/>
    <col min="1281" max="1290" width="10.7109375" style="262" bestFit="1" customWidth="1"/>
    <col min="1291" max="1291" width="4.7109375" style="262" bestFit="1" customWidth="1"/>
    <col min="1292" max="1536" width="9.140625" style="262"/>
    <col min="1537" max="1546" width="10.7109375" style="262" bestFit="1" customWidth="1"/>
    <col min="1547" max="1547" width="4.7109375" style="262" bestFit="1" customWidth="1"/>
    <col min="1548" max="1792" width="9.140625" style="262"/>
    <col min="1793" max="1802" width="10.7109375" style="262" bestFit="1" customWidth="1"/>
    <col min="1803" max="1803" width="4.7109375" style="262" bestFit="1" customWidth="1"/>
    <col min="1804" max="2048" width="9.140625" style="262"/>
    <col min="2049" max="2058" width="10.7109375" style="262" bestFit="1" customWidth="1"/>
    <col min="2059" max="2059" width="4.7109375" style="262" bestFit="1" customWidth="1"/>
    <col min="2060" max="2304" width="9.140625" style="262"/>
    <col min="2305" max="2314" width="10.7109375" style="262" bestFit="1" customWidth="1"/>
    <col min="2315" max="2315" width="4.7109375" style="262" bestFit="1" customWidth="1"/>
    <col min="2316" max="2560" width="9.140625" style="262"/>
    <col min="2561" max="2570" width="10.7109375" style="262" bestFit="1" customWidth="1"/>
    <col min="2571" max="2571" width="4.7109375" style="262" bestFit="1" customWidth="1"/>
    <col min="2572" max="2816" width="9.140625" style="262"/>
    <col min="2817" max="2826" width="10.7109375" style="262" bestFit="1" customWidth="1"/>
    <col min="2827" max="2827" width="4.7109375" style="262" bestFit="1" customWidth="1"/>
    <col min="2828" max="3072" width="9.140625" style="262"/>
    <col min="3073" max="3082" width="10.7109375" style="262" bestFit="1" customWidth="1"/>
    <col min="3083" max="3083" width="4.7109375" style="262" bestFit="1" customWidth="1"/>
    <col min="3084" max="3328" width="9.140625" style="262"/>
    <col min="3329" max="3338" width="10.7109375" style="262" bestFit="1" customWidth="1"/>
    <col min="3339" max="3339" width="4.7109375" style="262" bestFit="1" customWidth="1"/>
    <col min="3340" max="3584" width="9.140625" style="262"/>
    <col min="3585" max="3594" width="10.7109375" style="262" bestFit="1" customWidth="1"/>
    <col min="3595" max="3595" width="4.7109375" style="262" bestFit="1" customWidth="1"/>
    <col min="3596" max="3840" width="9.140625" style="262"/>
    <col min="3841" max="3850" width="10.7109375" style="262" bestFit="1" customWidth="1"/>
    <col min="3851" max="3851" width="4.7109375" style="262" bestFit="1" customWidth="1"/>
    <col min="3852" max="4096" width="9.140625" style="262"/>
    <col min="4097" max="4106" width="10.7109375" style="262" bestFit="1" customWidth="1"/>
    <col min="4107" max="4107" width="4.7109375" style="262" bestFit="1" customWidth="1"/>
    <col min="4108" max="4352" width="9.140625" style="262"/>
    <col min="4353" max="4362" width="10.7109375" style="262" bestFit="1" customWidth="1"/>
    <col min="4363" max="4363" width="4.7109375" style="262" bestFit="1" customWidth="1"/>
    <col min="4364" max="4608" width="9.140625" style="262"/>
    <col min="4609" max="4618" width="10.7109375" style="262" bestFit="1" customWidth="1"/>
    <col min="4619" max="4619" width="4.7109375" style="262" bestFit="1" customWidth="1"/>
    <col min="4620" max="4864" width="9.140625" style="262"/>
    <col min="4865" max="4874" width="10.7109375" style="262" bestFit="1" customWidth="1"/>
    <col min="4875" max="4875" width="4.7109375" style="262" bestFit="1" customWidth="1"/>
    <col min="4876" max="5120" width="9.140625" style="262"/>
    <col min="5121" max="5130" width="10.7109375" style="262" bestFit="1" customWidth="1"/>
    <col min="5131" max="5131" width="4.7109375" style="262" bestFit="1" customWidth="1"/>
    <col min="5132" max="5376" width="9.140625" style="262"/>
    <col min="5377" max="5386" width="10.7109375" style="262" bestFit="1" customWidth="1"/>
    <col min="5387" max="5387" width="4.7109375" style="262" bestFit="1" customWidth="1"/>
    <col min="5388" max="5632" width="9.140625" style="262"/>
    <col min="5633" max="5642" width="10.7109375" style="262" bestFit="1" customWidth="1"/>
    <col min="5643" max="5643" width="4.7109375" style="262" bestFit="1" customWidth="1"/>
    <col min="5644" max="5888" width="9.140625" style="262"/>
    <col min="5889" max="5898" width="10.7109375" style="262" bestFit="1" customWidth="1"/>
    <col min="5899" max="5899" width="4.7109375" style="262" bestFit="1" customWidth="1"/>
    <col min="5900" max="6144" width="9.140625" style="262"/>
    <col min="6145" max="6154" width="10.7109375" style="262" bestFit="1" customWidth="1"/>
    <col min="6155" max="6155" width="4.7109375" style="262" bestFit="1" customWidth="1"/>
    <col min="6156" max="6400" width="9.140625" style="262"/>
    <col min="6401" max="6410" width="10.7109375" style="262" bestFit="1" customWidth="1"/>
    <col min="6411" max="6411" width="4.7109375" style="262" bestFit="1" customWidth="1"/>
    <col min="6412" max="6656" width="9.140625" style="262"/>
    <col min="6657" max="6666" width="10.7109375" style="262" bestFit="1" customWidth="1"/>
    <col min="6667" max="6667" width="4.7109375" style="262" bestFit="1" customWidth="1"/>
    <col min="6668" max="6912" width="9.140625" style="262"/>
    <col min="6913" max="6922" width="10.7109375" style="262" bestFit="1" customWidth="1"/>
    <col min="6923" max="6923" width="4.7109375" style="262" bestFit="1" customWidth="1"/>
    <col min="6924" max="7168" width="9.140625" style="262"/>
    <col min="7169" max="7178" width="10.7109375" style="262" bestFit="1" customWidth="1"/>
    <col min="7179" max="7179" width="4.7109375" style="262" bestFit="1" customWidth="1"/>
    <col min="7180" max="7424" width="9.140625" style="262"/>
    <col min="7425" max="7434" width="10.7109375" style="262" bestFit="1" customWidth="1"/>
    <col min="7435" max="7435" width="4.7109375" style="262" bestFit="1" customWidth="1"/>
    <col min="7436" max="7680" width="9.140625" style="262"/>
    <col min="7681" max="7690" width="10.7109375" style="262" bestFit="1" customWidth="1"/>
    <col min="7691" max="7691" width="4.7109375" style="262" bestFit="1" customWidth="1"/>
    <col min="7692" max="7936" width="9.140625" style="262"/>
    <col min="7937" max="7946" width="10.7109375" style="262" bestFit="1" customWidth="1"/>
    <col min="7947" max="7947" width="4.7109375" style="262" bestFit="1" customWidth="1"/>
    <col min="7948" max="8192" width="9.140625" style="262"/>
    <col min="8193" max="8202" width="10.7109375" style="262" bestFit="1" customWidth="1"/>
    <col min="8203" max="8203" width="4.7109375" style="262" bestFit="1" customWidth="1"/>
    <col min="8204" max="8448" width="9.140625" style="262"/>
    <col min="8449" max="8458" width="10.7109375" style="262" bestFit="1" customWidth="1"/>
    <col min="8459" max="8459" width="4.7109375" style="262" bestFit="1" customWidth="1"/>
    <col min="8460" max="8704" width="9.140625" style="262"/>
    <col min="8705" max="8714" width="10.7109375" style="262" bestFit="1" customWidth="1"/>
    <col min="8715" max="8715" width="4.7109375" style="262" bestFit="1" customWidth="1"/>
    <col min="8716" max="8960" width="9.140625" style="262"/>
    <col min="8961" max="8970" width="10.7109375" style="262" bestFit="1" customWidth="1"/>
    <col min="8971" max="8971" width="4.7109375" style="262" bestFit="1" customWidth="1"/>
    <col min="8972" max="9216" width="9.140625" style="262"/>
    <col min="9217" max="9226" width="10.7109375" style="262" bestFit="1" customWidth="1"/>
    <col min="9227" max="9227" width="4.7109375" style="262" bestFit="1" customWidth="1"/>
    <col min="9228" max="9472" width="9.140625" style="262"/>
    <col min="9473" max="9482" width="10.7109375" style="262" bestFit="1" customWidth="1"/>
    <col min="9483" max="9483" width="4.7109375" style="262" bestFit="1" customWidth="1"/>
    <col min="9484" max="9728" width="9.140625" style="262"/>
    <col min="9729" max="9738" width="10.7109375" style="262" bestFit="1" customWidth="1"/>
    <col min="9739" max="9739" width="4.7109375" style="262" bestFit="1" customWidth="1"/>
    <col min="9740" max="9984" width="9.140625" style="262"/>
    <col min="9985" max="9994" width="10.7109375" style="262" bestFit="1" customWidth="1"/>
    <col min="9995" max="9995" width="4.7109375" style="262" bestFit="1" customWidth="1"/>
    <col min="9996" max="10240" width="9.140625" style="262"/>
    <col min="10241" max="10250" width="10.7109375" style="262" bestFit="1" customWidth="1"/>
    <col min="10251" max="10251" width="4.7109375" style="262" bestFit="1" customWidth="1"/>
    <col min="10252" max="10496" width="9.140625" style="262"/>
    <col min="10497" max="10506" width="10.7109375" style="262" bestFit="1" customWidth="1"/>
    <col min="10507" max="10507" width="4.7109375" style="262" bestFit="1" customWidth="1"/>
    <col min="10508" max="10752" width="9.140625" style="262"/>
    <col min="10753" max="10762" width="10.7109375" style="262" bestFit="1" customWidth="1"/>
    <col min="10763" max="10763" width="4.7109375" style="262" bestFit="1" customWidth="1"/>
    <col min="10764" max="11008" width="9.140625" style="262"/>
    <col min="11009" max="11018" width="10.7109375" style="262" bestFit="1" customWidth="1"/>
    <col min="11019" max="11019" width="4.7109375" style="262" bestFit="1" customWidth="1"/>
    <col min="11020" max="11264" width="9.140625" style="262"/>
    <col min="11265" max="11274" width="10.7109375" style="262" bestFit="1" customWidth="1"/>
    <col min="11275" max="11275" width="4.7109375" style="262" bestFit="1" customWidth="1"/>
    <col min="11276" max="11520" width="9.140625" style="262"/>
    <col min="11521" max="11530" width="10.7109375" style="262" bestFit="1" customWidth="1"/>
    <col min="11531" max="11531" width="4.7109375" style="262" bestFit="1" customWidth="1"/>
    <col min="11532" max="11776" width="9.140625" style="262"/>
    <col min="11777" max="11786" width="10.7109375" style="262" bestFit="1" customWidth="1"/>
    <col min="11787" max="11787" width="4.7109375" style="262" bestFit="1" customWidth="1"/>
    <col min="11788" max="12032" width="9.140625" style="262"/>
    <col min="12033" max="12042" width="10.7109375" style="262" bestFit="1" customWidth="1"/>
    <col min="12043" max="12043" width="4.7109375" style="262" bestFit="1" customWidth="1"/>
    <col min="12044" max="12288" width="9.140625" style="262"/>
    <col min="12289" max="12298" width="10.7109375" style="262" bestFit="1" customWidth="1"/>
    <col min="12299" max="12299" width="4.7109375" style="262" bestFit="1" customWidth="1"/>
    <col min="12300" max="12544" width="9.140625" style="262"/>
    <col min="12545" max="12554" width="10.7109375" style="262" bestFit="1" customWidth="1"/>
    <col min="12555" max="12555" width="4.7109375" style="262" bestFit="1" customWidth="1"/>
    <col min="12556" max="12800" width="9.140625" style="262"/>
    <col min="12801" max="12810" width="10.7109375" style="262" bestFit="1" customWidth="1"/>
    <col min="12811" max="12811" width="4.7109375" style="262" bestFit="1" customWidth="1"/>
    <col min="12812" max="13056" width="9.140625" style="262"/>
    <col min="13057" max="13066" width="10.7109375" style="262" bestFit="1" customWidth="1"/>
    <col min="13067" max="13067" width="4.7109375" style="262" bestFit="1" customWidth="1"/>
    <col min="13068" max="13312" width="9.140625" style="262"/>
    <col min="13313" max="13322" width="10.7109375" style="262" bestFit="1" customWidth="1"/>
    <col min="13323" max="13323" width="4.7109375" style="262" bestFit="1" customWidth="1"/>
    <col min="13324" max="13568" width="9.140625" style="262"/>
    <col min="13569" max="13578" width="10.7109375" style="262" bestFit="1" customWidth="1"/>
    <col min="13579" max="13579" width="4.7109375" style="262" bestFit="1" customWidth="1"/>
    <col min="13580" max="13824" width="9.140625" style="262"/>
    <col min="13825" max="13834" width="10.7109375" style="262" bestFit="1" customWidth="1"/>
    <col min="13835" max="13835" width="4.7109375" style="262" bestFit="1" customWidth="1"/>
    <col min="13836" max="14080" width="9.140625" style="262"/>
    <col min="14081" max="14090" width="10.7109375" style="262" bestFit="1" customWidth="1"/>
    <col min="14091" max="14091" width="4.7109375" style="262" bestFit="1" customWidth="1"/>
    <col min="14092" max="14336" width="9.140625" style="262"/>
    <col min="14337" max="14346" width="10.7109375" style="262" bestFit="1" customWidth="1"/>
    <col min="14347" max="14347" width="4.7109375" style="262" bestFit="1" customWidth="1"/>
    <col min="14348" max="14592" width="9.140625" style="262"/>
    <col min="14593" max="14602" width="10.7109375" style="262" bestFit="1" customWidth="1"/>
    <col min="14603" max="14603" width="4.7109375" style="262" bestFit="1" customWidth="1"/>
    <col min="14604" max="14848" width="9.140625" style="262"/>
    <col min="14849" max="14858" width="10.7109375" style="262" bestFit="1" customWidth="1"/>
    <col min="14859" max="14859" width="4.7109375" style="262" bestFit="1" customWidth="1"/>
    <col min="14860" max="15104" width="9.140625" style="262"/>
    <col min="15105" max="15114" width="10.7109375" style="262" bestFit="1" customWidth="1"/>
    <col min="15115" max="15115" width="4.7109375" style="262" bestFit="1" customWidth="1"/>
    <col min="15116" max="15360" width="9.140625" style="262"/>
    <col min="15361" max="15370" width="10.7109375" style="262" bestFit="1" customWidth="1"/>
    <col min="15371" max="15371" width="4.7109375" style="262" bestFit="1" customWidth="1"/>
    <col min="15372" max="15616" width="9.140625" style="262"/>
    <col min="15617" max="15626" width="10.7109375" style="262" bestFit="1" customWidth="1"/>
    <col min="15627" max="15627" width="4.7109375" style="262" bestFit="1" customWidth="1"/>
    <col min="15628" max="15872" width="9.140625" style="262"/>
    <col min="15873" max="15882" width="10.7109375" style="262" bestFit="1" customWidth="1"/>
    <col min="15883" max="15883" width="4.7109375" style="262" bestFit="1" customWidth="1"/>
    <col min="15884" max="16128" width="9.140625" style="262"/>
    <col min="16129" max="16138" width="10.7109375" style="262" bestFit="1" customWidth="1"/>
    <col min="16139" max="16139" width="4.7109375" style="262" bestFit="1" customWidth="1"/>
    <col min="16140" max="16384" width="9.140625" style="262"/>
  </cols>
  <sheetData>
    <row r="1" spans="1:10" ht="15.75" customHeight="1" x14ac:dyDescent="0.2">
      <c r="A1" s="351" t="s">
        <v>465</v>
      </c>
      <c r="B1" s="351"/>
      <c r="C1" s="351"/>
      <c r="D1" s="351"/>
      <c r="E1" s="351"/>
      <c r="F1" s="351"/>
      <c r="G1" s="351"/>
    </row>
    <row r="2" spans="1:10" s="265" customFormat="1" ht="15" customHeight="1" x14ac:dyDescent="0.2">
      <c r="A2" s="355" t="s">
        <v>184</v>
      </c>
      <c r="B2" s="357" t="s">
        <v>257</v>
      </c>
      <c r="C2" s="408"/>
      <c r="D2" s="358"/>
      <c r="E2" s="357" t="s">
        <v>258</v>
      </c>
      <c r="F2" s="408"/>
      <c r="G2" s="358"/>
      <c r="H2" s="357" t="s">
        <v>259</v>
      </c>
      <c r="I2" s="408"/>
      <c r="J2" s="358"/>
    </row>
    <row r="3" spans="1:10" s="265" customFormat="1" ht="37.5" customHeight="1" x14ac:dyDescent="0.2">
      <c r="A3" s="356"/>
      <c r="B3" s="269" t="s">
        <v>466</v>
      </c>
      <c r="C3" s="269" t="s">
        <v>467</v>
      </c>
      <c r="D3" s="269" t="s">
        <v>468</v>
      </c>
      <c r="E3" s="269" t="s">
        <v>466</v>
      </c>
      <c r="F3" s="269" t="s">
        <v>467</v>
      </c>
      <c r="G3" s="269" t="s">
        <v>468</v>
      </c>
      <c r="H3" s="269" t="s">
        <v>466</v>
      </c>
      <c r="I3" s="269" t="s">
        <v>467</v>
      </c>
      <c r="J3" s="269" t="s">
        <v>468</v>
      </c>
    </row>
    <row r="4" spans="1:10" s="265" customFormat="1" ht="15.75" customHeight="1" x14ac:dyDescent="0.2">
      <c r="A4" s="266" t="s">
        <v>69</v>
      </c>
      <c r="B4" s="283">
        <v>703</v>
      </c>
      <c r="C4" s="283">
        <v>2691</v>
      </c>
      <c r="D4" s="320">
        <v>0.26124117400000002</v>
      </c>
      <c r="E4" s="283">
        <v>1202</v>
      </c>
      <c r="F4" s="283">
        <v>512</v>
      </c>
      <c r="G4" s="320">
        <v>2.3479999999999999</v>
      </c>
      <c r="H4" s="271">
        <v>1</v>
      </c>
      <c r="I4" s="271">
        <v>8</v>
      </c>
      <c r="J4" s="307">
        <v>0.13</v>
      </c>
    </row>
    <row r="5" spans="1:10" s="265" customFormat="1" ht="15.75" customHeight="1" x14ac:dyDescent="0.2">
      <c r="A5" s="266" t="s">
        <v>70</v>
      </c>
      <c r="B5" s="283">
        <v>1156</v>
      </c>
      <c r="C5" s="283">
        <v>2730</v>
      </c>
      <c r="D5" s="320">
        <v>0.42344322299999998</v>
      </c>
      <c r="E5" s="283">
        <v>585</v>
      </c>
      <c r="F5" s="283">
        <v>1294</v>
      </c>
      <c r="G5" s="320">
        <v>0.45</v>
      </c>
      <c r="H5" s="271">
        <v>2</v>
      </c>
      <c r="I5" s="271">
        <v>5</v>
      </c>
      <c r="J5" s="307">
        <v>0.4</v>
      </c>
    </row>
    <row r="6" spans="1:10" s="265" customFormat="1" ht="15.75" customHeight="1" x14ac:dyDescent="0.2">
      <c r="A6" s="266" t="s">
        <v>156</v>
      </c>
      <c r="B6" s="283">
        <v>1982</v>
      </c>
      <c r="C6" s="283">
        <v>1449</v>
      </c>
      <c r="D6" s="320">
        <v>1.3678398899999999</v>
      </c>
      <c r="E6" s="283">
        <v>1180</v>
      </c>
      <c r="F6" s="283">
        <v>659</v>
      </c>
      <c r="G6" s="320">
        <v>1.79</v>
      </c>
      <c r="H6" s="271">
        <v>2</v>
      </c>
      <c r="I6" s="271">
        <v>3</v>
      </c>
      <c r="J6" s="307">
        <v>0.67</v>
      </c>
    </row>
    <row r="7" spans="1:10" s="265" customFormat="1" ht="15.75" customHeight="1" x14ac:dyDescent="0.2">
      <c r="A7" s="266" t="s">
        <v>157</v>
      </c>
      <c r="B7" s="283">
        <v>992</v>
      </c>
      <c r="C7" s="283">
        <v>2448</v>
      </c>
      <c r="D7" s="320">
        <v>0.40522875800000002</v>
      </c>
      <c r="E7" s="283">
        <v>486</v>
      </c>
      <c r="F7" s="283">
        <v>1378</v>
      </c>
      <c r="G7" s="320">
        <v>0.35</v>
      </c>
      <c r="H7" s="271">
        <v>0</v>
      </c>
      <c r="I7" s="271">
        <v>4</v>
      </c>
      <c r="J7" s="307">
        <v>0</v>
      </c>
    </row>
    <row r="8" spans="1:10" s="265" customFormat="1" ht="15.75" customHeight="1" x14ac:dyDescent="0.2">
      <c r="A8" s="266" t="s">
        <v>158</v>
      </c>
      <c r="B8" s="283">
        <v>779</v>
      </c>
      <c r="C8" s="283">
        <v>2651</v>
      </c>
      <c r="D8" s="320">
        <v>0.28999999999999998</v>
      </c>
      <c r="E8" s="283">
        <v>361</v>
      </c>
      <c r="F8" s="283">
        <v>1517</v>
      </c>
      <c r="G8" s="320">
        <v>0.24</v>
      </c>
      <c r="H8" s="271">
        <v>0</v>
      </c>
      <c r="I8" s="271">
        <v>2</v>
      </c>
      <c r="J8" s="307">
        <v>0</v>
      </c>
    </row>
    <row r="9" spans="1:10" s="265" customFormat="1" ht="15.75" customHeight="1" x14ac:dyDescent="0.2">
      <c r="A9" s="266" t="s">
        <v>159</v>
      </c>
      <c r="B9" s="283">
        <v>842</v>
      </c>
      <c r="C9" s="283">
        <v>2579</v>
      </c>
      <c r="D9" s="320">
        <v>0.32648313299999998</v>
      </c>
      <c r="E9" s="283">
        <v>415</v>
      </c>
      <c r="F9" s="283">
        <v>1478</v>
      </c>
      <c r="G9" s="320">
        <v>0.28000000000000003</v>
      </c>
      <c r="H9" s="271">
        <v>1</v>
      </c>
      <c r="I9" s="271">
        <v>2</v>
      </c>
      <c r="J9" s="307">
        <v>0.5</v>
      </c>
    </row>
    <row r="10" spans="1:10" s="265" customFormat="1" ht="15.75" customHeight="1" x14ac:dyDescent="0.2">
      <c r="A10" s="266" t="s">
        <v>160</v>
      </c>
      <c r="B10" s="283">
        <v>2080</v>
      </c>
      <c r="C10" s="283">
        <v>1415</v>
      </c>
      <c r="D10" s="320">
        <v>1.4699646639999999</v>
      </c>
      <c r="E10" s="283">
        <v>1254</v>
      </c>
      <c r="F10" s="283">
        <v>637</v>
      </c>
      <c r="G10" s="320">
        <v>1.97</v>
      </c>
      <c r="H10" s="271">
        <v>0</v>
      </c>
      <c r="I10" s="271">
        <v>2</v>
      </c>
      <c r="J10" s="307">
        <v>0</v>
      </c>
    </row>
    <row r="11" spans="1:10" s="265" customFormat="1" ht="15.75" customHeight="1" x14ac:dyDescent="0.2">
      <c r="A11" s="266" t="s">
        <v>161</v>
      </c>
      <c r="B11" s="283">
        <v>1174</v>
      </c>
      <c r="C11" s="283">
        <v>2331</v>
      </c>
      <c r="D11" s="320">
        <v>0.50364650399999999</v>
      </c>
      <c r="E11" s="283">
        <v>532</v>
      </c>
      <c r="F11" s="283">
        <v>1361</v>
      </c>
      <c r="G11" s="320">
        <v>0.39</v>
      </c>
      <c r="H11" s="271">
        <v>1</v>
      </c>
      <c r="I11" s="271">
        <v>1</v>
      </c>
      <c r="J11" s="307">
        <v>1</v>
      </c>
    </row>
    <row r="12" spans="1:10" s="265" customFormat="1" ht="15.75" customHeight="1" x14ac:dyDescent="0.2">
      <c r="A12" s="266" t="s">
        <v>162</v>
      </c>
      <c r="B12" s="283">
        <v>481</v>
      </c>
      <c r="C12" s="283">
        <v>2973</v>
      </c>
      <c r="D12" s="320">
        <v>0.16178943800000001</v>
      </c>
      <c r="E12" s="283">
        <v>159</v>
      </c>
      <c r="F12" s="283">
        <v>1741</v>
      </c>
      <c r="G12" s="320">
        <v>0.09</v>
      </c>
      <c r="H12" s="271">
        <v>1</v>
      </c>
      <c r="I12" s="271">
        <v>0</v>
      </c>
      <c r="J12" s="307">
        <v>0</v>
      </c>
    </row>
    <row r="13" spans="1:10" s="265" customFormat="1" ht="15.75" customHeight="1" x14ac:dyDescent="0.2">
      <c r="A13" s="266" t="s">
        <v>163</v>
      </c>
      <c r="B13" s="283">
        <v>1984</v>
      </c>
      <c r="C13" s="283">
        <v>1457</v>
      </c>
      <c r="D13" s="320">
        <v>1.3617021279999999</v>
      </c>
      <c r="E13" s="283">
        <v>1210</v>
      </c>
      <c r="F13" s="283">
        <v>697</v>
      </c>
      <c r="G13" s="320">
        <v>1.74</v>
      </c>
      <c r="H13" s="271">
        <v>1</v>
      </c>
      <c r="I13" s="271">
        <v>1</v>
      </c>
      <c r="J13" s="307">
        <v>1</v>
      </c>
    </row>
    <row r="14" spans="1:10" s="265" customFormat="1" ht="15.75" customHeight="1" x14ac:dyDescent="0.2">
      <c r="A14" s="266" t="s">
        <v>164</v>
      </c>
      <c r="B14" s="283">
        <v>1314</v>
      </c>
      <c r="C14" s="283">
        <v>2095</v>
      </c>
      <c r="D14" s="320">
        <v>0.62720763700000004</v>
      </c>
      <c r="E14" s="283">
        <v>741</v>
      </c>
      <c r="F14" s="283">
        <v>1169</v>
      </c>
      <c r="G14" s="320">
        <v>0.63</v>
      </c>
      <c r="H14" s="271">
        <v>1</v>
      </c>
      <c r="I14" s="271">
        <v>0</v>
      </c>
      <c r="J14" s="307">
        <v>0</v>
      </c>
    </row>
    <row r="15" spans="1:10" s="265" customFormat="1" ht="15.75" customHeight="1" x14ac:dyDescent="0.2">
      <c r="A15" s="266" t="s">
        <v>165</v>
      </c>
      <c r="B15" s="283">
        <v>1672</v>
      </c>
      <c r="C15" s="283">
        <v>1219</v>
      </c>
      <c r="D15" s="320">
        <v>1.371616079</v>
      </c>
      <c r="E15" s="283">
        <v>789</v>
      </c>
      <c r="F15" s="283">
        <v>1120</v>
      </c>
      <c r="G15" s="320">
        <v>0.7</v>
      </c>
      <c r="H15" s="271">
        <v>1</v>
      </c>
      <c r="I15" s="271">
        <v>2</v>
      </c>
      <c r="J15" s="307">
        <v>0.5</v>
      </c>
    </row>
    <row r="16" spans="1:10" s="265" customFormat="1" ht="15.75" customHeight="1" x14ac:dyDescent="0.2">
      <c r="A16" s="266" t="s">
        <v>166</v>
      </c>
      <c r="B16" s="283">
        <v>558</v>
      </c>
      <c r="C16" s="283">
        <v>2335</v>
      </c>
      <c r="D16" s="320">
        <v>0.23897216299999999</v>
      </c>
      <c r="E16" s="283">
        <v>325</v>
      </c>
      <c r="F16" s="283">
        <v>1588</v>
      </c>
      <c r="G16" s="320">
        <v>0.2</v>
      </c>
      <c r="H16" s="271">
        <v>1</v>
      </c>
      <c r="I16" s="271">
        <v>3</v>
      </c>
      <c r="J16" s="307">
        <v>0.33</v>
      </c>
    </row>
    <row r="17" spans="1:10" s="265" customFormat="1" ht="15.75" customHeight="1" x14ac:dyDescent="0.2">
      <c r="A17" s="266" t="s">
        <v>167</v>
      </c>
      <c r="B17" s="283">
        <v>2324</v>
      </c>
      <c r="C17" s="283">
        <v>1144</v>
      </c>
      <c r="D17" s="320">
        <v>2.0314685309999998</v>
      </c>
      <c r="E17" s="283">
        <v>1544</v>
      </c>
      <c r="F17" s="283">
        <v>376</v>
      </c>
      <c r="G17" s="320">
        <v>4.1100000000000003</v>
      </c>
      <c r="H17" s="271">
        <v>3</v>
      </c>
      <c r="I17" s="271">
        <v>3</v>
      </c>
      <c r="J17" s="307">
        <v>1</v>
      </c>
    </row>
    <row r="18" spans="1:10" s="265" customFormat="1" ht="19.5" customHeight="1" x14ac:dyDescent="0.2">
      <c r="A18" s="353" t="s">
        <v>255</v>
      </c>
      <c r="B18" s="353"/>
      <c r="C18" s="353"/>
      <c r="D18" s="353"/>
      <c r="E18" s="353"/>
      <c r="F18" s="353"/>
    </row>
    <row r="19" spans="1:10" s="265" customFormat="1" ht="18" customHeight="1" x14ac:dyDescent="0.2">
      <c r="A19" s="353" t="s">
        <v>469</v>
      </c>
      <c r="B19" s="353"/>
      <c r="C19" s="353"/>
      <c r="D19" s="353"/>
      <c r="E19" s="353"/>
      <c r="F19" s="353"/>
    </row>
    <row r="20" spans="1:10" s="265" customFormat="1" ht="18" customHeight="1" x14ac:dyDescent="0.2">
      <c r="A20" s="353" t="s">
        <v>249</v>
      </c>
      <c r="B20" s="353"/>
      <c r="C20" s="353"/>
      <c r="D20" s="353"/>
      <c r="E20" s="353"/>
      <c r="F20" s="353"/>
    </row>
    <row r="21" spans="1:10" s="265" customFormat="1" ht="27.6" customHeight="1" x14ac:dyDescent="0.2"/>
  </sheetData>
  <mergeCells count="8">
    <mergeCell ref="H2:J2"/>
    <mergeCell ref="A18:F18"/>
    <mergeCell ref="A19:F19"/>
    <mergeCell ref="A20:F20"/>
    <mergeCell ref="A1:G1"/>
    <mergeCell ref="A2:A3"/>
    <mergeCell ref="B2:D2"/>
    <mergeCell ref="E2:G2"/>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J20"/>
  <sheetViews>
    <sheetView workbookViewId="0">
      <selection sqref="A1:G1"/>
    </sheetView>
  </sheetViews>
  <sheetFormatPr defaultRowHeight="12.75" x14ac:dyDescent="0.2"/>
  <cols>
    <col min="1" max="1" width="9.85546875" style="262" bestFit="1" customWidth="1"/>
    <col min="2" max="10" width="13.5703125" style="262" bestFit="1" customWidth="1"/>
    <col min="11" max="11" width="4.7109375" style="262" bestFit="1" customWidth="1"/>
    <col min="12" max="256" width="9.140625" style="262"/>
    <col min="257" max="257" width="9.85546875" style="262" bestFit="1" customWidth="1"/>
    <col min="258" max="266" width="13.5703125" style="262" bestFit="1" customWidth="1"/>
    <col min="267" max="267" width="4.7109375" style="262" bestFit="1" customWidth="1"/>
    <col min="268" max="512" width="9.140625" style="262"/>
    <col min="513" max="513" width="9.85546875" style="262" bestFit="1" customWidth="1"/>
    <col min="514" max="522" width="13.5703125" style="262" bestFit="1" customWidth="1"/>
    <col min="523" max="523" width="4.7109375" style="262" bestFit="1" customWidth="1"/>
    <col min="524" max="768" width="9.140625" style="262"/>
    <col min="769" max="769" width="9.85546875" style="262" bestFit="1" customWidth="1"/>
    <col min="770" max="778" width="13.5703125" style="262" bestFit="1" customWidth="1"/>
    <col min="779" max="779" width="4.7109375" style="262" bestFit="1" customWidth="1"/>
    <col min="780" max="1024" width="9.140625" style="262"/>
    <col min="1025" max="1025" width="9.85546875" style="262" bestFit="1" customWidth="1"/>
    <col min="1026" max="1034" width="13.5703125" style="262" bestFit="1" customWidth="1"/>
    <col min="1035" max="1035" width="4.7109375" style="262" bestFit="1" customWidth="1"/>
    <col min="1036" max="1280" width="9.140625" style="262"/>
    <col min="1281" max="1281" width="9.85546875" style="262" bestFit="1" customWidth="1"/>
    <col min="1282" max="1290" width="13.5703125" style="262" bestFit="1" customWidth="1"/>
    <col min="1291" max="1291" width="4.7109375" style="262" bestFit="1" customWidth="1"/>
    <col min="1292" max="1536" width="9.140625" style="262"/>
    <col min="1537" max="1537" width="9.85546875" style="262" bestFit="1" customWidth="1"/>
    <col min="1538" max="1546" width="13.5703125" style="262" bestFit="1" customWidth="1"/>
    <col min="1547" max="1547" width="4.7109375" style="262" bestFit="1" customWidth="1"/>
    <col min="1548" max="1792" width="9.140625" style="262"/>
    <col min="1793" max="1793" width="9.85546875" style="262" bestFit="1" customWidth="1"/>
    <col min="1794" max="1802" width="13.5703125" style="262" bestFit="1" customWidth="1"/>
    <col min="1803" max="1803" width="4.7109375" style="262" bestFit="1" customWidth="1"/>
    <col min="1804" max="2048" width="9.140625" style="262"/>
    <col min="2049" max="2049" width="9.85546875" style="262" bestFit="1" customWidth="1"/>
    <col min="2050" max="2058" width="13.5703125" style="262" bestFit="1" customWidth="1"/>
    <col min="2059" max="2059" width="4.7109375" style="262" bestFit="1" customWidth="1"/>
    <col min="2060" max="2304" width="9.140625" style="262"/>
    <col min="2305" max="2305" width="9.85546875" style="262" bestFit="1" customWidth="1"/>
    <col min="2306" max="2314" width="13.5703125" style="262" bestFit="1" customWidth="1"/>
    <col min="2315" max="2315" width="4.7109375" style="262" bestFit="1" customWidth="1"/>
    <col min="2316" max="2560" width="9.140625" style="262"/>
    <col min="2561" max="2561" width="9.85546875" style="262" bestFit="1" customWidth="1"/>
    <col min="2562" max="2570" width="13.5703125" style="262" bestFit="1" customWidth="1"/>
    <col min="2571" max="2571" width="4.7109375" style="262" bestFit="1" customWidth="1"/>
    <col min="2572" max="2816" width="9.140625" style="262"/>
    <col min="2817" max="2817" width="9.85546875" style="262" bestFit="1" customWidth="1"/>
    <col min="2818" max="2826" width="13.5703125" style="262" bestFit="1" customWidth="1"/>
    <col min="2827" max="2827" width="4.7109375" style="262" bestFit="1" customWidth="1"/>
    <col min="2828" max="3072" width="9.140625" style="262"/>
    <col min="3073" max="3073" width="9.85546875" style="262" bestFit="1" customWidth="1"/>
    <col min="3074" max="3082" width="13.5703125" style="262" bestFit="1" customWidth="1"/>
    <col min="3083" max="3083" width="4.7109375" style="262" bestFit="1" customWidth="1"/>
    <col min="3084" max="3328" width="9.140625" style="262"/>
    <col min="3329" max="3329" width="9.85546875" style="262" bestFit="1" customWidth="1"/>
    <col min="3330" max="3338" width="13.5703125" style="262" bestFit="1" customWidth="1"/>
    <col min="3339" max="3339" width="4.7109375" style="262" bestFit="1" customWidth="1"/>
    <col min="3340" max="3584" width="9.140625" style="262"/>
    <col min="3585" max="3585" width="9.85546875" style="262" bestFit="1" customWidth="1"/>
    <col min="3586" max="3594" width="13.5703125" style="262" bestFit="1" customWidth="1"/>
    <col min="3595" max="3595" width="4.7109375" style="262" bestFit="1" customWidth="1"/>
    <col min="3596" max="3840" width="9.140625" style="262"/>
    <col min="3841" max="3841" width="9.85546875" style="262" bestFit="1" customWidth="1"/>
    <col min="3842" max="3850" width="13.5703125" style="262" bestFit="1" customWidth="1"/>
    <col min="3851" max="3851" width="4.7109375" style="262" bestFit="1" customWidth="1"/>
    <col min="3852" max="4096" width="9.140625" style="262"/>
    <col min="4097" max="4097" width="9.85546875" style="262" bestFit="1" customWidth="1"/>
    <col min="4098" max="4106" width="13.5703125" style="262" bestFit="1" customWidth="1"/>
    <col min="4107" max="4107" width="4.7109375" style="262" bestFit="1" customWidth="1"/>
    <col min="4108" max="4352" width="9.140625" style="262"/>
    <col min="4353" max="4353" width="9.85546875" style="262" bestFit="1" customWidth="1"/>
    <col min="4354" max="4362" width="13.5703125" style="262" bestFit="1" customWidth="1"/>
    <col min="4363" max="4363" width="4.7109375" style="262" bestFit="1" customWidth="1"/>
    <col min="4364" max="4608" width="9.140625" style="262"/>
    <col min="4609" max="4609" width="9.85546875" style="262" bestFit="1" customWidth="1"/>
    <col min="4610" max="4618" width="13.5703125" style="262" bestFit="1" customWidth="1"/>
    <col min="4619" max="4619" width="4.7109375" style="262" bestFit="1" customWidth="1"/>
    <col min="4620" max="4864" width="9.140625" style="262"/>
    <col min="4865" max="4865" width="9.85546875" style="262" bestFit="1" customWidth="1"/>
    <col min="4866" max="4874" width="13.5703125" style="262" bestFit="1" customWidth="1"/>
    <col min="4875" max="4875" width="4.7109375" style="262" bestFit="1" customWidth="1"/>
    <col min="4876" max="5120" width="9.140625" style="262"/>
    <col min="5121" max="5121" width="9.85546875" style="262" bestFit="1" customWidth="1"/>
    <col min="5122" max="5130" width="13.5703125" style="262" bestFit="1" customWidth="1"/>
    <col min="5131" max="5131" width="4.7109375" style="262" bestFit="1" customWidth="1"/>
    <col min="5132" max="5376" width="9.140625" style="262"/>
    <col min="5377" max="5377" width="9.85546875" style="262" bestFit="1" customWidth="1"/>
    <col min="5378" max="5386" width="13.5703125" style="262" bestFit="1" customWidth="1"/>
    <col min="5387" max="5387" width="4.7109375" style="262" bestFit="1" customWidth="1"/>
    <col min="5388" max="5632" width="9.140625" style="262"/>
    <col min="5633" max="5633" width="9.85546875" style="262" bestFit="1" customWidth="1"/>
    <col min="5634" max="5642" width="13.5703125" style="262" bestFit="1" customWidth="1"/>
    <col min="5643" max="5643" width="4.7109375" style="262" bestFit="1" customWidth="1"/>
    <col min="5644" max="5888" width="9.140625" style="262"/>
    <col min="5889" max="5889" width="9.85546875" style="262" bestFit="1" customWidth="1"/>
    <col min="5890" max="5898" width="13.5703125" style="262" bestFit="1" customWidth="1"/>
    <col min="5899" max="5899" width="4.7109375" style="262" bestFit="1" customWidth="1"/>
    <col min="5900" max="6144" width="9.140625" style="262"/>
    <col min="6145" max="6145" width="9.85546875" style="262" bestFit="1" customWidth="1"/>
    <col min="6146" max="6154" width="13.5703125" style="262" bestFit="1" customWidth="1"/>
    <col min="6155" max="6155" width="4.7109375" style="262" bestFit="1" customWidth="1"/>
    <col min="6156" max="6400" width="9.140625" style="262"/>
    <col min="6401" max="6401" width="9.85546875" style="262" bestFit="1" customWidth="1"/>
    <col min="6402" max="6410" width="13.5703125" style="262" bestFit="1" customWidth="1"/>
    <col min="6411" max="6411" width="4.7109375" style="262" bestFit="1" customWidth="1"/>
    <col min="6412" max="6656" width="9.140625" style="262"/>
    <col min="6657" max="6657" width="9.85546875" style="262" bestFit="1" customWidth="1"/>
    <col min="6658" max="6666" width="13.5703125" style="262" bestFit="1" customWidth="1"/>
    <col min="6667" max="6667" width="4.7109375" style="262" bestFit="1" customWidth="1"/>
    <col min="6668" max="6912" width="9.140625" style="262"/>
    <col min="6913" max="6913" width="9.85546875" style="262" bestFit="1" customWidth="1"/>
    <col min="6914" max="6922" width="13.5703125" style="262" bestFit="1" customWidth="1"/>
    <col min="6923" max="6923" width="4.7109375" style="262" bestFit="1" customWidth="1"/>
    <col min="6924" max="7168" width="9.140625" style="262"/>
    <col min="7169" max="7169" width="9.85546875" style="262" bestFit="1" customWidth="1"/>
    <col min="7170" max="7178" width="13.5703125" style="262" bestFit="1" customWidth="1"/>
    <col min="7179" max="7179" width="4.7109375" style="262" bestFit="1" customWidth="1"/>
    <col min="7180" max="7424" width="9.140625" style="262"/>
    <col min="7425" max="7425" width="9.85546875" style="262" bestFit="1" customWidth="1"/>
    <col min="7426" max="7434" width="13.5703125" style="262" bestFit="1" customWidth="1"/>
    <col min="7435" max="7435" width="4.7109375" style="262" bestFit="1" customWidth="1"/>
    <col min="7436" max="7680" width="9.140625" style="262"/>
    <col min="7681" max="7681" width="9.85546875" style="262" bestFit="1" customWidth="1"/>
    <col min="7682" max="7690" width="13.5703125" style="262" bestFit="1" customWidth="1"/>
    <col min="7691" max="7691" width="4.7109375" style="262" bestFit="1" customWidth="1"/>
    <col min="7692" max="7936" width="9.140625" style="262"/>
    <col min="7937" max="7937" width="9.85546875" style="262" bestFit="1" customWidth="1"/>
    <col min="7938" max="7946" width="13.5703125" style="262" bestFit="1" customWidth="1"/>
    <col min="7947" max="7947" width="4.7109375" style="262" bestFit="1" customWidth="1"/>
    <col min="7948" max="8192" width="9.140625" style="262"/>
    <col min="8193" max="8193" width="9.85546875" style="262" bestFit="1" customWidth="1"/>
    <col min="8194" max="8202" width="13.5703125" style="262" bestFit="1" customWidth="1"/>
    <col min="8203" max="8203" width="4.7109375" style="262" bestFit="1" customWidth="1"/>
    <col min="8204" max="8448" width="9.140625" style="262"/>
    <col min="8449" max="8449" width="9.85546875" style="262" bestFit="1" customWidth="1"/>
    <col min="8450" max="8458" width="13.5703125" style="262" bestFit="1" customWidth="1"/>
    <col min="8459" max="8459" width="4.7109375" style="262" bestFit="1" customWidth="1"/>
    <col min="8460" max="8704" width="9.140625" style="262"/>
    <col min="8705" max="8705" width="9.85546875" style="262" bestFit="1" customWidth="1"/>
    <col min="8706" max="8714" width="13.5703125" style="262" bestFit="1" customWidth="1"/>
    <col min="8715" max="8715" width="4.7109375" style="262" bestFit="1" customWidth="1"/>
    <col min="8716" max="8960" width="9.140625" style="262"/>
    <col min="8961" max="8961" width="9.85546875" style="262" bestFit="1" customWidth="1"/>
    <col min="8962" max="8970" width="13.5703125" style="262" bestFit="1" customWidth="1"/>
    <col min="8971" max="8971" width="4.7109375" style="262" bestFit="1" customWidth="1"/>
    <col min="8972" max="9216" width="9.140625" style="262"/>
    <col min="9217" max="9217" width="9.85546875" style="262" bestFit="1" customWidth="1"/>
    <col min="9218" max="9226" width="13.5703125" style="262" bestFit="1" customWidth="1"/>
    <col min="9227" max="9227" width="4.7109375" style="262" bestFit="1" customWidth="1"/>
    <col min="9228" max="9472" width="9.140625" style="262"/>
    <col min="9473" max="9473" width="9.85546875" style="262" bestFit="1" customWidth="1"/>
    <col min="9474" max="9482" width="13.5703125" style="262" bestFit="1" customWidth="1"/>
    <col min="9483" max="9483" width="4.7109375" style="262" bestFit="1" customWidth="1"/>
    <col min="9484" max="9728" width="9.140625" style="262"/>
    <col min="9729" max="9729" width="9.85546875" style="262" bestFit="1" customWidth="1"/>
    <col min="9730" max="9738" width="13.5703125" style="262" bestFit="1" customWidth="1"/>
    <col min="9739" max="9739" width="4.7109375" style="262" bestFit="1" customWidth="1"/>
    <col min="9740" max="9984" width="9.140625" style="262"/>
    <col min="9985" max="9985" width="9.85546875" style="262" bestFit="1" customWidth="1"/>
    <col min="9986" max="9994" width="13.5703125" style="262" bestFit="1" customWidth="1"/>
    <col min="9995" max="9995" width="4.7109375" style="262" bestFit="1" customWidth="1"/>
    <col min="9996" max="10240" width="9.140625" style="262"/>
    <col min="10241" max="10241" width="9.85546875" style="262" bestFit="1" customWidth="1"/>
    <col min="10242" max="10250" width="13.5703125" style="262" bestFit="1" customWidth="1"/>
    <col min="10251" max="10251" width="4.7109375" style="262" bestFit="1" customWidth="1"/>
    <col min="10252" max="10496" width="9.140625" style="262"/>
    <col min="10497" max="10497" width="9.85546875" style="262" bestFit="1" customWidth="1"/>
    <col min="10498" max="10506" width="13.5703125" style="262" bestFit="1" customWidth="1"/>
    <col min="10507" max="10507" width="4.7109375" style="262" bestFit="1" customWidth="1"/>
    <col min="10508" max="10752" width="9.140625" style="262"/>
    <col min="10753" max="10753" width="9.85546875" style="262" bestFit="1" customWidth="1"/>
    <col min="10754" max="10762" width="13.5703125" style="262" bestFit="1" customWidth="1"/>
    <col min="10763" max="10763" width="4.7109375" style="262" bestFit="1" customWidth="1"/>
    <col min="10764" max="11008" width="9.140625" style="262"/>
    <col min="11009" max="11009" width="9.85546875" style="262" bestFit="1" customWidth="1"/>
    <col min="11010" max="11018" width="13.5703125" style="262" bestFit="1" customWidth="1"/>
    <col min="11019" max="11019" width="4.7109375" style="262" bestFit="1" customWidth="1"/>
    <col min="11020" max="11264" width="9.140625" style="262"/>
    <col min="11265" max="11265" width="9.85546875" style="262" bestFit="1" customWidth="1"/>
    <col min="11266" max="11274" width="13.5703125" style="262" bestFit="1" customWidth="1"/>
    <col min="11275" max="11275" width="4.7109375" style="262" bestFit="1" customWidth="1"/>
    <col min="11276" max="11520" width="9.140625" style="262"/>
    <col min="11521" max="11521" width="9.85546875" style="262" bestFit="1" customWidth="1"/>
    <col min="11522" max="11530" width="13.5703125" style="262" bestFit="1" customWidth="1"/>
    <col min="11531" max="11531" width="4.7109375" style="262" bestFit="1" customWidth="1"/>
    <col min="11532" max="11776" width="9.140625" style="262"/>
    <col min="11777" max="11777" width="9.85546875" style="262" bestFit="1" customWidth="1"/>
    <col min="11778" max="11786" width="13.5703125" style="262" bestFit="1" customWidth="1"/>
    <col min="11787" max="11787" width="4.7109375" style="262" bestFit="1" customWidth="1"/>
    <col min="11788" max="12032" width="9.140625" style="262"/>
    <col min="12033" max="12033" width="9.85546875" style="262" bestFit="1" customWidth="1"/>
    <col min="12034" max="12042" width="13.5703125" style="262" bestFit="1" customWidth="1"/>
    <col min="12043" max="12043" width="4.7109375" style="262" bestFit="1" customWidth="1"/>
    <col min="12044" max="12288" width="9.140625" style="262"/>
    <col min="12289" max="12289" width="9.85546875" style="262" bestFit="1" customWidth="1"/>
    <col min="12290" max="12298" width="13.5703125" style="262" bestFit="1" customWidth="1"/>
    <col min="12299" max="12299" width="4.7109375" style="262" bestFit="1" customWidth="1"/>
    <col min="12300" max="12544" width="9.140625" style="262"/>
    <col min="12545" max="12545" width="9.85546875" style="262" bestFit="1" customWidth="1"/>
    <col min="12546" max="12554" width="13.5703125" style="262" bestFit="1" customWidth="1"/>
    <col min="12555" max="12555" width="4.7109375" style="262" bestFit="1" customWidth="1"/>
    <col min="12556" max="12800" width="9.140625" style="262"/>
    <col min="12801" max="12801" width="9.85546875" style="262" bestFit="1" customWidth="1"/>
    <col min="12802" max="12810" width="13.5703125" style="262" bestFit="1" customWidth="1"/>
    <col min="12811" max="12811" width="4.7109375" style="262" bestFit="1" customWidth="1"/>
    <col min="12812" max="13056" width="9.140625" style="262"/>
    <col min="13057" max="13057" width="9.85546875" style="262" bestFit="1" customWidth="1"/>
    <col min="13058" max="13066" width="13.5703125" style="262" bestFit="1" customWidth="1"/>
    <col min="13067" max="13067" width="4.7109375" style="262" bestFit="1" customWidth="1"/>
    <col min="13068" max="13312" width="9.140625" style="262"/>
    <col min="13313" max="13313" width="9.85546875" style="262" bestFit="1" customWidth="1"/>
    <col min="13314" max="13322" width="13.5703125" style="262" bestFit="1" customWidth="1"/>
    <col min="13323" max="13323" width="4.7109375" style="262" bestFit="1" customWidth="1"/>
    <col min="13324" max="13568" width="9.140625" style="262"/>
    <col min="13569" max="13569" width="9.85546875" style="262" bestFit="1" customWidth="1"/>
    <col min="13570" max="13578" width="13.5703125" style="262" bestFit="1" customWidth="1"/>
    <col min="13579" max="13579" width="4.7109375" style="262" bestFit="1" customWidth="1"/>
    <col min="13580" max="13824" width="9.140625" style="262"/>
    <col min="13825" max="13825" width="9.85546875" style="262" bestFit="1" customWidth="1"/>
    <col min="13826" max="13834" width="13.5703125" style="262" bestFit="1" customWidth="1"/>
    <col min="13835" max="13835" width="4.7109375" style="262" bestFit="1" customWidth="1"/>
    <col min="13836" max="14080" width="9.140625" style="262"/>
    <col min="14081" max="14081" width="9.85546875" style="262" bestFit="1" customWidth="1"/>
    <col min="14082" max="14090" width="13.5703125" style="262" bestFit="1" customWidth="1"/>
    <col min="14091" max="14091" width="4.7109375" style="262" bestFit="1" customWidth="1"/>
    <col min="14092" max="14336" width="9.140625" style="262"/>
    <col min="14337" max="14337" width="9.85546875" style="262" bestFit="1" customWidth="1"/>
    <col min="14338" max="14346" width="13.5703125" style="262" bestFit="1" customWidth="1"/>
    <col min="14347" max="14347" width="4.7109375" style="262" bestFit="1" customWidth="1"/>
    <col min="14348" max="14592" width="9.140625" style="262"/>
    <col min="14593" max="14593" width="9.85546875" style="262" bestFit="1" customWidth="1"/>
    <col min="14594" max="14602" width="13.5703125" style="262" bestFit="1" customWidth="1"/>
    <col min="14603" max="14603" width="4.7109375" style="262" bestFit="1" customWidth="1"/>
    <col min="14604" max="14848" width="9.140625" style="262"/>
    <col min="14849" max="14849" width="9.85546875" style="262" bestFit="1" customWidth="1"/>
    <col min="14850" max="14858" width="13.5703125" style="262" bestFit="1" customWidth="1"/>
    <col min="14859" max="14859" width="4.7109375" style="262" bestFit="1" customWidth="1"/>
    <col min="14860" max="15104" width="9.140625" style="262"/>
    <col min="15105" max="15105" width="9.85546875" style="262" bestFit="1" customWidth="1"/>
    <col min="15106" max="15114" width="13.5703125" style="262" bestFit="1" customWidth="1"/>
    <col min="15115" max="15115" width="4.7109375" style="262" bestFit="1" customWidth="1"/>
    <col min="15116" max="15360" width="9.140625" style="262"/>
    <col min="15361" max="15361" width="9.85546875" style="262" bestFit="1" customWidth="1"/>
    <col min="15362" max="15370" width="13.5703125" style="262" bestFit="1" customWidth="1"/>
    <col min="15371" max="15371" width="4.7109375" style="262" bestFit="1" customWidth="1"/>
    <col min="15372" max="15616" width="9.140625" style="262"/>
    <col min="15617" max="15617" width="9.85546875" style="262" bestFit="1" customWidth="1"/>
    <col min="15618" max="15626" width="13.5703125" style="262" bestFit="1" customWidth="1"/>
    <col min="15627" max="15627" width="4.7109375" style="262" bestFit="1" customWidth="1"/>
    <col min="15628" max="15872" width="9.140625" style="262"/>
    <col min="15873" max="15873" width="9.85546875" style="262" bestFit="1" customWidth="1"/>
    <col min="15874" max="15882" width="13.5703125" style="262" bestFit="1" customWidth="1"/>
    <col min="15883" max="15883" width="4.7109375" style="262" bestFit="1" customWidth="1"/>
    <col min="15884" max="16128" width="9.140625" style="262"/>
    <col min="16129" max="16129" width="9.85546875" style="262" bestFit="1" customWidth="1"/>
    <col min="16130" max="16138" width="13.5703125" style="262" bestFit="1" customWidth="1"/>
    <col min="16139" max="16139" width="4.7109375" style="262" bestFit="1" customWidth="1"/>
    <col min="16140" max="16384" width="9.140625" style="262"/>
  </cols>
  <sheetData>
    <row r="1" spans="1:10" ht="13.5" customHeight="1" x14ac:dyDescent="0.2">
      <c r="A1" s="351" t="s">
        <v>470</v>
      </c>
      <c r="B1" s="351"/>
      <c r="C1" s="351"/>
      <c r="D1" s="351"/>
      <c r="E1" s="351"/>
      <c r="F1" s="351"/>
      <c r="G1" s="351"/>
    </row>
    <row r="2" spans="1:10" s="265" customFormat="1" ht="27.75" customHeight="1" x14ac:dyDescent="0.2">
      <c r="A2" s="363" t="s">
        <v>471</v>
      </c>
      <c r="B2" s="357" t="s">
        <v>257</v>
      </c>
      <c r="C2" s="408"/>
      <c r="D2" s="358"/>
      <c r="E2" s="357" t="s">
        <v>258</v>
      </c>
      <c r="F2" s="408"/>
      <c r="G2" s="358"/>
      <c r="H2" s="357" t="s">
        <v>259</v>
      </c>
      <c r="I2" s="408"/>
      <c r="J2" s="358"/>
    </row>
    <row r="3" spans="1:10" s="265" customFormat="1" ht="39" customHeight="1" x14ac:dyDescent="0.2">
      <c r="A3" s="365"/>
      <c r="B3" s="269" t="s">
        <v>472</v>
      </c>
      <c r="C3" s="269" t="s">
        <v>305</v>
      </c>
      <c r="D3" s="269" t="s">
        <v>473</v>
      </c>
      <c r="E3" s="269" t="s">
        <v>472</v>
      </c>
      <c r="F3" s="269" t="s">
        <v>305</v>
      </c>
      <c r="G3" s="269" t="s">
        <v>473</v>
      </c>
      <c r="H3" s="269" t="s">
        <v>472</v>
      </c>
      <c r="I3" s="269" t="s">
        <v>305</v>
      </c>
      <c r="J3" s="269" t="s">
        <v>473</v>
      </c>
    </row>
    <row r="4" spans="1:10" s="265" customFormat="1" ht="18" customHeight="1" x14ac:dyDescent="0.2">
      <c r="A4" s="266" t="s">
        <v>69</v>
      </c>
      <c r="B4" s="283">
        <v>5619</v>
      </c>
      <c r="C4" s="283">
        <v>2794</v>
      </c>
      <c r="D4" s="321">
        <v>49.724150204662756</v>
      </c>
      <c r="E4" s="283">
        <v>1931</v>
      </c>
      <c r="F4" s="283">
        <v>1850</v>
      </c>
      <c r="G4" s="321">
        <v>95.805282237182809</v>
      </c>
      <c r="H4" s="271">
        <v>270</v>
      </c>
      <c r="I4" s="271">
        <v>12</v>
      </c>
      <c r="J4" s="307">
        <v>4.4444444444444446</v>
      </c>
    </row>
    <row r="5" spans="1:10" s="265" customFormat="1" ht="18" customHeight="1" x14ac:dyDescent="0.2">
      <c r="A5" s="266" t="s">
        <v>70</v>
      </c>
      <c r="B5" s="283">
        <v>5262</v>
      </c>
      <c r="C5" s="283">
        <v>4086</v>
      </c>
      <c r="D5" s="321">
        <v>77.651083238312424</v>
      </c>
      <c r="E5" s="283">
        <v>1931</v>
      </c>
      <c r="F5" s="283">
        <v>1922</v>
      </c>
      <c r="G5" s="321">
        <v>99.533920248575868</v>
      </c>
      <c r="H5" s="271">
        <v>287</v>
      </c>
      <c r="I5" s="271">
        <v>8</v>
      </c>
      <c r="J5" s="307">
        <v>2.7874564459930316</v>
      </c>
    </row>
    <row r="6" spans="1:10" s="265" customFormat="1" ht="18" customHeight="1" x14ac:dyDescent="0.2">
      <c r="A6" s="266" t="s">
        <v>156</v>
      </c>
      <c r="B6" s="283">
        <v>5638</v>
      </c>
      <c r="C6" s="283">
        <v>2768</v>
      </c>
      <c r="D6" s="321">
        <v>49.095423909187659</v>
      </c>
      <c r="E6" s="283">
        <v>1952</v>
      </c>
      <c r="F6" s="283">
        <v>1817</v>
      </c>
      <c r="G6" s="321">
        <v>93.084016393442624</v>
      </c>
      <c r="H6" s="271">
        <v>273</v>
      </c>
      <c r="I6" s="271">
        <v>5</v>
      </c>
      <c r="J6" s="307">
        <v>1.8315018315018317</v>
      </c>
    </row>
    <row r="7" spans="1:10" s="265" customFormat="1" ht="18" customHeight="1" x14ac:dyDescent="0.2">
      <c r="A7" s="266" t="s">
        <v>157</v>
      </c>
      <c r="B7" s="283">
        <v>5450</v>
      </c>
      <c r="C7" s="283">
        <v>2755</v>
      </c>
      <c r="D7" s="321">
        <v>50.550458715596328</v>
      </c>
      <c r="E7" s="283">
        <v>1941</v>
      </c>
      <c r="F7" s="283">
        <v>1820</v>
      </c>
      <c r="G7" s="321">
        <v>93.766099948480161</v>
      </c>
      <c r="H7" s="271">
        <v>277</v>
      </c>
      <c r="I7" s="271">
        <v>4</v>
      </c>
      <c r="J7" s="307">
        <v>1.4440433212996391</v>
      </c>
    </row>
    <row r="8" spans="1:10" s="265" customFormat="1" ht="18" customHeight="1" x14ac:dyDescent="0.2">
      <c r="A8" s="266" t="s">
        <v>158</v>
      </c>
      <c r="B8" s="283">
        <v>5458</v>
      </c>
      <c r="C8" s="283">
        <v>2698</v>
      </c>
      <c r="D8" s="321">
        <v>49.432026383290584</v>
      </c>
      <c r="E8" s="283">
        <v>1951</v>
      </c>
      <c r="F8" s="283">
        <v>1833</v>
      </c>
      <c r="G8" s="321">
        <v>93.951819579702715</v>
      </c>
      <c r="H8" s="271">
        <v>277</v>
      </c>
      <c r="I8" s="271">
        <v>3</v>
      </c>
      <c r="J8" s="307">
        <v>1.0830324909747291</v>
      </c>
    </row>
    <row r="9" spans="1:10" s="265" customFormat="1" ht="18" customHeight="1" x14ac:dyDescent="0.2">
      <c r="A9" s="266" t="s">
        <v>159</v>
      </c>
      <c r="B9" s="283">
        <v>5240</v>
      </c>
      <c r="C9" s="283">
        <v>2763</v>
      </c>
      <c r="D9" s="321">
        <v>52.729007633587784</v>
      </c>
      <c r="E9" s="283">
        <v>1938</v>
      </c>
      <c r="F9" s="283">
        <v>1840</v>
      </c>
      <c r="G9" s="321">
        <v>94.943240454076374</v>
      </c>
      <c r="H9" s="271">
        <v>277</v>
      </c>
      <c r="I9" s="271">
        <v>3</v>
      </c>
      <c r="J9" s="307">
        <v>1.0830324909747291</v>
      </c>
    </row>
    <row r="10" spans="1:10" s="265" customFormat="1" ht="18" customHeight="1" x14ac:dyDescent="0.2">
      <c r="A10" s="266" t="s">
        <v>160</v>
      </c>
      <c r="B10" s="283">
        <v>5233</v>
      </c>
      <c r="C10" s="283">
        <v>2823</v>
      </c>
      <c r="D10" s="321">
        <v>53.946111217274982</v>
      </c>
      <c r="E10" s="283">
        <v>1916</v>
      </c>
      <c r="F10" s="283">
        <v>1841</v>
      </c>
      <c r="G10" s="321">
        <v>96.085594989561585</v>
      </c>
      <c r="H10" s="271">
        <v>278</v>
      </c>
      <c r="I10" s="271">
        <v>2</v>
      </c>
      <c r="J10" s="307">
        <v>0.71942446043165476</v>
      </c>
    </row>
    <row r="11" spans="1:10" s="265" customFormat="1" ht="18" customHeight="1" x14ac:dyDescent="0.2">
      <c r="A11" s="266" t="s">
        <v>161</v>
      </c>
      <c r="B11" s="283">
        <v>5232</v>
      </c>
      <c r="C11" s="283">
        <v>2763</v>
      </c>
      <c r="D11" s="321">
        <v>52.809633027522942</v>
      </c>
      <c r="E11" s="283">
        <v>1912</v>
      </c>
      <c r="F11" s="283">
        <v>1847</v>
      </c>
      <c r="G11" s="321">
        <v>96.60041841004184</v>
      </c>
      <c r="H11" s="271">
        <v>282</v>
      </c>
      <c r="I11" s="271">
        <v>2</v>
      </c>
      <c r="J11" s="307">
        <v>0.70921985815602839</v>
      </c>
    </row>
    <row r="12" spans="1:10" s="265" customFormat="1" ht="18" customHeight="1" x14ac:dyDescent="0.2">
      <c r="A12" s="266" t="s">
        <v>162</v>
      </c>
      <c r="B12" s="283">
        <v>5217</v>
      </c>
      <c r="C12" s="283">
        <v>2660</v>
      </c>
      <c r="D12" s="321">
        <v>50.987157370136096</v>
      </c>
      <c r="E12" s="283">
        <v>1921</v>
      </c>
      <c r="F12" s="283">
        <v>1854</v>
      </c>
      <c r="G12" s="321">
        <v>96.512233211868818</v>
      </c>
      <c r="H12" s="271">
        <v>281</v>
      </c>
      <c r="I12" s="271">
        <v>2</v>
      </c>
      <c r="J12" s="307">
        <v>0.71174377224199281</v>
      </c>
    </row>
    <row r="13" spans="1:10" s="265" customFormat="1" ht="18" customHeight="1" x14ac:dyDescent="0.2">
      <c r="A13" s="266" t="s">
        <v>163</v>
      </c>
      <c r="B13" s="283">
        <v>5216</v>
      </c>
      <c r="C13" s="283">
        <v>2719</v>
      </c>
      <c r="D13" s="321">
        <v>52.12806748466258</v>
      </c>
      <c r="E13" s="283">
        <v>1922</v>
      </c>
      <c r="F13" s="283">
        <v>1850</v>
      </c>
      <c r="G13" s="321">
        <v>96.253902185223723</v>
      </c>
      <c r="H13" s="271">
        <v>282</v>
      </c>
      <c r="I13" s="271">
        <v>3</v>
      </c>
      <c r="J13" s="307">
        <v>1.0638297872340425</v>
      </c>
    </row>
    <row r="14" spans="1:10" s="265" customFormat="1" ht="18" customHeight="1" x14ac:dyDescent="0.2">
      <c r="A14" s="266" t="s">
        <v>164</v>
      </c>
      <c r="B14" s="283">
        <v>5232</v>
      </c>
      <c r="C14" s="283">
        <v>2756</v>
      </c>
      <c r="D14" s="321">
        <v>52.675840978593271</v>
      </c>
      <c r="E14" s="283">
        <v>1923</v>
      </c>
      <c r="F14" s="283">
        <v>1856</v>
      </c>
      <c r="G14" s="321">
        <v>96.51586063442538</v>
      </c>
      <c r="H14" s="271">
        <v>282</v>
      </c>
      <c r="I14" s="271">
        <v>2</v>
      </c>
      <c r="J14" s="307">
        <v>0.70921985815602839</v>
      </c>
    </row>
    <row r="15" spans="1:10" s="265" customFormat="1" ht="18" customHeight="1" x14ac:dyDescent="0.2">
      <c r="A15" s="266" t="s">
        <v>165</v>
      </c>
      <c r="B15" s="283">
        <v>5244</v>
      </c>
      <c r="C15" s="283">
        <v>2663</v>
      </c>
      <c r="D15" s="321">
        <v>50.781845919145688</v>
      </c>
      <c r="E15" s="283">
        <v>1926</v>
      </c>
      <c r="F15" s="283">
        <v>1854</v>
      </c>
      <c r="G15" s="321">
        <v>96.261682242990659</v>
      </c>
      <c r="H15" s="271">
        <v>284</v>
      </c>
      <c r="I15" s="271">
        <v>6</v>
      </c>
      <c r="J15" s="307">
        <v>2.112676056338028</v>
      </c>
    </row>
    <row r="16" spans="1:10" s="265" customFormat="1" ht="18" customHeight="1" x14ac:dyDescent="0.2">
      <c r="A16" s="266" t="s">
        <v>166</v>
      </c>
      <c r="B16" s="283">
        <v>5251</v>
      </c>
      <c r="C16" s="283">
        <v>2614</v>
      </c>
      <c r="D16" s="321">
        <v>49.780994096362598</v>
      </c>
      <c r="E16" s="283">
        <v>1929</v>
      </c>
      <c r="F16" s="283">
        <v>1859</v>
      </c>
      <c r="G16" s="321">
        <v>96.371176775531367</v>
      </c>
      <c r="H16" s="271">
        <v>287</v>
      </c>
      <c r="I16" s="271">
        <v>4</v>
      </c>
      <c r="J16" s="307">
        <v>1.3937282229965158</v>
      </c>
    </row>
    <row r="17" spans="1:10" s="265" customFormat="1" ht="18" customHeight="1" x14ac:dyDescent="0.2">
      <c r="A17" s="266" t="s">
        <v>167</v>
      </c>
      <c r="B17" s="283">
        <v>5262</v>
      </c>
      <c r="C17" s="283">
        <v>3651</v>
      </c>
      <c r="D17" s="321">
        <v>69.384264538198408</v>
      </c>
      <c r="E17" s="283">
        <v>1931</v>
      </c>
      <c r="F17" s="283">
        <v>1869</v>
      </c>
      <c r="G17" s="321">
        <v>96.789228379078196</v>
      </c>
      <c r="H17" s="271">
        <v>287</v>
      </c>
      <c r="I17" s="271">
        <v>6</v>
      </c>
      <c r="J17" s="307">
        <v>2.0905923344947737</v>
      </c>
    </row>
    <row r="18" spans="1:10" s="265" customFormat="1" ht="15" customHeight="1" x14ac:dyDescent="0.2">
      <c r="A18" s="373" t="s">
        <v>106</v>
      </c>
      <c r="B18" s="373"/>
      <c r="C18" s="373"/>
      <c r="D18" s="373"/>
      <c r="E18" s="373"/>
      <c r="F18" s="373"/>
      <c r="G18" s="373"/>
    </row>
    <row r="19" spans="1:10" s="265" customFormat="1" ht="13.5" customHeight="1" x14ac:dyDescent="0.2">
      <c r="A19" s="373" t="s">
        <v>249</v>
      </c>
      <c r="B19" s="373"/>
      <c r="C19" s="373"/>
      <c r="D19" s="373"/>
      <c r="E19" s="373"/>
      <c r="F19" s="373"/>
      <c r="G19" s="373"/>
    </row>
    <row r="20" spans="1:10" s="265" customFormat="1" ht="28.35" customHeight="1" x14ac:dyDescent="0.2"/>
  </sheetData>
  <mergeCells count="7">
    <mergeCell ref="H2:J2"/>
    <mergeCell ref="A18:G18"/>
    <mergeCell ref="A19:G19"/>
    <mergeCell ref="A1:G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H20"/>
  <sheetViews>
    <sheetView workbookViewId="0">
      <selection sqref="A1:C1"/>
    </sheetView>
  </sheetViews>
  <sheetFormatPr defaultRowHeight="12.75" x14ac:dyDescent="0.2"/>
  <cols>
    <col min="1" max="8" width="14.7109375" style="262" bestFit="1" customWidth="1"/>
    <col min="9" max="9" width="4.7109375" style="262" bestFit="1" customWidth="1"/>
    <col min="10" max="256" width="9.140625" style="262"/>
    <col min="257" max="264" width="14.7109375" style="262" bestFit="1" customWidth="1"/>
    <col min="265" max="265" width="4.7109375" style="262" bestFit="1" customWidth="1"/>
    <col min="266" max="512" width="9.140625" style="262"/>
    <col min="513" max="520" width="14.7109375" style="262" bestFit="1" customWidth="1"/>
    <col min="521" max="521" width="4.7109375" style="262" bestFit="1" customWidth="1"/>
    <col min="522" max="768" width="9.140625" style="262"/>
    <col min="769" max="776" width="14.7109375" style="262" bestFit="1" customWidth="1"/>
    <col min="777" max="777" width="4.7109375" style="262" bestFit="1" customWidth="1"/>
    <col min="778" max="1024" width="9.140625" style="262"/>
    <col min="1025" max="1032" width="14.7109375" style="262" bestFit="1" customWidth="1"/>
    <col min="1033" max="1033" width="4.7109375" style="262" bestFit="1" customWidth="1"/>
    <col min="1034" max="1280" width="9.140625" style="262"/>
    <col min="1281" max="1288" width="14.7109375" style="262" bestFit="1" customWidth="1"/>
    <col min="1289" max="1289" width="4.7109375" style="262" bestFit="1" customWidth="1"/>
    <col min="1290" max="1536" width="9.140625" style="262"/>
    <col min="1537" max="1544" width="14.7109375" style="262" bestFit="1" customWidth="1"/>
    <col min="1545" max="1545" width="4.7109375" style="262" bestFit="1" customWidth="1"/>
    <col min="1546" max="1792" width="9.140625" style="262"/>
    <col min="1793" max="1800" width="14.7109375" style="262" bestFit="1" customWidth="1"/>
    <col min="1801" max="1801" width="4.7109375" style="262" bestFit="1" customWidth="1"/>
    <col min="1802" max="2048" width="9.140625" style="262"/>
    <col min="2049" max="2056" width="14.7109375" style="262" bestFit="1" customWidth="1"/>
    <col min="2057" max="2057" width="4.7109375" style="262" bestFit="1" customWidth="1"/>
    <col min="2058" max="2304" width="9.140625" style="262"/>
    <col min="2305" max="2312" width="14.7109375" style="262" bestFit="1" customWidth="1"/>
    <col min="2313" max="2313" width="4.7109375" style="262" bestFit="1" customWidth="1"/>
    <col min="2314" max="2560" width="9.140625" style="262"/>
    <col min="2561" max="2568" width="14.7109375" style="262" bestFit="1" customWidth="1"/>
    <col min="2569" max="2569" width="4.7109375" style="262" bestFit="1" customWidth="1"/>
    <col min="2570" max="2816" width="9.140625" style="262"/>
    <col min="2817" max="2824" width="14.7109375" style="262" bestFit="1" customWidth="1"/>
    <col min="2825" max="2825" width="4.7109375" style="262" bestFit="1" customWidth="1"/>
    <col min="2826" max="3072" width="9.140625" style="262"/>
    <col min="3073" max="3080" width="14.7109375" style="262" bestFit="1" customWidth="1"/>
    <col min="3081" max="3081" width="4.7109375" style="262" bestFit="1" customWidth="1"/>
    <col min="3082" max="3328" width="9.140625" style="262"/>
    <col min="3329" max="3336" width="14.7109375" style="262" bestFit="1" customWidth="1"/>
    <col min="3337" max="3337" width="4.7109375" style="262" bestFit="1" customWidth="1"/>
    <col min="3338" max="3584" width="9.140625" style="262"/>
    <col min="3585" max="3592" width="14.7109375" style="262" bestFit="1" customWidth="1"/>
    <col min="3593" max="3593" width="4.7109375" style="262" bestFit="1" customWidth="1"/>
    <col min="3594" max="3840" width="9.140625" style="262"/>
    <col min="3841" max="3848" width="14.7109375" style="262" bestFit="1" customWidth="1"/>
    <col min="3849" max="3849" width="4.7109375" style="262" bestFit="1" customWidth="1"/>
    <col min="3850" max="4096" width="9.140625" style="262"/>
    <col min="4097" max="4104" width="14.7109375" style="262" bestFit="1" customWidth="1"/>
    <col min="4105" max="4105" width="4.7109375" style="262" bestFit="1" customWidth="1"/>
    <col min="4106" max="4352" width="9.140625" style="262"/>
    <col min="4353" max="4360" width="14.7109375" style="262" bestFit="1" customWidth="1"/>
    <col min="4361" max="4361" width="4.7109375" style="262" bestFit="1" customWidth="1"/>
    <col min="4362" max="4608" width="9.140625" style="262"/>
    <col min="4609" max="4616" width="14.7109375" style="262" bestFit="1" customWidth="1"/>
    <col min="4617" max="4617" width="4.7109375" style="262" bestFit="1" customWidth="1"/>
    <col min="4618" max="4864" width="9.140625" style="262"/>
    <col min="4865" max="4872" width="14.7109375" style="262" bestFit="1" customWidth="1"/>
    <col min="4873" max="4873" width="4.7109375" style="262" bestFit="1" customWidth="1"/>
    <col min="4874" max="5120" width="9.140625" style="262"/>
    <col min="5121" max="5128" width="14.7109375" style="262" bestFit="1" customWidth="1"/>
    <col min="5129" max="5129" width="4.7109375" style="262" bestFit="1" customWidth="1"/>
    <col min="5130" max="5376" width="9.140625" style="262"/>
    <col min="5377" max="5384" width="14.7109375" style="262" bestFit="1" customWidth="1"/>
    <col min="5385" max="5385" width="4.7109375" style="262" bestFit="1" customWidth="1"/>
    <col min="5386" max="5632" width="9.140625" style="262"/>
    <col min="5633" max="5640" width="14.7109375" style="262" bestFit="1" customWidth="1"/>
    <col min="5641" max="5641" width="4.7109375" style="262" bestFit="1" customWidth="1"/>
    <col min="5642" max="5888" width="9.140625" style="262"/>
    <col min="5889" max="5896" width="14.7109375" style="262" bestFit="1" customWidth="1"/>
    <col min="5897" max="5897" width="4.7109375" style="262" bestFit="1" customWidth="1"/>
    <col min="5898" max="6144" width="9.140625" style="262"/>
    <col min="6145" max="6152" width="14.7109375" style="262" bestFit="1" customWidth="1"/>
    <col min="6153" max="6153" width="4.7109375" style="262" bestFit="1" customWidth="1"/>
    <col min="6154" max="6400" width="9.140625" style="262"/>
    <col min="6401" max="6408" width="14.7109375" style="262" bestFit="1" customWidth="1"/>
    <col min="6409" max="6409" width="4.7109375" style="262" bestFit="1" customWidth="1"/>
    <col min="6410" max="6656" width="9.140625" style="262"/>
    <col min="6657" max="6664" width="14.7109375" style="262" bestFit="1" customWidth="1"/>
    <col min="6665" max="6665" width="4.7109375" style="262" bestFit="1" customWidth="1"/>
    <col min="6666" max="6912" width="9.140625" style="262"/>
    <col min="6913" max="6920" width="14.7109375" style="262" bestFit="1" customWidth="1"/>
    <col min="6921" max="6921" width="4.7109375" style="262" bestFit="1" customWidth="1"/>
    <col min="6922" max="7168" width="9.140625" style="262"/>
    <col min="7169" max="7176" width="14.7109375" style="262" bestFit="1" customWidth="1"/>
    <col min="7177" max="7177" width="4.7109375" style="262" bestFit="1" customWidth="1"/>
    <col min="7178" max="7424" width="9.140625" style="262"/>
    <col min="7425" max="7432" width="14.7109375" style="262" bestFit="1" customWidth="1"/>
    <col min="7433" max="7433" width="4.7109375" style="262" bestFit="1" customWidth="1"/>
    <col min="7434" max="7680" width="9.140625" style="262"/>
    <col min="7681" max="7688" width="14.7109375" style="262" bestFit="1" customWidth="1"/>
    <col min="7689" max="7689" width="4.7109375" style="262" bestFit="1" customWidth="1"/>
    <col min="7690" max="7936" width="9.140625" style="262"/>
    <col min="7937" max="7944" width="14.7109375" style="262" bestFit="1" customWidth="1"/>
    <col min="7945" max="7945" width="4.7109375" style="262" bestFit="1" customWidth="1"/>
    <col min="7946" max="8192" width="9.140625" style="262"/>
    <col min="8193" max="8200" width="14.7109375" style="262" bestFit="1" customWidth="1"/>
    <col min="8201" max="8201" width="4.7109375" style="262" bestFit="1" customWidth="1"/>
    <col min="8202" max="8448" width="9.140625" style="262"/>
    <col min="8449" max="8456" width="14.7109375" style="262" bestFit="1" customWidth="1"/>
    <col min="8457" max="8457" width="4.7109375" style="262" bestFit="1" customWidth="1"/>
    <col min="8458" max="8704" width="9.140625" style="262"/>
    <col min="8705" max="8712" width="14.7109375" style="262" bestFit="1" customWidth="1"/>
    <col min="8713" max="8713" width="4.7109375" style="262" bestFit="1" customWidth="1"/>
    <col min="8714" max="8960" width="9.140625" style="262"/>
    <col min="8961" max="8968" width="14.7109375" style="262" bestFit="1" customWidth="1"/>
    <col min="8969" max="8969" width="4.7109375" style="262" bestFit="1" customWidth="1"/>
    <col min="8970" max="9216" width="9.140625" style="262"/>
    <col min="9217" max="9224" width="14.7109375" style="262" bestFit="1" customWidth="1"/>
    <col min="9225" max="9225" width="4.7109375" style="262" bestFit="1" customWidth="1"/>
    <col min="9226" max="9472" width="9.140625" style="262"/>
    <col min="9473" max="9480" width="14.7109375" style="262" bestFit="1" customWidth="1"/>
    <col min="9481" max="9481" width="4.7109375" style="262" bestFit="1" customWidth="1"/>
    <col min="9482" max="9728" width="9.140625" style="262"/>
    <col min="9729" max="9736" width="14.7109375" style="262" bestFit="1" customWidth="1"/>
    <col min="9737" max="9737" width="4.7109375" style="262" bestFit="1" customWidth="1"/>
    <col min="9738" max="9984" width="9.140625" style="262"/>
    <col min="9985" max="9992" width="14.7109375" style="262" bestFit="1" customWidth="1"/>
    <col min="9993" max="9993" width="4.7109375" style="262" bestFit="1" customWidth="1"/>
    <col min="9994" max="10240" width="9.140625" style="262"/>
    <col min="10241" max="10248" width="14.7109375" style="262" bestFit="1" customWidth="1"/>
    <col min="10249" max="10249" width="4.7109375" style="262" bestFit="1" customWidth="1"/>
    <col min="10250" max="10496" width="9.140625" style="262"/>
    <col min="10497" max="10504" width="14.7109375" style="262" bestFit="1" customWidth="1"/>
    <col min="10505" max="10505" width="4.7109375" style="262" bestFit="1" customWidth="1"/>
    <col min="10506" max="10752" width="9.140625" style="262"/>
    <col min="10753" max="10760" width="14.7109375" style="262" bestFit="1" customWidth="1"/>
    <col min="10761" max="10761" width="4.7109375" style="262" bestFit="1" customWidth="1"/>
    <col min="10762" max="11008" width="9.140625" style="262"/>
    <col min="11009" max="11016" width="14.7109375" style="262" bestFit="1" customWidth="1"/>
    <col min="11017" max="11017" width="4.7109375" style="262" bestFit="1" customWidth="1"/>
    <col min="11018" max="11264" width="9.140625" style="262"/>
    <col min="11265" max="11272" width="14.7109375" style="262" bestFit="1" customWidth="1"/>
    <col min="11273" max="11273" width="4.7109375" style="262" bestFit="1" customWidth="1"/>
    <col min="11274" max="11520" width="9.140625" style="262"/>
    <col min="11521" max="11528" width="14.7109375" style="262" bestFit="1" customWidth="1"/>
    <col min="11529" max="11529" width="4.7109375" style="262" bestFit="1" customWidth="1"/>
    <col min="11530" max="11776" width="9.140625" style="262"/>
    <col min="11777" max="11784" width="14.7109375" style="262" bestFit="1" customWidth="1"/>
    <col min="11785" max="11785" width="4.7109375" style="262" bestFit="1" customWidth="1"/>
    <col min="11786" max="12032" width="9.140625" style="262"/>
    <col min="12033" max="12040" width="14.7109375" style="262" bestFit="1" customWidth="1"/>
    <col min="12041" max="12041" width="4.7109375" style="262" bestFit="1" customWidth="1"/>
    <col min="12042" max="12288" width="9.140625" style="262"/>
    <col min="12289" max="12296" width="14.7109375" style="262" bestFit="1" customWidth="1"/>
    <col min="12297" max="12297" width="4.7109375" style="262" bestFit="1" customWidth="1"/>
    <col min="12298" max="12544" width="9.140625" style="262"/>
    <col min="12545" max="12552" width="14.7109375" style="262" bestFit="1" customWidth="1"/>
    <col min="12553" max="12553" width="4.7109375" style="262" bestFit="1" customWidth="1"/>
    <col min="12554" max="12800" width="9.140625" style="262"/>
    <col min="12801" max="12808" width="14.7109375" style="262" bestFit="1" customWidth="1"/>
    <col min="12809" max="12809" width="4.7109375" style="262" bestFit="1" customWidth="1"/>
    <col min="12810" max="13056" width="9.140625" style="262"/>
    <col min="13057" max="13064" width="14.7109375" style="262" bestFit="1" customWidth="1"/>
    <col min="13065" max="13065" width="4.7109375" style="262" bestFit="1" customWidth="1"/>
    <col min="13066" max="13312" width="9.140625" style="262"/>
    <col min="13313" max="13320" width="14.7109375" style="262" bestFit="1" customWidth="1"/>
    <col min="13321" max="13321" width="4.7109375" style="262" bestFit="1" customWidth="1"/>
    <col min="13322" max="13568" width="9.140625" style="262"/>
    <col min="13569" max="13576" width="14.7109375" style="262" bestFit="1" customWidth="1"/>
    <col min="13577" max="13577" width="4.7109375" style="262" bestFit="1" customWidth="1"/>
    <col min="13578" max="13824" width="9.140625" style="262"/>
    <col min="13825" max="13832" width="14.7109375" style="262" bestFit="1" customWidth="1"/>
    <col min="13833" max="13833" width="4.7109375" style="262" bestFit="1" customWidth="1"/>
    <col min="13834" max="14080" width="9.140625" style="262"/>
    <col min="14081" max="14088" width="14.7109375" style="262" bestFit="1" customWidth="1"/>
    <col min="14089" max="14089" width="4.7109375" style="262" bestFit="1" customWidth="1"/>
    <col min="14090" max="14336" width="9.140625" style="262"/>
    <col min="14337" max="14344" width="14.7109375" style="262" bestFit="1" customWidth="1"/>
    <col min="14345" max="14345" width="4.7109375" style="262" bestFit="1" customWidth="1"/>
    <col min="14346" max="14592" width="9.140625" style="262"/>
    <col min="14593" max="14600" width="14.7109375" style="262" bestFit="1" customWidth="1"/>
    <col min="14601" max="14601" width="4.7109375" style="262" bestFit="1" customWidth="1"/>
    <col min="14602" max="14848" width="9.140625" style="262"/>
    <col min="14849" max="14856" width="14.7109375" style="262" bestFit="1" customWidth="1"/>
    <col min="14857" max="14857" width="4.7109375" style="262" bestFit="1" customWidth="1"/>
    <col min="14858" max="15104" width="9.140625" style="262"/>
    <col min="15105" max="15112" width="14.7109375" style="262" bestFit="1" customWidth="1"/>
    <col min="15113" max="15113" width="4.7109375" style="262" bestFit="1" customWidth="1"/>
    <col min="15114" max="15360" width="9.140625" style="262"/>
    <col min="15361" max="15368" width="14.7109375" style="262" bestFit="1" customWidth="1"/>
    <col min="15369" max="15369" width="4.7109375" style="262" bestFit="1" customWidth="1"/>
    <col min="15370" max="15616" width="9.140625" style="262"/>
    <col min="15617" max="15624" width="14.7109375" style="262" bestFit="1" customWidth="1"/>
    <col min="15625" max="15625" width="4.7109375" style="262" bestFit="1" customWidth="1"/>
    <col min="15626" max="15872" width="9.140625" style="262"/>
    <col min="15873" max="15880" width="14.7109375" style="262" bestFit="1" customWidth="1"/>
    <col min="15881" max="15881" width="4.7109375" style="262" bestFit="1" customWidth="1"/>
    <col min="15882" max="16128" width="9.140625" style="262"/>
    <col min="16129" max="16136" width="14.7109375" style="262" bestFit="1" customWidth="1"/>
    <col min="16137" max="16137" width="4.7109375" style="262" bestFit="1" customWidth="1"/>
    <col min="16138" max="16384" width="9.140625" style="262"/>
  </cols>
  <sheetData>
    <row r="1" spans="1:8" ht="15.75" customHeight="1" x14ac:dyDescent="0.2">
      <c r="A1" s="385" t="s">
        <v>32</v>
      </c>
      <c r="B1" s="385"/>
      <c r="C1" s="385"/>
    </row>
    <row r="2" spans="1:8" s="265" customFormat="1" ht="38.25" customHeight="1" x14ac:dyDescent="0.2">
      <c r="A2" s="263" t="s">
        <v>147</v>
      </c>
      <c r="B2" s="269" t="s">
        <v>474</v>
      </c>
      <c r="C2" s="269" t="s">
        <v>475</v>
      </c>
      <c r="D2" s="269" t="s">
        <v>476</v>
      </c>
      <c r="E2" s="269" t="s">
        <v>477</v>
      </c>
      <c r="F2" s="269" t="s">
        <v>478</v>
      </c>
      <c r="G2" s="269" t="s">
        <v>479</v>
      </c>
      <c r="H2" s="269" t="s">
        <v>480</v>
      </c>
    </row>
    <row r="3" spans="1:8" s="265" customFormat="1" ht="18" customHeight="1" x14ac:dyDescent="0.2">
      <c r="A3" s="266" t="s">
        <v>69</v>
      </c>
      <c r="B3" s="322">
        <v>0.62895618399999997</v>
      </c>
      <c r="C3" s="322">
        <v>0.64056250100000001</v>
      </c>
      <c r="D3" s="322">
        <v>0.66757020700000003</v>
      </c>
      <c r="E3" s="322">
        <v>0.62811668600000004</v>
      </c>
      <c r="F3" s="322">
        <v>0.85157352799999997</v>
      </c>
      <c r="G3" s="322">
        <v>0.67059787299999996</v>
      </c>
      <c r="H3" s="322">
        <v>0.61</v>
      </c>
    </row>
    <row r="4" spans="1:8" s="265" customFormat="1" ht="18" customHeight="1" x14ac:dyDescent="0.2">
      <c r="A4" s="266" t="s">
        <v>70</v>
      </c>
      <c r="B4" s="322">
        <v>0.76505508</v>
      </c>
      <c r="C4" s="322">
        <v>0.79260673100000001</v>
      </c>
      <c r="D4" s="322">
        <v>0.80214608600000004</v>
      </c>
      <c r="E4" s="322">
        <v>0.78237730500000002</v>
      </c>
      <c r="F4" s="322">
        <v>1.020970889</v>
      </c>
      <c r="G4" s="322">
        <v>0.80626922999999995</v>
      </c>
      <c r="H4" s="322">
        <v>0.77</v>
      </c>
    </row>
    <row r="5" spans="1:8" s="265" customFormat="1" ht="18" customHeight="1" x14ac:dyDescent="0.2">
      <c r="A5" s="266" t="s">
        <v>156</v>
      </c>
      <c r="B5" s="322">
        <v>0.52530155499999998</v>
      </c>
      <c r="C5" s="322">
        <v>0.55400269000000002</v>
      </c>
      <c r="D5" s="322">
        <v>0.57040782999999995</v>
      </c>
      <c r="E5" s="322">
        <v>0.55273866999999999</v>
      </c>
      <c r="F5" s="322">
        <v>0.71717695000000004</v>
      </c>
      <c r="G5" s="322">
        <v>0.56593656000000003</v>
      </c>
      <c r="H5" s="322">
        <v>0.51</v>
      </c>
    </row>
    <row r="6" spans="1:8" s="265" customFormat="1" ht="18" customHeight="1" x14ac:dyDescent="0.2">
      <c r="A6" s="266" t="s">
        <v>157</v>
      </c>
      <c r="B6" s="322">
        <v>0.62292829800000005</v>
      </c>
      <c r="C6" s="322">
        <v>0.63978355600000003</v>
      </c>
      <c r="D6" s="322">
        <v>0.64843868999999998</v>
      </c>
      <c r="E6" s="322">
        <v>0.62695381100000003</v>
      </c>
      <c r="F6" s="322">
        <v>0.90619294699999997</v>
      </c>
      <c r="G6" s="322">
        <v>0.62984196599999998</v>
      </c>
      <c r="H6" s="322">
        <v>0.61</v>
      </c>
    </row>
    <row r="7" spans="1:8" s="265" customFormat="1" ht="18" customHeight="1" x14ac:dyDescent="0.2">
      <c r="A7" s="266" t="s">
        <v>158</v>
      </c>
      <c r="B7" s="322">
        <v>0.57180230499999996</v>
      </c>
      <c r="C7" s="322">
        <v>0.63142487700000005</v>
      </c>
      <c r="D7" s="322">
        <v>0.70787998399999996</v>
      </c>
      <c r="E7" s="322">
        <v>0.59100799999999998</v>
      </c>
      <c r="F7" s="322">
        <v>0.92202700000000004</v>
      </c>
      <c r="G7" s="322">
        <v>0.70483799999999996</v>
      </c>
      <c r="H7" s="322">
        <v>0.61</v>
      </c>
    </row>
    <row r="8" spans="1:8" s="265" customFormat="1" ht="18" customHeight="1" x14ac:dyDescent="0.2">
      <c r="A8" s="266" t="s">
        <v>159</v>
      </c>
      <c r="B8" s="322">
        <v>0.435031061</v>
      </c>
      <c r="C8" s="322">
        <v>0.51490879300000003</v>
      </c>
      <c r="D8" s="322">
        <v>0.59273496199999998</v>
      </c>
      <c r="E8" s="322">
        <v>0.45078600000000002</v>
      </c>
      <c r="F8" s="322">
        <v>1.033442</v>
      </c>
      <c r="G8" s="322">
        <v>0.58802299999999996</v>
      </c>
      <c r="H8" s="322">
        <v>0.49</v>
      </c>
    </row>
    <row r="9" spans="1:8" s="265" customFormat="1" ht="18" customHeight="1" x14ac:dyDescent="0.2">
      <c r="A9" s="266" t="s">
        <v>160</v>
      </c>
      <c r="B9" s="322">
        <v>0.56999999999999995</v>
      </c>
      <c r="C9" s="322">
        <v>0.52</v>
      </c>
      <c r="D9" s="322">
        <v>0.5</v>
      </c>
      <c r="E9" s="322">
        <v>0.53057206099999998</v>
      </c>
      <c r="F9" s="322">
        <v>0.60905242800000003</v>
      </c>
      <c r="G9" s="322">
        <v>0.49882522800000001</v>
      </c>
      <c r="H9" s="322">
        <v>0.54</v>
      </c>
    </row>
    <row r="10" spans="1:8" s="265" customFormat="1" ht="18" customHeight="1" x14ac:dyDescent="0.2">
      <c r="A10" s="266" t="s">
        <v>161</v>
      </c>
      <c r="B10" s="322">
        <v>0.801920517</v>
      </c>
      <c r="C10" s="322">
        <v>0.9021091</v>
      </c>
      <c r="D10" s="322">
        <v>0.91517672100000003</v>
      </c>
      <c r="E10" s="322">
        <v>0.81117910199999999</v>
      </c>
      <c r="F10" s="322">
        <v>1.371243097</v>
      </c>
      <c r="G10" s="322">
        <v>0.88858409199999999</v>
      </c>
      <c r="H10" s="322">
        <v>0.74</v>
      </c>
    </row>
    <row r="11" spans="1:8" s="265" customFormat="1" ht="18" customHeight="1" x14ac:dyDescent="0.2">
      <c r="A11" s="266" t="s">
        <v>162</v>
      </c>
      <c r="B11" s="322">
        <v>1.3835235770000001</v>
      </c>
      <c r="C11" s="322">
        <v>1.4828015059999999</v>
      </c>
      <c r="D11" s="322">
        <v>1.4839574310000001</v>
      </c>
      <c r="E11" s="322">
        <v>1.4352761030000001</v>
      </c>
      <c r="F11" s="322">
        <v>1.5371641170000001</v>
      </c>
      <c r="G11" s="322">
        <v>1.4605864829999999</v>
      </c>
      <c r="H11" s="322">
        <v>1.42</v>
      </c>
    </row>
    <row r="12" spans="1:8" s="265" customFormat="1" ht="18" customHeight="1" x14ac:dyDescent="0.2">
      <c r="A12" s="266" t="s">
        <v>163</v>
      </c>
      <c r="B12" s="322">
        <v>0.732257991</v>
      </c>
      <c r="C12" s="322">
        <v>0.68136122200000004</v>
      </c>
      <c r="D12" s="322">
        <v>0.62558667599999995</v>
      </c>
      <c r="E12" s="322">
        <v>0.69818841200000004</v>
      </c>
      <c r="F12" s="322">
        <v>0.67054524999999998</v>
      </c>
      <c r="G12" s="322">
        <v>0.61284143099999999</v>
      </c>
      <c r="H12" s="322">
        <v>0.73</v>
      </c>
    </row>
    <row r="13" spans="1:8" s="265" customFormat="1" ht="18" customHeight="1" x14ac:dyDescent="0.2">
      <c r="A13" s="266" t="s">
        <v>164</v>
      </c>
      <c r="B13" s="322">
        <v>0.98</v>
      </c>
      <c r="C13" s="322">
        <v>0.99</v>
      </c>
      <c r="D13" s="322">
        <v>0.98</v>
      </c>
      <c r="E13" s="322">
        <v>0.94618976700000001</v>
      </c>
      <c r="F13" s="322">
        <v>1.1118053510000001</v>
      </c>
      <c r="G13" s="322">
        <v>0.96192311600000002</v>
      </c>
      <c r="H13" s="322">
        <v>0.96</v>
      </c>
    </row>
    <row r="14" spans="1:8" s="265" customFormat="1" ht="18" customHeight="1" x14ac:dyDescent="0.2">
      <c r="A14" s="266" t="s">
        <v>165</v>
      </c>
      <c r="B14" s="322">
        <v>0.72240236199999996</v>
      </c>
      <c r="C14" s="322">
        <v>0.68511411799999999</v>
      </c>
      <c r="D14" s="322">
        <v>0.64364120800000002</v>
      </c>
      <c r="E14" s="322">
        <v>0.70031621099999997</v>
      </c>
      <c r="F14" s="322">
        <v>0.61039542999999996</v>
      </c>
      <c r="G14" s="322">
        <v>0.62365836600000002</v>
      </c>
      <c r="H14" s="322">
        <v>0.72</v>
      </c>
    </row>
    <row r="15" spans="1:8" s="265" customFormat="1" ht="18" customHeight="1" x14ac:dyDescent="0.2">
      <c r="A15" s="266" t="s">
        <v>166</v>
      </c>
      <c r="B15" s="322">
        <v>0.62378925399999996</v>
      </c>
      <c r="C15" s="322">
        <v>0.63968296400000002</v>
      </c>
      <c r="D15" s="322">
        <v>0.61909495000000003</v>
      </c>
      <c r="E15" s="322">
        <v>0.60709751499999998</v>
      </c>
      <c r="F15" s="322">
        <v>0.93888965400000002</v>
      </c>
      <c r="G15" s="322">
        <v>0.59989952400000002</v>
      </c>
      <c r="H15" s="322">
        <v>0.62</v>
      </c>
    </row>
    <row r="16" spans="1:8" s="265" customFormat="1" ht="18" customHeight="1" x14ac:dyDescent="0.2">
      <c r="A16" s="266" t="s">
        <v>167</v>
      </c>
      <c r="B16" s="322">
        <v>0.60901788300000004</v>
      </c>
      <c r="C16" s="322">
        <v>0.62992428600000006</v>
      </c>
      <c r="D16" s="322">
        <v>0.64893241099999999</v>
      </c>
      <c r="E16" s="322">
        <v>0.61124813899999997</v>
      </c>
      <c r="F16" s="322">
        <v>0.90417108499999999</v>
      </c>
      <c r="G16" s="322">
        <v>0.65249118800000006</v>
      </c>
      <c r="H16" s="322">
        <v>0.62</v>
      </c>
    </row>
    <row r="17" spans="1:7" s="265" customFormat="1" ht="19.5" customHeight="1" x14ac:dyDescent="0.2">
      <c r="A17" s="353" t="s">
        <v>481</v>
      </c>
      <c r="B17" s="353"/>
      <c r="C17" s="353"/>
      <c r="D17" s="353"/>
      <c r="E17" s="353"/>
      <c r="F17" s="353"/>
      <c r="G17" s="353"/>
    </row>
    <row r="18" spans="1:7" s="265" customFormat="1" ht="18" customHeight="1" x14ac:dyDescent="0.2">
      <c r="A18" s="353" t="s">
        <v>106</v>
      </c>
      <c r="B18" s="353"/>
      <c r="C18" s="353"/>
      <c r="D18" s="353"/>
      <c r="E18" s="353"/>
      <c r="F18" s="353"/>
      <c r="G18" s="353"/>
    </row>
    <row r="19" spans="1:7" s="265" customFormat="1" ht="18" customHeight="1" x14ac:dyDescent="0.2">
      <c r="A19" s="353" t="s">
        <v>482</v>
      </c>
      <c r="B19" s="353"/>
      <c r="C19" s="353"/>
      <c r="D19" s="353"/>
      <c r="E19" s="353"/>
      <c r="F19" s="353"/>
      <c r="G19" s="353"/>
    </row>
    <row r="20" spans="1:7" s="265" customFormat="1" ht="27.6" customHeight="1" x14ac:dyDescent="0.2"/>
  </sheetData>
  <mergeCells count="4">
    <mergeCell ref="A1:C1"/>
    <mergeCell ref="A17:G17"/>
    <mergeCell ref="A18:G18"/>
    <mergeCell ref="A19:G19"/>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rgb="FFFFFF00"/>
    <pageSetUpPr fitToPage="1"/>
  </sheetPr>
  <dimension ref="A1:P37"/>
  <sheetViews>
    <sheetView workbookViewId="0">
      <selection sqref="A1:K1"/>
    </sheetView>
  </sheetViews>
  <sheetFormatPr defaultRowHeight="12.75" x14ac:dyDescent="0.2"/>
  <cols>
    <col min="1" max="10" width="14.7109375" style="262" bestFit="1" customWidth="1"/>
    <col min="11" max="11" width="14.42578125" style="262" bestFit="1" customWidth="1"/>
    <col min="12" max="12" width="15" style="262" bestFit="1" customWidth="1"/>
    <col min="13" max="16" width="14.7109375" style="262" bestFit="1" customWidth="1"/>
    <col min="17" max="17" width="4.7109375" style="262" bestFit="1" customWidth="1"/>
    <col min="18" max="256" width="9.140625" style="262"/>
    <col min="257" max="266" width="14.7109375" style="262" bestFit="1" customWidth="1"/>
    <col min="267" max="267" width="14.42578125" style="262" bestFit="1" customWidth="1"/>
    <col min="268" max="268" width="15" style="262" bestFit="1" customWidth="1"/>
    <col min="269" max="272" width="14.7109375" style="262" bestFit="1" customWidth="1"/>
    <col min="273" max="273" width="4.7109375" style="262" bestFit="1" customWidth="1"/>
    <col min="274" max="512" width="9.140625" style="262"/>
    <col min="513" max="522" width="14.7109375" style="262" bestFit="1" customWidth="1"/>
    <col min="523" max="523" width="14.42578125" style="262" bestFit="1" customWidth="1"/>
    <col min="524" max="524" width="15" style="262" bestFit="1" customWidth="1"/>
    <col min="525" max="528" width="14.7109375" style="262" bestFit="1" customWidth="1"/>
    <col min="529" max="529" width="4.7109375" style="262" bestFit="1" customWidth="1"/>
    <col min="530" max="768" width="9.140625" style="262"/>
    <col min="769" max="778" width="14.7109375" style="262" bestFit="1" customWidth="1"/>
    <col min="779" max="779" width="14.42578125" style="262" bestFit="1" customWidth="1"/>
    <col min="780" max="780" width="15" style="262" bestFit="1" customWidth="1"/>
    <col min="781" max="784" width="14.7109375" style="262" bestFit="1" customWidth="1"/>
    <col min="785" max="785" width="4.7109375" style="262" bestFit="1" customWidth="1"/>
    <col min="786" max="1024" width="9.140625" style="262"/>
    <col min="1025" max="1034" width="14.7109375" style="262" bestFit="1" customWidth="1"/>
    <col min="1035" max="1035" width="14.42578125" style="262" bestFit="1" customWidth="1"/>
    <col min="1036" max="1036" width="15" style="262" bestFit="1" customWidth="1"/>
    <col min="1037" max="1040" width="14.7109375" style="262" bestFit="1" customWidth="1"/>
    <col min="1041" max="1041" width="4.7109375" style="262" bestFit="1" customWidth="1"/>
    <col min="1042" max="1280" width="9.140625" style="262"/>
    <col min="1281" max="1290" width="14.7109375" style="262" bestFit="1" customWidth="1"/>
    <col min="1291" max="1291" width="14.42578125" style="262" bestFit="1" customWidth="1"/>
    <col min="1292" max="1292" width="15" style="262" bestFit="1" customWidth="1"/>
    <col min="1293" max="1296" width="14.7109375" style="262" bestFit="1" customWidth="1"/>
    <col min="1297" max="1297" width="4.7109375" style="262" bestFit="1" customWidth="1"/>
    <col min="1298" max="1536" width="9.140625" style="262"/>
    <col min="1537" max="1546" width="14.7109375" style="262" bestFit="1" customWidth="1"/>
    <col min="1547" max="1547" width="14.42578125" style="262" bestFit="1" customWidth="1"/>
    <col min="1548" max="1548" width="15" style="262" bestFit="1" customWidth="1"/>
    <col min="1549" max="1552" width="14.7109375" style="262" bestFit="1" customWidth="1"/>
    <col min="1553" max="1553" width="4.7109375" style="262" bestFit="1" customWidth="1"/>
    <col min="1554" max="1792" width="9.140625" style="262"/>
    <col min="1793" max="1802" width="14.7109375" style="262" bestFit="1" customWidth="1"/>
    <col min="1803" max="1803" width="14.42578125" style="262" bestFit="1" customWidth="1"/>
    <col min="1804" max="1804" width="15" style="262" bestFit="1" customWidth="1"/>
    <col min="1805" max="1808" width="14.7109375" style="262" bestFit="1" customWidth="1"/>
    <col min="1809" max="1809" width="4.7109375" style="262" bestFit="1" customWidth="1"/>
    <col min="1810" max="2048" width="9.140625" style="262"/>
    <col min="2049" max="2058" width="14.7109375" style="262" bestFit="1" customWidth="1"/>
    <col min="2059" max="2059" width="14.42578125" style="262" bestFit="1" customWidth="1"/>
    <col min="2060" max="2060" width="15" style="262" bestFit="1" customWidth="1"/>
    <col min="2061" max="2064" width="14.7109375" style="262" bestFit="1" customWidth="1"/>
    <col min="2065" max="2065" width="4.7109375" style="262" bestFit="1" customWidth="1"/>
    <col min="2066" max="2304" width="9.140625" style="262"/>
    <col min="2305" max="2314" width="14.7109375" style="262" bestFit="1" customWidth="1"/>
    <col min="2315" max="2315" width="14.42578125" style="262" bestFit="1" customWidth="1"/>
    <col min="2316" max="2316" width="15" style="262" bestFit="1" customWidth="1"/>
    <col min="2317" max="2320" width="14.7109375" style="262" bestFit="1" customWidth="1"/>
    <col min="2321" max="2321" width="4.7109375" style="262" bestFit="1" customWidth="1"/>
    <col min="2322" max="2560" width="9.140625" style="262"/>
    <col min="2561" max="2570" width="14.7109375" style="262" bestFit="1" customWidth="1"/>
    <col min="2571" max="2571" width="14.42578125" style="262" bestFit="1" customWidth="1"/>
    <col min="2572" max="2572" width="15" style="262" bestFit="1" customWidth="1"/>
    <col min="2573" max="2576" width="14.7109375" style="262" bestFit="1" customWidth="1"/>
    <col min="2577" max="2577" width="4.7109375" style="262" bestFit="1" customWidth="1"/>
    <col min="2578" max="2816" width="9.140625" style="262"/>
    <col min="2817" max="2826" width="14.7109375" style="262" bestFit="1" customWidth="1"/>
    <col min="2827" max="2827" width="14.42578125" style="262" bestFit="1" customWidth="1"/>
    <col min="2828" max="2828" width="15" style="262" bestFit="1" customWidth="1"/>
    <col min="2829" max="2832" width="14.7109375" style="262" bestFit="1" customWidth="1"/>
    <col min="2833" max="2833" width="4.7109375" style="262" bestFit="1" customWidth="1"/>
    <col min="2834" max="3072" width="9.140625" style="262"/>
    <col min="3073" max="3082" width="14.7109375" style="262" bestFit="1" customWidth="1"/>
    <col min="3083" max="3083" width="14.42578125" style="262" bestFit="1" customWidth="1"/>
    <col min="3084" max="3084" width="15" style="262" bestFit="1" customWidth="1"/>
    <col min="3085" max="3088" width="14.7109375" style="262" bestFit="1" customWidth="1"/>
    <col min="3089" max="3089" width="4.7109375" style="262" bestFit="1" customWidth="1"/>
    <col min="3090" max="3328" width="9.140625" style="262"/>
    <col min="3329" max="3338" width="14.7109375" style="262" bestFit="1" customWidth="1"/>
    <col min="3339" max="3339" width="14.42578125" style="262" bestFit="1" customWidth="1"/>
    <col min="3340" max="3340" width="15" style="262" bestFit="1" customWidth="1"/>
    <col min="3341" max="3344" width="14.7109375" style="262" bestFit="1" customWidth="1"/>
    <col min="3345" max="3345" width="4.7109375" style="262" bestFit="1" customWidth="1"/>
    <col min="3346" max="3584" width="9.140625" style="262"/>
    <col min="3585" max="3594" width="14.7109375" style="262" bestFit="1" customWidth="1"/>
    <col min="3595" max="3595" width="14.42578125" style="262" bestFit="1" customWidth="1"/>
    <col min="3596" max="3596" width="15" style="262" bestFit="1" customWidth="1"/>
    <col min="3597" max="3600" width="14.7109375" style="262" bestFit="1" customWidth="1"/>
    <col min="3601" max="3601" width="4.7109375" style="262" bestFit="1" customWidth="1"/>
    <col min="3602" max="3840" width="9.140625" style="262"/>
    <col min="3841" max="3850" width="14.7109375" style="262" bestFit="1" customWidth="1"/>
    <col min="3851" max="3851" width="14.42578125" style="262" bestFit="1" customWidth="1"/>
    <col min="3852" max="3852" width="15" style="262" bestFit="1" customWidth="1"/>
    <col min="3853" max="3856" width="14.7109375" style="262" bestFit="1" customWidth="1"/>
    <col min="3857" max="3857" width="4.7109375" style="262" bestFit="1" customWidth="1"/>
    <col min="3858" max="4096" width="9.140625" style="262"/>
    <col min="4097" max="4106" width="14.7109375" style="262" bestFit="1" customWidth="1"/>
    <col min="4107" max="4107" width="14.42578125" style="262" bestFit="1" customWidth="1"/>
    <col min="4108" max="4108" width="15" style="262" bestFit="1" customWidth="1"/>
    <col min="4109" max="4112" width="14.7109375" style="262" bestFit="1" customWidth="1"/>
    <col min="4113" max="4113" width="4.7109375" style="262" bestFit="1" customWidth="1"/>
    <col min="4114" max="4352" width="9.140625" style="262"/>
    <col min="4353" max="4362" width="14.7109375" style="262" bestFit="1" customWidth="1"/>
    <col min="4363" max="4363" width="14.42578125" style="262" bestFit="1" customWidth="1"/>
    <col min="4364" max="4364" width="15" style="262" bestFit="1" customWidth="1"/>
    <col min="4365" max="4368" width="14.7109375" style="262" bestFit="1" customWidth="1"/>
    <col min="4369" max="4369" width="4.7109375" style="262" bestFit="1" customWidth="1"/>
    <col min="4370" max="4608" width="9.140625" style="262"/>
    <col min="4609" max="4618" width="14.7109375" style="262" bestFit="1" customWidth="1"/>
    <col min="4619" max="4619" width="14.42578125" style="262" bestFit="1" customWidth="1"/>
    <col min="4620" max="4620" width="15" style="262" bestFit="1" customWidth="1"/>
    <col min="4621" max="4624" width="14.7109375" style="262" bestFit="1" customWidth="1"/>
    <col min="4625" max="4625" width="4.7109375" style="262" bestFit="1" customWidth="1"/>
    <col min="4626" max="4864" width="9.140625" style="262"/>
    <col min="4865" max="4874" width="14.7109375" style="262" bestFit="1" customWidth="1"/>
    <col min="4875" max="4875" width="14.42578125" style="262" bestFit="1" customWidth="1"/>
    <col min="4876" max="4876" width="15" style="262" bestFit="1" customWidth="1"/>
    <col min="4877" max="4880" width="14.7109375" style="262" bestFit="1" customWidth="1"/>
    <col min="4881" max="4881" width="4.7109375" style="262" bestFit="1" customWidth="1"/>
    <col min="4882" max="5120" width="9.140625" style="262"/>
    <col min="5121" max="5130" width="14.7109375" style="262" bestFit="1" customWidth="1"/>
    <col min="5131" max="5131" width="14.42578125" style="262" bestFit="1" customWidth="1"/>
    <col min="5132" max="5132" width="15" style="262" bestFit="1" customWidth="1"/>
    <col min="5133" max="5136" width="14.7109375" style="262" bestFit="1" customWidth="1"/>
    <col min="5137" max="5137" width="4.7109375" style="262" bestFit="1" customWidth="1"/>
    <col min="5138" max="5376" width="9.140625" style="262"/>
    <col min="5377" max="5386" width="14.7109375" style="262" bestFit="1" customWidth="1"/>
    <col min="5387" max="5387" width="14.42578125" style="262" bestFit="1" customWidth="1"/>
    <col min="5388" max="5388" width="15" style="262" bestFit="1" customWidth="1"/>
    <col min="5389" max="5392" width="14.7109375" style="262" bestFit="1" customWidth="1"/>
    <col min="5393" max="5393" width="4.7109375" style="262" bestFit="1" customWidth="1"/>
    <col min="5394" max="5632" width="9.140625" style="262"/>
    <col min="5633" max="5642" width="14.7109375" style="262" bestFit="1" customWidth="1"/>
    <col min="5643" max="5643" width="14.42578125" style="262" bestFit="1" customWidth="1"/>
    <col min="5644" max="5644" width="15" style="262" bestFit="1" customWidth="1"/>
    <col min="5645" max="5648" width="14.7109375" style="262" bestFit="1" customWidth="1"/>
    <col min="5649" max="5649" width="4.7109375" style="262" bestFit="1" customWidth="1"/>
    <col min="5650" max="5888" width="9.140625" style="262"/>
    <col min="5889" max="5898" width="14.7109375" style="262" bestFit="1" customWidth="1"/>
    <col min="5899" max="5899" width="14.42578125" style="262" bestFit="1" customWidth="1"/>
    <col min="5900" max="5900" width="15" style="262" bestFit="1" customWidth="1"/>
    <col min="5901" max="5904" width="14.7109375" style="262" bestFit="1" customWidth="1"/>
    <col min="5905" max="5905" width="4.7109375" style="262" bestFit="1" customWidth="1"/>
    <col min="5906" max="6144" width="9.140625" style="262"/>
    <col min="6145" max="6154" width="14.7109375" style="262" bestFit="1" customWidth="1"/>
    <col min="6155" max="6155" width="14.42578125" style="262" bestFit="1" customWidth="1"/>
    <col min="6156" max="6156" width="15" style="262" bestFit="1" customWidth="1"/>
    <col min="6157" max="6160" width="14.7109375" style="262" bestFit="1" customWidth="1"/>
    <col min="6161" max="6161" width="4.7109375" style="262" bestFit="1" customWidth="1"/>
    <col min="6162" max="6400" width="9.140625" style="262"/>
    <col min="6401" max="6410" width="14.7109375" style="262" bestFit="1" customWidth="1"/>
    <col min="6411" max="6411" width="14.42578125" style="262" bestFit="1" customWidth="1"/>
    <col min="6412" max="6412" width="15" style="262" bestFit="1" customWidth="1"/>
    <col min="6413" max="6416" width="14.7109375" style="262" bestFit="1" customWidth="1"/>
    <col min="6417" max="6417" width="4.7109375" style="262" bestFit="1" customWidth="1"/>
    <col min="6418" max="6656" width="9.140625" style="262"/>
    <col min="6657" max="6666" width="14.7109375" style="262" bestFit="1" customWidth="1"/>
    <col min="6667" max="6667" width="14.42578125" style="262" bestFit="1" customWidth="1"/>
    <col min="6668" max="6668" width="15" style="262" bestFit="1" customWidth="1"/>
    <col min="6669" max="6672" width="14.7109375" style="262" bestFit="1" customWidth="1"/>
    <col min="6673" max="6673" width="4.7109375" style="262" bestFit="1" customWidth="1"/>
    <col min="6674" max="6912" width="9.140625" style="262"/>
    <col min="6913" max="6922" width="14.7109375" style="262" bestFit="1" customWidth="1"/>
    <col min="6923" max="6923" width="14.42578125" style="262" bestFit="1" customWidth="1"/>
    <col min="6924" max="6924" width="15" style="262" bestFit="1" customWidth="1"/>
    <col min="6925" max="6928" width="14.7109375" style="262" bestFit="1" customWidth="1"/>
    <col min="6929" max="6929" width="4.7109375" style="262" bestFit="1" customWidth="1"/>
    <col min="6930" max="7168" width="9.140625" style="262"/>
    <col min="7169" max="7178" width="14.7109375" style="262" bestFit="1" customWidth="1"/>
    <col min="7179" max="7179" width="14.42578125" style="262" bestFit="1" customWidth="1"/>
    <col min="7180" max="7180" width="15" style="262" bestFit="1" customWidth="1"/>
    <col min="7181" max="7184" width="14.7109375" style="262" bestFit="1" customWidth="1"/>
    <col min="7185" max="7185" width="4.7109375" style="262" bestFit="1" customWidth="1"/>
    <col min="7186" max="7424" width="9.140625" style="262"/>
    <col min="7425" max="7434" width="14.7109375" style="262" bestFit="1" customWidth="1"/>
    <col min="7435" max="7435" width="14.42578125" style="262" bestFit="1" customWidth="1"/>
    <col min="7436" max="7436" width="15" style="262" bestFit="1" customWidth="1"/>
    <col min="7437" max="7440" width="14.7109375" style="262" bestFit="1" customWidth="1"/>
    <col min="7441" max="7441" width="4.7109375" style="262" bestFit="1" customWidth="1"/>
    <col min="7442" max="7680" width="9.140625" style="262"/>
    <col min="7681" max="7690" width="14.7109375" style="262" bestFit="1" customWidth="1"/>
    <col min="7691" max="7691" width="14.42578125" style="262" bestFit="1" customWidth="1"/>
    <col min="7692" max="7692" width="15" style="262" bestFit="1" customWidth="1"/>
    <col min="7693" max="7696" width="14.7109375" style="262" bestFit="1" customWidth="1"/>
    <col min="7697" max="7697" width="4.7109375" style="262" bestFit="1" customWidth="1"/>
    <col min="7698" max="7936" width="9.140625" style="262"/>
    <col min="7937" max="7946" width="14.7109375" style="262" bestFit="1" customWidth="1"/>
    <col min="7947" max="7947" width="14.42578125" style="262" bestFit="1" customWidth="1"/>
    <col min="7948" max="7948" width="15" style="262" bestFit="1" customWidth="1"/>
    <col min="7949" max="7952" width="14.7109375" style="262" bestFit="1" customWidth="1"/>
    <col min="7953" max="7953" width="4.7109375" style="262" bestFit="1" customWidth="1"/>
    <col min="7954" max="8192" width="9.140625" style="262"/>
    <col min="8193" max="8202" width="14.7109375" style="262" bestFit="1" customWidth="1"/>
    <col min="8203" max="8203" width="14.42578125" style="262" bestFit="1" customWidth="1"/>
    <col min="8204" max="8204" width="15" style="262" bestFit="1" customWidth="1"/>
    <col min="8205" max="8208" width="14.7109375" style="262" bestFit="1" customWidth="1"/>
    <col min="8209" max="8209" width="4.7109375" style="262" bestFit="1" customWidth="1"/>
    <col min="8210" max="8448" width="9.140625" style="262"/>
    <col min="8449" max="8458" width="14.7109375" style="262" bestFit="1" customWidth="1"/>
    <col min="8459" max="8459" width="14.42578125" style="262" bestFit="1" customWidth="1"/>
    <col min="8460" max="8460" width="15" style="262" bestFit="1" customWidth="1"/>
    <col min="8461" max="8464" width="14.7109375" style="262" bestFit="1" customWidth="1"/>
    <col min="8465" max="8465" width="4.7109375" style="262" bestFit="1" customWidth="1"/>
    <col min="8466" max="8704" width="9.140625" style="262"/>
    <col min="8705" max="8714" width="14.7109375" style="262" bestFit="1" customWidth="1"/>
    <col min="8715" max="8715" width="14.42578125" style="262" bestFit="1" customWidth="1"/>
    <col min="8716" max="8716" width="15" style="262" bestFit="1" customWidth="1"/>
    <col min="8717" max="8720" width="14.7109375" style="262" bestFit="1" customWidth="1"/>
    <col min="8721" max="8721" width="4.7109375" style="262" bestFit="1" customWidth="1"/>
    <col min="8722" max="8960" width="9.140625" style="262"/>
    <col min="8961" max="8970" width="14.7109375" style="262" bestFit="1" customWidth="1"/>
    <col min="8971" max="8971" width="14.42578125" style="262" bestFit="1" customWidth="1"/>
    <col min="8972" max="8972" width="15" style="262" bestFit="1" customWidth="1"/>
    <col min="8973" max="8976" width="14.7109375" style="262" bestFit="1" customWidth="1"/>
    <col min="8977" max="8977" width="4.7109375" style="262" bestFit="1" customWidth="1"/>
    <col min="8978" max="9216" width="9.140625" style="262"/>
    <col min="9217" max="9226" width="14.7109375" style="262" bestFit="1" customWidth="1"/>
    <col min="9227" max="9227" width="14.42578125" style="262" bestFit="1" customWidth="1"/>
    <col min="9228" max="9228" width="15" style="262" bestFit="1" customWidth="1"/>
    <col min="9229" max="9232" width="14.7109375" style="262" bestFit="1" customWidth="1"/>
    <col min="9233" max="9233" width="4.7109375" style="262" bestFit="1" customWidth="1"/>
    <col min="9234" max="9472" width="9.140625" style="262"/>
    <col min="9473" max="9482" width="14.7109375" style="262" bestFit="1" customWidth="1"/>
    <col min="9483" max="9483" width="14.42578125" style="262" bestFit="1" customWidth="1"/>
    <col min="9484" max="9484" width="15" style="262" bestFit="1" customWidth="1"/>
    <col min="9485" max="9488" width="14.7109375" style="262" bestFit="1" customWidth="1"/>
    <col min="9489" max="9489" width="4.7109375" style="262" bestFit="1" customWidth="1"/>
    <col min="9490" max="9728" width="9.140625" style="262"/>
    <col min="9729" max="9738" width="14.7109375" style="262" bestFit="1" customWidth="1"/>
    <col min="9739" max="9739" width="14.42578125" style="262" bestFit="1" customWidth="1"/>
    <col min="9740" max="9740" width="15" style="262" bestFit="1" customWidth="1"/>
    <col min="9741" max="9744" width="14.7109375" style="262" bestFit="1" customWidth="1"/>
    <col min="9745" max="9745" width="4.7109375" style="262" bestFit="1" customWidth="1"/>
    <col min="9746" max="9984" width="9.140625" style="262"/>
    <col min="9985" max="9994" width="14.7109375" style="262" bestFit="1" customWidth="1"/>
    <col min="9995" max="9995" width="14.42578125" style="262" bestFit="1" customWidth="1"/>
    <col min="9996" max="9996" width="15" style="262" bestFit="1" customWidth="1"/>
    <col min="9997" max="10000" width="14.7109375" style="262" bestFit="1" customWidth="1"/>
    <col min="10001" max="10001" width="4.7109375" style="262" bestFit="1" customWidth="1"/>
    <col min="10002" max="10240" width="9.140625" style="262"/>
    <col min="10241" max="10250" width="14.7109375" style="262" bestFit="1" customWidth="1"/>
    <col min="10251" max="10251" width="14.42578125" style="262" bestFit="1" customWidth="1"/>
    <col min="10252" max="10252" width="15" style="262" bestFit="1" customWidth="1"/>
    <col min="10253" max="10256" width="14.7109375" style="262" bestFit="1" customWidth="1"/>
    <col min="10257" max="10257" width="4.7109375" style="262" bestFit="1" customWidth="1"/>
    <col min="10258" max="10496" width="9.140625" style="262"/>
    <col min="10497" max="10506" width="14.7109375" style="262" bestFit="1" customWidth="1"/>
    <col min="10507" max="10507" width="14.42578125" style="262" bestFit="1" customWidth="1"/>
    <col min="10508" max="10508" width="15" style="262" bestFit="1" customWidth="1"/>
    <col min="10509" max="10512" width="14.7109375" style="262" bestFit="1" customWidth="1"/>
    <col min="10513" max="10513" width="4.7109375" style="262" bestFit="1" customWidth="1"/>
    <col min="10514" max="10752" width="9.140625" style="262"/>
    <col min="10753" max="10762" width="14.7109375" style="262" bestFit="1" customWidth="1"/>
    <col min="10763" max="10763" width="14.42578125" style="262" bestFit="1" customWidth="1"/>
    <col min="10764" max="10764" width="15" style="262" bestFit="1" customWidth="1"/>
    <col min="10765" max="10768" width="14.7109375" style="262" bestFit="1" customWidth="1"/>
    <col min="10769" max="10769" width="4.7109375" style="262" bestFit="1" customWidth="1"/>
    <col min="10770" max="11008" width="9.140625" style="262"/>
    <col min="11009" max="11018" width="14.7109375" style="262" bestFit="1" customWidth="1"/>
    <col min="11019" max="11019" width="14.42578125" style="262" bestFit="1" customWidth="1"/>
    <col min="11020" max="11020" width="15" style="262" bestFit="1" customWidth="1"/>
    <col min="11021" max="11024" width="14.7109375" style="262" bestFit="1" customWidth="1"/>
    <col min="11025" max="11025" width="4.7109375" style="262" bestFit="1" customWidth="1"/>
    <col min="11026" max="11264" width="9.140625" style="262"/>
    <col min="11265" max="11274" width="14.7109375" style="262" bestFit="1" customWidth="1"/>
    <col min="11275" max="11275" width="14.42578125" style="262" bestFit="1" customWidth="1"/>
    <col min="11276" max="11276" width="15" style="262" bestFit="1" customWidth="1"/>
    <col min="11277" max="11280" width="14.7109375" style="262" bestFit="1" customWidth="1"/>
    <col min="11281" max="11281" width="4.7109375" style="262" bestFit="1" customWidth="1"/>
    <col min="11282" max="11520" width="9.140625" style="262"/>
    <col min="11521" max="11530" width="14.7109375" style="262" bestFit="1" customWidth="1"/>
    <col min="11531" max="11531" width="14.42578125" style="262" bestFit="1" customWidth="1"/>
    <col min="11532" max="11532" width="15" style="262" bestFit="1" customWidth="1"/>
    <col min="11533" max="11536" width="14.7109375" style="262" bestFit="1" customWidth="1"/>
    <col min="11537" max="11537" width="4.7109375" style="262" bestFit="1" customWidth="1"/>
    <col min="11538" max="11776" width="9.140625" style="262"/>
    <col min="11777" max="11786" width="14.7109375" style="262" bestFit="1" customWidth="1"/>
    <col min="11787" max="11787" width="14.42578125" style="262" bestFit="1" customWidth="1"/>
    <col min="11788" max="11788" width="15" style="262" bestFit="1" customWidth="1"/>
    <col min="11789" max="11792" width="14.7109375" style="262" bestFit="1" customWidth="1"/>
    <col min="11793" max="11793" width="4.7109375" style="262" bestFit="1" customWidth="1"/>
    <col min="11794" max="12032" width="9.140625" style="262"/>
    <col min="12033" max="12042" width="14.7109375" style="262" bestFit="1" customWidth="1"/>
    <col min="12043" max="12043" width="14.42578125" style="262" bestFit="1" customWidth="1"/>
    <col min="12044" max="12044" width="15" style="262" bestFit="1" customWidth="1"/>
    <col min="12045" max="12048" width="14.7109375" style="262" bestFit="1" customWidth="1"/>
    <col min="12049" max="12049" width="4.7109375" style="262" bestFit="1" customWidth="1"/>
    <col min="12050" max="12288" width="9.140625" style="262"/>
    <col min="12289" max="12298" width="14.7109375" style="262" bestFit="1" customWidth="1"/>
    <col min="12299" max="12299" width="14.42578125" style="262" bestFit="1" customWidth="1"/>
    <col min="12300" max="12300" width="15" style="262" bestFit="1" customWidth="1"/>
    <col min="12301" max="12304" width="14.7109375" style="262" bestFit="1" customWidth="1"/>
    <col min="12305" max="12305" width="4.7109375" style="262" bestFit="1" customWidth="1"/>
    <col min="12306" max="12544" width="9.140625" style="262"/>
    <col min="12545" max="12554" width="14.7109375" style="262" bestFit="1" customWidth="1"/>
    <col min="12555" max="12555" width="14.42578125" style="262" bestFit="1" customWidth="1"/>
    <col min="12556" max="12556" width="15" style="262" bestFit="1" customWidth="1"/>
    <col min="12557" max="12560" width="14.7109375" style="262" bestFit="1" customWidth="1"/>
    <col min="12561" max="12561" width="4.7109375" style="262" bestFit="1" customWidth="1"/>
    <col min="12562" max="12800" width="9.140625" style="262"/>
    <col min="12801" max="12810" width="14.7109375" style="262" bestFit="1" customWidth="1"/>
    <col min="12811" max="12811" width="14.42578125" style="262" bestFit="1" customWidth="1"/>
    <col min="12812" max="12812" width="15" style="262" bestFit="1" customWidth="1"/>
    <col min="12813" max="12816" width="14.7109375" style="262" bestFit="1" customWidth="1"/>
    <col min="12817" max="12817" width="4.7109375" style="262" bestFit="1" customWidth="1"/>
    <col min="12818" max="13056" width="9.140625" style="262"/>
    <col min="13057" max="13066" width="14.7109375" style="262" bestFit="1" customWidth="1"/>
    <col min="13067" max="13067" width="14.42578125" style="262" bestFit="1" customWidth="1"/>
    <col min="13068" max="13068" width="15" style="262" bestFit="1" customWidth="1"/>
    <col min="13069" max="13072" width="14.7109375" style="262" bestFit="1" customWidth="1"/>
    <col min="13073" max="13073" width="4.7109375" style="262" bestFit="1" customWidth="1"/>
    <col min="13074" max="13312" width="9.140625" style="262"/>
    <col min="13313" max="13322" width="14.7109375" style="262" bestFit="1" customWidth="1"/>
    <col min="13323" max="13323" width="14.42578125" style="262" bestFit="1" customWidth="1"/>
    <col min="13324" max="13324" width="15" style="262" bestFit="1" customWidth="1"/>
    <col min="13325" max="13328" width="14.7109375" style="262" bestFit="1" customWidth="1"/>
    <col min="13329" max="13329" width="4.7109375" style="262" bestFit="1" customWidth="1"/>
    <col min="13330" max="13568" width="9.140625" style="262"/>
    <col min="13569" max="13578" width="14.7109375" style="262" bestFit="1" customWidth="1"/>
    <col min="13579" max="13579" width="14.42578125" style="262" bestFit="1" customWidth="1"/>
    <col min="13580" max="13580" width="15" style="262" bestFit="1" customWidth="1"/>
    <col min="13581" max="13584" width="14.7109375" style="262" bestFit="1" customWidth="1"/>
    <col min="13585" max="13585" width="4.7109375" style="262" bestFit="1" customWidth="1"/>
    <col min="13586" max="13824" width="9.140625" style="262"/>
    <col min="13825" max="13834" width="14.7109375" style="262" bestFit="1" customWidth="1"/>
    <col min="13835" max="13835" width="14.42578125" style="262" bestFit="1" customWidth="1"/>
    <col min="13836" max="13836" width="15" style="262" bestFit="1" customWidth="1"/>
    <col min="13837" max="13840" width="14.7109375" style="262" bestFit="1" customWidth="1"/>
    <col min="13841" max="13841" width="4.7109375" style="262" bestFit="1" customWidth="1"/>
    <col min="13842" max="14080" width="9.140625" style="262"/>
    <col min="14081" max="14090" width="14.7109375" style="262" bestFit="1" customWidth="1"/>
    <col min="14091" max="14091" width="14.42578125" style="262" bestFit="1" customWidth="1"/>
    <col min="14092" max="14092" width="15" style="262" bestFit="1" customWidth="1"/>
    <col min="14093" max="14096" width="14.7109375" style="262" bestFit="1" customWidth="1"/>
    <col min="14097" max="14097" width="4.7109375" style="262" bestFit="1" customWidth="1"/>
    <col min="14098" max="14336" width="9.140625" style="262"/>
    <col min="14337" max="14346" width="14.7109375" style="262" bestFit="1" customWidth="1"/>
    <col min="14347" max="14347" width="14.42578125" style="262" bestFit="1" customWidth="1"/>
    <col min="14348" max="14348" width="15" style="262" bestFit="1" customWidth="1"/>
    <col min="14349" max="14352" width="14.7109375" style="262" bestFit="1" customWidth="1"/>
    <col min="14353" max="14353" width="4.7109375" style="262" bestFit="1" customWidth="1"/>
    <col min="14354" max="14592" width="9.140625" style="262"/>
    <col min="14593" max="14602" width="14.7109375" style="262" bestFit="1" customWidth="1"/>
    <col min="14603" max="14603" width="14.42578125" style="262" bestFit="1" customWidth="1"/>
    <col min="14604" max="14604" width="15" style="262" bestFit="1" customWidth="1"/>
    <col min="14605" max="14608" width="14.7109375" style="262" bestFit="1" customWidth="1"/>
    <col min="14609" max="14609" width="4.7109375" style="262" bestFit="1" customWidth="1"/>
    <col min="14610" max="14848" width="9.140625" style="262"/>
    <col min="14849" max="14858" width="14.7109375" style="262" bestFit="1" customWidth="1"/>
    <col min="14859" max="14859" width="14.42578125" style="262" bestFit="1" customWidth="1"/>
    <col min="14860" max="14860" width="15" style="262" bestFit="1" customWidth="1"/>
    <col min="14861" max="14864" width="14.7109375" style="262" bestFit="1" customWidth="1"/>
    <col min="14865" max="14865" width="4.7109375" style="262" bestFit="1" customWidth="1"/>
    <col min="14866" max="15104" width="9.140625" style="262"/>
    <col min="15105" max="15114" width="14.7109375" style="262" bestFit="1" customWidth="1"/>
    <col min="15115" max="15115" width="14.42578125" style="262" bestFit="1" customWidth="1"/>
    <col min="15116" max="15116" width="15" style="262" bestFit="1" customWidth="1"/>
    <col min="15117" max="15120" width="14.7109375" style="262" bestFit="1" customWidth="1"/>
    <col min="15121" max="15121" width="4.7109375" style="262" bestFit="1" customWidth="1"/>
    <col min="15122" max="15360" width="9.140625" style="262"/>
    <col min="15361" max="15370" width="14.7109375" style="262" bestFit="1" customWidth="1"/>
    <col min="15371" max="15371" width="14.42578125" style="262" bestFit="1" customWidth="1"/>
    <col min="15372" max="15372" width="15" style="262" bestFit="1" customWidth="1"/>
    <col min="15373" max="15376" width="14.7109375" style="262" bestFit="1" customWidth="1"/>
    <col min="15377" max="15377" width="4.7109375" style="262" bestFit="1" customWidth="1"/>
    <col min="15378" max="15616" width="9.140625" style="262"/>
    <col min="15617" max="15626" width="14.7109375" style="262" bestFit="1" customWidth="1"/>
    <col min="15627" max="15627" width="14.42578125" style="262" bestFit="1" customWidth="1"/>
    <col min="15628" max="15628" width="15" style="262" bestFit="1" customWidth="1"/>
    <col min="15629" max="15632" width="14.7109375" style="262" bestFit="1" customWidth="1"/>
    <col min="15633" max="15633" width="4.7109375" style="262" bestFit="1" customWidth="1"/>
    <col min="15634" max="15872" width="9.140625" style="262"/>
    <col min="15873" max="15882" width="14.7109375" style="262" bestFit="1" customWidth="1"/>
    <col min="15883" max="15883" width="14.42578125" style="262" bestFit="1" customWidth="1"/>
    <col min="15884" max="15884" width="15" style="262" bestFit="1" customWidth="1"/>
    <col min="15885" max="15888" width="14.7109375" style="262" bestFit="1" customWidth="1"/>
    <col min="15889" max="15889" width="4.7109375" style="262" bestFit="1" customWidth="1"/>
    <col min="15890" max="16128" width="9.140625" style="262"/>
    <col min="16129" max="16138" width="14.7109375" style="262" bestFit="1" customWidth="1"/>
    <col min="16139" max="16139" width="14.42578125" style="262" bestFit="1" customWidth="1"/>
    <col min="16140" max="16140" width="15" style="262" bestFit="1" customWidth="1"/>
    <col min="16141" max="16144" width="14.7109375" style="262" bestFit="1" customWidth="1"/>
    <col min="16145" max="16145" width="4.7109375" style="262" bestFit="1" customWidth="1"/>
    <col min="16146" max="16384" width="9.140625" style="262"/>
  </cols>
  <sheetData>
    <row r="1" spans="1:16" ht="14.25" customHeight="1" x14ac:dyDescent="0.2">
      <c r="A1" s="385" t="s">
        <v>33</v>
      </c>
      <c r="B1" s="385"/>
      <c r="C1" s="385"/>
      <c r="D1" s="385"/>
      <c r="E1" s="385"/>
      <c r="F1" s="385"/>
      <c r="G1" s="385"/>
      <c r="H1" s="385"/>
      <c r="I1" s="385"/>
      <c r="J1" s="385"/>
      <c r="K1" s="385"/>
    </row>
    <row r="2" spans="1:16" s="265" customFormat="1" ht="18.75" customHeight="1" x14ac:dyDescent="0.2">
      <c r="A2" s="263" t="s">
        <v>184</v>
      </c>
      <c r="B2" s="369" t="s">
        <v>257</v>
      </c>
      <c r="C2" s="395"/>
      <c r="D2" s="395"/>
      <c r="E2" s="395"/>
      <c r="F2" s="370"/>
      <c r="G2" s="375" t="s">
        <v>258</v>
      </c>
      <c r="H2" s="376"/>
      <c r="I2" s="376"/>
      <c r="J2" s="376"/>
      <c r="K2" s="377"/>
      <c r="L2" s="375" t="s">
        <v>259</v>
      </c>
      <c r="M2" s="376"/>
      <c r="N2" s="376"/>
      <c r="O2" s="376"/>
      <c r="P2" s="377"/>
    </row>
    <row r="3" spans="1:16" s="265" customFormat="1" ht="18" customHeight="1" x14ac:dyDescent="0.2">
      <c r="A3" s="263" t="s">
        <v>483</v>
      </c>
      <c r="B3" s="299" t="s">
        <v>484</v>
      </c>
      <c r="C3" s="299" t="s">
        <v>485</v>
      </c>
      <c r="D3" s="299" t="s">
        <v>486</v>
      </c>
      <c r="E3" s="299" t="s">
        <v>487</v>
      </c>
      <c r="F3" s="299" t="s">
        <v>488</v>
      </c>
      <c r="G3" s="299" t="s">
        <v>484</v>
      </c>
      <c r="H3" s="299" t="s">
        <v>485</v>
      </c>
      <c r="I3" s="299" t="s">
        <v>486</v>
      </c>
      <c r="J3" s="299" t="s">
        <v>487</v>
      </c>
      <c r="K3" s="299" t="s">
        <v>488</v>
      </c>
      <c r="L3" s="299" t="s">
        <v>484</v>
      </c>
      <c r="M3" s="299" t="s">
        <v>485</v>
      </c>
      <c r="N3" s="299" t="s">
        <v>486</v>
      </c>
      <c r="O3" s="299" t="s">
        <v>487</v>
      </c>
      <c r="P3" s="299" t="s">
        <v>488</v>
      </c>
    </row>
    <row r="4" spans="1:16" s="265" customFormat="1" ht="18" customHeight="1" x14ac:dyDescent="0.2">
      <c r="A4" s="369" t="s">
        <v>489</v>
      </c>
      <c r="B4" s="395"/>
      <c r="C4" s="395"/>
      <c r="D4" s="395"/>
      <c r="E4" s="395"/>
      <c r="F4" s="395"/>
      <c r="G4" s="395"/>
      <c r="H4" s="395"/>
      <c r="I4" s="395"/>
      <c r="J4" s="395"/>
      <c r="K4" s="370"/>
      <c r="L4" s="299"/>
      <c r="M4" s="299"/>
      <c r="N4" s="299"/>
      <c r="O4" s="299"/>
      <c r="P4" s="299"/>
    </row>
    <row r="5" spans="1:16" s="265" customFormat="1" ht="16.5" customHeight="1" x14ac:dyDescent="0.2">
      <c r="A5" s="266" t="s">
        <v>69</v>
      </c>
      <c r="B5" s="306">
        <v>10.6509</v>
      </c>
      <c r="C5" s="306">
        <v>15.7315</v>
      </c>
      <c r="D5" s="306">
        <v>26.2105</v>
      </c>
      <c r="E5" s="306">
        <v>36.85</v>
      </c>
      <c r="F5" s="306">
        <v>51.739199999999997</v>
      </c>
      <c r="G5" s="306">
        <v>9.08</v>
      </c>
      <c r="H5" s="306">
        <v>15.48</v>
      </c>
      <c r="I5" s="306">
        <v>29.1</v>
      </c>
      <c r="J5" s="306">
        <v>43.05</v>
      </c>
      <c r="K5" s="306">
        <v>61.3</v>
      </c>
      <c r="L5" s="275">
        <v>95.083077450000005</v>
      </c>
      <c r="M5" s="275">
        <v>99.385843160999997</v>
      </c>
      <c r="N5" s="275">
        <v>100</v>
      </c>
      <c r="O5" s="275">
        <v>100</v>
      </c>
      <c r="P5" s="275">
        <v>100</v>
      </c>
    </row>
    <row r="6" spans="1:16" s="265" customFormat="1" ht="16.5" customHeight="1" x14ac:dyDescent="0.2">
      <c r="A6" s="266" t="s">
        <v>70</v>
      </c>
      <c r="B6" s="306">
        <v>9.5289999999999999</v>
      </c>
      <c r="C6" s="306">
        <v>16.1709</v>
      </c>
      <c r="D6" s="306">
        <v>31.055199999999999</v>
      </c>
      <c r="E6" s="306">
        <v>44.2911</v>
      </c>
      <c r="F6" s="306">
        <v>60.239400000000003</v>
      </c>
      <c r="G6" s="306">
        <v>11.68</v>
      </c>
      <c r="H6" s="306">
        <v>20.43</v>
      </c>
      <c r="I6" s="306">
        <v>36.67</v>
      </c>
      <c r="J6" s="306">
        <v>52.57</v>
      </c>
      <c r="K6" s="306">
        <v>70.930000000000007</v>
      </c>
      <c r="L6" s="275">
        <v>98.9</v>
      </c>
      <c r="M6" s="275">
        <v>100</v>
      </c>
      <c r="N6" s="275">
        <v>100</v>
      </c>
      <c r="O6" s="275">
        <v>100</v>
      </c>
      <c r="P6" s="275">
        <v>100</v>
      </c>
    </row>
    <row r="7" spans="1:16" s="265" customFormat="1" ht="16.5" customHeight="1" x14ac:dyDescent="0.2">
      <c r="A7" s="266" t="s">
        <v>156</v>
      </c>
      <c r="B7" s="306">
        <v>12.2928</v>
      </c>
      <c r="C7" s="306">
        <v>17.739799999999999</v>
      </c>
      <c r="D7" s="306">
        <v>29.526499999999999</v>
      </c>
      <c r="E7" s="306">
        <v>41.944200000000002</v>
      </c>
      <c r="F7" s="306">
        <v>57.418900000000001</v>
      </c>
      <c r="G7" s="306">
        <v>11.12</v>
      </c>
      <c r="H7" s="306">
        <v>18.71</v>
      </c>
      <c r="I7" s="306">
        <v>33.69</v>
      </c>
      <c r="J7" s="306">
        <v>48.43</v>
      </c>
      <c r="K7" s="306">
        <v>66</v>
      </c>
      <c r="L7" s="275">
        <v>100</v>
      </c>
      <c r="M7" s="275">
        <v>100</v>
      </c>
      <c r="N7" s="275">
        <v>100</v>
      </c>
      <c r="O7" s="275">
        <v>100</v>
      </c>
      <c r="P7" s="275">
        <v>100</v>
      </c>
    </row>
    <row r="8" spans="1:16" s="265" customFormat="1" ht="16.5" customHeight="1" x14ac:dyDescent="0.2">
      <c r="A8" s="266" t="s">
        <v>157</v>
      </c>
      <c r="B8" s="306">
        <v>16.0047</v>
      </c>
      <c r="C8" s="306">
        <v>22.1846</v>
      </c>
      <c r="D8" s="306">
        <v>34.213700000000003</v>
      </c>
      <c r="E8" s="306">
        <v>47.360700000000001</v>
      </c>
      <c r="F8" s="306">
        <v>63.240099999999998</v>
      </c>
      <c r="G8" s="306">
        <v>10.73</v>
      </c>
      <c r="H8" s="306">
        <v>17.68</v>
      </c>
      <c r="I8" s="306">
        <v>33.46</v>
      </c>
      <c r="J8" s="306">
        <v>50.7</v>
      </c>
      <c r="K8" s="306">
        <v>69.34</v>
      </c>
      <c r="L8" s="275">
        <v>100</v>
      </c>
      <c r="M8" s="275">
        <v>100</v>
      </c>
      <c r="N8" s="275">
        <v>100</v>
      </c>
      <c r="O8" s="275">
        <v>100</v>
      </c>
      <c r="P8" s="275">
        <v>100</v>
      </c>
    </row>
    <row r="9" spans="1:16" s="265" customFormat="1" ht="16.5" customHeight="1" x14ac:dyDescent="0.2">
      <c r="A9" s="266" t="s">
        <v>158</v>
      </c>
      <c r="B9" s="306">
        <v>14.417999999999999</v>
      </c>
      <c r="C9" s="306">
        <v>21.3154</v>
      </c>
      <c r="D9" s="306">
        <v>34.880400000000002</v>
      </c>
      <c r="E9" s="306">
        <v>48.684600000000003</v>
      </c>
      <c r="F9" s="306">
        <v>64.090800000000002</v>
      </c>
      <c r="G9" s="306">
        <v>11.87</v>
      </c>
      <c r="H9" s="306">
        <v>19.809999999999999</v>
      </c>
      <c r="I9" s="306">
        <v>35.57</v>
      </c>
      <c r="J9" s="306">
        <v>51.85</v>
      </c>
      <c r="K9" s="306">
        <v>69.66</v>
      </c>
      <c r="L9" s="275">
        <v>100</v>
      </c>
      <c r="M9" s="275">
        <v>100</v>
      </c>
      <c r="N9" s="275">
        <v>100</v>
      </c>
      <c r="O9" s="275">
        <v>100</v>
      </c>
      <c r="P9" s="275">
        <v>100</v>
      </c>
    </row>
    <row r="10" spans="1:16" s="265" customFormat="1" ht="16.5" customHeight="1" x14ac:dyDescent="0.2">
      <c r="A10" s="266" t="s">
        <v>159</v>
      </c>
      <c r="B10" s="306">
        <v>11.193544166000001</v>
      </c>
      <c r="C10" s="306">
        <v>17.857199999999999</v>
      </c>
      <c r="D10" s="306">
        <v>31.321400000000001</v>
      </c>
      <c r="E10" s="306">
        <v>45.393099999999997</v>
      </c>
      <c r="F10" s="306">
        <v>62.705800000000004</v>
      </c>
      <c r="G10" s="306">
        <v>11.77</v>
      </c>
      <c r="H10" s="306">
        <v>19.760000000000002</v>
      </c>
      <c r="I10" s="306">
        <v>36.049999999999997</v>
      </c>
      <c r="J10" s="306">
        <v>53.32</v>
      </c>
      <c r="K10" s="306">
        <v>71.63</v>
      </c>
      <c r="L10" s="275">
        <v>100</v>
      </c>
      <c r="M10" s="275">
        <v>100</v>
      </c>
      <c r="N10" s="275">
        <v>100</v>
      </c>
      <c r="O10" s="275">
        <v>100</v>
      </c>
      <c r="P10" s="275">
        <v>100</v>
      </c>
    </row>
    <row r="11" spans="1:16" s="265" customFormat="1" ht="16.5" customHeight="1" x14ac:dyDescent="0.2">
      <c r="A11" s="266" t="s">
        <v>160</v>
      </c>
      <c r="B11" s="306">
        <v>9.7654999999999994</v>
      </c>
      <c r="C11" s="306">
        <v>16.369599999999998</v>
      </c>
      <c r="D11" s="306">
        <v>30.014299999999999</v>
      </c>
      <c r="E11" s="306">
        <v>43.505899999999997</v>
      </c>
      <c r="F11" s="306">
        <v>58.996400000000001</v>
      </c>
      <c r="G11" s="306">
        <v>11.8</v>
      </c>
      <c r="H11" s="306">
        <v>19.29</v>
      </c>
      <c r="I11" s="306">
        <v>34.700000000000003</v>
      </c>
      <c r="J11" s="306">
        <v>50.06</v>
      </c>
      <c r="K11" s="306">
        <v>68.72</v>
      </c>
      <c r="L11" s="275">
        <v>100</v>
      </c>
      <c r="M11" s="275">
        <v>100</v>
      </c>
      <c r="N11" s="275">
        <v>100</v>
      </c>
      <c r="O11" s="275">
        <v>100</v>
      </c>
      <c r="P11" s="275">
        <v>100</v>
      </c>
    </row>
    <row r="12" spans="1:16" s="265" customFormat="1" ht="16.5" customHeight="1" x14ac:dyDescent="0.2">
      <c r="A12" s="266" t="s">
        <v>161</v>
      </c>
      <c r="B12" s="306">
        <v>12.5556</v>
      </c>
      <c r="C12" s="306">
        <v>20.303100000000001</v>
      </c>
      <c r="D12" s="306">
        <v>33.552199999999999</v>
      </c>
      <c r="E12" s="306">
        <v>48.441499999999998</v>
      </c>
      <c r="F12" s="306">
        <v>63.673099999999998</v>
      </c>
      <c r="G12" s="306">
        <v>14.53</v>
      </c>
      <c r="H12" s="306">
        <v>23.48</v>
      </c>
      <c r="I12" s="306">
        <v>40.86</v>
      </c>
      <c r="J12" s="306">
        <v>56.55</v>
      </c>
      <c r="K12" s="306">
        <v>73.8</v>
      </c>
      <c r="L12" s="275">
        <v>100</v>
      </c>
      <c r="M12" s="275">
        <v>100</v>
      </c>
      <c r="N12" s="275">
        <v>100</v>
      </c>
      <c r="O12" s="275">
        <v>100</v>
      </c>
      <c r="P12" s="275">
        <v>100</v>
      </c>
    </row>
    <row r="13" spans="1:16" s="265" customFormat="1" ht="16.5" customHeight="1" x14ac:dyDescent="0.2">
      <c r="A13" s="266" t="s">
        <v>162</v>
      </c>
      <c r="B13" s="306">
        <v>13.922599999999999</v>
      </c>
      <c r="C13" s="306">
        <v>23.026499999999999</v>
      </c>
      <c r="D13" s="306">
        <v>38.7791</v>
      </c>
      <c r="E13" s="306">
        <v>53.623699999999999</v>
      </c>
      <c r="F13" s="306">
        <v>69.436599999999999</v>
      </c>
      <c r="G13" s="306">
        <v>15.69</v>
      </c>
      <c r="H13" s="306">
        <v>26.3</v>
      </c>
      <c r="I13" s="306">
        <v>44.3</v>
      </c>
      <c r="J13" s="306">
        <v>59.47</v>
      </c>
      <c r="K13" s="306">
        <v>77.27</v>
      </c>
      <c r="L13" s="275">
        <v>100</v>
      </c>
      <c r="M13" s="275">
        <v>100</v>
      </c>
      <c r="N13" s="275">
        <v>100</v>
      </c>
      <c r="O13" s="275">
        <v>100</v>
      </c>
      <c r="P13" s="275">
        <v>100</v>
      </c>
    </row>
    <row r="14" spans="1:16" s="265" customFormat="1" ht="16.5" customHeight="1" x14ac:dyDescent="0.2">
      <c r="A14" s="266" t="s">
        <v>163</v>
      </c>
      <c r="B14" s="306">
        <v>14.148199999999999</v>
      </c>
      <c r="C14" s="306">
        <v>22.821200000000001</v>
      </c>
      <c r="D14" s="306">
        <v>39.092799999999997</v>
      </c>
      <c r="E14" s="306">
        <v>52.922400000000003</v>
      </c>
      <c r="F14" s="306">
        <v>69.330100000000002</v>
      </c>
      <c r="G14" s="306">
        <v>14.04</v>
      </c>
      <c r="H14" s="306">
        <v>23.66</v>
      </c>
      <c r="I14" s="306">
        <v>41.31</v>
      </c>
      <c r="J14" s="306">
        <v>57.7</v>
      </c>
      <c r="K14" s="306">
        <v>76.08</v>
      </c>
      <c r="L14" s="275">
        <v>100</v>
      </c>
      <c r="M14" s="275">
        <v>100</v>
      </c>
      <c r="N14" s="275">
        <v>100</v>
      </c>
      <c r="O14" s="275">
        <v>100</v>
      </c>
      <c r="P14" s="275">
        <v>100</v>
      </c>
    </row>
    <row r="15" spans="1:16" s="265" customFormat="1" ht="16.5" customHeight="1" x14ac:dyDescent="0.2">
      <c r="A15" s="266" t="s">
        <v>164</v>
      </c>
      <c r="B15" s="306">
        <v>13.0364</v>
      </c>
      <c r="C15" s="306">
        <v>20.781500000000001</v>
      </c>
      <c r="D15" s="306">
        <v>36.414000000000001</v>
      </c>
      <c r="E15" s="306">
        <v>50.500100000000003</v>
      </c>
      <c r="F15" s="306">
        <v>66.538200000000003</v>
      </c>
      <c r="G15" s="306">
        <v>13.88</v>
      </c>
      <c r="H15" s="306">
        <v>23.03</v>
      </c>
      <c r="I15" s="306">
        <v>39.67</v>
      </c>
      <c r="J15" s="306">
        <v>56.21</v>
      </c>
      <c r="K15" s="306">
        <v>75.47</v>
      </c>
      <c r="L15" s="275">
        <v>100</v>
      </c>
      <c r="M15" s="275">
        <v>100</v>
      </c>
      <c r="N15" s="275">
        <v>100</v>
      </c>
      <c r="O15" s="275">
        <v>100</v>
      </c>
      <c r="P15" s="275">
        <v>100</v>
      </c>
    </row>
    <row r="16" spans="1:16" s="265" customFormat="1" ht="16.5" customHeight="1" x14ac:dyDescent="0.2">
      <c r="A16" s="266" t="s">
        <v>165</v>
      </c>
      <c r="B16" s="306">
        <v>13.8971</v>
      </c>
      <c r="C16" s="306">
        <v>22.781400000000001</v>
      </c>
      <c r="D16" s="306">
        <v>40.713700000000003</v>
      </c>
      <c r="E16" s="306">
        <v>54.134999999999998</v>
      </c>
      <c r="F16" s="306">
        <v>68.730400000000003</v>
      </c>
      <c r="G16" s="306">
        <v>15.58</v>
      </c>
      <c r="H16" s="306">
        <v>25.65</v>
      </c>
      <c r="I16" s="306">
        <v>44.31</v>
      </c>
      <c r="J16" s="306">
        <v>59.28</v>
      </c>
      <c r="K16" s="306">
        <v>76.83</v>
      </c>
      <c r="L16" s="275">
        <v>100</v>
      </c>
      <c r="M16" s="275">
        <v>100</v>
      </c>
      <c r="N16" s="275">
        <v>100</v>
      </c>
      <c r="O16" s="275">
        <v>100</v>
      </c>
      <c r="P16" s="275">
        <v>100</v>
      </c>
    </row>
    <row r="17" spans="1:16" s="265" customFormat="1" ht="16.5" customHeight="1" x14ac:dyDescent="0.2">
      <c r="A17" s="266" t="s">
        <v>166</v>
      </c>
      <c r="B17" s="306">
        <v>14.7561</v>
      </c>
      <c r="C17" s="306">
        <v>22.864100000000001</v>
      </c>
      <c r="D17" s="306">
        <v>38.684199999999997</v>
      </c>
      <c r="E17" s="306">
        <v>53.540300000000002</v>
      </c>
      <c r="F17" s="306">
        <v>68.638999999999996</v>
      </c>
      <c r="G17" s="306">
        <v>14.56</v>
      </c>
      <c r="H17" s="306">
        <v>23.12</v>
      </c>
      <c r="I17" s="306">
        <v>42.42</v>
      </c>
      <c r="J17" s="306">
        <v>58.73</v>
      </c>
      <c r="K17" s="306">
        <v>76.95</v>
      </c>
      <c r="L17" s="275">
        <v>100</v>
      </c>
      <c r="M17" s="275">
        <v>100</v>
      </c>
      <c r="N17" s="275">
        <v>100</v>
      </c>
      <c r="O17" s="275">
        <v>100</v>
      </c>
      <c r="P17" s="275">
        <v>100</v>
      </c>
    </row>
    <row r="18" spans="1:16" s="265" customFormat="1" ht="16.5" customHeight="1" x14ac:dyDescent="0.2">
      <c r="A18" s="266" t="s">
        <v>167</v>
      </c>
      <c r="B18" s="306">
        <v>29.2</v>
      </c>
      <c r="C18" s="306">
        <v>36.5</v>
      </c>
      <c r="D18" s="306">
        <v>49</v>
      </c>
      <c r="E18" s="306">
        <v>60.3</v>
      </c>
      <c r="F18" s="306">
        <v>72.5</v>
      </c>
      <c r="G18" s="306">
        <v>12.33</v>
      </c>
      <c r="H18" s="306">
        <v>21.25</v>
      </c>
      <c r="I18" s="306">
        <v>37.32</v>
      </c>
      <c r="J18" s="306">
        <v>54.56</v>
      </c>
      <c r="K18" s="306">
        <v>73.16</v>
      </c>
      <c r="L18" s="275">
        <v>98.46</v>
      </c>
      <c r="M18" s="275">
        <v>100</v>
      </c>
      <c r="N18" s="275">
        <v>100</v>
      </c>
      <c r="O18" s="275">
        <v>100</v>
      </c>
      <c r="P18" s="275">
        <v>100</v>
      </c>
    </row>
    <row r="19" spans="1:16" s="265" customFormat="1" ht="18" customHeight="1" x14ac:dyDescent="0.2">
      <c r="A19" s="369" t="s">
        <v>490</v>
      </c>
      <c r="B19" s="395"/>
      <c r="C19" s="395"/>
      <c r="D19" s="395"/>
      <c r="E19" s="395"/>
      <c r="F19" s="395"/>
      <c r="G19" s="395"/>
      <c r="H19" s="395"/>
      <c r="I19" s="395"/>
      <c r="J19" s="395"/>
      <c r="K19" s="395"/>
      <c r="L19" s="395"/>
      <c r="M19" s="395"/>
      <c r="N19" s="395"/>
      <c r="O19" s="395"/>
      <c r="P19" s="370"/>
    </row>
    <row r="20" spans="1:16" s="265" customFormat="1" ht="18" customHeight="1" x14ac:dyDescent="0.2">
      <c r="A20" s="266" t="s">
        <v>69</v>
      </c>
      <c r="B20" s="306">
        <v>21.16</v>
      </c>
      <c r="C20" s="306">
        <v>33.31</v>
      </c>
      <c r="D20" s="306">
        <v>55.24</v>
      </c>
      <c r="E20" s="306">
        <v>70.510000000000005</v>
      </c>
      <c r="F20" s="306">
        <v>82.76</v>
      </c>
      <c r="G20" s="306">
        <v>19.75</v>
      </c>
      <c r="H20" s="306">
        <v>30.91</v>
      </c>
      <c r="I20" s="306">
        <v>51.52</v>
      </c>
      <c r="J20" s="306">
        <v>68.45</v>
      </c>
      <c r="K20" s="306">
        <v>82.01</v>
      </c>
      <c r="L20" s="275">
        <v>98.021427915999993</v>
      </c>
      <c r="M20" s="275">
        <v>99.910060935999994</v>
      </c>
      <c r="N20" s="275">
        <v>100</v>
      </c>
      <c r="O20" s="275">
        <v>100</v>
      </c>
      <c r="P20" s="275">
        <v>100</v>
      </c>
    </row>
    <row r="21" spans="1:16" s="265" customFormat="1" ht="18" customHeight="1" x14ac:dyDescent="0.2">
      <c r="A21" s="266" t="s">
        <v>70</v>
      </c>
      <c r="B21" s="306">
        <v>24.2</v>
      </c>
      <c r="C21" s="306">
        <v>38.4</v>
      </c>
      <c r="D21" s="306">
        <v>61</v>
      </c>
      <c r="E21" s="306">
        <v>73.5</v>
      </c>
      <c r="F21" s="306">
        <v>84.5</v>
      </c>
      <c r="G21" s="306">
        <v>22.47</v>
      </c>
      <c r="H21" s="306">
        <v>34.340000000000003</v>
      </c>
      <c r="I21" s="306">
        <v>54.6</v>
      </c>
      <c r="J21" s="306">
        <v>72.37</v>
      </c>
      <c r="K21" s="306">
        <v>85.69</v>
      </c>
      <c r="L21" s="275">
        <v>94.71</v>
      </c>
      <c r="M21" s="275">
        <v>100</v>
      </c>
      <c r="N21" s="275">
        <v>100</v>
      </c>
      <c r="O21" s="275">
        <v>100</v>
      </c>
      <c r="P21" s="275">
        <v>100</v>
      </c>
    </row>
    <row r="22" spans="1:16" s="265" customFormat="1" ht="18" customHeight="1" x14ac:dyDescent="0.2">
      <c r="A22" s="266" t="s">
        <v>156</v>
      </c>
      <c r="B22" s="306">
        <v>21.3</v>
      </c>
      <c r="C22" s="306">
        <v>35.75</v>
      </c>
      <c r="D22" s="306">
        <v>56.43</v>
      </c>
      <c r="E22" s="306">
        <v>69.87</v>
      </c>
      <c r="F22" s="306">
        <v>82.75</v>
      </c>
      <c r="G22" s="306">
        <v>21.68</v>
      </c>
      <c r="H22" s="306">
        <v>34</v>
      </c>
      <c r="I22" s="306">
        <v>53.56</v>
      </c>
      <c r="J22" s="306">
        <v>69.45</v>
      </c>
      <c r="K22" s="306">
        <v>83.74</v>
      </c>
      <c r="L22" s="275">
        <v>100</v>
      </c>
      <c r="M22" s="275">
        <v>100</v>
      </c>
      <c r="N22" s="275">
        <v>100</v>
      </c>
      <c r="O22" s="275">
        <v>100</v>
      </c>
      <c r="P22" s="275">
        <v>100</v>
      </c>
    </row>
    <row r="23" spans="1:16" s="265" customFormat="1" ht="18" customHeight="1" x14ac:dyDescent="0.2">
      <c r="A23" s="266" t="s">
        <v>157</v>
      </c>
      <c r="B23" s="306">
        <v>22.52</v>
      </c>
      <c r="C23" s="306">
        <v>36.07</v>
      </c>
      <c r="D23" s="306">
        <v>58.22</v>
      </c>
      <c r="E23" s="306">
        <v>72.16</v>
      </c>
      <c r="F23" s="306">
        <v>83.89</v>
      </c>
      <c r="G23" s="306">
        <v>20.99</v>
      </c>
      <c r="H23" s="306">
        <v>32.5</v>
      </c>
      <c r="I23" s="306">
        <v>53.74</v>
      </c>
      <c r="J23" s="306">
        <v>70.680000000000007</v>
      </c>
      <c r="K23" s="306">
        <v>84.75</v>
      </c>
      <c r="L23" s="275">
        <v>100</v>
      </c>
      <c r="M23" s="275">
        <v>100</v>
      </c>
      <c r="N23" s="275">
        <v>100</v>
      </c>
      <c r="O23" s="275">
        <v>100</v>
      </c>
      <c r="P23" s="275">
        <v>100</v>
      </c>
    </row>
    <row r="24" spans="1:16" s="265" customFormat="1" ht="18" customHeight="1" x14ac:dyDescent="0.2">
      <c r="A24" s="266" t="s">
        <v>158</v>
      </c>
      <c r="B24" s="306">
        <v>24.45</v>
      </c>
      <c r="C24" s="306">
        <v>37.880000000000003</v>
      </c>
      <c r="D24" s="306">
        <v>60.4</v>
      </c>
      <c r="E24" s="306">
        <v>73.42</v>
      </c>
      <c r="F24" s="306">
        <v>84.53</v>
      </c>
      <c r="G24" s="306">
        <v>20.98</v>
      </c>
      <c r="H24" s="306">
        <v>31.59</v>
      </c>
      <c r="I24" s="306">
        <v>53.71</v>
      </c>
      <c r="J24" s="306">
        <v>71.010000000000005</v>
      </c>
      <c r="K24" s="306">
        <v>84.83</v>
      </c>
      <c r="L24" s="275">
        <v>100</v>
      </c>
      <c r="M24" s="275">
        <v>100</v>
      </c>
      <c r="N24" s="275">
        <v>100</v>
      </c>
      <c r="O24" s="275">
        <v>100</v>
      </c>
      <c r="P24" s="275">
        <v>100</v>
      </c>
    </row>
    <row r="25" spans="1:16" s="265" customFormat="1" ht="18" customHeight="1" x14ac:dyDescent="0.2">
      <c r="A25" s="266" t="s">
        <v>159</v>
      </c>
      <c r="B25" s="306">
        <v>24.59</v>
      </c>
      <c r="C25" s="306">
        <v>38.53</v>
      </c>
      <c r="D25" s="306">
        <v>62.3</v>
      </c>
      <c r="E25" s="306">
        <v>74.86</v>
      </c>
      <c r="F25" s="306">
        <v>85.14</v>
      </c>
      <c r="G25" s="306">
        <v>22.48</v>
      </c>
      <c r="H25" s="306">
        <v>33.979999999999997</v>
      </c>
      <c r="I25" s="306">
        <v>54.11</v>
      </c>
      <c r="J25" s="306">
        <v>71.53</v>
      </c>
      <c r="K25" s="306">
        <v>85.43</v>
      </c>
      <c r="L25" s="275">
        <v>100</v>
      </c>
      <c r="M25" s="275">
        <v>100</v>
      </c>
      <c r="N25" s="275">
        <v>100</v>
      </c>
      <c r="O25" s="275">
        <v>100</v>
      </c>
      <c r="P25" s="275">
        <v>100</v>
      </c>
    </row>
    <row r="26" spans="1:16" s="265" customFormat="1" ht="18" customHeight="1" x14ac:dyDescent="0.2">
      <c r="A26" s="266" t="s">
        <v>160</v>
      </c>
      <c r="B26" s="306">
        <v>24.99</v>
      </c>
      <c r="C26" s="306">
        <v>39.36</v>
      </c>
      <c r="D26" s="306">
        <v>60.58</v>
      </c>
      <c r="E26" s="306">
        <v>72.87</v>
      </c>
      <c r="F26" s="306">
        <v>83.58</v>
      </c>
      <c r="G26" s="306">
        <v>22.39</v>
      </c>
      <c r="H26" s="306">
        <v>34.47</v>
      </c>
      <c r="I26" s="306">
        <v>54.08</v>
      </c>
      <c r="J26" s="306">
        <v>71.55</v>
      </c>
      <c r="K26" s="306">
        <v>84.95</v>
      </c>
      <c r="L26" s="275">
        <v>100</v>
      </c>
      <c r="M26" s="275">
        <v>100</v>
      </c>
      <c r="N26" s="275">
        <v>100</v>
      </c>
      <c r="O26" s="275">
        <v>100</v>
      </c>
      <c r="P26" s="275">
        <v>100</v>
      </c>
    </row>
    <row r="27" spans="1:16" s="265" customFormat="1" ht="18" customHeight="1" x14ac:dyDescent="0.2">
      <c r="A27" s="266" t="s">
        <v>161</v>
      </c>
      <c r="B27" s="306">
        <v>35.19</v>
      </c>
      <c r="C27" s="306">
        <v>48.65</v>
      </c>
      <c r="D27" s="306">
        <v>68.510000000000005</v>
      </c>
      <c r="E27" s="306">
        <v>79.22</v>
      </c>
      <c r="F27" s="306">
        <v>87.85</v>
      </c>
      <c r="G27" s="306">
        <v>22.18</v>
      </c>
      <c r="H27" s="306">
        <v>34.76</v>
      </c>
      <c r="I27" s="306">
        <v>56.02</v>
      </c>
      <c r="J27" s="306">
        <v>73.83</v>
      </c>
      <c r="K27" s="306">
        <v>86.6</v>
      </c>
      <c r="L27" s="275">
        <v>100</v>
      </c>
      <c r="M27" s="275">
        <v>100</v>
      </c>
      <c r="N27" s="275">
        <v>100</v>
      </c>
      <c r="O27" s="275">
        <v>100</v>
      </c>
      <c r="P27" s="275">
        <v>100</v>
      </c>
    </row>
    <row r="28" spans="1:16" s="265" customFormat="1" ht="18" customHeight="1" x14ac:dyDescent="0.2">
      <c r="A28" s="266" t="s">
        <v>162</v>
      </c>
      <c r="B28" s="306">
        <v>30.33</v>
      </c>
      <c r="C28" s="306">
        <v>45.74</v>
      </c>
      <c r="D28" s="306">
        <v>67.58</v>
      </c>
      <c r="E28" s="306">
        <v>78.180000000000007</v>
      </c>
      <c r="F28" s="306">
        <v>86.79</v>
      </c>
      <c r="G28" s="306">
        <v>22.75</v>
      </c>
      <c r="H28" s="306">
        <v>35.36</v>
      </c>
      <c r="I28" s="306">
        <v>56.27</v>
      </c>
      <c r="J28" s="306">
        <v>74.040000000000006</v>
      </c>
      <c r="K28" s="306">
        <v>87.22</v>
      </c>
      <c r="L28" s="275">
        <v>100</v>
      </c>
      <c r="M28" s="275">
        <v>100</v>
      </c>
      <c r="N28" s="275">
        <v>100</v>
      </c>
      <c r="O28" s="275">
        <v>100</v>
      </c>
      <c r="P28" s="275">
        <v>100</v>
      </c>
    </row>
    <row r="29" spans="1:16" s="265" customFormat="1" ht="18" customHeight="1" x14ac:dyDescent="0.2">
      <c r="A29" s="266" t="s">
        <v>163</v>
      </c>
      <c r="B29" s="306">
        <v>29.75</v>
      </c>
      <c r="C29" s="306">
        <v>43.72</v>
      </c>
      <c r="D29" s="306">
        <v>64.680000000000007</v>
      </c>
      <c r="E29" s="306">
        <v>76.63</v>
      </c>
      <c r="F29" s="306">
        <v>86.58</v>
      </c>
      <c r="G29" s="306">
        <v>23.19</v>
      </c>
      <c r="H29" s="306">
        <v>35.4</v>
      </c>
      <c r="I29" s="306">
        <v>55.99</v>
      </c>
      <c r="J29" s="306">
        <v>73.78</v>
      </c>
      <c r="K29" s="306">
        <v>86.45</v>
      </c>
      <c r="L29" s="275">
        <v>100</v>
      </c>
      <c r="M29" s="275">
        <v>100</v>
      </c>
      <c r="N29" s="275">
        <v>100</v>
      </c>
      <c r="O29" s="275">
        <v>100</v>
      </c>
      <c r="P29" s="275">
        <v>100</v>
      </c>
    </row>
    <row r="30" spans="1:16" s="265" customFormat="1" ht="18" customHeight="1" x14ac:dyDescent="0.2">
      <c r="A30" s="266" t="s">
        <v>164</v>
      </c>
      <c r="B30" s="306">
        <v>30.99</v>
      </c>
      <c r="C30" s="306">
        <v>45.28</v>
      </c>
      <c r="D30" s="306">
        <v>64.3</v>
      </c>
      <c r="E30" s="306">
        <v>75.92</v>
      </c>
      <c r="F30" s="306">
        <v>85.57</v>
      </c>
      <c r="G30" s="306">
        <v>25.39</v>
      </c>
      <c r="H30" s="306">
        <v>38.200000000000003</v>
      </c>
      <c r="I30" s="306">
        <v>56.99</v>
      </c>
      <c r="J30" s="306">
        <v>74.2</v>
      </c>
      <c r="K30" s="306">
        <v>86.7</v>
      </c>
      <c r="L30" s="275">
        <v>100</v>
      </c>
      <c r="M30" s="275">
        <v>100</v>
      </c>
      <c r="N30" s="275">
        <v>100</v>
      </c>
      <c r="O30" s="275">
        <v>100</v>
      </c>
      <c r="P30" s="275">
        <v>100</v>
      </c>
    </row>
    <row r="31" spans="1:16" s="265" customFormat="1" ht="18" customHeight="1" x14ac:dyDescent="0.2">
      <c r="A31" s="266" t="s">
        <v>165</v>
      </c>
      <c r="B31" s="306">
        <v>28.14</v>
      </c>
      <c r="C31" s="306">
        <v>43.11</v>
      </c>
      <c r="D31" s="306">
        <v>63.62</v>
      </c>
      <c r="E31" s="306">
        <v>75.510000000000005</v>
      </c>
      <c r="F31" s="306">
        <v>85.09</v>
      </c>
      <c r="G31" s="306">
        <v>24.78</v>
      </c>
      <c r="H31" s="306">
        <v>36.44</v>
      </c>
      <c r="I31" s="306">
        <v>56.42</v>
      </c>
      <c r="J31" s="306">
        <v>74.010000000000005</v>
      </c>
      <c r="K31" s="306">
        <v>86.5</v>
      </c>
      <c r="L31" s="275">
        <v>100</v>
      </c>
      <c r="M31" s="275">
        <v>100</v>
      </c>
      <c r="N31" s="275">
        <v>100</v>
      </c>
      <c r="O31" s="275">
        <v>100</v>
      </c>
      <c r="P31" s="275">
        <v>100</v>
      </c>
    </row>
    <row r="32" spans="1:16" s="265" customFormat="1" ht="18" customHeight="1" x14ac:dyDescent="0.2">
      <c r="A32" s="266" t="s">
        <v>166</v>
      </c>
      <c r="B32" s="306">
        <v>30.89</v>
      </c>
      <c r="C32" s="306">
        <v>48.68</v>
      </c>
      <c r="D32" s="306">
        <v>67.83</v>
      </c>
      <c r="E32" s="306">
        <v>77.84</v>
      </c>
      <c r="F32" s="306">
        <v>86.26</v>
      </c>
      <c r="G32" s="306">
        <v>24.11</v>
      </c>
      <c r="H32" s="306">
        <v>36.15</v>
      </c>
      <c r="I32" s="306">
        <v>56.76</v>
      </c>
      <c r="J32" s="306">
        <v>74.959999999999994</v>
      </c>
      <c r="K32" s="306">
        <v>87.23</v>
      </c>
      <c r="L32" s="275">
        <v>100</v>
      </c>
      <c r="M32" s="275">
        <v>100</v>
      </c>
      <c r="N32" s="275">
        <v>100</v>
      </c>
      <c r="O32" s="275">
        <v>100</v>
      </c>
      <c r="P32" s="275">
        <v>100</v>
      </c>
    </row>
    <row r="33" spans="1:16" s="265" customFormat="1" ht="18" customHeight="1" x14ac:dyDescent="0.2">
      <c r="A33" s="266" t="s">
        <v>167</v>
      </c>
      <c r="B33" s="306">
        <v>35.65</v>
      </c>
      <c r="C33" s="306">
        <v>50.47</v>
      </c>
      <c r="D33" s="306">
        <v>67.5</v>
      </c>
      <c r="E33" s="306">
        <v>78.760000000000005</v>
      </c>
      <c r="F33" s="306">
        <v>87.36</v>
      </c>
      <c r="G33" s="306">
        <v>23.11</v>
      </c>
      <c r="H33" s="306">
        <v>34.89</v>
      </c>
      <c r="I33" s="306">
        <v>56.34</v>
      </c>
      <c r="J33" s="306">
        <v>73.739999999999995</v>
      </c>
      <c r="K33" s="306">
        <v>86.52</v>
      </c>
      <c r="L33" s="275">
        <v>84.86</v>
      </c>
      <c r="M33" s="275">
        <v>100</v>
      </c>
      <c r="N33" s="275">
        <v>100</v>
      </c>
      <c r="O33" s="275">
        <v>100</v>
      </c>
      <c r="P33" s="275">
        <v>100</v>
      </c>
    </row>
    <row r="34" spans="1:16" s="265" customFormat="1" ht="15" customHeight="1" x14ac:dyDescent="0.2">
      <c r="A34" s="373" t="s">
        <v>106</v>
      </c>
      <c r="B34" s="373"/>
      <c r="C34" s="373"/>
      <c r="D34" s="373"/>
      <c r="E34" s="373"/>
      <c r="F34" s="373"/>
      <c r="G34" s="373"/>
      <c r="H34" s="373"/>
      <c r="I34" s="373"/>
      <c r="J34" s="373"/>
      <c r="K34" s="373"/>
    </row>
    <row r="35" spans="1:16" s="265" customFormat="1" ht="13.5" customHeight="1" x14ac:dyDescent="0.2">
      <c r="A35" s="373" t="s">
        <v>491</v>
      </c>
      <c r="B35" s="373"/>
      <c r="C35" s="373"/>
      <c r="D35" s="373"/>
      <c r="E35" s="373"/>
      <c r="F35" s="373"/>
      <c r="G35" s="373"/>
      <c r="H35" s="373"/>
      <c r="I35" s="373"/>
      <c r="J35" s="373"/>
      <c r="K35" s="373"/>
    </row>
    <row r="36" spans="1:16" s="265" customFormat="1" ht="13.5" customHeight="1" x14ac:dyDescent="0.2">
      <c r="A36" s="373" t="s">
        <v>249</v>
      </c>
      <c r="B36" s="373"/>
      <c r="C36" s="373"/>
      <c r="D36" s="373"/>
      <c r="E36" s="373"/>
      <c r="F36" s="373"/>
      <c r="G36" s="373"/>
      <c r="H36" s="373"/>
      <c r="I36" s="373"/>
      <c r="J36" s="373"/>
      <c r="K36" s="373"/>
    </row>
    <row r="37" spans="1:16" s="265" customFormat="1" ht="28.35" customHeight="1" x14ac:dyDescent="0.2"/>
  </sheetData>
  <mergeCells count="9">
    <mergeCell ref="L2:P2"/>
    <mergeCell ref="A4:K4"/>
    <mergeCell ref="A19:P19"/>
    <mergeCell ref="A34:K34"/>
    <mergeCell ref="A35:K35"/>
    <mergeCell ref="A36:K36"/>
    <mergeCell ref="A1:K1"/>
    <mergeCell ref="B2:F2"/>
    <mergeCell ref="G2:K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9"/>
  <sheetViews>
    <sheetView workbookViewId="0">
      <selection sqref="A1:I1"/>
    </sheetView>
  </sheetViews>
  <sheetFormatPr defaultRowHeight="12.75" x14ac:dyDescent="0.2"/>
  <cols>
    <col min="1" max="8" width="14.7109375" style="262" bestFit="1" customWidth="1"/>
    <col min="9" max="9" width="8.42578125" style="262" bestFit="1" customWidth="1"/>
    <col min="10" max="10" width="21" style="262" bestFit="1" customWidth="1"/>
    <col min="11" max="17" width="14.7109375" style="262" bestFit="1" customWidth="1"/>
    <col min="18" max="18" width="4.7109375" style="262" bestFit="1" customWidth="1"/>
    <col min="19" max="256" width="9.140625" style="262"/>
    <col min="257" max="264" width="14.7109375" style="262" bestFit="1" customWidth="1"/>
    <col min="265" max="265" width="8.42578125" style="262" bestFit="1" customWidth="1"/>
    <col min="266" max="266" width="21" style="262" bestFit="1" customWidth="1"/>
    <col min="267" max="273" width="14.7109375" style="262" bestFit="1" customWidth="1"/>
    <col min="274" max="274" width="4.7109375" style="262" bestFit="1" customWidth="1"/>
    <col min="275" max="512" width="9.140625" style="262"/>
    <col min="513" max="520" width="14.7109375" style="262" bestFit="1" customWidth="1"/>
    <col min="521" max="521" width="8.42578125" style="262" bestFit="1" customWidth="1"/>
    <col min="522" max="522" width="21" style="262" bestFit="1" customWidth="1"/>
    <col min="523" max="529" width="14.7109375" style="262" bestFit="1" customWidth="1"/>
    <col min="530" max="530" width="4.7109375" style="262" bestFit="1" customWidth="1"/>
    <col min="531" max="768" width="9.140625" style="262"/>
    <col min="769" max="776" width="14.7109375" style="262" bestFit="1" customWidth="1"/>
    <col min="777" max="777" width="8.42578125" style="262" bestFit="1" customWidth="1"/>
    <col min="778" max="778" width="21" style="262" bestFit="1" customWidth="1"/>
    <col min="779" max="785" width="14.7109375" style="262" bestFit="1" customWidth="1"/>
    <col min="786" max="786" width="4.7109375" style="262" bestFit="1" customWidth="1"/>
    <col min="787" max="1024" width="9.140625" style="262"/>
    <col min="1025" max="1032" width="14.7109375" style="262" bestFit="1" customWidth="1"/>
    <col min="1033" max="1033" width="8.42578125" style="262" bestFit="1" customWidth="1"/>
    <col min="1034" max="1034" width="21" style="262" bestFit="1" customWidth="1"/>
    <col min="1035" max="1041" width="14.7109375" style="262" bestFit="1" customWidth="1"/>
    <col min="1042" max="1042" width="4.7109375" style="262" bestFit="1" customWidth="1"/>
    <col min="1043" max="1280" width="9.140625" style="262"/>
    <col min="1281" max="1288" width="14.7109375" style="262" bestFit="1" customWidth="1"/>
    <col min="1289" max="1289" width="8.42578125" style="262" bestFit="1" customWidth="1"/>
    <col min="1290" max="1290" width="21" style="262" bestFit="1" customWidth="1"/>
    <col min="1291" max="1297" width="14.7109375" style="262" bestFit="1" customWidth="1"/>
    <col min="1298" max="1298" width="4.7109375" style="262" bestFit="1" customWidth="1"/>
    <col min="1299" max="1536" width="9.140625" style="262"/>
    <col min="1537" max="1544" width="14.7109375" style="262" bestFit="1" customWidth="1"/>
    <col min="1545" max="1545" width="8.42578125" style="262" bestFit="1" customWidth="1"/>
    <col min="1546" max="1546" width="21" style="262" bestFit="1" customWidth="1"/>
    <col min="1547" max="1553" width="14.7109375" style="262" bestFit="1" customWidth="1"/>
    <col min="1554" max="1554" width="4.7109375" style="262" bestFit="1" customWidth="1"/>
    <col min="1555" max="1792" width="9.140625" style="262"/>
    <col min="1793" max="1800" width="14.7109375" style="262" bestFit="1" customWidth="1"/>
    <col min="1801" max="1801" width="8.42578125" style="262" bestFit="1" customWidth="1"/>
    <col min="1802" max="1802" width="21" style="262" bestFit="1" customWidth="1"/>
    <col min="1803" max="1809" width="14.7109375" style="262" bestFit="1" customWidth="1"/>
    <col min="1810" max="1810" width="4.7109375" style="262" bestFit="1" customWidth="1"/>
    <col min="1811" max="2048" width="9.140625" style="262"/>
    <col min="2049" max="2056" width="14.7109375" style="262" bestFit="1" customWidth="1"/>
    <col min="2057" max="2057" width="8.42578125" style="262" bestFit="1" customWidth="1"/>
    <col min="2058" max="2058" width="21" style="262" bestFit="1" customWidth="1"/>
    <col min="2059" max="2065" width="14.7109375" style="262" bestFit="1" customWidth="1"/>
    <col min="2066" max="2066" width="4.7109375" style="262" bestFit="1" customWidth="1"/>
    <col min="2067" max="2304" width="9.140625" style="262"/>
    <col min="2305" max="2312" width="14.7109375" style="262" bestFit="1" customWidth="1"/>
    <col min="2313" max="2313" width="8.42578125" style="262" bestFit="1" customWidth="1"/>
    <col min="2314" max="2314" width="21" style="262" bestFit="1" customWidth="1"/>
    <col min="2315" max="2321" width="14.7109375" style="262" bestFit="1" customWidth="1"/>
    <col min="2322" max="2322" width="4.7109375" style="262" bestFit="1" customWidth="1"/>
    <col min="2323" max="2560" width="9.140625" style="262"/>
    <col min="2561" max="2568" width="14.7109375" style="262" bestFit="1" customWidth="1"/>
    <col min="2569" max="2569" width="8.42578125" style="262" bestFit="1" customWidth="1"/>
    <col min="2570" max="2570" width="21" style="262" bestFit="1" customWidth="1"/>
    <col min="2571" max="2577" width="14.7109375" style="262" bestFit="1" customWidth="1"/>
    <col min="2578" max="2578" width="4.7109375" style="262" bestFit="1" customWidth="1"/>
    <col min="2579" max="2816" width="9.140625" style="262"/>
    <col min="2817" max="2824" width="14.7109375" style="262" bestFit="1" customWidth="1"/>
    <col min="2825" max="2825" width="8.42578125" style="262" bestFit="1" customWidth="1"/>
    <col min="2826" max="2826" width="21" style="262" bestFit="1" customWidth="1"/>
    <col min="2827" max="2833" width="14.7109375" style="262" bestFit="1" customWidth="1"/>
    <col min="2834" max="2834" width="4.7109375" style="262" bestFit="1" customWidth="1"/>
    <col min="2835" max="3072" width="9.140625" style="262"/>
    <col min="3073" max="3080" width="14.7109375" style="262" bestFit="1" customWidth="1"/>
    <col min="3081" max="3081" width="8.42578125" style="262" bestFit="1" customWidth="1"/>
    <col min="3082" max="3082" width="21" style="262" bestFit="1" customWidth="1"/>
    <col min="3083" max="3089" width="14.7109375" style="262" bestFit="1" customWidth="1"/>
    <col min="3090" max="3090" width="4.7109375" style="262" bestFit="1" customWidth="1"/>
    <col min="3091" max="3328" width="9.140625" style="262"/>
    <col min="3329" max="3336" width="14.7109375" style="262" bestFit="1" customWidth="1"/>
    <col min="3337" max="3337" width="8.42578125" style="262" bestFit="1" customWidth="1"/>
    <col min="3338" max="3338" width="21" style="262" bestFit="1" customWidth="1"/>
    <col min="3339" max="3345" width="14.7109375" style="262" bestFit="1" customWidth="1"/>
    <col min="3346" max="3346" width="4.7109375" style="262" bestFit="1" customWidth="1"/>
    <col min="3347" max="3584" width="9.140625" style="262"/>
    <col min="3585" max="3592" width="14.7109375" style="262" bestFit="1" customWidth="1"/>
    <col min="3593" max="3593" width="8.42578125" style="262" bestFit="1" customWidth="1"/>
    <col min="3594" max="3594" width="21" style="262" bestFit="1" customWidth="1"/>
    <col min="3595" max="3601" width="14.7109375" style="262" bestFit="1" customWidth="1"/>
    <col min="3602" max="3602" width="4.7109375" style="262" bestFit="1" customWidth="1"/>
    <col min="3603" max="3840" width="9.140625" style="262"/>
    <col min="3841" max="3848" width="14.7109375" style="262" bestFit="1" customWidth="1"/>
    <col min="3849" max="3849" width="8.42578125" style="262" bestFit="1" customWidth="1"/>
    <col min="3850" max="3850" width="21" style="262" bestFit="1" customWidth="1"/>
    <col min="3851" max="3857" width="14.7109375" style="262" bestFit="1" customWidth="1"/>
    <col min="3858" max="3858" width="4.7109375" style="262" bestFit="1" customWidth="1"/>
    <col min="3859" max="4096" width="9.140625" style="262"/>
    <col min="4097" max="4104" width="14.7109375" style="262" bestFit="1" customWidth="1"/>
    <col min="4105" max="4105" width="8.42578125" style="262" bestFit="1" customWidth="1"/>
    <col min="4106" max="4106" width="21" style="262" bestFit="1" customWidth="1"/>
    <col min="4107" max="4113" width="14.7109375" style="262" bestFit="1" customWidth="1"/>
    <col min="4114" max="4114" width="4.7109375" style="262" bestFit="1" customWidth="1"/>
    <col min="4115" max="4352" width="9.140625" style="262"/>
    <col min="4353" max="4360" width="14.7109375" style="262" bestFit="1" customWidth="1"/>
    <col min="4361" max="4361" width="8.42578125" style="262" bestFit="1" customWidth="1"/>
    <col min="4362" max="4362" width="21" style="262" bestFit="1" customWidth="1"/>
    <col min="4363" max="4369" width="14.7109375" style="262" bestFit="1" customWidth="1"/>
    <col min="4370" max="4370" width="4.7109375" style="262" bestFit="1" customWidth="1"/>
    <col min="4371" max="4608" width="9.140625" style="262"/>
    <col min="4609" max="4616" width="14.7109375" style="262" bestFit="1" customWidth="1"/>
    <col min="4617" max="4617" width="8.42578125" style="262" bestFit="1" customWidth="1"/>
    <col min="4618" max="4618" width="21" style="262" bestFit="1" customWidth="1"/>
    <col min="4619" max="4625" width="14.7109375" style="262" bestFit="1" customWidth="1"/>
    <col min="4626" max="4626" width="4.7109375" style="262" bestFit="1" customWidth="1"/>
    <col min="4627" max="4864" width="9.140625" style="262"/>
    <col min="4865" max="4872" width="14.7109375" style="262" bestFit="1" customWidth="1"/>
    <col min="4873" max="4873" width="8.42578125" style="262" bestFit="1" customWidth="1"/>
    <col min="4874" max="4874" width="21" style="262" bestFit="1" customWidth="1"/>
    <col min="4875" max="4881" width="14.7109375" style="262" bestFit="1" customWidth="1"/>
    <col min="4882" max="4882" width="4.7109375" style="262" bestFit="1" customWidth="1"/>
    <col min="4883" max="5120" width="9.140625" style="262"/>
    <col min="5121" max="5128" width="14.7109375" style="262" bestFit="1" customWidth="1"/>
    <col min="5129" max="5129" width="8.42578125" style="262" bestFit="1" customWidth="1"/>
    <col min="5130" max="5130" width="21" style="262" bestFit="1" customWidth="1"/>
    <col min="5131" max="5137" width="14.7109375" style="262" bestFit="1" customWidth="1"/>
    <col min="5138" max="5138" width="4.7109375" style="262" bestFit="1" customWidth="1"/>
    <col min="5139" max="5376" width="9.140625" style="262"/>
    <col min="5377" max="5384" width="14.7109375" style="262" bestFit="1" customWidth="1"/>
    <col min="5385" max="5385" width="8.42578125" style="262" bestFit="1" customWidth="1"/>
    <col min="5386" max="5386" width="21" style="262" bestFit="1" customWidth="1"/>
    <col min="5387" max="5393" width="14.7109375" style="262" bestFit="1" customWidth="1"/>
    <col min="5394" max="5394" width="4.7109375" style="262" bestFit="1" customWidth="1"/>
    <col min="5395" max="5632" width="9.140625" style="262"/>
    <col min="5633" max="5640" width="14.7109375" style="262" bestFit="1" customWidth="1"/>
    <col min="5641" max="5641" width="8.42578125" style="262" bestFit="1" customWidth="1"/>
    <col min="5642" max="5642" width="21" style="262" bestFit="1" customWidth="1"/>
    <col min="5643" max="5649" width="14.7109375" style="262" bestFit="1" customWidth="1"/>
    <col min="5650" max="5650" width="4.7109375" style="262" bestFit="1" customWidth="1"/>
    <col min="5651" max="5888" width="9.140625" style="262"/>
    <col min="5889" max="5896" width="14.7109375" style="262" bestFit="1" customWidth="1"/>
    <col min="5897" max="5897" width="8.42578125" style="262" bestFit="1" customWidth="1"/>
    <col min="5898" max="5898" width="21" style="262" bestFit="1" customWidth="1"/>
    <col min="5899" max="5905" width="14.7109375" style="262" bestFit="1" customWidth="1"/>
    <col min="5906" max="5906" width="4.7109375" style="262" bestFit="1" customWidth="1"/>
    <col min="5907" max="6144" width="9.140625" style="262"/>
    <col min="6145" max="6152" width="14.7109375" style="262" bestFit="1" customWidth="1"/>
    <col min="6153" max="6153" width="8.42578125" style="262" bestFit="1" customWidth="1"/>
    <col min="6154" max="6154" width="21" style="262" bestFit="1" customWidth="1"/>
    <col min="6155" max="6161" width="14.7109375" style="262" bestFit="1" customWidth="1"/>
    <col min="6162" max="6162" width="4.7109375" style="262" bestFit="1" customWidth="1"/>
    <col min="6163" max="6400" width="9.140625" style="262"/>
    <col min="6401" max="6408" width="14.7109375" style="262" bestFit="1" customWidth="1"/>
    <col min="6409" max="6409" width="8.42578125" style="262" bestFit="1" customWidth="1"/>
    <col min="6410" max="6410" width="21" style="262" bestFit="1" customWidth="1"/>
    <col min="6411" max="6417" width="14.7109375" style="262" bestFit="1" customWidth="1"/>
    <col min="6418" max="6418" width="4.7109375" style="262" bestFit="1" customWidth="1"/>
    <col min="6419" max="6656" width="9.140625" style="262"/>
    <col min="6657" max="6664" width="14.7109375" style="262" bestFit="1" customWidth="1"/>
    <col min="6665" max="6665" width="8.42578125" style="262" bestFit="1" customWidth="1"/>
    <col min="6666" max="6666" width="21" style="262" bestFit="1" customWidth="1"/>
    <col min="6667" max="6673" width="14.7109375" style="262" bestFit="1" customWidth="1"/>
    <col min="6674" max="6674" width="4.7109375" style="262" bestFit="1" customWidth="1"/>
    <col min="6675" max="6912" width="9.140625" style="262"/>
    <col min="6913" max="6920" width="14.7109375" style="262" bestFit="1" customWidth="1"/>
    <col min="6921" max="6921" width="8.42578125" style="262" bestFit="1" customWidth="1"/>
    <col min="6922" max="6922" width="21" style="262" bestFit="1" customWidth="1"/>
    <col min="6923" max="6929" width="14.7109375" style="262" bestFit="1" customWidth="1"/>
    <col min="6930" max="6930" width="4.7109375" style="262" bestFit="1" customWidth="1"/>
    <col min="6931" max="7168" width="9.140625" style="262"/>
    <col min="7169" max="7176" width="14.7109375" style="262" bestFit="1" customWidth="1"/>
    <col min="7177" max="7177" width="8.42578125" style="262" bestFit="1" customWidth="1"/>
    <col min="7178" max="7178" width="21" style="262" bestFit="1" customWidth="1"/>
    <col min="7179" max="7185" width="14.7109375" style="262" bestFit="1" customWidth="1"/>
    <col min="7186" max="7186" width="4.7109375" style="262" bestFit="1" customWidth="1"/>
    <col min="7187" max="7424" width="9.140625" style="262"/>
    <col min="7425" max="7432" width="14.7109375" style="262" bestFit="1" customWidth="1"/>
    <col min="7433" max="7433" width="8.42578125" style="262" bestFit="1" customWidth="1"/>
    <col min="7434" max="7434" width="21" style="262" bestFit="1" customWidth="1"/>
    <col min="7435" max="7441" width="14.7109375" style="262" bestFit="1" customWidth="1"/>
    <col min="7442" max="7442" width="4.7109375" style="262" bestFit="1" customWidth="1"/>
    <col min="7443" max="7680" width="9.140625" style="262"/>
    <col min="7681" max="7688" width="14.7109375" style="262" bestFit="1" customWidth="1"/>
    <col min="7689" max="7689" width="8.42578125" style="262" bestFit="1" customWidth="1"/>
    <col min="7690" max="7690" width="21" style="262" bestFit="1" customWidth="1"/>
    <col min="7691" max="7697" width="14.7109375" style="262" bestFit="1" customWidth="1"/>
    <col min="7698" max="7698" width="4.7109375" style="262" bestFit="1" customWidth="1"/>
    <col min="7699" max="7936" width="9.140625" style="262"/>
    <col min="7937" max="7944" width="14.7109375" style="262" bestFit="1" customWidth="1"/>
    <col min="7945" max="7945" width="8.42578125" style="262" bestFit="1" customWidth="1"/>
    <col min="7946" max="7946" width="21" style="262" bestFit="1" customWidth="1"/>
    <col min="7947" max="7953" width="14.7109375" style="262" bestFit="1" customWidth="1"/>
    <col min="7954" max="7954" width="4.7109375" style="262" bestFit="1" customWidth="1"/>
    <col min="7955" max="8192" width="9.140625" style="262"/>
    <col min="8193" max="8200" width="14.7109375" style="262" bestFit="1" customWidth="1"/>
    <col min="8201" max="8201" width="8.42578125" style="262" bestFit="1" customWidth="1"/>
    <col min="8202" max="8202" width="21" style="262" bestFit="1" customWidth="1"/>
    <col min="8203" max="8209" width="14.7109375" style="262" bestFit="1" customWidth="1"/>
    <col min="8210" max="8210" width="4.7109375" style="262" bestFit="1" customWidth="1"/>
    <col min="8211" max="8448" width="9.140625" style="262"/>
    <col min="8449" max="8456" width="14.7109375" style="262" bestFit="1" customWidth="1"/>
    <col min="8457" max="8457" width="8.42578125" style="262" bestFit="1" customWidth="1"/>
    <col min="8458" max="8458" width="21" style="262" bestFit="1" customWidth="1"/>
    <col min="8459" max="8465" width="14.7109375" style="262" bestFit="1" customWidth="1"/>
    <col min="8466" max="8466" width="4.7109375" style="262" bestFit="1" customWidth="1"/>
    <col min="8467" max="8704" width="9.140625" style="262"/>
    <col min="8705" max="8712" width="14.7109375" style="262" bestFit="1" customWidth="1"/>
    <col min="8713" max="8713" width="8.42578125" style="262" bestFit="1" customWidth="1"/>
    <col min="8714" max="8714" width="21" style="262" bestFit="1" customWidth="1"/>
    <col min="8715" max="8721" width="14.7109375" style="262" bestFit="1" customWidth="1"/>
    <col min="8722" max="8722" width="4.7109375" style="262" bestFit="1" customWidth="1"/>
    <col min="8723" max="8960" width="9.140625" style="262"/>
    <col min="8961" max="8968" width="14.7109375" style="262" bestFit="1" customWidth="1"/>
    <col min="8969" max="8969" width="8.42578125" style="262" bestFit="1" customWidth="1"/>
    <col min="8970" max="8970" width="21" style="262" bestFit="1" customWidth="1"/>
    <col min="8971" max="8977" width="14.7109375" style="262" bestFit="1" customWidth="1"/>
    <col min="8978" max="8978" width="4.7109375" style="262" bestFit="1" customWidth="1"/>
    <col min="8979" max="9216" width="9.140625" style="262"/>
    <col min="9217" max="9224" width="14.7109375" style="262" bestFit="1" customWidth="1"/>
    <col min="9225" max="9225" width="8.42578125" style="262" bestFit="1" customWidth="1"/>
    <col min="9226" max="9226" width="21" style="262" bestFit="1" customWidth="1"/>
    <col min="9227" max="9233" width="14.7109375" style="262" bestFit="1" customWidth="1"/>
    <col min="9234" max="9234" width="4.7109375" style="262" bestFit="1" customWidth="1"/>
    <col min="9235" max="9472" width="9.140625" style="262"/>
    <col min="9473" max="9480" width="14.7109375" style="262" bestFit="1" customWidth="1"/>
    <col min="9481" max="9481" width="8.42578125" style="262" bestFit="1" customWidth="1"/>
    <col min="9482" max="9482" width="21" style="262" bestFit="1" customWidth="1"/>
    <col min="9483" max="9489" width="14.7109375" style="262" bestFit="1" customWidth="1"/>
    <col min="9490" max="9490" width="4.7109375" style="262" bestFit="1" customWidth="1"/>
    <col min="9491" max="9728" width="9.140625" style="262"/>
    <col min="9729" max="9736" width="14.7109375" style="262" bestFit="1" customWidth="1"/>
    <col min="9737" max="9737" width="8.42578125" style="262" bestFit="1" customWidth="1"/>
    <col min="9738" max="9738" width="21" style="262" bestFit="1" customWidth="1"/>
    <col min="9739" max="9745" width="14.7109375" style="262" bestFit="1" customWidth="1"/>
    <col min="9746" max="9746" width="4.7109375" style="262" bestFit="1" customWidth="1"/>
    <col min="9747" max="9984" width="9.140625" style="262"/>
    <col min="9985" max="9992" width="14.7109375" style="262" bestFit="1" customWidth="1"/>
    <col min="9993" max="9993" width="8.42578125" style="262" bestFit="1" customWidth="1"/>
    <col min="9994" max="9994" width="21" style="262" bestFit="1" customWidth="1"/>
    <col min="9995" max="10001" width="14.7109375" style="262" bestFit="1" customWidth="1"/>
    <col min="10002" max="10002" width="4.7109375" style="262" bestFit="1" customWidth="1"/>
    <col min="10003" max="10240" width="9.140625" style="262"/>
    <col min="10241" max="10248" width="14.7109375" style="262" bestFit="1" customWidth="1"/>
    <col min="10249" max="10249" width="8.42578125" style="262" bestFit="1" customWidth="1"/>
    <col min="10250" max="10250" width="21" style="262" bestFit="1" customWidth="1"/>
    <col min="10251" max="10257" width="14.7109375" style="262" bestFit="1" customWidth="1"/>
    <col min="10258" max="10258" width="4.7109375" style="262" bestFit="1" customWidth="1"/>
    <col min="10259" max="10496" width="9.140625" style="262"/>
    <col min="10497" max="10504" width="14.7109375" style="262" bestFit="1" customWidth="1"/>
    <col min="10505" max="10505" width="8.42578125" style="262" bestFit="1" customWidth="1"/>
    <col min="10506" max="10506" width="21" style="262" bestFit="1" customWidth="1"/>
    <col min="10507" max="10513" width="14.7109375" style="262" bestFit="1" customWidth="1"/>
    <col min="10514" max="10514" width="4.7109375" style="262" bestFit="1" customWidth="1"/>
    <col min="10515" max="10752" width="9.140625" style="262"/>
    <col min="10753" max="10760" width="14.7109375" style="262" bestFit="1" customWidth="1"/>
    <col min="10761" max="10761" width="8.42578125" style="262" bestFit="1" customWidth="1"/>
    <col min="10762" max="10762" width="21" style="262" bestFit="1" customWidth="1"/>
    <col min="10763" max="10769" width="14.7109375" style="262" bestFit="1" customWidth="1"/>
    <col min="10770" max="10770" width="4.7109375" style="262" bestFit="1" customWidth="1"/>
    <col min="10771" max="11008" width="9.140625" style="262"/>
    <col min="11009" max="11016" width="14.7109375" style="262" bestFit="1" customWidth="1"/>
    <col min="11017" max="11017" width="8.42578125" style="262" bestFit="1" customWidth="1"/>
    <col min="11018" max="11018" width="21" style="262" bestFit="1" customWidth="1"/>
    <col min="11019" max="11025" width="14.7109375" style="262" bestFit="1" customWidth="1"/>
    <col min="11026" max="11026" width="4.7109375" style="262" bestFit="1" customWidth="1"/>
    <col min="11027" max="11264" width="9.140625" style="262"/>
    <col min="11265" max="11272" width="14.7109375" style="262" bestFit="1" customWidth="1"/>
    <col min="11273" max="11273" width="8.42578125" style="262" bestFit="1" customWidth="1"/>
    <col min="11274" max="11274" width="21" style="262" bestFit="1" customWidth="1"/>
    <col min="11275" max="11281" width="14.7109375" style="262" bestFit="1" customWidth="1"/>
    <col min="11282" max="11282" width="4.7109375" style="262" bestFit="1" customWidth="1"/>
    <col min="11283" max="11520" width="9.140625" style="262"/>
    <col min="11521" max="11528" width="14.7109375" style="262" bestFit="1" customWidth="1"/>
    <col min="11529" max="11529" width="8.42578125" style="262" bestFit="1" customWidth="1"/>
    <col min="11530" max="11530" width="21" style="262" bestFit="1" customWidth="1"/>
    <col min="11531" max="11537" width="14.7109375" style="262" bestFit="1" customWidth="1"/>
    <col min="11538" max="11538" width="4.7109375" style="262" bestFit="1" customWidth="1"/>
    <col min="11539" max="11776" width="9.140625" style="262"/>
    <col min="11777" max="11784" width="14.7109375" style="262" bestFit="1" customWidth="1"/>
    <col min="11785" max="11785" width="8.42578125" style="262" bestFit="1" customWidth="1"/>
    <col min="11786" max="11786" width="21" style="262" bestFit="1" customWidth="1"/>
    <col min="11787" max="11793" width="14.7109375" style="262" bestFit="1" customWidth="1"/>
    <col min="11794" max="11794" width="4.7109375" style="262" bestFit="1" customWidth="1"/>
    <col min="11795" max="12032" width="9.140625" style="262"/>
    <col min="12033" max="12040" width="14.7109375" style="262" bestFit="1" customWidth="1"/>
    <col min="12041" max="12041" width="8.42578125" style="262" bestFit="1" customWidth="1"/>
    <col min="12042" max="12042" width="21" style="262" bestFit="1" customWidth="1"/>
    <col min="12043" max="12049" width="14.7109375" style="262" bestFit="1" customWidth="1"/>
    <col min="12050" max="12050" width="4.7109375" style="262" bestFit="1" customWidth="1"/>
    <col min="12051" max="12288" width="9.140625" style="262"/>
    <col min="12289" max="12296" width="14.7109375" style="262" bestFit="1" customWidth="1"/>
    <col min="12297" max="12297" width="8.42578125" style="262" bestFit="1" customWidth="1"/>
    <col min="12298" max="12298" width="21" style="262" bestFit="1" customWidth="1"/>
    <col min="12299" max="12305" width="14.7109375" style="262" bestFit="1" customWidth="1"/>
    <col min="12306" max="12306" width="4.7109375" style="262" bestFit="1" customWidth="1"/>
    <col min="12307" max="12544" width="9.140625" style="262"/>
    <col min="12545" max="12552" width="14.7109375" style="262" bestFit="1" customWidth="1"/>
    <col min="12553" max="12553" width="8.42578125" style="262" bestFit="1" customWidth="1"/>
    <col min="12554" max="12554" width="21" style="262" bestFit="1" customWidth="1"/>
    <col min="12555" max="12561" width="14.7109375" style="262" bestFit="1" customWidth="1"/>
    <col min="12562" max="12562" width="4.7109375" style="262" bestFit="1" customWidth="1"/>
    <col min="12563" max="12800" width="9.140625" style="262"/>
    <col min="12801" max="12808" width="14.7109375" style="262" bestFit="1" customWidth="1"/>
    <col min="12809" max="12809" width="8.42578125" style="262" bestFit="1" customWidth="1"/>
    <col min="12810" max="12810" width="21" style="262" bestFit="1" customWidth="1"/>
    <col min="12811" max="12817" width="14.7109375" style="262" bestFit="1" customWidth="1"/>
    <col min="12818" max="12818" width="4.7109375" style="262" bestFit="1" customWidth="1"/>
    <col min="12819" max="13056" width="9.140625" style="262"/>
    <col min="13057" max="13064" width="14.7109375" style="262" bestFit="1" customWidth="1"/>
    <col min="13065" max="13065" width="8.42578125" style="262" bestFit="1" customWidth="1"/>
    <col min="13066" max="13066" width="21" style="262" bestFit="1" customWidth="1"/>
    <col min="13067" max="13073" width="14.7109375" style="262" bestFit="1" customWidth="1"/>
    <col min="13074" max="13074" width="4.7109375" style="262" bestFit="1" customWidth="1"/>
    <col min="13075" max="13312" width="9.140625" style="262"/>
    <col min="13313" max="13320" width="14.7109375" style="262" bestFit="1" customWidth="1"/>
    <col min="13321" max="13321" width="8.42578125" style="262" bestFit="1" customWidth="1"/>
    <col min="13322" max="13322" width="21" style="262" bestFit="1" customWidth="1"/>
    <col min="13323" max="13329" width="14.7109375" style="262" bestFit="1" customWidth="1"/>
    <col min="13330" max="13330" width="4.7109375" style="262" bestFit="1" customWidth="1"/>
    <col min="13331" max="13568" width="9.140625" style="262"/>
    <col min="13569" max="13576" width="14.7109375" style="262" bestFit="1" customWidth="1"/>
    <col min="13577" max="13577" width="8.42578125" style="262" bestFit="1" customWidth="1"/>
    <col min="13578" max="13578" width="21" style="262" bestFit="1" customWidth="1"/>
    <col min="13579" max="13585" width="14.7109375" style="262" bestFit="1" customWidth="1"/>
    <col min="13586" max="13586" width="4.7109375" style="262" bestFit="1" customWidth="1"/>
    <col min="13587" max="13824" width="9.140625" style="262"/>
    <col min="13825" max="13832" width="14.7109375" style="262" bestFit="1" customWidth="1"/>
    <col min="13833" max="13833" width="8.42578125" style="262" bestFit="1" customWidth="1"/>
    <col min="13834" max="13834" width="21" style="262" bestFit="1" customWidth="1"/>
    <col min="13835" max="13841" width="14.7109375" style="262" bestFit="1" customWidth="1"/>
    <col min="13842" max="13842" width="4.7109375" style="262" bestFit="1" customWidth="1"/>
    <col min="13843" max="14080" width="9.140625" style="262"/>
    <col min="14081" max="14088" width="14.7109375" style="262" bestFit="1" customWidth="1"/>
    <col min="14089" max="14089" width="8.42578125" style="262" bestFit="1" customWidth="1"/>
    <col min="14090" max="14090" width="21" style="262" bestFit="1" customWidth="1"/>
    <col min="14091" max="14097" width="14.7109375" style="262" bestFit="1" customWidth="1"/>
    <col min="14098" max="14098" width="4.7109375" style="262" bestFit="1" customWidth="1"/>
    <col min="14099" max="14336" width="9.140625" style="262"/>
    <col min="14337" max="14344" width="14.7109375" style="262" bestFit="1" customWidth="1"/>
    <col min="14345" max="14345" width="8.42578125" style="262" bestFit="1" customWidth="1"/>
    <col min="14346" max="14346" width="21" style="262" bestFit="1" customWidth="1"/>
    <col min="14347" max="14353" width="14.7109375" style="262" bestFit="1" customWidth="1"/>
    <col min="14354" max="14354" width="4.7109375" style="262" bestFit="1" customWidth="1"/>
    <col min="14355" max="14592" width="9.140625" style="262"/>
    <col min="14593" max="14600" width="14.7109375" style="262" bestFit="1" customWidth="1"/>
    <col min="14601" max="14601" width="8.42578125" style="262" bestFit="1" customWidth="1"/>
    <col min="14602" max="14602" width="21" style="262" bestFit="1" customWidth="1"/>
    <col min="14603" max="14609" width="14.7109375" style="262" bestFit="1" customWidth="1"/>
    <col min="14610" max="14610" width="4.7109375" style="262" bestFit="1" customWidth="1"/>
    <col min="14611" max="14848" width="9.140625" style="262"/>
    <col min="14849" max="14856" width="14.7109375" style="262" bestFit="1" customWidth="1"/>
    <col min="14857" max="14857" width="8.42578125" style="262" bestFit="1" customWidth="1"/>
    <col min="14858" max="14858" width="21" style="262" bestFit="1" customWidth="1"/>
    <col min="14859" max="14865" width="14.7109375" style="262" bestFit="1" customWidth="1"/>
    <col min="14866" max="14866" width="4.7109375" style="262" bestFit="1" customWidth="1"/>
    <col min="14867" max="15104" width="9.140625" style="262"/>
    <col min="15105" max="15112" width="14.7109375" style="262" bestFit="1" customWidth="1"/>
    <col min="15113" max="15113" width="8.42578125" style="262" bestFit="1" customWidth="1"/>
    <col min="15114" max="15114" width="21" style="262" bestFit="1" customWidth="1"/>
    <col min="15115" max="15121" width="14.7109375" style="262" bestFit="1" customWidth="1"/>
    <col min="15122" max="15122" width="4.7109375" style="262" bestFit="1" customWidth="1"/>
    <col min="15123" max="15360" width="9.140625" style="262"/>
    <col min="15361" max="15368" width="14.7109375" style="262" bestFit="1" customWidth="1"/>
    <col min="15369" max="15369" width="8.42578125" style="262" bestFit="1" customWidth="1"/>
    <col min="15370" max="15370" width="21" style="262" bestFit="1" customWidth="1"/>
    <col min="15371" max="15377" width="14.7109375" style="262" bestFit="1" customWidth="1"/>
    <col min="15378" max="15378" width="4.7109375" style="262" bestFit="1" customWidth="1"/>
    <col min="15379" max="15616" width="9.140625" style="262"/>
    <col min="15617" max="15624" width="14.7109375" style="262" bestFit="1" customWidth="1"/>
    <col min="15625" max="15625" width="8.42578125" style="262" bestFit="1" customWidth="1"/>
    <col min="15626" max="15626" width="21" style="262" bestFit="1" customWidth="1"/>
    <col min="15627" max="15633" width="14.7109375" style="262" bestFit="1" customWidth="1"/>
    <col min="15634" max="15634" width="4.7109375" style="262" bestFit="1" customWidth="1"/>
    <col min="15635" max="15872" width="9.140625" style="262"/>
    <col min="15873" max="15880" width="14.7109375" style="262" bestFit="1" customWidth="1"/>
    <col min="15881" max="15881" width="8.42578125" style="262" bestFit="1" customWidth="1"/>
    <col min="15882" max="15882" width="21" style="262" bestFit="1" customWidth="1"/>
    <col min="15883" max="15889" width="14.7109375" style="262" bestFit="1" customWidth="1"/>
    <col min="15890" max="15890" width="4.7109375" style="262" bestFit="1" customWidth="1"/>
    <col min="15891" max="16128" width="9.140625" style="262"/>
    <col min="16129" max="16136" width="14.7109375" style="262" bestFit="1" customWidth="1"/>
    <col min="16137" max="16137" width="8.42578125" style="262" bestFit="1" customWidth="1"/>
    <col min="16138" max="16138" width="21" style="262" bestFit="1" customWidth="1"/>
    <col min="16139" max="16145" width="14.7109375" style="262" bestFit="1" customWidth="1"/>
    <col min="16146" max="16146" width="4.7109375" style="262" bestFit="1" customWidth="1"/>
    <col min="16147" max="16384" width="9.140625" style="262"/>
  </cols>
  <sheetData>
    <row r="1" spans="1:17" ht="13.5" customHeight="1" x14ac:dyDescent="0.2">
      <c r="A1" s="385" t="s">
        <v>34</v>
      </c>
      <c r="B1" s="385"/>
      <c r="C1" s="385"/>
      <c r="D1" s="385"/>
      <c r="E1" s="385"/>
      <c r="F1" s="385"/>
      <c r="G1" s="385"/>
      <c r="H1" s="385"/>
      <c r="I1" s="385"/>
    </row>
    <row r="2" spans="1:17" s="265" customFormat="1" ht="88.5" customHeight="1" x14ac:dyDescent="0.2">
      <c r="A2" s="269" t="s">
        <v>492</v>
      </c>
      <c r="B2" s="269" t="s">
        <v>493</v>
      </c>
      <c r="C2" s="269" t="s">
        <v>494</v>
      </c>
      <c r="D2" s="269" t="s">
        <v>495</v>
      </c>
      <c r="E2" s="269" t="s">
        <v>496</v>
      </c>
      <c r="F2" s="270" t="s">
        <v>288</v>
      </c>
      <c r="G2" s="270" t="s">
        <v>497</v>
      </c>
      <c r="H2" s="269" t="s">
        <v>498</v>
      </c>
      <c r="I2" s="269" t="s">
        <v>499</v>
      </c>
      <c r="J2" s="269" t="s">
        <v>500</v>
      </c>
      <c r="K2" s="270" t="s">
        <v>501</v>
      </c>
      <c r="L2" s="269" t="s">
        <v>502</v>
      </c>
      <c r="M2" s="269" t="s">
        <v>503</v>
      </c>
      <c r="N2" s="269" t="s">
        <v>504</v>
      </c>
      <c r="O2" s="270" t="s">
        <v>505</v>
      </c>
      <c r="P2" s="270" t="s">
        <v>506</v>
      </c>
      <c r="Q2" s="270" t="s">
        <v>507</v>
      </c>
    </row>
    <row r="3" spans="1:17" s="265" customFormat="1" ht="18" customHeight="1" x14ac:dyDescent="0.2">
      <c r="A3" s="266" t="s">
        <v>69</v>
      </c>
      <c r="B3" s="292">
        <v>3585.8250400000002</v>
      </c>
      <c r="C3" s="290">
        <v>771564</v>
      </c>
      <c r="D3" s="290">
        <v>308291.02649999998</v>
      </c>
      <c r="E3" s="323">
        <v>39.786918739999997</v>
      </c>
      <c r="F3" s="290">
        <v>1082968.22</v>
      </c>
      <c r="G3" s="290">
        <v>395999.2928</v>
      </c>
      <c r="H3" s="324">
        <v>36.430340389999998</v>
      </c>
      <c r="I3" s="290">
        <v>307998.30359999998</v>
      </c>
      <c r="J3" s="323">
        <v>99.891063650000007</v>
      </c>
      <c r="K3" s="290">
        <v>395846.0048</v>
      </c>
      <c r="L3" s="306">
        <v>99.946962459999995</v>
      </c>
      <c r="M3" s="283">
        <v>624.55445229999998</v>
      </c>
      <c r="N3" s="322">
        <v>0.20111173099999999</v>
      </c>
      <c r="O3" s="290">
        <v>150247.0436</v>
      </c>
      <c r="P3" s="290">
        <v>308291.02649999998</v>
      </c>
      <c r="Q3" s="283">
        <v>192.27</v>
      </c>
    </row>
    <row r="4" spans="1:17" s="265" customFormat="1" ht="18" customHeight="1" x14ac:dyDescent="0.2">
      <c r="A4" s="266" t="s">
        <v>70</v>
      </c>
      <c r="B4" s="292">
        <v>3145.2410599999998</v>
      </c>
      <c r="C4" s="290">
        <v>518108</v>
      </c>
      <c r="D4" s="290">
        <v>195611.69925000001</v>
      </c>
      <c r="E4" s="323">
        <v>37.528771651</v>
      </c>
      <c r="F4" s="290">
        <v>775589.75</v>
      </c>
      <c r="G4" s="290">
        <v>261208.29157517999</v>
      </c>
      <c r="H4" s="324">
        <v>33.097800724999999</v>
      </c>
      <c r="I4" s="290">
        <v>195277.88641000001</v>
      </c>
      <c r="J4" s="323">
        <v>99.814041696999993</v>
      </c>
      <c r="K4" s="290">
        <v>261207.80458154</v>
      </c>
      <c r="L4" s="306">
        <v>99.994166667000002</v>
      </c>
      <c r="M4" s="283">
        <v>458.18738999999999</v>
      </c>
      <c r="N4" s="322">
        <v>0.22265528900000001</v>
      </c>
      <c r="O4" s="290">
        <v>109583.71120999999</v>
      </c>
      <c r="P4" s="290">
        <v>194997.75012000001</v>
      </c>
      <c r="Q4" s="283">
        <v>207.14</v>
      </c>
    </row>
    <row r="5" spans="1:17" s="265" customFormat="1" ht="18" customHeight="1" x14ac:dyDescent="0.2">
      <c r="A5" s="266" t="s">
        <v>156</v>
      </c>
      <c r="B5" s="292">
        <v>233.87</v>
      </c>
      <c r="C5" s="283">
        <v>47331</v>
      </c>
      <c r="D5" s="283">
        <v>20197.58972</v>
      </c>
      <c r="E5" s="323">
        <v>42.673067799000002</v>
      </c>
      <c r="F5" s="283">
        <v>71629.66</v>
      </c>
      <c r="G5" s="283">
        <v>26176.786090150999</v>
      </c>
      <c r="H5" s="324">
        <v>36.544618653999997</v>
      </c>
      <c r="I5" s="283">
        <v>20197.589520000001</v>
      </c>
      <c r="J5" s="323">
        <v>99.99</v>
      </c>
      <c r="K5" s="283">
        <v>26176.773862950999</v>
      </c>
      <c r="L5" s="306">
        <v>99.99</v>
      </c>
      <c r="M5" s="283">
        <v>37.665529999999997</v>
      </c>
      <c r="N5" s="322">
        <v>0.18648527300000001</v>
      </c>
      <c r="O5" s="283">
        <v>11283.395250400001</v>
      </c>
      <c r="P5" s="283">
        <v>20197.58972</v>
      </c>
      <c r="Q5" s="283">
        <v>193.4</v>
      </c>
    </row>
    <row r="6" spans="1:17" s="265" customFormat="1" ht="18" customHeight="1" x14ac:dyDescent="0.2">
      <c r="A6" s="266" t="s">
        <v>157</v>
      </c>
      <c r="B6" s="292">
        <v>258.01627999999999</v>
      </c>
      <c r="C6" s="283">
        <v>51333</v>
      </c>
      <c r="D6" s="283">
        <v>20552.438119999999</v>
      </c>
      <c r="E6" s="323">
        <v>40.037477101</v>
      </c>
      <c r="F6" s="283">
        <v>75360.5</v>
      </c>
      <c r="G6" s="283">
        <v>24720.48749177</v>
      </c>
      <c r="H6" s="324">
        <v>32.802977013000003</v>
      </c>
      <c r="I6" s="283">
        <v>20552.437620000001</v>
      </c>
      <c r="J6" s="323">
        <v>99.99</v>
      </c>
      <c r="K6" s="283">
        <v>24720.45209802</v>
      </c>
      <c r="L6" s="306">
        <v>99.99</v>
      </c>
      <c r="M6" s="283">
        <v>41.71</v>
      </c>
      <c r="N6" s="322">
        <v>0.2</v>
      </c>
      <c r="O6" s="283">
        <v>10687.1962936</v>
      </c>
      <c r="P6" s="283">
        <v>20552.437620000001</v>
      </c>
      <c r="Q6" s="283">
        <v>194.65</v>
      </c>
    </row>
    <row r="7" spans="1:17" s="265" customFormat="1" ht="18" customHeight="1" x14ac:dyDescent="0.2">
      <c r="A7" s="266" t="s">
        <v>158</v>
      </c>
      <c r="B7" s="292">
        <v>191.17866000000001</v>
      </c>
      <c r="C7" s="283">
        <v>41060</v>
      </c>
      <c r="D7" s="283">
        <v>16823.90796</v>
      </c>
      <c r="E7" s="323">
        <v>40.973959960999998</v>
      </c>
      <c r="F7" s="283">
        <v>64162.59</v>
      </c>
      <c r="G7" s="283">
        <v>25439.471076090998</v>
      </c>
      <c r="H7" s="324">
        <v>39.648447912999998</v>
      </c>
      <c r="I7" s="283">
        <v>16823.905439999999</v>
      </c>
      <c r="J7" s="323">
        <v>99.99</v>
      </c>
      <c r="K7" s="283">
        <v>25439.430610595999</v>
      </c>
      <c r="L7" s="306">
        <v>99.99</v>
      </c>
      <c r="M7" s="283">
        <v>45.003810000000001</v>
      </c>
      <c r="N7" s="322">
        <v>0.2</v>
      </c>
      <c r="O7" s="283">
        <v>11203.598082300001</v>
      </c>
      <c r="P7" s="283">
        <v>16823.90796</v>
      </c>
      <c r="Q7" s="283">
        <v>195.86</v>
      </c>
    </row>
    <row r="8" spans="1:17" s="265" customFormat="1" ht="18" customHeight="1" x14ac:dyDescent="0.2">
      <c r="A8" s="266" t="s">
        <v>159</v>
      </c>
      <c r="B8" s="292">
        <v>242.83</v>
      </c>
      <c r="C8" s="283">
        <v>41852</v>
      </c>
      <c r="D8" s="283">
        <v>16416.385269999999</v>
      </c>
      <c r="E8" s="323">
        <v>39.224852503999998</v>
      </c>
      <c r="F8" s="283">
        <v>65168.480000000003</v>
      </c>
      <c r="G8" s="283">
        <v>22564.464908550999</v>
      </c>
      <c r="H8" s="324">
        <v>34.624813879999998</v>
      </c>
      <c r="I8" s="283">
        <v>16367.01683</v>
      </c>
      <c r="J8" s="323">
        <v>99.699273383000005</v>
      </c>
      <c r="K8" s="283">
        <v>22564.422886051001</v>
      </c>
      <c r="L8" s="306">
        <v>99.99</v>
      </c>
      <c r="M8" s="283">
        <v>49.368040000000001</v>
      </c>
      <c r="N8" s="322">
        <v>0.2</v>
      </c>
      <c r="O8" s="283">
        <v>7788.4970395</v>
      </c>
      <c r="P8" s="283">
        <v>16416.385269999999</v>
      </c>
      <c r="Q8" s="283">
        <v>197.1</v>
      </c>
    </row>
    <row r="9" spans="1:17" s="265" customFormat="1" ht="18" customHeight="1" x14ac:dyDescent="0.2">
      <c r="A9" s="266" t="s">
        <v>160</v>
      </c>
      <c r="B9" s="292">
        <v>292</v>
      </c>
      <c r="C9" s="283">
        <v>45597</v>
      </c>
      <c r="D9" s="283">
        <v>16677</v>
      </c>
      <c r="E9" s="323">
        <v>36.6</v>
      </c>
      <c r="F9" s="283">
        <v>67896</v>
      </c>
      <c r="G9" s="283">
        <v>21673</v>
      </c>
      <c r="H9" s="324">
        <v>31.9</v>
      </c>
      <c r="I9" s="283">
        <v>16641</v>
      </c>
      <c r="J9" s="323">
        <v>99.8</v>
      </c>
      <c r="K9" s="283">
        <v>21673</v>
      </c>
      <c r="L9" s="306">
        <v>100</v>
      </c>
      <c r="M9" s="283">
        <v>36.700000000000003</v>
      </c>
      <c r="N9" s="322">
        <v>0.2</v>
      </c>
      <c r="O9" s="283">
        <v>8022.42</v>
      </c>
      <c r="P9" s="283">
        <v>16677.490000000002</v>
      </c>
      <c r="Q9" s="283">
        <v>198</v>
      </c>
    </row>
    <row r="10" spans="1:17" s="265" customFormat="1" ht="18" customHeight="1" x14ac:dyDescent="0.2">
      <c r="A10" s="266" t="s">
        <v>161</v>
      </c>
      <c r="B10" s="292">
        <v>297.69</v>
      </c>
      <c r="C10" s="283">
        <v>38742</v>
      </c>
      <c r="D10" s="283">
        <v>12866.714</v>
      </c>
      <c r="E10" s="323">
        <v>33.211279748000003</v>
      </c>
      <c r="F10" s="283">
        <v>62476.71</v>
      </c>
      <c r="G10" s="283">
        <v>17771.124954879</v>
      </c>
      <c r="H10" s="324">
        <v>28.444399448999999</v>
      </c>
      <c r="I10" s="283">
        <v>12839.386850000001</v>
      </c>
      <c r="J10" s="323">
        <v>99.787613605000004</v>
      </c>
      <c r="K10" s="283">
        <v>17770.992020778998</v>
      </c>
      <c r="L10" s="306">
        <v>99.99</v>
      </c>
      <c r="M10" s="283">
        <v>27.32715</v>
      </c>
      <c r="N10" s="322">
        <v>0.21283843499999999</v>
      </c>
      <c r="O10" s="283">
        <v>7103.2562042999998</v>
      </c>
      <c r="P10" s="283">
        <v>12866.714</v>
      </c>
      <c r="Q10" s="283">
        <v>199.51</v>
      </c>
    </row>
    <row r="11" spans="1:17" s="265" customFormat="1" ht="18" customHeight="1" x14ac:dyDescent="0.2">
      <c r="A11" s="266" t="s">
        <v>162</v>
      </c>
      <c r="B11" s="292">
        <v>337.3</v>
      </c>
      <c r="C11" s="283">
        <v>43930</v>
      </c>
      <c r="D11" s="283">
        <v>13624.225549999999</v>
      </c>
      <c r="E11" s="323">
        <v>31.013488618</v>
      </c>
      <c r="F11" s="283">
        <v>66384.710000000006</v>
      </c>
      <c r="G11" s="283">
        <v>17968.004992303999</v>
      </c>
      <c r="H11" s="324">
        <v>27.066481110000002</v>
      </c>
      <c r="I11" s="283">
        <v>13589.708629999999</v>
      </c>
      <c r="J11" s="323">
        <v>99.746650407000004</v>
      </c>
      <c r="K11" s="283">
        <v>17967.852268554001</v>
      </c>
      <c r="L11" s="306">
        <v>99.99</v>
      </c>
      <c r="M11" s="283">
        <v>34.51437</v>
      </c>
      <c r="N11" s="322">
        <v>0.253974319</v>
      </c>
      <c r="O11" s="283">
        <v>8200.0929624</v>
      </c>
      <c r="P11" s="283">
        <v>13624.225549999999</v>
      </c>
      <c r="Q11" s="283">
        <v>200.75</v>
      </c>
    </row>
    <row r="12" spans="1:17" s="265" customFormat="1" ht="18" customHeight="1" x14ac:dyDescent="0.2">
      <c r="A12" s="266" t="s">
        <v>163</v>
      </c>
      <c r="B12" s="292">
        <v>255.31027</v>
      </c>
      <c r="C12" s="283">
        <v>38077</v>
      </c>
      <c r="D12" s="283">
        <v>13214.226919999999</v>
      </c>
      <c r="E12" s="323">
        <v>34.703960186000003</v>
      </c>
      <c r="F12" s="283">
        <v>59063.839999999997</v>
      </c>
      <c r="G12" s="283">
        <v>19645.851595757998</v>
      </c>
      <c r="H12" s="324">
        <v>33.262062872999998</v>
      </c>
      <c r="I12" s="283">
        <v>13190.033600000001</v>
      </c>
      <c r="J12" s="323">
        <v>99.816914601999997</v>
      </c>
      <c r="K12" s="283">
        <v>19645.851595757998</v>
      </c>
      <c r="L12" s="306">
        <v>100</v>
      </c>
      <c r="M12" s="283">
        <v>24.19332</v>
      </c>
      <c r="N12" s="322">
        <v>0.183421216</v>
      </c>
      <c r="O12" s="283">
        <v>8400.7760166000007</v>
      </c>
      <c r="P12" s="283">
        <v>13214</v>
      </c>
      <c r="Q12" s="283">
        <v>201.98</v>
      </c>
    </row>
    <row r="13" spans="1:17" s="265" customFormat="1" ht="18" customHeight="1" x14ac:dyDescent="0.2">
      <c r="A13" s="266" t="s">
        <v>164</v>
      </c>
      <c r="B13" s="292">
        <v>249.07</v>
      </c>
      <c r="C13" s="283">
        <v>38061</v>
      </c>
      <c r="D13" s="283">
        <v>14037.03</v>
      </c>
      <c r="E13" s="323">
        <v>36.880000000000003</v>
      </c>
      <c r="F13" s="283">
        <v>50482.91</v>
      </c>
      <c r="G13" s="283">
        <v>13424.54</v>
      </c>
      <c r="H13" s="324">
        <v>26.59</v>
      </c>
      <c r="I13" s="283">
        <v>14013.38</v>
      </c>
      <c r="J13" s="323">
        <v>99.83</v>
      </c>
      <c r="K13" s="283">
        <v>13424.54</v>
      </c>
      <c r="L13" s="306">
        <v>100</v>
      </c>
      <c r="M13" s="283">
        <v>23.65</v>
      </c>
      <c r="N13" s="322">
        <v>0.17</v>
      </c>
      <c r="O13" s="283">
        <v>5438.8</v>
      </c>
      <c r="P13" s="283">
        <v>14037</v>
      </c>
      <c r="Q13" s="283">
        <v>203.28</v>
      </c>
    </row>
    <row r="14" spans="1:17" s="265" customFormat="1" ht="18" customHeight="1" x14ac:dyDescent="0.2">
      <c r="A14" s="266" t="s">
        <v>165</v>
      </c>
      <c r="B14" s="292">
        <v>274.60000000000002</v>
      </c>
      <c r="C14" s="283">
        <v>38852</v>
      </c>
      <c r="D14" s="283">
        <v>14128.8</v>
      </c>
      <c r="E14" s="323">
        <v>36.365695459999998</v>
      </c>
      <c r="F14" s="283">
        <v>61332</v>
      </c>
      <c r="G14" s="283">
        <v>17263</v>
      </c>
      <c r="H14" s="324">
        <v>28.146807539000001</v>
      </c>
      <c r="I14" s="283">
        <v>14095.2</v>
      </c>
      <c r="J14" s="323">
        <v>99.762187871999998</v>
      </c>
      <c r="K14" s="283">
        <v>17263</v>
      </c>
      <c r="L14" s="306">
        <v>100</v>
      </c>
      <c r="M14" s="283">
        <v>33.6</v>
      </c>
      <c r="N14" s="322">
        <v>0.238379023</v>
      </c>
      <c r="O14" s="283">
        <v>6891</v>
      </c>
      <c r="P14" s="283">
        <v>14129</v>
      </c>
      <c r="Q14" s="283">
        <v>204.53</v>
      </c>
    </row>
    <row r="15" spans="1:17" s="265" customFormat="1" ht="18" customHeight="1" x14ac:dyDescent="0.2">
      <c r="A15" s="266" t="s">
        <v>166</v>
      </c>
      <c r="B15" s="292">
        <v>257.2</v>
      </c>
      <c r="C15" s="283">
        <v>42231</v>
      </c>
      <c r="D15" s="283">
        <v>14809.498240000001</v>
      </c>
      <c r="E15" s="323">
        <v>35.067836991999997</v>
      </c>
      <c r="F15" s="283">
        <v>50655.69</v>
      </c>
      <c r="G15" s="283">
        <v>14533.204898647</v>
      </c>
      <c r="H15" s="324">
        <v>28.690172612000001</v>
      </c>
      <c r="I15" s="283">
        <v>14740.946900000001</v>
      </c>
      <c r="J15" s="323">
        <v>99.537112339000004</v>
      </c>
      <c r="K15" s="283">
        <v>14533.204898647</v>
      </c>
      <c r="L15" s="306">
        <v>100</v>
      </c>
      <c r="M15" s="283">
        <v>68.551339999999996</v>
      </c>
      <c r="N15" s="322">
        <v>0.465040275</v>
      </c>
      <c r="O15" s="283">
        <v>7081.3812120000002</v>
      </c>
      <c r="P15" s="283">
        <v>14196</v>
      </c>
      <c r="Q15" s="283">
        <v>205.82</v>
      </c>
    </row>
    <row r="16" spans="1:17" s="265" customFormat="1" ht="18" customHeight="1" x14ac:dyDescent="0.2">
      <c r="A16" s="266" t="s">
        <v>167</v>
      </c>
      <c r="B16" s="292">
        <v>255.90584999999999</v>
      </c>
      <c r="C16" s="283">
        <v>51042</v>
      </c>
      <c r="D16" s="283">
        <v>22263.393469999999</v>
      </c>
      <c r="E16" s="323">
        <v>43.617792152</v>
      </c>
      <c r="F16" s="283">
        <v>80977.06</v>
      </c>
      <c r="G16" s="283">
        <v>40028.195284321002</v>
      </c>
      <c r="H16" s="324">
        <v>49.431524537999998</v>
      </c>
      <c r="I16" s="283">
        <v>22227.44615</v>
      </c>
      <c r="J16" s="323">
        <v>99.838536204999997</v>
      </c>
      <c r="K16" s="283">
        <v>40028.195284321002</v>
      </c>
      <c r="L16" s="306">
        <v>100</v>
      </c>
      <c r="M16" s="283">
        <v>35.947319999999998</v>
      </c>
      <c r="N16" s="322">
        <v>0.16172492199999999</v>
      </c>
      <c r="O16" s="283">
        <v>17483.297523000001</v>
      </c>
      <c r="P16" s="283">
        <v>22263</v>
      </c>
      <c r="Q16" s="283">
        <v>207.14</v>
      </c>
    </row>
    <row r="17" spans="1:4" s="265" customFormat="1" ht="15" customHeight="1" x14ac:dyDescent="0.2">
      <c r="A17" s="373" t="s">
        <v>106</v>
      </c>
      <c r="B17" s="373"/>
      <c r="C17" s="373"/>
      <c r="D17" s="373"/>
    </row>
    <row r="18" spans="1:4" s="265" customFormat="1" ht="13.5" customHeight="1" x14ac:dyDescent="0.2">
      <c r="A18" s="373" t="s">
        <v>393</v>
      </c>
      <c r="B18" s="373"/>
      <c r="C18" s="373"/>
      <c r="D18" s="373"/>
    </row>
    <row r="19" spans="1:4" s="265" customFormat="1" ht="28.35" customHeight="1" x14ac:dyDescent="0.2"/>
  </sheetData>
  <mergeCells count="3">
    <mergeCell ref="A1:I1"/>
    <mergeCell ref="A17:D17"/>
    <mergeCell ref="A18:D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20"/>
  <sheetViews>
    <sheetView workbookViewId="0">
      <selection sqref="A1:I1"/>
    </sheetView>
  </sheetViews>
  <sheetFormatPr defaultRowHeight="12.75" x14ac:dyDescent="0.2"/>
  <cols>
    <col min="1" max="8" width="14.7109375" style="262" bestFit="1" customWidth="1"/>
    <col min="9" max="9" width="11.140625" style="262" bestFit="1" customWidth="1"/>
    <col min="10" max="10" width="18.28515625" style="262" bestFit="1" customWidth="1"/>
    <col min="11" max="17" width="14.7109375" style="262" bestFit="1" customWidth="1"/>
    <col min="18" max="18" width="4.7109375" style="262" bestFit="1" customWidth="1"/>
    <col min="19" max="256" width="9.140625" style="262"/>
    <col min="257" max="264" width="14.7109375" style="262" bestFit="1" customWidth="1"/>
    <col min="265" max="265" width="11.140625" style="262" bestFit="1" customWidth="1"/>
    <col min="266" max="266" width="18.28515625" style="262" bestFit="1" customWidth="1"/>
    <col min="267" max="273" width="14.7109375" style="262" bestFit="1" customWidth="1"/>
    <col min="274" max="274" width="4.7109375" style="262" bestFit="1" customWidth="1"/>
    <col min="275" max="512" width="9.140625" style="262"/>
    <col min="513" max="520" width="14.7109375" style="262" bestFit="1" customWidth="1"/>
    <col min="521" max="521" width="11.140625" style="262" bestFit="1" customWidth="1"/>
    <col min="522" max="522" width="18.28515625" style="262" bestFit="1" customWidth="1"/>
    <col min="523" max="529" width="14.7109375" style="262" bestFit="1" customWidth="1"/>
    <col min="530" max="530" width="4.7109375" style="262" bestFit="1" customWidth="1"/>
    <col min="531" max="768" width="9.140625" style="262"/>
    <col min="769" max="776" width="14.7109375" style="262" bestFit="1" customWidth="1"/>
    <col min="777" max="777" width="11.140625" style="262" bestFit="1" customWidth="1"/>
    <col min="778" max="778" width="18.28515625" style="262" bestFit="1" customWidth="1"/>
    <col min="779" max="785" width="14.7109375" style="262" bestFit="1" customWidth="1"/>
    <col min="786" max="786" width="4.7109375" style="262" bestFit="1" customWidth="1"/>
    <col min="787" max="1024" width="9.140625" style="262"/>
    <col min="1025" max="1032" width="14.7109375" style="262" bestFit="1" customWidth="1"/>
    <col min="1033" max="1033" width="11.140625" style="262" bestFit="1" customWidth="1"/>
    <col min="1034" max="1034" width="18.28515625" style="262" bestFit="1" customWidth="1"/>
    <col min="1035" max="1041" width="14.7109375" style="262" bestFit="1" customWidth="1"/>
    <col min="1042" max="1042" width="4.7109375" style="262" bestFit="1" customWidth="1"/>
    <col min="1043" max="1280" width="9.140625" style="262"/>
    <col min="1281" max="1288" width="14.7109375" style="262" bestFit="1" customWidth="1"/>
    <col min="1289" max="1289" width="11.140625" style="262" bestFit="1" customWidth="1"/>
    <col min="1290" max="1290" width="18.28515625" style="262" bestFit="1" customWidth="1"/>
    <col min="1291" max="1297" width="14.7109375" style="262" bestFit="1" customWidth="1"/>
    <col min="1298" max="1298" width="4.7109375" style="262" bestFit="1" customWidth="1"/>
    <col min="1299" max="1536" width="9.140625" style="262"/>
    <col min="1537" max="1544" width="14.7109375" style="262" bestFit="1" customWidth="1"/>
    <col min="1545" max="1545" width="11.140625" style="262" bestFit="1" customWidth="1"/>
    <col min="1546" max="1546" width="18.28515625" style="262" bestFit="1" customWidth="1"/>
    <col min="1547" max="1553" width="14.7109375" style="262" bestFit="1" customWidth="1"/>
    <col min="1554" max="1554" width="4.7109375" style="262" bestFit="1" customWidth="1"/>
    <col min="1555" max="1792" width="9.140625" style="262"/>
    <col min="1793" max="1800" width="14.7109375" style="262" bestFit="1" customWidth="1"/>
    <col min="1801" max="1801" width="11.140625" style="262" bestFit="1" customWidth="1"/>
    <col min="1802" max="1802" width="18.28515625" style="262" bestFit="1" customWidth="1"/>
    <col min="1803" max="1809" width="14.7109375" style="262" bestFit="1" customWidth="1"/>
    <col min="1810" max="1810" width="4.7109375" style="262" bestFit="1" customWidth="1"/>
    <col min="1811" max="2048" width="9.140625" style="262"/>
    <col min="2049" max="2056" width="14.7109375" style="262" bestFit="1" customWidth="1"/>
    <col min="2057" max="2057" width="11.140625" style="262" bestFit="1" customWidth="1"/>
    <col min="2058" max="2058" width="18.28515625" style="262" bestFit="1" customWidth="1"/>
    <col min="2059" max="2065" width="14.7109375" style="262" bestFit="1" customWidth="1"/>
    <col min="2066" max="2066" width="4.7109375" style="262" bestFit="1" customWidth="1"/>
    <col min="2067" max="2304" width="9.140625" style="262"/>
    <col min="2305" max="2312" width="14.7109375" style="262" bestFit="1" customWidth="1"/>
    <col min="2313" max="2313" width="11.140625" style="262" bestFit="1" customWidth="1"/>
    <col min="2314" max="2314" width="18.28515625" style="262" bestFit="1" customWidth="1"/>
    <col min="2315" max="2321" width="14.7109375" style="262" bestFit="1" customWidth="1"/>
    <col min="2322" max="2322" width="4.7109375" style="262" bestFit="1" customWidth="1"/>
    <col min="2323" max="2560" width="9.140625" style="262"/>
    <col min="2561" max="2568" width="14.7109375" style="262" bestFit="1" customWidth="1"/>
    <col min="2569" max="2569" width="11.140625" style="262" bestFit="1" customWidth="1"/>
    <col min="2570" max="2570" width="18.28515625" style="262" bestFit="1" customWidth="1"/>
    <col min="2571" max="2577" width="14.7109375" style="262" bestFit="1" customWidth="1"/>
    <col min="2578" max="2578" width="4.7109375" style="262" bestFit="1" customWidth="1"/>
    <col min="2579" max="2816" width="9.140625" style="262"/>
    <col min="2817" max="2824" width="14.7109375" style="262" bestFit="1" customWidth="1"/>
    <col min="2825" max="2825" width="11.140625" style="262" bestFit="1" customWidth="1"/>
    <col min="2826" max="2826" width="18.28515625" style="262" bestFit="1" customWidth="1"/>
    <col min="2827" max="2833" width="14.7109375" style="262" bestFit="1" customWidth="1"/>
    <col min="2834" max="2834" width="4.7109375" style="262" bestFit="1" customWidth="1"/>
    <col min="2835" max="3072" width="9.140625" style="262"/>
    <col min="3073" max="3080" width="14.7109375" style="262" bestFit="1" customWidth="1"/>
    <col min="3081" max="3081" width="11.140625" style="262" bestFit="1" customWidth="1"/>
    <col min="3082" max="3082" width="18.28515625" style="262" bestFit="1" customWidth="1"/>
    <col min="3083" max="3089" width="14.7109375" style="262" bestFit="1" customWidth="1"/>
    <col min="3090" max="3090" width="4.7109375" style="262" bestFit="1" customWidth="1"/>
    <col min="3091" max="3328" width="9.140625" style="262"/>
    <col min="3329" max="3336" width="14.7109375" style="262" bestFit="1" customWidth="1"/>
    <col min="3337" max="3337" width="11.140625" style="262" bestFit="1" customWidth="1"/>
    <col min="3338" max="3338" width="18.28515625" style="262" bestFit="1" customWidth="1"/>
    <col min="3339" max="3345" width="14.7109375" style="262" bestFit="1" customWidth="1"/>
    <col min="3346" max="3346" width="4.7109375" style="262" bestFit="1" customWidth="1"/>
    <col min="3347" max="3584" width="9.140625" style="262"/>
    <col min="3585" max="3592" width="14.7109375" style="262" bestFit="1" customWidth="1"/>
    <col min="3593" max="3593" width="11.140625" style="262" bestFit="1" customWidth="1"/>
    <col min="3594" max="3594" width="18.28515625" style="262" bestFit="1" customWidth="1"/>
    <col min="3595" max="3601" width="14.7109375" style="262" bestFit="1" customWidth="1"/>
    <col min="3602" max="3602" width="4.7109375" style="262" bestFit="1" customWidth="1"/>
    <col min="3603" max="3840" width="9.140625" style="262"/>
    <col min="3841" max="3848" width="14.7109375" style="262" bestFit="1" customWidth="1"/>
    <col min="3849" max="3849" width="11.140625" style="262" bestFit="1" customWidth="1"/>
    <col min="3850" max="3850" width="18.28515625" style="262" bestFit="1" customWidth="1"/>
    <col min="3851" max="3857" width="14.7109375" style="262" bestFit="1" customWidth="1"/>
    <col min="3858" max="3858" width="4.7109375" style="262" bestFit="1" customWidth="1"/>
    <col min="3859" max="4096" width="9.140625" style="262"/>
    <col min="4097" max="4104" width="14.7109375" style="262" bestFit="1" customWidth="1"/>
    <col min="4105" max="4105" width="11.140625" style="262" bestFit="1" customWidth="1"/>
    <col min="4106" max="4106" width="18.28515625" style="262" bestFit="1" customWidth="1"/>
    <col min="4107" max="4113" width="14.7109375" style="262" bestFit="1" customWidth="1"/>
    <col min="4114" max="4114" width="4.7109375" style="262" bestFit="1" customWidth="1"/>
    <col min="4115" max="4352" width="9.140625" style="262"/>
    <col min="4353" max="4360" width="14.7109375" style="262" bestFit="1" customWidth="1"/>
    <col min="4361" max="4361" width="11.140625" style="262" bestFit="1" customWidth="1"/>
    <col min="4362" max="4362" width="18.28515625" style="262" bestFit="1" customWidth="1"/>
    <col min="4363" max="4369" width="14.7109375" style="262" bestFit="1" customWidth="1"/>
    <col min="4370" max="4370" width="4.7109375" style="262" bestFit="1" customWidth="1"/>
    <col min="4371" max="4608" width="9.140625" style="262"/>
    <col min="4609" max="4616" width="14.7109375" style="262" bestFit="1" customWidth="1"/>
    <col min="4617" max="4617" width="11.140625" style="262" bestFit="1" customWidth="1"/>
    <col min="4618" max="4618" width="18.28515625" style="262" bestFit="1" customWidth="1"/>
    <col min="4619" max="4625" width="14.7109375" style="262" bestFit="1" customWidth="1"/>
    <col min="4626" max="4626" width="4.7109375" style="262" bestFit="1" customWidth="1"/>
    <col min="4627" max="4864" width="9.140625" style="262"/>
    <col min="4865" max="4872" width="14.7109375" style="262" bestFit="1" customWidth="1"/>
    <col min="4873" max="4873" width="11.140625" style="262" bestFit="1" customWidth="1"/>
    <col min="4874" max="4874" width="18.28515625" style="262" bestFit="1" customWidth="1"/>
    <col min="4875" max="4881" width="14.7109375" style="262" bestFit="1" customWidth="1"/>
    <col min="4882" max="4882" width="4.7109375" style="262" bestFit="1" customWidth="1"/>
    <col min="4883" max="5120" width="9.140625" style="262"/>
    <col min="5121" max="5128" width="14.7109375" style="262" bestFit="1" customWidth="1"/>
    <col min="5129" max="5129" width="11.140625" style="262" bestFit="1" customWidth="1"/>
    <col min="5130" max="5130" width="18.28515625" style="262" bestFit="1" customWidth="1"/>
    <col min="5131" max="5137" width="14.7109375" style="262" bestFit="1" customWidth="1"/>
    <col min="5138" max="5138" width="4.7109375" style="262" bestFit="1" customWidth="1"/>
    <col min="5139" max="5376" width="9.140625" style="262"/>
    <col min="5377" max="5384" width="14.7109375" style="262" bestFit="1" customWidth="1"/>
    <col min="5385" max="5385" width="11.140625" style="262" bestFit="1" customWidth="1"/>
    <col min="5386" max="5386" width="18.28515625" style="262" bestFit="1" customWidth="1"/>
    <col min="5387" max="5393" width="14.7109375" style="262" bestFit="1" customWidth="1"/>
    <col min="5394" max="5394" width="4.7109375" style="262" bestFit="1" customWidth="1"/>
    <col min="5395" max="5632" width="9.140625" style="262"/>
    <col min="5633" max="5640" width="14.7109375" style="262" bestFit="1" customWidth="1"/>
    <col min="5641" max="5641" width="11.140625" style="262" bestFit="1" customWidth="1"/>
    <col min="5642" max="5642" width="18.28515625" style="262" bestFit="1" customWidth="1"/>
    <col min="5643" max="5649" width="14.7109375" style="262" bestFit="1" customWidth="1"/>
    <col min="5650" max="5650" width="4.7109375" style="262" bestFit="1" customWidth="1"/>
    <col min="5651" max="5888" width="9.140625" style="262"/>
    <col min="5889" max="5896" width="14.7109375" style="262" bestFit="1" customWidth="1"/>
    <col min="5897" max="5897" width="11.140625" style="262" bestFit="1" customWidth="1"/>
    <col min="5898" max="5898" width="18.28515625" style="262" bestFit="1" customWidth="1"/>
    <col min="5899" max="5905" width="14.7109375" style="262" bestFit="1" customWidth="1"/>
    <col min="5906" max="5906" width="4.7109375" style="262" bestFit="1" customWidth="1"/>
    <col min="5907" max="6144" width="9.140625" style="262"/>
    <col min="6145" max="6152" width="14.7109375" style="262" bestFit="1" customWidth="1"/>
    <col min="6153" max="6153" width="11.140625" style="262" bestFit="1" customWidth="1"/>
    <col min="6154" max="6154" width="18.28515625" style="262" bestFit="1" customWidth="1"/>
    <col min="6155" max="6161" width="14.7109375" style="262" bestFit="1" customWidth="1"/>
    <col min="6162" max="6162" width="4.7109375" style="262" bestFit="1" customWidth="1"/>
    <col min="6163" max="6400" width="9.140625" style="262"/>
    <col min="6401" max="6408" width="14.7109375" style="262" bestFit="1" customWidth="1"/>
    <col min="6409" max="6409" width="11.140625" style="262" bestFit="1" customWidth="1"/>
    <col min="6410" max="6410" width="18.28515625" style="262" bestFit="1" customWidth="1"/>
    <col min="6411" max="6417" width="14.7109375" style="262" bestFit="1" customWidth="1"/>
    <col min="6418" max="6418" width="4.7109375" style="262" bestFit="1" customWidth="1"/>
    <col min="6419" max="6656" width="9.140625" style="262"/>
    <col min="6657" max="6664" width="14.7109375" style="262" bestFit="1" customWidth="1"/>
    <col min="6665" max="6665" width="11.140625" style="262" bestFit="1" customWidth="1"/>
    <col min="6666" max="6666" width="18.28515625" style="262" bestFit="1" customWidth="1"/>
    <col min="6667" max="6673" width="14.7109375" style="262" bestFit="1" customWidth="1"/>
    <col min="6674" max="6674" width="4.7109375" style="262" bestFit="1" customWidth="1"/>
    <col min="6675" max="6912" width="9.140625" style="262"/>
    <col min="6913" max="6920" width="14.7109375" style="262" bestFit="1" customWidth="1"/>
    <col min="6921" max="6921" width="11.140625" style="262" bestFit="1" customWidth="1"/>
    <col min="6922" max="6922" width="18.28515625" style="262" bestFit="1" customWidth="1"/>
    <col min="6923" max="6929" width="14.7109375" style="262" bestFit="1" customWidth="1"/>
    <col min="6930" max="6930" width="4.7109375" style="262" bestFit="1" customWidth="1"/>
    <col min="6931" max="7168" width="9.140625" style="262"/>
    <col min="7169" max="7176" width="14.7109375" style="262" bestFit="1" customWidth="1"/>
    <col min="7177" max="7177" width="11.140625" style="262" bestFit="1" customWidth="1"/>
    <col min="7178" max="7178" width="18.28515625" style="262" bestFit="1" customWidth="1"/>
    <col min="7179" max="7185" width="14.7109375" style="262" bestFit="1" customWidth="1"/>
    <col min="7186" max="7186" width="4.7109375" style="262" bestFit="1" customWidth="1"/>
    <col min="7187" max="7424" width="9.140625" style="262"/>
    <col min="7425" max="7432" width="14.7109375" style="262" bestFit="1" customWidth="1"/>
    <col min="7433" max="7433" width="11.140625" style="262" bestFit="1" customWidth="1"/>
    <col min="7434" max="7434" width="18.28515625" style="262" bestFit="1" customWidth="1"/>
    <col min="7435" max="7441" width="14.7109375" style="262" bestFit="1" customWidth="1"/>
    <col min="7442" max="7442" width="4.7109375" style="262" bestFit="1" customWidth="1"/>
    <col min="7443" max="7680" width="9.140625" style="262"/>
    <col min="7681" max="7688" width="14.7109375" style="262" bestFit="1" customWidth="1"/>
    <col min="7689" max="7689" width="11.140625" style="262" bestFit="1" customWidth="1"/>
    <col min="7690" max="7690" width="18.28515625" style="262" bestFit="1" customWidth="1"/>
    <col min="7691" max="7697" width="14.7109375" style="262" bestFit="1" customWidth="1"/>
    <col min="7698" max="7698" width="4.7109375" style="262" bestFit="1" customWidth="1"/>
    <col min="7699" max="7936" width="9.140625" style="262"/>
    <col min="7937" max="7944" width="14.7109375" style="262" bestFit="1" customWidth="1"/>
    <col min="7945" max="7945" width="11.140625" style="262" bestFit="1" customWidth="1"/>
    <col min="7946" max="7946" width="18.28515625" style="262" bestFit="1" customWidth="1"/>
    <col min="7947" max="7953" width="14.7109375" style="262" bestFit="1" customWidth="1"/>
    <col min="7954" max="7954" width="4.7109375" style="262" bestFit="1" customWidth="1"/>
    <col min="7955" max="8192" width="9.140625" style="262"/>
    <col min="8193" max="8200" width="14.7109375" style="262" bestFit="1" customWidth="1"/>
    <col min="8201" max="8201" width="11.140625" style="262" bestFit="1" customWidth="1"/>
    <col min="8202" max="8202" width="18.28515625" style="262" bestFit="1" customWidth="1"/>
    <col min="8203" max="8209" width="14.7109375" style="262" bestFit="1" customWidth="1"/>
    <col min="8210" max="8210" width="4.7109375" style="262" bestFit="1" customWidth="1"/>
    <col min="8211" max="8448" width="9.140625" style="262"/>
    <col min="8449" max="8456" width="14.7109375" style="262" bestFit="1" customWidth="1"/>
    <col min="8457" max="8457" width="11.140625" style="262" bestFit="1" customWidth="1"/>
    <col min="8458" max="8458" width="18.28515625" style="262" bestFit="1" customWidth="1"/>
    <col min="8459" max="8465" width="14.7109375" style="262" bestFit="1" customWidth="1"/>
    <col min="8466" max="8466" width="4.7109375" style="262" bestFit="1" customWidth="1"/>
    <col min="8467" max="8704" width="9.140625" style="262"/>
    <col min="8705" max="8712" width="14.7109375" style="262" bestFit="1" customWidth="1"/>
    <col min="8713" max="8713" width="11.140625" style="262" bestFit="1" customWidth="1"/>
    <col min="8714" max="8714" width="18.28515625" style="262" bestFit="1" customWidth="1"/>
    <col min="8715" max="8721" width="14.7109375" style="262" bestFit="1" customWidth="1"/>
    <col min="8722" max="8722" width="4.7109375" style="262" bestFit="1" customWidth="1"/>
    <col min="8723" max="8960" width="9.140625" style="262"/>
    <col min="8961" max="8968" width="14.7109375" style="262" bestFit="1" customWidth="1"/>
    <col min="8969" max="8969" width="11.140625" style="262" bestFit="1" customWidth="1"/>
    <col min="8970" max="8970" width="18.28515625" style="262" bestFit="1" customWidth="1"/>
    <col min="8971" max="8977" width="14.7109375" style="262" bestFit="1" customWidth="1"/>
    <col min="8978" max="8978" width="4.7109375" style="262" bestFit="1" customWidth="1"/>
    <col min="8979" max="9216" width="9.140625" style="262"/>
    <col min="9217" max="9224" width="14.7109375" style="262" bestFit="1" customWidth="1"/>
    <col min="9225" max="9225" width="11.140625" style="262" bestFit="1" customWidth="1"/>
    <col min="9226" max="9226" width="18.28515625" style="262" bestFit="1" customWidth="1"/>
    <col min="9227" max="9233" width="14.7109375" style="262" bestFit="1" customWidth="1"/>
    <col min="9234" max="9234" width="4.7109375" style="262" bestFit="1" customWidth="1"/>
    <col min="9235" max="9472" width="9.140625" style="262"/>
    <col min="9473" max="9480" width="14.7109375" style="262" bestFit="1" customWidth="1"/>
    <col min="9481" max="9481" width="11.140625" style="262" bestFit="1" customWidth="1"/>
    <col min="9482" max="9482" width="18.28515625" style="262" bestFit="1" customWidth="1"/>
    <col min="9483" max="9489" width="14.7109375" style="262" bestFit="1" customWidth="1"/>
    <col min="9490" max="9490" width="4.7109375" style="262" bestFit="1" customWidth="1"/>
    <col min="9491" max="9728" width="9.140625" style="262"/>
    <col min="9729" max="9736" width="14.7109375" style="262" bestFit="1" customWidth="1"/>
    <col min="9737" max="9737" width="11.140625" style="262" bestFit="1" customWidth="1"/>
    <col min="9738" max="9738" width="18.28515625" style="262" bestFit="1" customWidth="1"/>
    <col min="9739" max="9745" width="14.7109375" style="262" bestFit="1" customWidth="1"/>
    <col min="9746" max="9746" width="4.7109375" style="262" bestFit="1" customWidth="1"/>
    <col min="9747" max="9984" width="9.140625" style="262"/>
    <col min="9985" max="9992" width="14.7109375" style="262" bestFit="1" customWidth="1"/>
    <col min="9993" max="9993" width="11.140625" style="262" bestFit="1" customWidth="1"/>
    <col min="9994" max="9994" width="18.28515625" style="262" bestFit="1" customWidth="1"/>
    <col min="9995" max="10001" width="14.7109375" style="262" bestFit="1" customWidth="1"/>
    <col min="10002" max="10002" width="4.7109375" style="262" bestFit="1" customWidth="1"/>
    <col min="10003" max="10240" width="9.140625" style="262"/>
    <col min="10241" max="10248" width="14.7109375" style="262" bestFit="1" customWidth="1"/>
    <col min="10249" max="10249" width="11.140625" style="262" bestFit="1" customWidth="1"/>
    <col min="10250" max="10250" width="18.28515625" style="262" bestFit="1" customWidth="1"/>
    <col min="10251" max="10257" width="14.7109375" style="262" bestFit="1" customWidth="1"/>
    <col min="10258" max="10258" width="4.7109375" style="262" bestFit="1" customWidth="1"/>
    <col min="10259" max="10496" width="9.140625" style="262"/>
    <col min="10497" max="10504" width="14.7109375" style="262" bestFit="1" customWidth="1"/>
    <col min="10505" max="10505" width="11.140625" style="262" bestFit="1" customWidth="1"/>
    <col min="10506" max="10506" width="18.28515625" style="262" bestFit="1" customWidth="1"/>
    <col min="10507" max="10513" width="14.7109375" style="262" bestFit="1" customWidth="1"/>
    <col min="10514" max="10514" width="4.7109375" style="262" bestFit="1" customWidth="1"/>
    <col min="10515" max="10752" width="9.140625" style="262"/>
    <col min="10753" max="10760" width="14.7109375" style="262" bestFit="1" customWidth="1"/>
    <col min="10761" max="10761" width="11.140625" style="262" bestFit="1" customWidth="1"/>
    <col min="10762" max="10762" width="18.28515625" style="262" bestFit="1" customWidth="1"/>
    <col min="10763" max="10769" width="14.7109375" style="262" bestFit="1" customWidth="1"/>
    <col min="10770" max="10770" width="4.7109375" style="262" bestFit="1" customWidth="1"/>
    <col min="10771" max="11008" width="9.140625" style="262"/>
    <col min="11009" max="11016" width="14.7109375" style="262" bestFit="1" customWidth="1"/>
    <col min="11017" max="11017" width="11.140625" style="262" bestFit="1" customWidth="1"/>
    <col min="11018" max="11018" width="18.28515625" style="262" bestFit="1" customWidth="1"/>
    <col min="11019" max="11025" width="14.7109375" style="262" bestFit="1" customWidth="1"/>
    <col min="11026" max="11026" width="4.7109375" style="262" bestFit="1" customWidth="1"/>
    <col min="11027" max="11264" width="9.140625" style="262"/>
    <col min="11265" max="11272" width="14.7109375" style="262" bestFit="1" customWidth="1"/>
    <col min="11273" max="11273" width="11.140625" style="262" bestFit="1" customWidth="1"/>
    <col min="11274" max="11274" width="18.28515625" style="262" bestFit="1" customWidth="1"/>
    <col min="11275" max="11281" width="14.7109375" style="262" bestFit="1" customWidth="1"/>
    <col min="11282" max="11282" width="4.7109375" style="262" bestFit="1" customWidth="1"/>
    <col min="11283" max="11520" width="9.140625" style="262"/>
    <col min="11521" max="11528" width="14.7109375" style="262" bestFit="1" customWidth="1"/>
    <col min="11529" max="11529" width="11.140625" style="262" bestFit="1" customWidth="1"/>
    <col min="11530" max="11530" width="18.28515625" style="262" bestFit="1" customWidth="1"/>
    <col min="11531" max="11537" width="14.7109375" style="262" bestFit="1" customWidth="1"/>
    <col min="11538" max="11538" width="4.7109375" style="262" bestFit="1" customWidth="1"/>
    <col min="11539" max="11776" width="9.140625" style="262"/>
    <col min="11777" max="11784" width="14.7109375" style="262" bestFit="1" customWidth="1"/>
    <col min="11785" max="11785" width="11.140625" style="262" bestFit="1" customWidth="1"/>
    <col min="11786" max="11786" width="18.28515625" style="262" bestFit="1" customWidth="1"/>
    <col min="11787" max="11793" width="14.7109375" style="262" bestFit="1" customWidth="1"/>
    <col min="11794" max="11794" width="4.7109375" style="262" bestFit="1" customWidth="1"/>
    <col min="11795" max="12032" width="9.140625" style="262"/>
    <col min="12033" max="12040" width="14.7109375" style="262" bestFit="1" customWidth="1"/>
    <col min="12041" max="12041" width="11.140625" style="262" bestFit="1" customWidth="1"/>
    <col min="12042" max="12042" width="18.28515625" style="262" bestFit="1" customWidth="1"/>
    <col min="12043" max="12049" width="14.7109375" style="262" bestFit="1" customWidth="1"/>
    <col min="12050" max="12050" width="4.7109375" style="262" bestFit="1" customWidth="1"/>
    <col min="12051" max="12288" width="9.140625" style="262"/>
    <col min="12289" max="12296" width="14.7109375" style="262" bestFit="1" customWidth="1"/>
    <col min="12297" max="12297" width="11.140625" style="262" bestFit="1" customWidth="1"/>
    <col min="12298" max="12298" width="18.28515625" style="262" bestFit="1" customWidth="1"/>
    <col min="12299" max="12305" width="14.7109375" style="262" bestFit="1" customWidth="1"/>
    <col min="12306" max="12306" width="4.7109375" style="262" bestFit="1" customWidth="1"/>
    <col min="12307" max="12544" width="9.140625" style="262"/>
    <col min="12545" max="12552" width="14.7109375" style="262" bestFit="1" customWidth="1"/>
    <col min="12553" max="12553" width="11.140625" style="262" bestFit="1" customWidth="1"/>
    <col min="12554" max="12554" width="18.28515625" style="262" bestFit="1" customWidth="1"/>
    <col min="12555" max="12561" width="14.7109375" style="262" bestFit="1" customWidth="1"/>
    <col min="12562" max="12562" width="4.7109375" style="262" bestFit="1" customWidth="1"/>
    <col min="12563" max="12800" width="9.140625" style="262"/>
    <col min="12801" max="12808" width="14.7109375" style="262" bestFit="1" customWidth="1"/>
    <col min="12809" max="12809" width="11.140625" style="262" bestFit="1" customWidth="1"/>
    <col min="12810" max="12810" width="18.28515625" style="262" bestFit="1" customWidth="1"/>
    <col min="12811" max="12817" width="14.7109375" style="262" bestFit="1" customWidth="1"/>
    <col min="12818" max="12818" width="4.7109375" style="262" bestFit="1" customWidth="1"/>
    <col min="12819" max="13056" width="9.140625" style="262"/>
    <col min="13057" max="13064" width="14.7109375" style="262" bestFit="1" customWidth="1"/>
    <col min="13065" max="13065" width="11.140625" style="262" bestFit="1" customWidth="1"/>
    <col min="13066" max="13066" width="18.28515625" style="262" bestFit="1" customWidth="1"/>
    <col min="13067" max="13073" width="14.7109375" style="262" bestFit="1" customWidth="1"/>
    <col min="13074" max="13074" width="4.7109375" style="262" bestFit="1" customWidth="1"/>
    <col min="13075" max="13312" width="9.140625" style="262"/>
    <col min="13313" max="13320" width="14.7109375" style="262" bestFit="1" customWidth="1"/>
    <col min="13321" max="13321" width="11.140625" style="262" bestFit="1" customWidth="1"/>
    <col min="13322" max="13322" width="18.28515625" style="262" bestFit="1" customWidth="1"/>
    <col min="13323" max="13329" width="14.7109375" style="262" bestFit="1" customWidth="1"/>
    <col min="13330" max="13330" width="4.7109375" style="262" bestFit="1" customWidth="1"/>
    <col min="13331" max="13568" width="9.140625" style="262"/>
    <col min="13569" max="13576" width="14.7109375" style="262" bestFit="1" customWidth="1"/>
    <col min="13577" max="13577" width="11.140625" style="262" bestFit="1" customWidth="1"/>
    <col min="13578" max="13578" width="18.28515625" style="262" bestFit="1" customWidth="1"/>
    <col min="13579" max="13585" width="14.7109375" style="262" bestFit="1" customWidth="1"/>
    <col min="13586" max="13586" width="4.7109375" style="262" bestFit="1" customWidth="1"/>
    <col min="13587" max="13824" width="9.140625" style="262"/>
    <col min="13825" max="13832" width="14.7109375" style="262" bestFit="1" customWidth="1"/>
    <col min="13833" max="13833" width="11.140625" style="262" bestFit="1" customWidth="1"/>
    <col min="13834" max="13834" width="18.28515625" style="262" bestFit="1" customWidth="1"/>
    <col min="13835" max="13841" width="14.7109375" style="262" bestFit="1" customWidth="1"/>
    <col min="13842" max="13842" width="4.7109375" style="262" bestFit="1" customWidth="1"/>
    <col min="13843" max="14080" width="9.140625" style="262"/>
    <col min="14081" max="14088" width="14.7109375" style="262" bestFit="1" customWidth="1"/>
    <col min="14089" max="14089" width="11.140625" style="262" bestFit="1" customWidth="1"/>
    <col min="14090" max="14090" width="18.28515625" style="262" bestFit="1" customWidth="1"/>
    <col min="14091" max="14097" width="14.7109375" style="262" bestFit="1" customWidth="1"/>
    <col min="14098" max="14098" width="4.7109375" style="262" bestFit="1" customWidth="1"/>
    <col min="14099" max="14336" width="9.140625" style="262"/>
    <col min="14337" max="14344" width="14.7109375" style="262" bestFit="1" customWidth="1"/>
    <col min="14345" max="14345" width="11.140625" style="262" bestFit="1" customWidth="1"/>
    <col min="14346" max="14346" width="18.28515625" style="262" bestFit="1" customWidth="1"/>
    <col min="14347" max="14353" width="14.7109375" style="262" bestFit="1" customWidth="1"/>
    <col min="14354" max="14354" width="4.7109375" style="262" bestFit="1" customWidth="1"/>
    <col min="14355" max="14592" width="9.140625" style="262"/>
    <col min="14593" max="14600" width="14.7109375" style="262" bestFit="1" customWidth="1"/>
    <col min="14601" max="14601" width="11.140625" style="262" bestFit="1" customWidth="1"/>
    <col min="14602" max="14602" width="18.28515625" style="262" bestFit="1" customWidth="1"/>
    <col min="14603" max="14609" width="14.7109375" style="262" bestFit="1" customWidth="1"/>
    <col min="14610" max="14610" width="4.7109375" style="262" bestFit="1" customWidth="1"/>
    <col min="14611" max="14848" width="9.140625" style="262"/>
    <col min="14849" max="14856" width="14.7109375" style="262" bestFit="1" customWidth="1"/>
    <col min="14857" max="14857" width="11.140625" style="262" bestFit="1" customWidth="1"/>
    <col min="14858" max="14858" width="18.28515625" style="262" bestFit="1" customWidth="1"/>
    <col min="14859" max="14865" width="14.7109375" style="262" bestFit="1" customWidth="1"/>
    <col min="14866" max="14866" width="4.7109375" style="262" bestFit="1" customWidth="1"/>
    <col min="14867" max="15104" width="9.140625" style="262"/>
    <col min="15105" max="15112" width="14.7109375" style="262" bestFit="1" customWidth="1"/>
    <col min="15113" max="15113" width="11.140625" style="262" bestFit="1" customWidth="1"/>
    <col min="15114" max="15114" width="18.28515625" style="262" bestFit="1" customWidth="1"/>
    <col min="15115" max="15121" width="14.7109375" style="262" bestFit="1" customWidth="1"/>
    <col min="15122" max="15122" width="4.7109375" style="262" bestFit="1" customWidth="1"/>
    <col min="15123" max="15360" width="9.140625" style="262"/>
    <col min="15361" max="15368" width="14.7109375" style="262" bestFit="1" customWidth="1"/>
    <col min="15369" max="15369" width="11.140625" style="262" bestFit="1" customWidth="1"/>
    <col min="15370" max="15370" width="18.28515625" style="262" bestFit="1" customWidth="1"/>
    <col min="15371" max="15377" width="14.7109375" style="262" bestFit="1" customWidth="1"/>
    <col min="15378" max="15378" width="4.7109375" style="262" bestFit="1" customWidth="1"/>
    <col min="15379" max="15616" width="9.140625" style="262"/>
    <col min="15617" max="15624" width="14.7109375" style="262" bestFit="1" customWidth="1"/>
    <col min="15625" max="15625" width="11.140625" style="262" bestFit="1" customWidth="1"/>
    <col min="15626" max="15626" width="18.28515625" style="262" bestFit="1" customWidth="1"/>
    <col min="15627" max="15633" width="14.7109375" style="262" bestFit="1" customWidth="1"/>
    <col min="15634" max="15634" width="4.7109375" style="262" bestFit="1" customWidth="1"/>
    <col min="15635" max="15872" width="9.140625" style="262"/>
    <col min="15873" max="15880" width="14.7109375" style="262" bestFit="1" customWidth="1"/>
    <col min="15881" max="15881" width="11.140625" style="262" bestFit="1" customWidth="1"/>
    <col min="15882" max="15882" width="18.28515625" style="262" bestFit="1" customWidth="1"/>
    <col min="15883" max="15889" width="14.7109375" style="262" bestFit="1" customWidth="1"/>
    <col min="15890" max="15890" width="4.7109375" style="262" bestFit="1" customWidth="1"/>
    <col min="15891" max="16128" width="9.140625" style="262"/>
    <col min="16129" max="16136" width="14.7109375" style="262" bestFit="1" customWidth="1"/>
    <col min="16137" max="16137" width="11.140625" style="262" bestFit="1" customWidth="1"/>
    <col min="16138" max="16138" width="18.28515625" style="262" bestFit="1" customWidth="1"/>
    <col min="16139" max="16145" width="14.7109375" style="262" bestFit="1" customWidth="1"/>
    <col min="16146" max="16146" width="4.7109375" style="262" bestFit="1" customWidth="1"/>
    <col min="16147" max="16384" width="9.140625" style="262"/>
  </cols>
  <sheetData>
    <row r="1" spans="1:17" ht="18" customHeight="1" x14ac:dyDescent="0.2">
      <c r="A1" s="351" t="s">
        <v>508</v>
      </c>
      <c r="B1" s="351"/>
      <c r="C1" s="351"/>
      <c r="D1" s="351"/>
      <c r="E1" s="351"/>
      <c r="F1" s="351"/>
      <c r="G1" s="351"/>
      <c r="H1" s="351"/>
      <c r="I1" s="351"/>
    </row>
    <row r="2" spans="1:17" s="265" customFormat="1" ht="76.5" customHeight="1" x14ac:dyDescent="0.2">
      <c r="A2" s="269" t="s">
        <v>492</v>
      </c>
      <c r="B2" s="269" t="s">
        <v>493</v>
      </c>
      <c r="C2" s="269" t="s">
        <v>494</v>
      </c>
      <c r="D2" s="269" t="s">
        <v>495</v>
      </c>
      <c r="E2" s="269" t="s">
        <v>496</v>
      </c>
      <c r="F2" s="270" t="s">
        <v>288</v>
      </c>
      <c r="G2" s="270" t="s">
        <v>509</v>
      </c>
      <c r="H2" s="269" t="s">
        <v>498</v>
      </c>
      <c r="I2" s="269" t="s">
        <v>499</v>
      </c>
      <c r="J2" s="269" t="s">
        <v>500</v>
      </c>
      <c r="K2" s="270" t="s">
        <v>501</v>
      </c>
      <c r="L2" s="269" t="s">
        <v>502</v>
      </c>
      <c r="M2" s="269" t="s">
        <v>503</v>
      </c>
      <c r="N2" s="269" t="s">
        <v>504</v>
      </c>
      <c r="O2" s="270" t="s">
        <v>505</v>
      </c>
      <c r="P2" s="270" t="s">
        <v>506</v>
      </c>
      <c r="Q2" s="270" t="s">
        <v>507</v>
      </c>
    </row>
    <row r="3" spans="1:17" s="265" customFormat="1" ht="18" customHeight="1" x14ac:dyDescent="0.2">
      <c r="A3" s="266" t="s">
        <v>69</v>
      </c>
      <c r="B3" s="292">
        <v>24800.641230000001</v>
      </c>
      <c r="C3" s="290">
        <v>3710851.7220000001</v>
      </c>
      <c r="D3" s="290">
        <v>952812.1274</v>
      </c>
      <c r="E3" s="306">
        <v>25.67637294</v>
      </c>
      <c r="F3" s="290">
        <v>7198786.977</v>
      </c>
      <c r="G3" s="290">
        <v>2019893.321</v>
      </c>
      <c r="H3" s="306">
        <v>28.058801129999999</v>
      </c>
      <c r="I3" s="290">
        <v>951307.85930000001</v>
      </c>
      <c r="J3" s="275">
        <v>100</v>
      </c>
      <c r="K3" s="290">
        <v>2018374.7879999999</v>
      </c>
      <c r="L3" s="306">
        <v>100</v>
      </c>
      <c r="M3" s="292">
        <v>1504.2680800000001</v>
      </c>
      <c r="N3" s="306">
        <v>0.15812631699999999</v>
      </c>
      <c r="O3" s="290">
        <v>509415.17</v>
      </c>
      <c r="P3" s="290">
        <v>2019893.321</v>
      </c>
      <c r="Q3" s="283">
        <v>224.59</v>
      </c>
    </row>
    <row r="4" spans="1:17" s="265" customFormat="1" ht="18" customHeight="1" x14ac:dyDescent="0.2">
      <c r="A4" s="266" t="s">
        <v>70</v>
      </c>
      <c r="B4" s="292">
        <v>28452.85</v>
      </c>
      <c r="C4" s="290">
        <v>3668649.11</v>
      </c>
      <c r="D4" s="290">
        <v>845400.34</v>
      </c>
      <c r="E4" s="306">
        <v>23.04</v>
      </c>
      <c r="F4" s="290">
        <v>7912284.4900000002</v>
      </c>
      <c r="G4" s="290">
        <v>1950906.33</v>
      </c>
      <c r="H4" s="306">
        <v>24.66</v>
      </c>
      <c r="I4" s="290">
        <v>844261.48</v>
      </c>
      <c r="J4" s="275">
        <v>100</v>
      </c>
      <c r="K4" s="290">
        <v>1949508.07</v>
      </c>
      <c r="L4" s="306">
        <v>100</v>
      </c>
      <c r="M4" s="292">
        <v>1138.8599999999999</v>
      </c>
      <c r="N4" s="306">
        <v>0.13</v>
      </c>
      <c r="O4" s="290">
        <v>533294.54</v>
      </c>
      <c r="P4" s="290">
        <v>1950906.33</v>
      </c>
      <c r="Q4" s="283">
        <v>270.69</v>
      </c>
    </row>
    <row r="5" spans="1:17" s="265" customFormat="1" ht="18" customHeight="1" x14ac:dyDescent="0.2">
      <c r="A5" s="266" t="s">
        <v>156</v>
      </c>
      <c r="B5" s="292">
        <v>2091.9330500000001</v>
      </c>
      <c r="C5" s="290">
        <v>285047.8947</v>
      </c>
      <c r="D5" s="283">
        <v>68755.397330000007</v>
      </c>
      <c r="E5" s="306">
        <v>24.120647304999999</v>
      </c>
      <c r="F5" s="290">
        <v>611743.01260000002</v>
      </c>
      <c r="G5" s="290">
        <v>162383.75839999999</v>
      </c>
      <c r="H5" s="306">
        <v>26.544440245000001</v>
      </c>
      <c r="I5" s="283">
        <v>68661.862710000001</v>
      </c>
      <c r="J5" s="275">
        <v>100</v>
      </c>
      <c r="K5" s="290">
        <v>162274.3309</v>
      </c>
      <c r="L5" s="306">
        <v>100</v>
      </c>
      <c r="M5" s="292">
        <v>93.534620000000004</v>
      </c>
      <c r="N5" s="306">
        <v>0.136039676</v>
      </c>
      <c r="O5" s="283">
        <v>39790.5</v>
      </c>
      <c r="P5" s="290">
        <v>162383.75839999999</v>
      </c>
      <c r="Q5" s="283">
        <v>234.74</v>
      </c>
    </row>
    <row r="6" spans="1:17" s="265" customFormat="1" ht="18" customHeight="1" x14ac:dyDescent="0.2">
      <c r="A6" s="266" t="s">
        <v>157</v>
      </c>
      <c r="B6" s="292">
        <v>2516.6104500000001</v>
      </c>
      <c r="C6" s="290">
        <v>337019.64679999999</v>
      </c>
      <c r="D6" s="283">
        <v>74791.656520000004</v>
      </c>
      <c r="E6" s="306">
        <v>22.192076109999999</v>
      </c>
      <c r="F6" s="290">
        <v>713497.522</v>
      </c>
      <c r="G6" s="290">
        <v>181517.31140000001</v>
      </c>
      <c r="H6" s="306">
        <v>25.440496400000001</v>
      </c>
      <c r="I6" s="283">
        <v>74680.475860000006</v>
      </c>
      <c r="J6" s="275">
        <v>100</v>
      </c>
      <c r="K6" s="290">
        <v>181406.20019999999</v>
      </c>
      <c r="L6" s="306">
        <v>100</v>
      </c>
      <c r="M6" s="292">
        <v>111.18066</v>
      </c>
      <c r="N6" s="306">
        <v>0.14887513599999999</v>
      </c>
      <c r="O6" s="283">
        <v>46574.98</v>
      </c>
      <c r="P6" s="290">
        <v>181517.31140000001</v>
      </c>
      <c r="Q6" s="283">
        <v>244.12</v>
      </c>
    </row>
    <row r="7" spans="1:17" s="265" customFormat="1" ht="18" customHeight="1" x14ac:dyDescent="0.2">
      <c r="A7" s="266" t="s">
        <v>158</v>
      </c>
      <c r="B7" s="292">
        <v>2264.94</v>
      </c>
      <c r="C7" s="290">
        <v>284355.01</v>
      </c>
      <c r="D7" s="283">
        <v>67803.93475</v>
      </c>
      <c r="E7" s="306">
        <v>23.84</v>
      </c>
      <c r="F7" s="290">
        <v>612853.34</v>
      </c>
      <c r="G7" s="290">
        <v>167170.23000000001</v>
      </c>
      <c r="H7" s="306">
        <v>27.28</v>
      </c>
      <c r="I7" s="283">
        <v>67690.399999999994</v>
      </c>
      <c r="J7" s="275">
        <v>100</v>
      </c>
      <c r="K7" s="290">
        <v>167072.69039999999</v>
      </c>
      <c r="L7" s="306">
        <v>100</v>
      </c>
      <c r="M7" s="292">
        <v>113.53</v>
      </c>
      <c r="N7" s="306">
        <v>0.17</v>
      </c>
      <c r="O7" s="283">
        <v>46530.21</v>
      </c>
      <c r="P7" s="290">
        <v>167170.22779999999</v>
      </c>
      <c r="Q7" s="283">
        <v>247.37</v>
      </c>
    </row>
    <row r="8" spans="1:17" s="265" customFormat="1" ht="18" customHeight="1" x14ac:dyDescent="0.2">
      <c r="A8" s="266" t="s">
        <v>159</v>
      </c>
      <c r="B8" s="292">
        <v>2335.9820500000001</v>
      </c>
      <c r="C8" s="290">
        <v>301754.08600000001</v>
      </c>
      <c r="D8" s="283">
        <v>72846.147580000004</v>
      </c>
      <c r="E8" s="306">
        <v>24.140898490000001</v>
      </c>
      <c r="F8" s="290">
        <v>660330.6496</v>
      </c>
      <c r="G8" s="290">
        <v>168312.96460000001</v>
      </c>
      <c r="H8" s="306">
        <v>25.489194640000001</v>
      </c>
      <c r="I8" s="283">
        <v>72755.537179999999</v>
      </c>
      <c r="J8" s="275">
        <v>100</v>
      </c>
      <c r="K8" s="290">
        <v>168201.77739999999</v>
      </c>
      <c r="L8" s="306">
        <v>100</v>
      </c>
      <c r="M8" s="292">
        <v>90.610399999999998</v>
      </c>
      <c r="N8" s="306">
        <v>0.124540899</v>
      </c>
      <c r="O8" s="283">
        <v>41899.58</v>
      </c>
      <c r="P8" s="290">
        <v>168312.96460000001</v>
      </c>
      <c r="Q8" s="283">
        <v>250.14</v>
      </c>
    </row>
    <row r="9" spans="1:17" s="265" customFormat="1" ht="18" customHeight="1" x14ac:dyDescent="0.2">
      <c r="A9" s="266" t="s">
        <v>160</v>
      </c>
      <c r="B9" s="292">
        <v>2385.8870999999999</v>
      </c>
      <c r="C9" s="290">
        <v>318996.96039999998</v>
      </c>
      <c r="D9" s="283">
        <v>67313.940340000001</v>
      </c>
      <c r="E9" s="306">
        <v>21.101749770000001</v>
      </c>
      <c r="F9" s="290">
        <v>687997.78729999997</v>
      </c>
      <c r="G9" s="290">
        <v>164691.1887</v>
      </c>
      <c r="H9" s="306">
        <v>23.93774977</v>
      </c>
      <c r="I9" s="283">
        <v>67212.050369999997</v>
      </c>
      <c r="J9" s="275">
        <v>100</v>
      </c>
      <c r="K9" s="290">
        <v>164590.08369999999</v>
      </c>
      <c r="L9" s="306">
        <v>100</v>
      </c>
      <c r="M9" s="292">
        <v>101.88997000000001</v>
      </c>
      <c r="N9" s="306">
        <v>0.151594795</v>
      </c>
      <c r="O9" s="283">
        <v>38165.31</v>
      </c>
      <c r="P9" s="290">
        <v>164691.1887</v>
      </c>
      <c r="Q9" s="283">
        <v>252.23</v>
      </c>
    </row>
    <row r="10" spans="1:17" s="265" customFormat="1" ht="18" customHeight="1" x14ac:dyDescent="0.2">
      <c r="A10" s="266" t="s">
        <v>161</v>
      </c>
      <c r="B10" s="292">
        <v>2337.34</v>
      </c>
      <c r="C10" s="290">
        <v>294001.06</v>
      </c>
      <c r="D10" s="283">
        <v>63774.87</v>
      </c>
      <c r="E10" s="306">
        <v>21.692055828000001</v>
      </c>
      <c r="F10" s="290">
        <v>683237.09</v>
      </c>
      <c r="G10" s="290">
        <v>164549.18</v>
      </c>
      <c r="H10" s="306">
        <v>24.083760545000001</v>
      </c>
      <c r="I10" s="283">
        <v>63686.22</v>
      </c>
      <c r="J10" s="275">
        <v>100</v>
      </c>
      <c r="K10" s="290">
        <v>164450.74509167401</v>
      </c>
      <c r="L10" s="306">
        <v>100</v>
      </c>
      <c r="M10" s="292">
        <v>88.656890000000004</v>
      </c>
      <c r="N10" s="306">
        <v>0.13901538899999999</v>
      </c>
      <c r="O10" s="283">
        <v>44990.416980315997</v>
      </c>
      <c r="P10" s="290">
        <v>164549.18489969501</v>
      </c>
      <c r="Q10" s="283">
        <v>253.23</v>
      </c>
    </row>
    <row r="11" spans="1:17" s="265" customFormat="1" ht="18" customHeight="1" x14ac:dyDescent="0.2">
      <c r="A11" s="266" t="s">
        <v>162</v>
      </c>
      <c r="B11" s="292">
        <v>2915.9512199999999</v>
      </c>
      <c r="C11" s="290">
        <v>331328.21149999998</v>
      </c>
      <c r="D11" s="283">
        <v>73057.433980000002</v>
      </c>
      <c r="E11" s="306">
        <v>22.04986821</v>
      </c>
      <c r="F11" s="290">
        <v>757984.96140000003</v>
      </c>
      <c r="G11" s="290">
        <v>180012.3939</v>
      </c>
      <c r="H11" s="306">
        <v>23.748808090000001</v>
      </c>
      <c r="I11" s="283">
        <v>72976.559439999997</v>
      </c>
      <c r="J11" s="275">
        <v>100</v>
      </c>
      <c r="K11" s="290">
        <v>179895.61489999999</v>
      </c>
      <c r="L11" s="306">
        <v>100</v>
      </c>
      <c r="M11" s="292">
        <v>80.874539999999996</v>
      </c>
      <c r="N11" s="306">
        <v>0.11082262599999999</v>
      </c>
      <c r="O11" s="283">
        <v>53537.09</v>
      </c>
      <c r="P11" s="290">
        <v>180012.3939</v>
      </c>
      <c r="Q11" s="283">
        <v>256.22000000000003</v>
      </c>
    </row>
    <row r="12" spans="1:17" s="265" customFormat="1" ht="18" customHeight="1" x14ac:dyDescent="0.2">
      <c r="A12" s="266" t="s">
        <v>163</v>
      </c>
      <c r="B12" s="292">
        <v>2305.6019700000002</v>
      </c>
      <c r="C12" s="290">
        <v>274964.75270000001</v>
      </c>
      <c r="D12" s="283">
        <v>61598.032480000002</v>
      </c>
      <c r="E12" s="306">
        <v>22.402155860000001</v>
      </c>
      <c r="F12" s="290">
        <v>598236.36930000002</v>
      </c>
      <c r="G12" s="290">
        <v>140142.73360000001</v>
      </c>
      <c r="H12" s="306">
        <v>23.42598023</v>
      </c>
      <c r="I12" s="283">
        <v>61533.701789999999</v>
      </c>
      <c r="J12" s="275">
        <v>100</v>
      </c>
      <c r="K12" s="290">
        <v>140081.0079</v>
      </c>
      <c r="L12" s="306">
        <v>100</v>
      </c>
      <c r="M12" s="292">
        <v>64.330690000000004</v>
      </c>
      <c r="N12" s="306">
        <v>0.10454545699999999</v>
      </c>
      <c r="O12" s="283">
        <v>39138.839999999997</v>
      </c>
      <c r="P12" s="290">
        <v>140142.73360000001</v>
      </c>
      <c r="Q12" s="283">
        <v>258.73</v>
      </c>
    </row>
    <row r="13" spans="1:17" s="265" customFormat="1" ht="18" customHeight="1" x14ac:dyDescent="0.2">
      <c r="A13" s="266" t="s">
        <v>164</v>
      </c>
      <c r="B13" s="292">
        <v>2301.8102699999999</v>
      </c>
      <c r="C13" s="290">
        <v>299885.03330000001</v>
      </c>
      <c r="D13" s="283">
        <v>73133.802609999999</v>
      </c>
      <c r="E13" s="306">
        <v>24.38727995</v>
      </c>
      <c r="F13" s="290">
        <v>635303.82720000006</v>
      </c>
      <c r="G13" s="290">
        <v>147710.95379999999</v>
      </c>
      <c r="H13" s="306">
        <v>23.250442939999999</v>
      </c>
      <c r="I13" s="283">
        <v>73048.470060000007</v>
      </c>
      <c r="J13" s="275">
        <v>100</v>
      </c>
      <c r="K13" s="290">
        <v>147513.70860000001</v>
      </c>
      <c r="L13" s="306">
        <v>100</v>
      </c>
      <c r="M13" s="292">
        <v>85.332549999999998</v>
      </c>
      <c r="N13" s="306">
        <v>0.11681634</v>
      </c>
      <c r="O13" s="283">
        <v>39421.4</v>
      </c>
      <c r="P13" s="290">
        <v>147710.95379999999</v>
      </c>
      <c r="Q13" s="283">
        <v>261.36</v>
      </c>
    </row>
    <row r="14" spans="1:17" s="265" customFormat="1" ht="18" customHeight="1" x14ac:dyDescent="0.2">
      <c r="A14" s="266" t="s">
        <v>165</v>
      </c>
      <c r="B14" s="292">
        <v>2287.8983899999998</v>
      </c>
      <c r="C14" s="290">
        <v>267820.94620000001</v>
      </c>
      <c r="D14" s="283">
        <v>59430.083050000001</v>
      </c>
      <c r="E14" s="306">
        <v>22.1902297</v>
      </c>
      <c r="F14" s="290">
        <v>634124.52949999995</v>
      </c>
      <c r="G14" s="290">
        <v>140250.57810000001</v>
      </c>
      <c r="H14" s="306">
        <v>22.117197999999998</v>
      </c>
      <c r="I14" s="283">
        <v>59341.484920000003</v>
      </c>
      <c r="J14" s="275">
        <v>100</v>
      </c>
      <c r="K14" s="290">
        <v>140158.959</v>
      </c>
      <c r="L14" s="306">
        <v>100</v>
      </c>
      <c r="M14" s="292">
        <v>88.598129999999998</v>
      </c>
      <c r="N14" s="306">
        <v>0.1493022</v>
      </c>
      <c r="O14" s="283">
        <v>38529.99</v>
      </c>
      <c r="P14" s="290">
        <v>140250.57810000001</v>
      </c>
      <c r="Q14" s="283">
        <v>263.83999999999997</v>
      </c>
    </row>
    <row r="15" spans="1:17" s="265" customFormat="1" ht="18" customHeight="1" x14ac:dyDescent="0.2">
      <c r="A15" s="266" t="s">
        <v>166</v>
      </c>
      <c r="B15" s="292">
        <v>2395.8344299999999</v>
      </c>
      <c r="C15" s="290">
        <v>336439.21220000001</v>
      </c>
      <c r="D15" s="283">
        <v>78872.332469999994</v>
      </c>
      <c r="E15" s="306">
        <v>23.443263930000001</v>
      </c>
      <c r="F15" s="290">
        <v>636805.82979999995</v>
      </c>
      <c r="G15" s="290">
        <v>155211.1654</v>
      </c>
      <c r="H15" s="306">
        <v>24.373389509999999</v>
      </c>
      <c r="I15" s="283">
        <v>78772.468819999995</v>
      </c>
      <c r="J15" s="275">
        <v>100</v>
      </c>
      <c r="K15" s="290">
        <v>155094.82870000001</v>
      </c>
      <c r="L15" s="306">
        <v>100</v>
      </c>
      <c r="M15" s="292">
        <v>99.863650000000007</v>
      </c>
      <c r="N15" s="306">
        <v>0.12677481299999999</v>
      </c>
      <c r="O15" s="283">
        <v>49403.31</v>
      </c>
      <c r="P15" s="290">
        <v>155211.1654</v>
      </c>
      <c r="Q15" s="283">
        <v>268.67</v>
      </c>
    </row>
    <row r="16" spans="1:17" s="265" customFormat="1" ht="18" customHeight="1" x14ac:dyDescent="0.2">
      <c r="A16" s="266" t="s">
        <v>167</v>
      </c>
      <c r="B16" s="292">
        <v>2313.0523400000002</v>
      </c>
      <c r="C16" s="290">
        <v>337036.29100000003</v>
      </c>
      <c r="D16" s="283">
        <v>84022.707169999994</v>
      </c>
      <c r="E16" s="306">
        <v>24.929869400000001</v>
      </c>
      <c r="F16" s="290">
        <v>680169.56830000004</v>
      </c>
      <c r="G16" s="290">
        <v>178953.86730000001</v>
      </c>
      <c r="H16" s="306">
        <v>26.31018435</v>
      </c>
      <c r="I16" s="283">
        <v>83902.247629999998</v>
      </c>
      <c r="J16" s="275">
        <v>100</v>
      </c>
      <c r="K16" s="290">
        <v>178768.12520000001</v>
      </c>
      <c r="L16" s="306">
        <v>100</v>
      </c>
      <c r="M16" s="292">
        <v>120.45954</v>
      </c>
      <c r="N16" s="306">
        <v>0.14357130000000001</v>
      </c>
      <c r="O16" s="283">
        <v>55312.91</v>
      </c>
      <c r="P16" s="290">
        <v>178953.86730000001</v>
      </c>
      <c r="Q16" s="283">
        <v>270.69</v>
      </c>
    </row>
    <row r="17" spans="1:4" s="265" customFormat="1" ht="15" customHeight="1" x14ac:dyDescent="0.2">
      <c r="A17" s="353" t="s">
        <v>510</v>
      </c>
      <c r="B17" s="353"/>
      <c r="C17" s="353"/>
      <c r="D17" s="353"/>
    </row>
    <row r="18" spans="1:4" s="265" customFormat="1" ht="13.5" customHeight="1" x14ac:dyDescent="0.2">
      <c r="A18" s="353" t="s">
        <v>106</v>
      </c>
      <c r="B18" s="353"/>
      <c r="C18" s="353"/>
      <c r="D18" s="353"/>
    </row>
    <row r="19" spans="1:4" s="265" customFormat="1" ht="13.5" customHeight="1" x14ac:dyDescent="0.2">
      <c r="A19" s="353" t="s">
        <v>450</v>
      </c>
      <c r="B19" s="353"/>
      <c r="C19" s="353"/>
      <c r="D19" s="353"/>
    </row>
    <row r="20" spans="1:4" s="265" customFormat="1" ht="26.85" customHeight="1" x14ac:dyDescent="0.2"/>
  </sheetData>
  <mergeCells count="4">
    <mergeCell ref="A1:I1"/>
    <mergeCell ref="A17:D17"/>
    <mergeCell ref="A18:D18"/>
    <mergeCell ref="A19:D19"/>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O19"/>
  <sheetViews>
    <sheetView workbookViewId="0">
      <selection sqref="A1:C1"/>
    </sheetView>
  </sheetViews>
  <sheetFormatPr defaultRowHeight="12.75" x14ac:dyDescent="0.2"/>
  <cols>
    <col min="1" max="15" width="14.7109375" style="262" bestFit="1" customWidth="1"/>
    <col min="16" max="16" width="4.7109375" style="262" bestFit="1" customWidth="1"/>
    <col min="17" max="256" width="9.140625" style="262"/>
    <col min="257" max="271" width="14.7109375" style="262" bestFit="1" customWidth="1"/>
    <col min="272" max="272" width="4.7109375" style="262" bestFit="1" customWidth="1"/>
    <col min="273" max="512" width="9.140625" style="262"/>
    <col min="513" max="527" width="14.7109375" style="262" bestFit="1" customWidth="1"/>
    <col min="528" max="528" width="4.7109375" style="262" bestFit="1" customWidth="1"/>
    <col min="529" max="768" width="9.140625" style="262"/>
    <col min="769" max="783" width="14.7109375" style="262" bestFit="1" customWidth="1"/>
    <col min="784" max="784" width="4.7109375" style="262" bestFit="1" customWidth="1"/>
    <col min="785" max="1024" width="9.140625" style="262"/>
    <col min="1025" max="1039" width="14.7109375" style="262" bestFit="1" customWidth="1"/>
    <col min="1040" max="1040" width="4.7109375" style="262" bestFit="1" customWidth="1"/>
    <col min="1041" max="1280" width="9.140625" style="262"/>
    <col min="1281" max="1295" width="14.7109375" style="262" bestFit="1" customWidth="1"/>
    <col min="1296" max="1296" width="4.7109375" style="262" bestFit="1" customWidth="1"/>
    <col min="1297" max="1536" width="9.140625" style="262"/>
    <col min="1537" max="1551" width="14.7109375" style="262" bestFit="1" customWidth="1"/>
    <col min="1552" max="1552" width="4.7109375" style="262" bestFit="1" customWidth="1"/>
    <col min="1553" max="1792" width="9.140625" style="262"/>
    <col min="1793" max="1807" width="14.7109375" style="262" bestFit="1" customWidth="1"/>
    <col min="1808" max="1808" width="4.7109375" style="262" bestFit="1" customWidth="1"/>
    <col min="1809" max="2048" width="9.140625" style="262"/>
    <col min="2049" max="2063" width="14.7109375" style="262" bestFit="1" customWidth="1"/>
    <col min="2064" max="2064" width="4.7109375" style="262" bestFit="1" customWidth="1"/>
    <col min="2065" max="2304" width="9.140625" style="262"/>
    <col min="2305" max="2319" width="14.7109375" style="262" bestFit="1" customWidth="1"/>
    <col min="2320" max="2320" width="4.7109375" style="262" bestFit="1" customWidth="1"/>
    <col min="2321" max="2560" width="9.140625" style="262"/>
    <col min="2561" max="2575" width="14.7109375" style="262" bestFit="1" customWidth="1"/>
    <col min="2576" max="2576" width="4.7109375" style="262" bestFit="1" customWidth="1"/>
    <col min="2577" max="2816" width="9.140625" style="262"/>
    <col min="2817" max="2831" width="14.7109375" style="262" bestFit="1" customWidth="1"/>
    <col min="2832" max="2832" width="4.7109375" style="262" bestFit="1" customWidth="1"/>
    <col min="2833" max="3072" width="9.140625" style="262"/>
    <col min="3073" max="3087" width="14.7109375" style="262" bestFit="1" customWidth="1"/>
    <col min="3088" max="3088" width="4.7109375" style="262" bestFit="1" customWidth="1"/>
    <col min="3089" max="3328" width="9.140625" style="262"/>
    <col min="3329" max="3343" width="14.7109375" style="262" bestFit="1" customWidth="1"/>
    <col min="3344" max="3344" width="4.7109375" style="262" bestFit="1" customWidth="1"/>
    <col min="3345" max="3584" width="9.140625" style="262"/>
    <col min="3585" max="3599" width="14.7109375" style="262" bestFit="1" customWidth="1"/>
    <col min="3600" max="3600" width="4.7109375" style="262" bestFit="1" customWidth="1"/>
    <col min="3601" max="3840" width="9.140625" style="262"/>
    <col min="3841" max="3855" width="14.7109375" style="262" bestFit="1" customWidth="1"/>
    <col min="3856" max="3856" width="4.7109375" style="262" bestFit="1" customWidth="1"/>
    <col min="3857" max="4096" width="9.140625" style="262"/>
    <col min="4097" max="4111" width="14.7109375" style="262" bestFit="1" customWidth="1"/>
    <col min="4112" max="4112" width="4.7109375" style="262" bestFit="1" customWidth="1"/>
    <col min="4113" max="4352" width="9.140625" style="262"/>
    <col min="4353" max="4367" width="14.7109375" style="262" bestFit="1" customWidth="1"/>
    <col min="4368" max="4368" width="4.7109375" style="262" bestFit="1" customWidth="1"/>
    <col min="4369" max="4608" width="9.140625" style="262"/>
    <col min="4609" max="4623" width="14.7109375" style="262" bestFit="1" customWidth="1"/>
    <col min="4624" max="4624" width="4.7109375" style="262" bestFit="1" customWidth="1"/>
    <col min="4625" max="4864" width="9.140625" style="262"/>
    <col min="4865" max="4879" width="14.7109375" style="262" bestFit="1" customWidth="1"/>
    <col min="4880" max="4880" width="4.7109375" style="262" bestFit="1" customWidth="1"/>
    <col min="4881" max="5120" width="9.140625" style="262"/>
    <col min="5121" max="5135" width="14.7109375" style="262" bestFit="1" customWidth="1"/>
    <col min="5136" max="5136" width="4.7109375" style="262" bestFit="1" customWidth="1"/>
    <col min="5137" max="5376" width="9.140625" style="262"/>
    <col min="5377" max="5391" width="14.7109375" style="262" bestFit="1" customWidth="1"/>
    <col min="5392" max="5392" width="4.7109375" style="262" bestFit="1" customWidth="1"/>
    <col min="5393" max="5632" width="9.140625" style="262"/>
    <col min="5633" max="5647" width="14.7109375" style="262" bestFit="1" customWidth="1"/>
    <col min="5648" max="5648" width="4.7109375" style="262" bestFit="1" customWidth="1"/>
    <col min="5649" max="5888" width="9.140625" style="262"/>
    <col min="5889" max="5903" width="14.7109375" style="262" bestFit="1" customWidth="1"/>
    <col min="5904" max="5904" width="4.7109375" style="262" bestFit="1" customWidth="1"/>
    <col min="5905" max="6144" width="9.140625" style="262"/>
    <col min="6145" max="6159" width="14.7109375" style="262" bestFit="1" customWidth="1"/>
    <col min="6160" max="6160" width="4.7109375" style="262" bestFit="1" customWidth="1"/>
    <col min="6161" max="6400" width="9.140625" style="262"/>
    <col min="6401" max="6415" width="14.7109375" style="262" bestFit="1" customWidth="1"/>
    <col min="6416" max="6416" width="4.7109375" style="262" bestFit="1" customWidth="1"/>
    <col min="6417" max="6656" width="9.140625" style="262"/>
    <col min="6657" max="6671" width="14.7109375" style="262" bestFit="1" customWidth="1"/>
    <col min="6672" max="6672" width="4.7109375" style="262" bestFit="1" customWidth="1"/>
    <col min="6673" max="6912" width="9.140625" style="262"/>
    <col min="6913" max="6927" width="14.7109375" style="262" bestFit="1" customWidth="1"/>
    <col min="6928" max="6928" width="4.7109375" style="262" bestFit="1" customWidth="1"/>
    <col min="6929" max="7168" width="9.140625" style="262"/>
    <col min="7169" max="7183" width="14.7109375" style="262" bestFit="1" customWidth="1"/>
    <col min="7184" max="7184" width="4.7109375" style="262" bestFit="1" customWidth="1"/>
    <col min="7185" max="7424" width="9.140625" style="262"/>
    <col min="7425" max="7439" width="14.7109375" style="262" bestFit="1" customWidth="1"/>
    <col min="7440" max="7440" width="4.7109375" style="262" bestFit="1" customWidth="1"/>
    <col min="7441" max="7680" width="9.140625" style="262"/>
    <col min="7681" max="7695" width="14.7109375" style="262" bestFit="1" customWidth="1"/>
    <col min="7696" max="7696" width="4.7109375" style="262" bestFit="1" customWidth="1"/>
    <col min="7697" max="7936" width="9.140625" style="262"/>
    <col min="7937" max="7951" width="14.7109375" style="262" bestFit="1" customWidth="1"/>
    <col min="7952" max="7952" width="4.7109375" style="262" bestFit="1" customWidth="1"/>
    <col min="7953" max="8192" width="9.140625" style="262"/>
    <col min="8193" max="8207" width="14.7109375" style="262" bestFit="1" customWidth="1"/>
    <col min="8208" max="8208" width="4.7109375" style="262" bestFit="1" customWidth="1"/>
    <col min="8209" max="8448" width="9.140625" style="262"/>
    <col min="8449" max="8463" width="14.7109375" style="262" bestFit="1" customWidth="1"/>
    <col min="8464" max="8464" width="4.7109375" style="262" bestFit="1" customWidth="1"/>
    <col min="8465" max="8704" width="9.140625" style="262"/>
    <col min="8705" max="8719" width="14.7109375" style="262" bestFit="1" customWidth="1"/>
    <col min="8720" max="8720" width="4.7109375" style="262" bestFit="1" customWidth="1"/>
    <col min="8721" max="8960" width="9.140625" style="262"/>
    <col min="8961" max="8975" width="14.7109375" style="262" bestFit="1" customWidth="1"/>
    <col min="8976" max="8976" width="4.7109375" style="262" bestFit="1" customWidth="1"/>
    <col min="8977" max="9216" width="9.140625" style="262"/>
    <col min="9217" max="9231" width="14.7109375" style="262" bestFit="1" customWidth="1"/>
    <col min="9232" max="9232" width="4.7109375" style="262" bestFit="1" customWidth="1"/>
    <col min="9233" max="9472" width="9.140625" style="262"/>
    <col min="9473" max="9487" width="14.7109375" style="262" bestFit="1" customWidth="1"/>
    <col min="9488" max="9488" width="4.7109375" style="262" bestFit="1" customWidth="1"/>
    <col min="9489" max="9728" width="9.140625" style="262"/>
    <col min="9729" max="9743" width="14.7109375" style="262" bestFit="1" customWidth="1"/>
    <col min="9744" max="9744" width="4.7109375" style="262" bestFit="1" customWidth="1"/>
    <col min="9745" max="9984" width="9.140625" style="262"/>
    <col min="9985" max="9999" width="14.7109375" style="262" bestFit="1" customWidth="1"/>
    <col min="10000" max="10000" width="4.7109375" style="262" bestFit="1" customWidth="1"/>
    <col min="10001" max="10240" width="9.140625" style="262"/>
    <col min="10241" max="10255" width="14.7109375" style="262" bestFit="1" customWidth="1"/>
    <col min="10256" max="10256" width="4.7109375" style="262" bestFit="1" customWidth="1"/>
    <col min="10257" max="10496" width="9.140625" style="262"/>
    <col min="10497" max="10511" width="14.7109375" style="262" bestFit="1" customWidth="1"/>
    <col min="10512" max="10512" width="4.7109375" style="262" bestFit="1" customWidth="1"/>
    <col min="10513" max="10752" width="9.140625" style="262"/>
    <col min="10753" max="10767" width="14.7109375" style="262" bestFit="1" customWidth="1"/>
    <col min="10768" max="10768" width="4.7109375" style="262" bestFit="1" customWidth="1"/>
    <col min="10769" max="11008" width="9.140625" style="262"/>
    <col min="11009" max="11023" width="14.7109375" style="262" bestFit="1" customWidth="1"/>
    <col min="11024" max="11024" width="4.7109375" style="262" bestFit="1" customWidth="1"/>
    <col min="11025" max="11264" width="9.140625" style="262"/>
    <col min="11265" max="11279" width="14.7109375" style="262" bestFit="1" customWidth="1"/>
    <col min="11280" max="11280" width="4.7109375" style="262" bestFit="1" customWidth="1"/>
    <col min="11281" max="11520" width="9.140625" style="262"/>
    <col min="11521" max="11535" width="14.7109375" style="262" bestFit="1" customWidth="1"/>
    <col min="11536" max="11536" width="4.7109375" style="262" bestFit="1" customWidth="1"/>
    <col min="11537" max="11776" width="9.140625" style="262"/>
    <col min="11777" max="11791" width="14.7109375" style="262" bestFit="1" customWidth="1"/>
    <col min="11792" max="11792" width="4.7109375" style="262" bestFit="1" customWidth="1"/>
    <col min="11793" max="12032" width="9.140625" style="262"/>
    <col min="12033" max="12047" width="14.7109375" style="262" bestFit="1" customWidth="1"/>
    <col min="12048" max="12048" width="4.7109375" style="262" bestFit="1" customWidth="1"/>
    <col min="12049" max="12288" width="9.140625" style="262"/>
    <col min="12289" max="12303" width="14.7109375" style="262" bestFit="1" customWidth="1"/>
    <col min="12304" max="12304" width="4.7109375" style="262" bestFit="1" customWidth="1"/>
    <col min="12305" max="12544" width="9.140625" style="262"/>
    <col min="12545" max="12559" width="14.7109375" style="262" bestFit="1" customWidth="1"/>
    <col min="12560" max="12560" width="4.7109375" style="262" bestFit="1" customWidth="1"/>
    <col min="12561" max="12800" width="9.140625" style="262"/>
    <col min="12801" max="12815" width="14.7109375" style="262" bestFit="1" customWidth="1"/>
    <col min="12816" max="12816" width="4.7109375" style="262" bestFit="1" customWidth="1"/>
    <col min="12817" max="13056" width="9.140625" style="262"/>
    <col min="13057" max="13071" width="14.7109375" style="262" bestFit="1" customWidth="1"/>
    <col min="13072" max="13072" width="4.7109375" style="262" bestFit="1" customWidth="1"/>
    <col min="13073" max="13312" width="9.140625" style="262"/>
    <col min="13313" max="13327" width="14.7109375" style="262" bestFit="1" customWidth="1"/>
    <col min="13328" max="13328" width="4.7109375" style="262" bestFit="1" customWidth="1"/>
    <col min="13329" max="13568" width="9.140625" style="262"/>
    <col min="13569" max="13583" width="14.7109375" style="262" bestFit="1" customWidth="1"/>
    <col min="13584" max="13584" width="4.7109375" style="262" bestFit="1" customWidth="1"/>
    <col min="13585" max="13824" width="9.140625" style="262"/>
    <col min="13825" max="13839" width="14.7109375" style="262" bestFit="1" customWidth="1"/>
    <col min="13840" max="13840" width="4.7109375" style="262" bestFit="1" customWidth="1"/>
    <col min="13841" max="14080" width="9.140625" style="262"/>
    <col min="14081" max="14095" width="14.7109375" style="262" bestFit="1" customWidth="1"/>
    <col min="14096" max="14096" width="4.7109375" style="262" bestFit="1" customWidth="1"/>
    <col min="14097" max="14336" width="9.140625" style="262"/>
    <col min="14337" max="14351" width="14.7109375" style="262" bestFit="1" customWidth="1"/>
    <col min="14352" max="14352" width="4.7109375" style="262" bestFit="1" customWidth="1"/>
    <col min="14353" max="14592" width="9.140625" style="262"/>
    <col min="14593" max="14607" width="14.7109375" style="262" bestFit="1" customWidth="1"/>
    <col min="14608" max="14608" width="4.7109375" style="262" bestFit="1" customWidth="1"/>
    <col min="14609" max="14848" width="9.140625" style="262"/>
    <col min="14849" max="14863" width="14.7109375" style="262" bestFit="1" customWidth="1"/>
    <col min="14864" max="14864" width="4.7109375" style="262" bestFit="1" customWidth="1"/>
    <col min="14865" max="15104" width="9.140625" style="262"/>
    <col min="15105" max="15119" width="14.7109375" style="262" bestFit="1" customWidth="1"/>
    <col min="15120" max="15120" width="4.7109375" style="262" bestFit="1" customWidth="1"/>
    <col min="15121" max="15360" width="9.140625" style="262"/>
    <col min="15361" max="15375" width="14.7109375" style="262" bestFit="1" customWidth="1"/>
    <col min="15376" max="15376" width="4.7109375" style="262" bestFit="1" customWidth="1"/>
    <col min="15377" max="15616" width="9.140625" style="262"/>
    <col min="15617" max="15631" width="14.7109375" style="262" bestFit="1" customWidth="1"/>
    <col min="15632" max="15632" width="4.7109375" style="262" bestFit="1" customWidth="1"/>
    <col min="15633" max="15872" width="9.140625" style="262"/>
    <col min="15873" max="15887" width="14.7109375" style="262" bestFit="1" customWidth="1"/>
    <col min="15888" max="15888" width="4.7109375" style="262" bestFit="1" customWidth="1"/>
    <col min="15889" max="16128" width="9.140625" style="262"/>
    <col min="16129" max="16143" width="14.7109375" style="262" bestFit="1" customWidth="1"/>
    <col min="16144" max="16144" width="4.7109375" style="262" bestFit="1" customWidth="1"/>
    <col min="16145" max="16384" width="9.140625" style="262"/>
  </cols>
  <sheetData>
    <row r="1" spans="1:15" ht="14.25" customHeight="1" x14ac:dyDescent="0.2">
      <c r="A1" s="351" t="s">
        <v>511</v>
      </c>
      <c r="B1" s="351"/>
      <c r="C1" s="351"/>
    </row>
    <row r="2" spans="1:15" s="265" customFormat="1" ht="71.25" customHeight="1" x14ac:dyDescent="0.2">
      <c r="A2" s="304" t="s">
        <v>512</v>
      </c>
      <c r="B2" s="304" t="s">
        <v>493</v>
      </c>
      <c r="C2" s="304" t="s">
        <v>287</v>
      </c>
      <c r="D2" s="304" t="s">
        <v>495</v>
      </c>
      <c r="E2" s="304" t="s">
        <v>496</v>
      </c>
      <c r="F2" s="304" t="s">
        <v>306</v>
      </c>
      <c r="G2" s="304" t="s">
        <v>513</v>
      </c>
      <c r="H2" s="304" t="s">
        <v>498</v>
      </c>
      <c r="I2" s="304" t="s">
        <v>499</v>
      </c>
      <c r="J2" s="304" t="s">
        <v>500</v>
      </c>
      <c r="K2" s="304" t="s">
        <v>514</v>
      </c>
      <c r="L2" s="304" t="s">
        <v>502</v>
      </c>
      <c r="M2" s="304" t="s">
        <v>515</v>
      </c>
      <c r="N2" s="304" t="s">
        <v>516</v>
      </c>
      <c r="O2" s="304" t="s">
        <v>517</v>
      </c>
    </row>
    <row r="3" spans="1:15" s="265" customFormat="1" ht="18" customHeight="1" x14ac:dyDescent="0.2">
      <c r="A3" s="325" t="s">
        <v>69</v>
      </c>
      <c r="B3" s="326">
        <v>2.8230000000000002E-2</v>
      </c>
      <c r="C3" s="327">
        <v>151.78948</v>
      </c>
      <c r="D3" s="327">
        <v>28.12238</v>
      </c>
      <c r="E3" s="328">
        <v>18.527225990000002</v>
      </c>
      <c r="F3" s="327">
        <v>192.76668190000001</v>
      </c>
      <c r="G3" s="327">
        <v>43.622502480000001</v>
      </c>
      <c r="H3" s="328">
        <v>22.62968996</v>
      </c>
      <c r="I3" s="327">
        <v>28.12238</v>
      </c>
      <c r="J3" s="328">
        <v>100</v>
      </c>
      <c r="K3" s="327">
        <v>43.622502480000001</v>
      </c>
      <c r="L3" s="326">
        <v>100</v>
      </c>
      <c r="M3" s="327">
        <v>43.626681929999997</v>
      </c>
      <c r="N3" s="327">
        <v>43.622502480000001</v>
      </c>
      <c r="O3" s="327">
        <v>0.32</v>
      </c>
    </row>
    <row r="4" spans="1:15" s="265" customFormat="1" ht="18" customHeight="1" x14ac:dyDescent="0.2">
      <c r="A4" s="325" t="s">
        <v>70</v>
      </c>
      <c r="B4" s="326">
        <v>1.915E-2</v>
      </c>
      <c r="C4" s="327">
        <v>14.16864</v>
      </c>
      <c r="D4" s="327">
        <v>14.16864</v>
      </c>
      <c r="E4" s="328">
        <v>100</v>
      </c>
      <c r="F4" s="327">
        <v>30.293251940000001</v>
      </c>
      <c r="G4" s="327">
        <v>30.293251940000001</v>
      </c>
      <c r="H4" s="328">
        <v>100</v>
      </c>
      <c r="I4" s="327">
        <v>14.16864</v>
      </c>
      <c r="J4" s="328">
        <v>100</v>
      </c>
      <c r="K4" s="327">
        <v>30.293251940000001</v>
      </c>
      <c r="L4" s="326">
        <v>100</v>
      </c>
      <c r="M4" s="327">
        <v>30.293251940000001</v>
      </c>
      <c r="N4" s="327">
        <v>30.293251940000001</v>
      </c>
      <c r="O4" s="327">
        <v>0.32</v>
      </c>
    </row>
    <row r="5" spans="1:15" s="265" customFormat="1" ht="18" customHeight="1" x14ac:dyDescent="0.2">
      <c r="A5" s="325" t="s">
        <v>156</v>
      </c>
      <c r="B5" s="326">
        <v>1.6299999999999999E-3</v>
      </c>
      <c r="C5" s="327">
        <v>0.39826</v>
      </c>
      <c r="D5" s="327">
        <v>0.39826</v>
      </c>
      <c r="E5" s="328">
        <v>100</v>
      </c>
      <c r="F5" s="327">
        <v>1.28800753</v>
      </c>
      <c r="G5" s="327">
        <v>1.28800753</v>
      </c>
      <c r="H5" s="328">
        <v>100</v>
      </c>
      <c r="I5" s="327">
        <v>0.39826</v>
      </c>
      <c r="J5" s="328">
        <v>100</v>
      </c>
      <c r="K5" s="327">
        <v>1.28800753</v>
      </c>
      <c r="L5" s="326">
        <v>100</v>
      </c>
      <c r="M5" s="327">
        <v>1.28800753</v>
      </c>
      <c r="N5" s="327">
        <v>1.28800753</v>
      </c>
      <c r="O5" s="327">
        <v>0.32</v>
      </c>
    </row>
    <row r="6" spans="1:15" s="265" customFormat="1" ht="18" customHeight="1" x14ac:dyDescent="0.2">
      <c r="A6" s="325" t="s">
        <v>157</v>
      </c>
      <c r="B6" s="326">
        <v>2E-3</v>
      </c>
      <c r="C6" s="327">
        <v>0.91410000000000002</v>
      </c>
      <c r="D6" s="327">
        <v>0.91410000000000002</v>
      </c>
      <c r="E6" s="328">
        <v>100</v>
      </c>
      <c r="F6" s="327">
        <v>1.89492975</v>
      </c>
      <c r="G6" s="327">
        <v>1.89492975</v>
      </c>
      <c r="H6" s="328">
        <v>100</v>
      </c>
      <c r="I6" s="327">
        <v>0.91410000000000002</v>
      </c>
      <c r="J6" s="328">
        <v>100</v>
      </c>
      <c r="K6" s="327">
        <v>1.89492975</v>
      </c>
      <c r="L6" s="326">
        <v>100</v>
      </c>
      <c r="M6" s="327">
        <v>1.89492975</v>
      </c>
      <c r="N6" s="327">
        <v>1.89492975</v>
      </c>
      <c r="O6" s="327">
        <v>0.32</v>
      </c>
    </row>
    <row r="7" spans="1:15" s="265" customFormat="1" ht="18" customHeight="1" x14ac:dyDescent="0.2">
      <c r="A7" s="325" t="s">
        <v>158</v>
      </c>
      <c r="B7" s="326">
        <v>2.0000000000000001E-4</v>
      </c>
      <c r="C7" s="327">
        <v>0.1237</v>
      </c>
      <c r="D7" s="327">
        <v>0.1237</v>
      </c>
      <c r="E7" s="328">
        <v>100</v>
      </c>
      <c r="F7" s="327">
        <v>0.39319999999999999</v>
      </c>
      <c r="G7" s="327">
        <v>0.39319999999999999</v>
      </c>
      <c r="H7" s="328">
        <v>100</v>
      </c>
      <c r="I7" s="327">
        <v>0.1237</v>
      </c>
      <c r="J7" s="328">
        <v>100</v>
      </c>
      <c r="K7" s="327">
        <v>0.39319999999999999</v>
      </c>
      <c r="L7" s="326">
        <v>100</v>
      </c>
      <c r="M7" s="327">
        <v>0.39319999999999999</v>
      </c>
      <c r="N7" s="327">
        <v>0.39319999999999999</v>
      </c>
      <c r="O7" s="327">
        <v>0.32</v>
      </c>
    </row>
    <row r="8" spans="1:15" s="265" customFormat="1" ht="18" customHeight="1" x14ac:dyDescent="0.2">
      <c r="A8" s="325" t="s">
        <v>159</v>
      </c>
      <c r="B8" s="326">
        <v>2.9999999999999997E-4</v>
      </c>
      <c r="C8" s="327">
        <v>0.1598</v>
      </c>
      <c r="D8" s="327">
        <v>0.1598</v>
      </c>
      <c r="E8" s="328">
        <v>100</v>
      </c>
      <c r="F8" s="327">
        <v>0.40179999999999999</v>
      </c>
      <c r="G8" s="327">
        <v>0.40179999999999999</v>
      </c>
      <c r="H8" s="328">
        <v>100</v>
      </c>
      <c r="I8" s="327">
        <v>0.1598</v>
      </c>
      <c r="J8" s="328">
        <v>100</v>
      </c>
      <c r="K8" s="327">
        <v>0.40179999999999999</v>
      </c>
      <c r="L8" s="326">
        <v>100</v>
      </c>
      <c r="M8" s="327">
        <v>0.40179999999999999</v>
      </c>
      <c r="N8" s="327">
        <v>0.40179999999999999</v>
      </c>
      <c r="O8" s="327">
        <v>0.32</v>
      </c>
    </row>
    <row r="9" spans="1:15" s="265" customFormat="1" ht="18" customHeight="1" x14ac:dyDescent="0.2">
      <c r="A9" s="325" t="s">
        <v>160</v>
      </c>
      <c r="B9" s="326">
        <v>8.5999999999999998E-4</v>
      </c>
      <c r="C9" s="327">
        <v>0.31180000000000002</v>
      </c>
      <c r="D9" s="327">
        <v>0.31180000000000002</v>
      </c>
      <c r="E9" s="328">
        <v>100</v>
      </c>
      <c r="F9" s="327">
        <v>0.92210000000000003</v>
      </c>
      <c r="G9" s="327">
        <v>0.92210000000000003</v>
      </c>
      <c r="H9" s="328">
        <v>100</v>
      </c>
      <c r="I9" s="327">
        <v>0.31180000000000002</v>
      </c>
      <c r="J9" s="328">
        <v>100</v>
      </c>
      <c r="K9" s="327">
        <v>0.92210000000000003</v>
      </c>
      <c r="L9" s="326">
        <v>100</v>
      </c>
      <c r="M9" s="327">
        <v>0.92210000000000003</v>
      </c>
      <c r="N9" s="327">
        <v>0.92210000000000003</v>
      </c>
      <c r="O9" s="327">
        <v>0.32</v>
      </c>
    </row>
    <row r="10" spans="1:15" s="265" customFormat="1" ht="18" customHeight="1" x14ac:dyDescent="0.2">
      <c r="A10" s="325" t="s">
        <v>161</v>
      </c>
      <c r="B10" s="326">
        <v>8.9999999999999998E-4</v>
      </c>
      <c r="C10" s="327">
        <v>0.53949999999999998</v>
      </c>
      <c r="D10" s="327">
        <v>0.53949999999999998</v>
      </c>
      <c r="E10" s="328">
        <v>100</v>
      </c>
      <c r="F10" s="327">
        <v>1.1962385</v>
      </c>
      <c r="G10" s="327">
        <v>1.1962385</v>
      </c>
      <c r="H10" s="328">
        <v>100</v>
      </c>
      <c r="I10" s="327">
        <v>0.53949999999999998</v>
      </c>
      <c r="J10" s="328">
        <v>100</v>
      </c>
      <c r="K10" s="327">
        <v>1.1962385</v>
      </c>
      <c r="L10" s="326">
        <v>100</v>
      </c>
      <c r="M10" s="327">
        <v>1.1962385</v>
      </c>
      <c r="N10" s="327">
        <v>1.1962385</v>
      </c>
      <c r="O10" s="327">
        <v>0.32</v>
      </c>
    </row>
    <row r="11" spans="1:15" s="265" customFormat="1" ht="18" customHeight="1" x14ac:dyDescent="0.2">
      <c r="A11" s="325" t="s">
        <v>162</v>
      </c>
      <c r="B11" s="326">
        <v>8.1999999999999998E-4</v>
      </c>
      <c r="C11" s="327">
        <v>0.39279999999999998</v>
      </c>
      <c r="D11" s="327">
        <v>0.39279999999999998</v>
      </c>
      <c r="E11" s="328">
        <v>100</v>
      </c>
      <c r="F11" s="327">
        <v>0.99205849999999995</v>
      </c>
      <c r="G11" s="327">
        <v>0.99205849999999995</v>
      </c>
      <c r="H11" s="328">
        <v>100</v>
      </c>
      <c r="I11" s="327">
        <v>0.39279999999999998</v>
      </c>
      <c r="J11" s="328">
        <v>100</v>
      </c>
      <c r="K11" s="327">
        <v>0.99205849999999995</v>
      </c>
      <c r="L11" s="326">
        <v>100</v>
      </c>
      <c r="M11" s="327">
        <v>0.99205849999999995</v>
      </c>
      <c r="N11" s="327">
        <v>0.99205849999999995</v>
      </c>
      <c r="O11" s="327">
        <v>0.32</v>
      </c>
    </row>
    <row r="12" spans="1:15" s="265" customFormat="1" ht="18" customHeight="1" x14ac:dyDescent="0.2">
      <c r="A12" s="325" t="s">
        <v>163</v>
      </c>
      <c r="B12" s="326">
        <v>1.2999999999999999E-3</v>
      </c>
      <c r="C12" s="327">
        <v>0.87926000000000004</v>
      </c>
      <c r="D12" s="327">
        <v>0.87926000000000004</v>
      </c>
      <c r="E12" s="328">
        <v>100</v>
      </c>
      <c r="F12" s="327">
        <v>1.7222751000000001</v>
      </c>
      <c r="G12" s="327">
        <v>1.7222751000000001</v>
      </c>
      <c r="H12" s="328">
        <v>100</v>
      </c>
      <c r="I12" s="327">
        <v>0.87926000000000004</v>
      </c>
      <c r="J12" s="328">
        <v>100</v>
      </c>
      <c r="K12" s="327">
        <v>1.7222751000000001</v>
      </c>
      <c r="L12" s="326">
        <v>100</v>
      </c>
      <c r="M12" s="327">
        <v>1.7222751000000001</v>
      </c>
      <c r="N12" s="327">
        <v>1.7222751000000001</v>
      </c>
      <c r="O12" s="327">
        <v>0.32</v>
      </c>
    </row>
    <row r="13" spans="1:15" s="265" customFormat="1" ht="18" customHeight="1" x14ac:dyDescent="0.2">
      <c r="A13" s="325" t="s">
        <v>164</v>
      </c>
      <c r="B13" s="326">
        <v>1.24E-3</v>
      </c>
      <c r="C13" s="327">
        <v>0.44600000000000001</v>
      </c>
      <c r="D13" s="327">
        <v>0.44600000000000001</v>
      </c>
      <c r="E13" s="328">
        <v>100</v>
      </c>
      <c r="F13" s="327">
        <v>1.2422</v>
      </c>
      <c r="G13" s="327">
        <v>1.2422</v>
      </c>
      <c r="H13" s="328">
        <v>100</v>
      </c>
      <c r="I13" s="327">
        <v>0.44600000000000001</v>
      </c>
      <c r="J13" s="328">
        <v>100</v>
      </c>
      <c r="K13" s="327">
        <v>1.2422</v>
      </c>
      <c r="L13" s="326">
        <v>100</v>
      </c>
      <c r="M13" s="327">
        <v>1.2422</v>
      </c>
      <c r="N13" s="327">
        <v>1.2422</v>
      </c>
      <c r="O13" s="327">
        <v>0.32</v>
      </c>
    </row>
    <row r="14" spans="1:15" s="265" customFormat="1" ht="18" customHeight="1" x14ac:dyDescent="0.2">
      <c r="A14" s="325" t="s">
        <v>165</v>
      </c>
      <c r="B14" s="326">
        <v>3.7699999999999999E-3</v>
      </c>
      <c r="C14" s="327">
        <v>4.6701499999999996</v>
      </c>
      <c r="D14" s="327">
        <v>4.6701499999999996</v>
      </c>
      <c r="E14" s="328">
        <v>100</v>
      </c>
      <c r="F14" s="327">
        <v>9.24335445</v>
      </c>
      <c r="G14" s="327">
        <v>9.24335445</v>
      </c>
      <c r="H14" s="328">
        <v>100</v>
      </c>
      <c r="I14" s="327">
        <v>4.6701499999999996</v>
      </c>
      <c r="J14" s="328">
        <v>100</v>
      </c>
      <c r="K14" s="327">
        <v>9.24335445</v>
      </c>
      <c r="L14" s="326">
        <v>100</v>
      </c>
      <c r="M14" s="327">
        <v>9.24335445</v>
      </c>
      <c r="N14" s="327">
        <v>9.24335445</v>
      </c>
      <c r="O14" s="327">
        <v>0.32</v>
      </c>
    </row>
    <row r="15" spans="1:15" s="265" customFormat="1" ht="18" customHeight="1" x14ac:dyDescent="0.2">
      <c r="A15" s="325" t="s">
        <v>166</v>
      </c>
      <c r="B15" s="326">
        <v>2.63E-3</v>
      </c>
      <c r="C15" s="327">
        <v>2.5879599999999998</v>
      </c>
      <c r="D15" s="327">
        <v>2.5879599999999998</v>
      </c>
      <c r="E15" s="328">
        <v>100</v>
      </c>
      <c r="F15" s="327">
        <v>5.2180821750000002</v>
      </c>
      <c r="G15" s="327">
        <v>5.2180821750000002</v>
      </c>
      <c r="H15" s="328">
        <v>100</v>
      </c>
      <c r="I15" s="327">
        <v>2.5879599999999998</v>
      </c>
      <c r="J15" s="328">
        <v>100</v>
      </c>
      <c r="K15" s="327">
        <v>5.2180821750000002</v>
      </c>
      <c r="L15" s="326">
        <v>100</v>
      </c>
      <c r="M15" s="327">
        <v>5.2180821750000002</v>
      </c>
      <c r="N15" s="327">
        <v>5.2180821750000002</v>
      </c>
      <c r="O15" s="327">
        <v>0.32</v>
      </c>
    </row>
    <row r="16" spans="1:15" s="265" customFormat="1" ht="18" customHeight="1" x14ac:dyDescent="0.2">
      <c r="A16" s="325" t="s">
        <v>167</v>
      </c>
      <c r="B16" s="326">
        <v>3.48E-3</v>
      </c>
      <c r="C16" s="327">
        <v>2.7453599999999998</v>
      </c>
      <c r="D16" s="327">
        <v>2.7453599999999998</v>
      </c>
      <c r="E16" s="328">
        <v>100</v>
      </c>
      <c r="F16" s="327">
        <v>5.7790576800000002</v>
      </c>
      <c r="G16" s="327">
        <v>5.7790576800000002</v>
      </c>
      <c r="H16" s="328">
        <v>100</v>
      </c>
      <c r="I16" s="327">
        <v>2.7453599999999998</v>
      </c>
      <c r="J16" s="328">
        <v>100</v>
      </c>
      <c r="K16" s="327">
        <v>5.7790576800000002</v>
      </c>
      <c r="L16" s="326">
        <v>100</v>
      </c>
      <c r="M16" s="327">
        <v>5.7790576800000002</v>
      </c>
      <c r="N16" s="327">
        <v>5.7790576800000002</v>
      </c>
      <c r="O16" s="327">
        <v>0.32</v>
      </c>
    </row>
    <row r="17" spans="1:15" s="265" customFormat="1" ht="18" customHeight="1" x14ac:dyDescent="0.2">
      <c r="A17" s="422" t="s">
        <v>518</v>
      </c>
      <c r="B17" s="422"/>
      <c r="C17" s="422"/>
      <c r="D17" s="422"/>
      <c r="E17" s="422"/>
      <c r="F17" s="422"/>
      <c r="G17" s="422"/>
      <c r="H17" s="422"/>
      <c r="I17" s="422"/>
      <c r="J17" s="422"/>
      <c r="K17" s="422"/>
      <c r="L17" s="422"/>
      <c r="M17" s="422"/>
      <c r="N17" s="422"/>
      <c r="O17" s="422"/>
    </row>
    <row r="18" spans="1:15" s="265" customFormat="1" ht="17.25" customHeight="1" x14ac:dyDescent="0.2">
      <c r="A18" s="422" t="s">
        <v>464</v>
      </c>
      <c r="B18" s="422"/>
      <c r="C18" s="422"/>
      <c r="D18" s="422"/>
      <c r="E18" s="422"/>
      <c r="F18" s="422"/>
      <c r="G18" s="422"/>
      <c r="H18" s="422"/>
      <c r="I18" s="422"/>
      <c r="J18" s="422"/>
      <c r="K18" s="422"/>
      <c r="L18" s="422"/>
      <c r="M18" s="422"/>
      <c r="N18" s="422"/>
      <c r="O18" s="422"/>
    </row>
    <row r="19" spans="1:15" s="265" customFormat="1" ht="28.35" customHeight="1" x14ac:dyDescent="0.2"/>
  </sheetData>
  <mergeCells count="3">
    <mergeCell ref="A1:C1"/>
    <mergeCell ref="A17:O17"/>
    <mergeCell ref="A18:O18"/>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22"/>
  <sheetViews>
    <sheetView workbookViewId="0">
      <selection sqref="A1:R1"/>
    </sheetView>
  </sheetViews>
  <sheetFormatPr defaultRowHeight="12.75" x14ac:dyDescent="0.2"/>
  <cols>
    <col min="1" max="1" width="14.7109375" style="262" bestFit="1" customWidth="1"/>
    <col min="2" max="2" width="9.140625" style="262" bestFit="1" customWidth="1"/>
    <col min="3" max="3" width="10.140625" style="262" bestFit="1" customWidth="1"/>
    <col min="4" max="4" width="9.42578125" style="262" bestFit="1" customWidth="1"/>
    <col min="5" max="5" width="10.140625" style="262" bestFit="1" customWidth="1"/>
    <col min="6" max="6" width="9.5703125" style="262" bestFit="1" customWidth="1"/>
    <col min="7" max="11" width="10.140625" style="262" bestFit="1" customWidth="1"/>
    <col min="12" max="12" width="9.85546875" style="262" bestFit="1" customWidth="1"/>
    <col min="13" max="13" width="9.28515625" style="262" bestFit="1" customWidth="1"/>
    <col min="14" max="14" width="10.28515625" style="262" bestFit="1" customWidth="1"/>
    <col min="15" max="15" width="11.7109375" style="262" bestFit="1" customWidth="1"/>
    <col min="16" max="16" width="9.7109375" style="262" bestFit="1" customWidth="1"/>
    <col min="17" max="17" width="8.28515625" style="262" bestFit="1" customWidth="1"/>
    <col min="18" max="18" width="9.140625" style="262" bestFit="1" customWidth="1"/>
    <col min="19" max="19" width="4.7109375" style="262" bestFit="1" customWidth="1"/>
    <col min="20" max="256" width="9.140625" style="262"/>
    <col min="257" max="257" width="14.7109375" style="262" bestFit="1" customWidth="1"/>
    <col min="258" max="258" width="9.140625" style="262" bestFit="1" customWidth="1"/>
    <col min="259" max="259" width="10.140625" style="262" bestFit="1" customWidth="1"/>
    <col min="260" max="260" width="9.42578125" style="262" bestFit="1" customWidth="1"/>
    <col min="261" max="261" width="10.140625" style="262" bestFit="1" customWidth="1"/>
    <col min="262" max="262" width="9.5703125" style="262" bestFit="1" customWidth="1"/>
    <col min="263" max="267" width="10.140625" style="262" bestFit="1" customWidth="1"/>
    <col min="268" max="268" width="9.85546875" style="262" bestFit="1" customWidth="1"/>
    <col min="269" max="269" width="9.28515625" style="262" bestFit="1" customWidth="1"/>
    <col min="270" max="270" width="10.28515625" style="262" bestFit="1" customWidth="1"/>
    <col min="271" max="271" width="11.7109375" style="262" bestFit="1" customWidth="1"/>
    <col min="272" max="272" width="9.7109375" style="262" bestFit="1" customWidth="1"/>
    <col min="273" max="273" width="8.28515625" style="262" bestFit="1" customWidth="1"/>
    <col min="274" max="274" width="9.140625" style="262" bestFit="1" customWidth="1"/>
    <col min="275" max="275" width="4.7109375" style="262" bestFit="1" customWidth="1"/>
    <col min="276" max="512" width="9.140625" style="262"/>
    <col min="513" max="513" width="14.7109375" style="262" bestFit="1" customWidth="1"/>
    <col min="514" max="514" width="9.140625" style="262" bestFit="1" customWidth="1"/>
    <col min="515" max="515" width="10.140625" style="262" bestFit="1" customWidth="1"/>
    <col min="516" max="516" width="9.42578125" style="262" bestFit="1" customWidth="1"/>
    <col min="517" max="517" width="10.140625" style="262" bestFit="1" customWidth="1"/>
    <col min="518" max="518" width="9.5703125" style="262" bestFit="1" customWidth="1"/>
    <col min="519" max="523" width="10.140625" style="262" bestFit="1" customWidth="1"/>
    <col min="524" max="524" width="9.85546875" style="262" bestFit="1" customWidth="1"/>
    <col min="525" max="525" width="9.28515625" style="262" bestFit="1" customWidth="1"/>
    <col min="526" max="526" width="10.28515625" style="262" bestFit="1" customWidth="1"/>
    <col min="527" max="527" width="11.7109375" style="262" bestFit="1" customWidth="1"/>
    <col min="528" max="528" width="9.7109375" style="262" bestFit="1" customWidth="1"/>
    <col min="529" max="529" width="8.28515625" style="262" bestFit="1" customWidth="1"/>
    <col min="530" max="530" width="9.140625" style="262" bestFit="1" customWidth="1"/>
    <col min="531" max="531" width="4.7109375" style="262" bestFit="1" customWidth="1"/>
    <col min="532" max="768" width="9.140625" style="262"/>
    <col min="769" max="769" width="14.7109375" style="262" bestFit="1" customWidth="1"/>
    <col min="770" max="770" width="9.140625" style="262" bestFit="1" customWidth="1"/>
    <col min="771" max="771" width="10.140625" style="262" bestFit="1" customWidth="1"/>
    <col min="772" max="772" width="9.42578125" style="262" bestFit="1" customWidth="1"/>
    <col min="773" max="773" width="10.140625" style="262" bestFit="1" customWidth="1"/>
    <col min="774" max="774" width="9.5703125" style="262" bestFit="1" customWidth="1"/>
    <col min="775" max="779" width="10.140625" style="262" bestFit="1" customWidth="1"/>
    <col min="780" max="780" width="9.85546875" style="262" bestFit="1" customWidth="1"/>
    <col min="781" max="781" width="9.28515625" style="262" bestFit="1" customWidth="1"/>
    <col min="782" max="782" width="10.28515625" style="262" bestFit="1" customWidth="1"/>
    <col min="783" max="783" width="11.7109375" style="262" bestFit="1" customWidth="1"/>
    <col min="784" max="784" width="9.7109375" style="262" bestFit="1" customWidth="1"/>
    <col min="785" max="785" width="8.28515625" style="262" bestFit="1" customWidth="1"/>
    <col min="786" max="786" width="9.140625" style="262" bestFit="1" customWidth="1"/>
    <col min="787" max="787" width="4.7109375" style="262" bestFit="1" customWidth="1"/>
    <col min="788" max="1024" width="9.140625" style="262"/>
    <col min="1025" max="1025" width="14.7109375" style="262" bestFit="1" customWidth="1"/>
    <col min="1026" max="1026" width="9.140625" style="262" bestFit="1" customWidth="1"/>
    <col min="1027" max="1027" width="10.140625" style="262" bestFit="1" customWidth="1"/>
    <col min="1028" max="1028" width="9.42578125" style="262" bestFit="1" customWidth="1"/>
    <col min="1029" max="1029" width="10.140625" style="262" bestFit="1" customWidth="1"/>
    <col min="1030" max="1030" width="9.5703125" style="262" bestFit="1" customWidth="1"/>
    <col min="1031" max="1035" width="10.140625" style="262" bestFit="1" customWidth="1"/>
    <col min="1036" max="1036" width="9.85546875" style="262" bestFit="1" customWidth="1"/>
    <col min="1037" max="1037" width="9.28515625" style="262" bestFit="1" customWidth="1"/>
    <col min="1038" max="1038" width="10.28515625" style="262" bestFit="1" customWidth="1"/>
    <col min="1039" max="1039" width="11.7109375" style="262" bestFit="1" customWidth="1"/>
    <col min="1040" max="1040" width="9.7109375" style="262" bestFit="1" customWidth="1"/>
    <col min="1041" max="1041" width="8.28515625" style="262" bestFit="1" customWidth="1"/>
    <col min="1042" max="1042" width="9.140625" style="262" bestFit="1" customWidth="1"/>
    <col min="1043" max="1043" width="4.7109375" style="262" bestFit="1" customWidth="1"/>
    <col min="1044" max="1280" width="9.140625" style="262"/>
    <col min="1281" max="1281" width="14.7109375" style="262" bestFit="1" customWidth="1"/>
    <col min="1282" max="1282" width="9.140625" style="262" bestFit="1" customWidth="1"/>
    <col min="1283" max="1283" width="10.140625" style="262" bestFit="1" customWidth="1"/>
    <col min="1284" max="1284" width="9.42578125" style="262" bestFit="1" customWidth="1"/>
    <col min="1285" max="1285" width="10.140625" style="262" bestFit="1" customWidth="1"/>
    <col min="1286" max="1286" width="9.5703125" style="262" bestFit="1" customWidth="1"/>
    <col min="1287" max="1291" width="10.140625" style="262" bestFit="1" customWidth="1"/>
    <col min="1292" max="1292" width="9.85546875" style="262" bestFit="1" customWidth="1"/>
    <col min="1293" max="1293" width="9.28515625" style="262" bestFit="1" customWidth="1"/>
    <col min="1294" max="1294" width="10.28515625" style="262" bestFit="1" customWidth="1"/>
    <col min="1295" max="1295" width="11.7109375" style="262" bestFit="1" customWidth="1"/>
    <col min="1296" max="1296" width="9.7109375" style="262" bestFit="1" customWidth="1"/>
    <col min="1297" max="1297" width="8.28515625" style="262" bestFit="1" customWidth="1"/>
    <col min="1298" max="1298" width="9.140625" style="262" bestFit="1" customWidth="1"/>
    <col min="1299" max="1299" width="4.7109375" style="262" bestFit="1" customWidth="1"/>
    <col min="1300" max="1536" width="9.140625" style="262"/>
    <col min="1537" max="1537" width="14.7109375" style="262" bestFit="1" customWidth="1"/>
    <col min="1538" max="1538" width="9.140625" style="262" bestFit="1" customWidth="1"/>
    <col min="1539" max="1539" width="10.140625" style="262" bestFit="1" customWidth="1"/>
    <col min="1540" max="1540" width="9.42578125" style="262" bestFit="1" customWidth="1"/>
    <col min="1541" max="1541" width="10.140625" style="262" bestFit="1" customWidth="1"/>
    <col min="1542" max="1542" width="9.5703125" style="262" bestFit="1" customWidth="1"/>
    <col min="1543" max="1547" width="10.140625" style="262" bestFit="1" customWidth="1"/>
    <col min="1548" max="1548" width="9.85546875" style="262" bestFit="1" customWidth="1"/>
    <col min="1549" max="1549" width="9.28515625" style="262" bestFit="1" customWidth="1"/>
    <col min="1550" max="1550" width="10.28515625" style="262" bestFit="1" customWidth="1"/>
    <col min="1551" max="1551" width="11.7109375" style="262" bestFit="1" customWidth="1"/>
    <col min="1552" max="1552" width="9.7109375" style="262" bestFit="1" customWidth="1"/>
    <col min="1553" max="1553" width="8.28515625" style="262" bestFit="1" customWidth="1"/>
    <col min="1554" max="1554" width="9.140625" style="262" bestFit="1" customWidth="1"/>
    <col min="1555" max="1555" width="4.7109375" style="262" bestFit="1" customWidth="1"/>
    <col min="1556" max="1792" width="9.140625" style="262"/>
    <col min="1793" max="1793" width="14.7109375" style="262" bestFit="1" customWidth="1"/>
    <col min="1794" max="1794" width="9.140625" style="262" bestFit="1" customWidth="1"/>
    <col min="1795" max="1795" width="10.140625" style="262" bestFit="1" customWidth="1"/>
    <col min="1796" max="1796" width="9.42578125" style="262" bestFit="1" customWidth="1"/>
    <col min="1797" max="1797" width="10.140625" style="262" bestFit="1" customWidth="1"/>
    <col min="1798" max="1798" width="9.5703125" style="262" bestFit="1" customWidth="1"/>
    <col min="1799" max="1803" width="10.140625" style="262" bestFit="1" customWidth="1"/>
    <col min="1804" max="1804" width="9.85546875" style="262" bestFit="1" customWidth="1"/>
    <col min="1805" max="1805" width="9.28515625" style="262" bestFit="1" customWidth="1"/>
    <col min="1806" max="1806" width="10.28515625" style="262" bestFit="1" customWidth="1"/>
    <col min="1807" max="1807" width="11.7109375" style="262" bestFit="1" customWidth="1"/>
    <col min="1808" max="1808" width="9.7109375" style="262" bestFit="1" customWidth="1"/>
    <col min="1809" max="1809" width="8.28515625" style="262" bestFit="1" customWidth="1"/>
    <col min="1810" max="1810" width="9.140625" style="262" bestFit="1" customWidth="1"/>
    <col min="1811" max="1811" width="4.7109375" style="262" bestFit="1" customWidth="1"/>
    <col min="1812" max="2048" width="9.140625" style="262"/>
    <col min="2049" max="2049" width="14.7109375" style="262" bestFit="1" customWidth="1"/>
    <col min="2050" max="2050" width="9.140625" style="262" bestFit="1" customWidth="1"/>
    <col min="2051" max="2051" width="10.140625" style="262" bestFit="1" customWidth="1"/>
    <col min="2052" max="2052" width="9.42578125" style="262" bestFit="1" customWidth="1"/>
    <col min="2053" max="2053" width="10.140625" style="262" bestFit="1" customWidth="1"/>
    <col min="2054" max="2054" width="9.5703125" style="262" bestFit="1" customWidth="1"/>
    <col min="2055" max="2059" width="10.140625" style="262" bestFit="1" customWidth="1"/>
    <col min="2060" max="2060" width="9.85546875" style="262" bestFit="1" customWidth="1"/>
    <col min="2061" max="2061" width="9.28515625" style="262" bestFit="1" customWidth="1"/>
    <col min="2062" max="2062" width="10.28515625" style="262" bestFit="1" customWidth="1"/>
    <col min="2063" max="2063" width="11.7109375" style="262" bestFit="1" customWidth="1"/>
    <col min="2064" max="2064" width="9.7109375" style="262" bestFit="1" customWidth="1"/>
    <col min="2065" max="2065" width="8.28515625" style="262" bestFit="1" customWidth="1"/>
    <col min="2066" max="2066" width="9.140625" style="262" bestFit="1" customWidth="1"/>
    <col min="2067" max="2067" width="4.7109375" style="262" bestFit="1" customWidth="1"/>
    <col min="2068" max="2304" width="9.140625" style="262"/>
    <col min="2305" max="2305" width="14.7109375" style="262" bestFit="1" customWidth="1"/>
    <col min="2306" max="2306" width="9.140625" style="262" bestFit="1" customWidth="1"/>
    <col min="2307" max="2307" width="10.140625" style="262" bestFit="1" customWidth="1"/>
    <col min="2308" max="2308" width="9.42578125" style="262" bestFit="1" customWidth="1"/>
    <col min="2309" max="2309" width="10.140625" style="262" bestFit="1" customWidth="1"/>
    <col min="2310" max="2310" width="9.5703125" style="262" bestFit="1" customWidth="1"/>
    <col min="2311" max="2315" width="10.140625" style="262" bestFit="1" customWidth="1"/>
    <col min="2316" max="2316" width="9.85546875" style="262" bestFit="1" customWidth="1"/>
    <col min="2317" max="2317" width="9.28515625" style="262" bestFit="1" customWidth="1"/>
    <col min="2318" max="2318" width="10.28515625" style="262" bestFit="1" customWidth="1"/>
    <col min="2319" max="2319" width="11.7109375" style="262" bestFit="1" customWidth="1"/>
    <col min="2320" max="2320" width="9.7109375" style="262" bestFit="1" customWidth="1"/>
    <col min="2321" max="2321" width="8.28515625" style="262" bestFit="1" customWidth="1"/>
    <col min="2322" max="2322" width="9.140625" style="262" bestFit="1" customWidth="1"/>
    <col min="2323" max="2323" width="4.7109375" style="262" bestFit="1" customWidth="1"/>
    <col min="2324" max="2560" width="9.140625" style="262"/>
    <col min="2561" max="2561" width="14.7109375" style="262" bestFit="1" customWidth="1"/>
    <col min="2562" max="2562" width="9.140625" style="262" bestFit="1" customWidth="1"/>
    <col min="2563" max="2563" width="10.140625" style="262" bestFit="1" customWidth="1"/>
    <col min="2564" max="2564" width="9.42578125" style="262" bestFit="1" customWidth="1"/>
    <col min="2565" max="2565" width="10.140625" style="262" bestFit="1" customWidth="1"/>
    <col min="2566" max="2566" width="9.5703125" style="262" bestFit="1" customWidth="1"/>
    <col min="2567" max="2571" width="10.140625" style="262" bestFit="1" customWidth="1"/>
    <col min="2572" max="2572" width="9.85546875" style="262" bestFit="1" customWidth="1"/>
    <col min="2573" max="2573" width="9.28515625" style="262" bestFit="1" customWidth="1"/>
    <col min="2574" max="2574" width="10.28515625" style="262" bestFit="1" customWidth="1"/>
    <col min="2575" max="2575" width="11.7109375" style="262" bestFit="1" customWidth="1"/>
    <col min="2576" max="2576" width="9.7109375" style="262" bestFit="1" customWidth="1"/>
    <col min="2577" max="2577" width="8.28515625" style="262" bestFit="1" customWidth="1"/>
    <col min="2578" max="2578" width="9.140625" style="262" bestFit="1" customWidth="1"/>
    <col min="2579" max="2579" width="4.7109375" style="262" bestFit="1" customWidth="1"/>
    <col min="2580" max="2816" width="9.140625" style="262"/>
    <col min="2817" max="2817" width="14.7109375" style="262" bestFit="1" customWidth="1"/>
    <col min="2818" max="2818" width="9.140625" style="262" bestFit="1" customWidth="1"/>
    <col min="2819" max="2819" width="10.140625" style="262" bestFit="1" customWidth="1"/>
    <col min="2820" max="2820" width="9.42578125" style="262" bestFit="1" customWidth="1"/>
    <col min="2821" max="2821" width="10.140625" style="262" bestFit="1" customWidth="1"/>
    <col min="2822" max="2822" width="9.5703125" style="262" bestFit="1" customWidth="1"/>
    <col min="2823" max="2827" width="10.140625" style="262" bestFit="1" customWidth="1"/>
    <col min="2828" max="2828" width="9.85546875" style="262" bestFit="1" customWidth="1"/>
    <col min="2829" max="2829" width="9.28515625" style="262" bestFit="1" customWidth="1"/>
    <col min="2830" max="2830" width="10.28515625" style="262" bestFit="1" customWidth="1"/>
    <col min="2831" max="2831" width="11.7109375" style="262" bestFit="1" customWidth="1"/>
    <col min="2832" max="2832" width="9.7109375" style="262" bestFit="1" customWidth="1"/>
    <col min="2833" max="2833" width="8.28515625" style="262" bestFit="1" customWidth="1"/>
    <col min="2834" max="2834" width="9.140625" style="262" bestFit="1" customWidth="1"/>
    <col min="2835" max="2835" width="4.7109375" style="262" bestFit="1" customWidth="1"/>
    <col min="2836" max="3072" width="9.140625" style="262"/>
    <col min="3073" max="3073" width="14.7109375" style="262" bestFit="1" customWidth="1"/>
    <col min="3074" max="3074" width="9.140625" style="262" bestFit="1" customWidth="1"/>
    <col min="3075" max="3075" width="10.140625" style="262" bestFit="1" customWidth="1"/>
    <col min="3076" max="3076" width="9.42578125" style="262" bestFit="1" customWidth="1"/>
    <col min="3077" max="3077" width="10.140625" style="262" bestFit="1" customWidth="1"/>
    <col min="3078" max="3078" width="9.5703125" style="262" bestFit="1" customWidth="1"/>
    <col min="3079" max="3083" width="10.140625" style="262" bestFit="1" customWidth="1"/>
    <col min="3084" max="3084" width="9.85546875" style="262" bestFit="1" customWidth="1"/>
    <col min="3085" max="3085" width="9.28515625" style="262" bestFit="1" customWidth="1"/>
    <col min="3086" max="3086" width="10.28515625" style="262" bestFit="1" customWidth="1"/>
    <col min="3087" max="3087" width="11.7109375" style="262" bestFit="1" customWidth="1"/>
    <col min="3088" max="3088" width="9.7109375" style="262" bestFit="1" customWidth="1"/>
    <col min="3089" max="3089" width="8.28515625" style="262" bestFit="1" customWidth="1"/>
    <col min="3090" max="3090" width="9.140625" style="262" bestFit="1" customWidth="1"/>
    <col min="3091" max="3091" width="4.7109375" style="262" bestFit="1" customWidth="1"/>
    <col min="3092" max="3328" width="9.140625" style="262"/>
    <col min="3329" max="3329" width="14.7109375" style="262" bestFit="1" customWidth="1"/>
    <col min="3330" max="3330" width="9.140625" style="262" bestFit="1" customWidth="1"/>
    <col min="3331" max="3331" width="10.140625" style="262" bestFit="1" customWidth="1"/>
    <col min="3332" max="3332" width="9.42578125" style="262" bestFit="1" customWidth="1"/>
    <col min="3333" max="3333" width="10.140625" style="262" bestFit="1" customWidth="1"/>
    <col min="3334" max="3334" width="9.5703125" style="262" bestFit="1" customWidth="1"/>
    <col min="3335" max="3339" width="10.140625" style="262" bestFit="1" customWidth="1"/>
    <col min="3340" max="3340" width="9.85546875" style="262" bestFit="1" customWidth="1"/>
    <col min="3341" max="3341" width="9.28515625" style="262" bestFit="1" customWidth="1"/>
    <col min="3342" max="3342" width="10.28515625" style="262" bestFit="1" customWidth="1"/>
    <col min="3343" max="3343" width="11.7109375" style="262" bestFit="1" customWidth="1"/>
    <col min="3344" max="3344" width="9.7109375" style="262" bestFit="1" customWidth="1"/>
    <col min="3345" max="3345" width="8.28515625" style="262" bestFit="1" customWidth="1"/>
    <col min="3346" max="3346" width="9.140625" style="262" bestFit="1" customWidth="1"/>
    <col min="3347" max="3347" width="4.7109375" style="262" bestFit="1" customWidth="1"/>
    <col min="3348" max="3584" width="9.140625" style="262"/>
    <col min="3585" max="3585" width="14.7109375" style="262" bestFit="1" customWidth="1"/>
    <col min="3586" max="3586" width="9.140625" style="262" bestFit="1" customWidth="1"/>
    <col min="3587" max="3587" width="10.140625" style="262" bestFit="1" customWidth="1"/>
    <col min="3588" max="3588" width="9.42578125" style="262" bestFit="1" customWidth="1"/>
    <col min="3589" max="3589" width="10.140625" style="262" bestFit="1" customWidth="1"/>
    <col min="3590" max="3590" width="9.5703125" style="262" bestFit="1" customWidth="1"/>
    <col min="3591" max="3595" width="10.140625" style="262" bestFit="1" customWidth="1"/>
    <col min="3596" max="3596" width="9.85546875" style="262" bestFit="1" customWidth="1"/>
    <col min="3597" max="3597" width="9.28515625" style="262" bestFit="1" customWidth="1"/>
    <col min="3598" max="3598" width="10.28515625" style="262" bestFit="1" customWidth="1"/>
    <col min="3599" max="3599" width="11.7109375" style="262" bestFit="1" customWidth="1"/>
    <col min="3600" max="3600" width="9.7109375" style="262" bestFit="1" customWidth="1"/>
    <col min="3601" max="3601" width="8.28515625" style="262" bestFit="1" customWidth="1"/>
    <col min="3602" max="3602" width="9.140625" style="262" bestFit="1" customWidth="1"/>
    <col min="3603" max="3603" width="4.7109375" style="262" bestFit="1" customWidth="1"/>
    <col min="3604" max="3840" width="9.140625" style="262"/>
    <col min="3841" max="3841" width="14.7109375" style="262" bestFit="1" customWidth="1"/>
    <col min="3842" max="3842" width="9.140625" style="262" bestFit="1" customWidth="1"/>
    <col min="3843" max="3843" width="10.140625" style="262" bestFit="1" customWidth="1"/>
    <col min="3844" max="3844" width="9.42578125" style="262" bestFit="1" customWidth="1"/>
    <col min="3845" max="3845" width="10.140625" style="262" bestFit="1" customWidth="1"/>
    <col min="3846" max="3846" width="9.5703125" style="262" bestFit="1" customWidth="1"/>
    <col min="3847" max="3851" width="10.140625" style="262" bestFit="1" customWidth="1"/>
    <col min="3852" max="3852" width="9.85546875" style="262" bestFit="1" customWidth="1"/>
    <col min="3853" max="3853" width="9.28515625" style="262" bestFit="1" customWidth="1"/>
    <col min="3854" max="3854" width="10.28515625" style="262" bestFit="1" customWidth="1"/>
    <col min="3855" max="3855" width="11.7109375" style="262" bestFit="1" customWidth="1"/>
    <col min="3856" max="3856" width="9.7109375" style="262" bestFit="1" customWidth="1"/>
    <col min="3857" max="3857" width="8.28515625" style="262" bestFit="1" customWidth="1"/>
    <col min="3858" max="3858" width="9.140625" style="262" bestFit="1" customWidth="1"/>
    <col min="3859" max="3859" width="4.7109375" style="262" bestFit="1" customWidth="1"/>
    <col min="3860" max="4096" width="9.140625" style="262"/>
    <col min="4097" max="4097" width="14.7109375" style="262" bestFit="1" customWidth="1"/>
    <col min="4098" max="4098" width="9.140625" style="262" bestFit="1" customWidth="1"/>
    <col min="4099" max="4099" width="10.140625" style="262" bestFit="1" customWidth="1"/>
    <col min="4100" max="4100" width="9.42578125" style="262" bestFit="1" customWidth="1"/>
    <col min="4101" max="4101" width="10.140625" style="262" bestFit="1" customWidth="1"/>
    <col min="4102" max="4102" width="9.5703125" style="262" bestFit="1" customWidth="1"/>
    <col min="4103" max="4107" width="10.140625" style="262" bestFit="1" customWidth="1"/>
    <col min="4108" max="4108" width="9.85546875" style="262" bestFit="1" customWidth="1"/>
    <col min="4109" max="4109" width="9.28515625" style="262" bestFit="1" customWidth="1"/>
    <col min="4110" max="4110" width="10.28515625" style="262" bestFit="1" customWidth="1"/>
    <col min="4111" max="4111" width="11.7109375" style="262" bestFit="1" customWidth="1"/>
    <col min="4112" max="4112" width="9.7109375" style="262" bestFit="1" customWidth="1"/>
    <col min="4113" max="4113" width="8.28515625" style="262" bestFit="1" customWidth="1"/>
    <col min="4114" max="4114" width="9.140625" style="262" bestFit="1" customWidth="1"/>
    <col min="4115" max="4115" width="4.7109375" style="262" bestFit="1" customWidth="1"/>
    <col min="4116" max="4352" width="9.140625" style="262"/>
    <col min="4353" max="4353" width="14.7109375" style="262" bestFit="1" customWidth="1"/>
    <col min="4354" max="4354" width="9.140625" style="262" bestFit="1" customWidth="1"/>
    <col min="4355" max="4355" width="10.140625" style="262" bestFit="1" customWidth="1"/>
    <col min="4356" max="4356" width="9.42578125" style="262" bestFit="1" customWidth="1"/>
    <col min="4357" max="4357" width="10.140625" style="262" bestFit="1" customWidth="1"/>
    <col min="4358" max="4358" width="9.5703125" style="262" bestFit="1" customWidth="1"/>
    <col min="4359" max="4363" width="10.140625" style="262" bestFit="1" customWidth="1"/>
    <col min="4364" max="4364" width="9.85546875" style="262" bestFit="1" customWidth="1"/>
    <col min="4365" max="4365" width="9.28515625" style="262" bestFit="1" customWidth="1"/>
    <col min="4366" max="4366" width="10.28515625" style="262" bestFit="1" customWidth="1"/>
    <col min="4367" max="4367" width="11.7109375" style="262" bestFit="1" customWidth="1"/>
    <col min="4368" max="4368" width="9.7109375" style="262" bestFit="1" customWidth="1"/>
    <col min="4369" max="4369" width="8.28515625" style="262" bestFit="1" customWidth="1"/>
    <col min="4370" max="4370" width="9.140625" style="262" bestFit="1" customWidth="1"/>
    <col min="4371" max="4371" width="4.7109375" style="262" bestFit="1" customWidth="1"/>
    <col min="4372" max="4608" width="9.140625" style="262"/>
    <col min="4609" max="4609" width="14.7109375" style="262" bestFit="1" customWidth="1"/>
    <col min="4610" max="4610" width="9.140625" style="262" bestFit="1" customWidth="1"/>
    <col min="4611" max="4611" width="10.140625" style="262" bestFit="1" customWidth="1"/>
    <col min="4612" max="4612" width="9.42578125" style="262" bestFit="1" customWidth="1"/>
    <col min="4613" max="4613" width="10.140625" style="262" bestFit="1" customWidth="1"/>
    <col min="4614" max="4614" width="9.5703125" style="262" bestFit="1" customWidth="1"/>
    <col min="4615" max="4619" width="10.140625" style="262" bestFit="1" customWidth="1"/>
    <col min="4620" max="4620" width="9.85546875" style="262" bestFit="1" customWidth="1"/>
    <col min="4621" max="4621" width="9.28515625" style="262" bestFit="1" customWidth="1"/>
    <col min="4622" max="4622" width="10.28515625" style="262" bestFit="1" customWidth="1"/>
    <col min="4623" max="4623" width="11.7109375" style="262" bestFit="1" customWidth="1"/>
    <col min="4624" max="4624" width="9.7109375" style="262" bestFit="1" customWidth="1"/>
    <col min="4625" max="4625" width="8.28515625" style="262" bestFit="1" customWidth="1"/>
    <col min="4626" max="4626" width="9.140625" style="262" bestFit="1" customWidth="1"/>
    <col min="4627" max="4627" width="4.7109375" style="262" bestFit="1" customWidth="1"/>
    <col min="4628" max="4864" width="9.140625" style="262"/>
    <col min="4865" max="4865" width="14.7109375" style="262" bestFit="1" customWidth="1"/>
    <col min="4866" max="4866" width="9.140625" style="262" bestFit="1" customWidth="1"/>
    <col min="4867" max="4867" width="10.140625" style="262" bestFit="1" customWidth="1"/>
    <col min="4868" max="4868" width="9.42578125" style="262" bestFit="1" customWidth="1"/>
    <col min="4869" max="4869" width="10.140625" style="262" bestFit="1" customWidth="1"/>
    <col min="4870" max="4870" width="9.5703125" style="262" bestFit="1" customWidth="1"/>
    <col min="4871" max="4875" width="10.140625" style="262" bestFit="1" customWidth="1"/>
    <col min="4876" max="4876" width="9.85546875" style="262" bestFit="1" customWidth="1"/>
    <col min="4877" max="4877" width="9.28515625" style="262" bestFit="1" customWidth="1"/>
    <col min="4878" max="4878" width="10.28515625" style="262" bestFit="1" customWidth="1"/>
    <col min="4879" max="4879" width="11.7109375" style="262" bestFit="1" customWidth="1"/>
    <col min="4880" max="4880" width="9.7109375" style="262" bestFit="1" customWidth="1"/>
    <col min="4881" max="4881" width="8.28515625" style="262" bestFit="1" customWidth="1"/>
    <col min="4882" max="4882" width="9.140625" style="262" bestFit="1" customWidth="1"/>
    <col min="4883" max="4883" width="4.7109375" style="262" bestFit="1" customWidth="1"/>
    <col min="4884" max="5120" width="9.140625" style="262"/>
    <col min="5121" max="5121" width="14.7109375" style="262" bestFit="1" customWidth="1"/>
    <col min="5122" max="5122" width="9.140625" style="262" bestFit="1" customWidth="1"/>
    <col min="5123" max="5123" width="10.140625" style="262" bestFit="1" customWidth="1"/>
    <col min="5124" max="5124" width="9.42578125" style="262" bestFit="1" customWidth="1"/>
    <col min="5125" max="5125" width="10.140625" style="262" bestFit="1" customWidth="1"/>
    <col min="5126" max="5126" width="9.5703125" style="262" bestFit="1" customWidth="1"/>
    <col min="5127" max="5131" width="10.140625" style="262" bestFit="1" customWidth="1"/>
    <col min="5132" max="5132" width="9.85546875" style="262" bestFit="1" customWidth="1"/>
    <col min="5133" max="5133" width="9.28515625" style="262" bestFit="1" customWidth="1"/>
    <col min="5134" max="5134" width="10.28515625" style="262" bestFit="1" customWidth="1"/>
    <col min="5135" max="5135" width="11.7109375" style="262" bestFit="1" customWidth="1"/>
    <col min="5136" max="5136" width="9.7109375" style="262" bestFit="1" customWidth="1"/>
    <col min="5137" max="5137" width="8.28515625" style="262" bestFit="1" customWidth="1"/>
    <col min="5138" max="5138" width="9.140625" style="262" bestFit="1" customWidth="1"/>
    <col min="5139" max="5139" width="4.7109375" style="262" bestFit="1" customWidth="1"/>
    <col min="5140" max="5376" width="9.140625" style="262"/>
    <col min="5377" max="5377" width="14.7109375" style="262" bestFit="1" customWidth="1"/>
    <col min="5378" max="5378" width="9.140625" style="262" bestFit="1" customWidth="1"/>
    <col min="5379" max="5379" width="10.140625" style="262" bestFit="1" customWidth="1"/>
    <col min="5380" max="5380" width="9.42578125" style="262" bestFit="1" customWidth="1"/>
    <col min="5381" max="5381" width="10.140625" style="262" bestFit="1" customWidth="1"/>
    <col min="5382" max="5382" width="9.5703125" style="262" bestFit="1" customWidth="1"/>
    <col min="5383" max="5387" width="10.140625" style="262" bestFit="1" customWidth="1"/>
    <col min="5388" max="5388" width="9.85546875" style="262" bestFit="1" customWidth="1"/>
    <col min="5389" max="5389" width="9.28515625" style="262" bestFit="1" customWidth="1"/>
    <col min="5390" max="5390" width="10.28515625" style="262" bestFit="1" customWidth="1"/>
    <col min="5391" max="5391" width="11.7109375" style="262" bestFit="1" customWidth="1"/>
    <col min="5392" max="5392" width="9.7109375" style="262" bestFit="1" customWidth="1"/>
    <col min="5393" max="5393" width="8.28515625" style="262" bestFit="1" customWidth="1"/>
    <col min="5394" max="5394" width="9.140625" style="262" bestFit="1" customWidth="1"/>
    <col min="5395" max="5395" width="4.7109375" style="262" bestFit="1" customWidth="1"/>
    <col min="5396" max="5632" width="9.140625" style="262"/>
    <col min="5633" max="5633" width="14.7109375" style="262" bestFit="1" customWidth="1"/>
    <col min="5634" max="5634" width="9.140625" style="262" bestFit="1" customWidth="1"/>
    <col min="5635" max="5635" width="10.140625" style="262" bestFit="1" customWidth="1"/>
    <col min="5636" max="5636" width="9.42578125" style="262" bestFit="1" customWidth="1"/>
    <col min="5637" max="5637" width="10.140625" style="262" bestFit="1" customWidth="1"/>
    <col min="5638" max="5638" width="9.5703125" style="262" bestFit="1" customWidth="1"/>
    <col min="5639" max="5643" width="10.140625" style="262" bestFit="1" customWidth="1"/>
    <col min="5644" max="5644" width="9.85546875" style="262" bestFit="1" customWidth="1"/>
    <col min="5645" max="5645" width="9.28515625" style="262" bestFit="1" customWidth="1"/>
    <col min="5646" max="5646" width="10.28515625" style="262" bestFit="1" customWidth="1"/>
    <col min="5647" max="5647" width="11.7109375" style="262" bestFit="1" customWidth="1"/>
    <col min="5648" max="5648" width="9.7109375" style="262" bestFit="1" customWidth="1"/>
    <col min="5649" max="5649" width="8.28515625" style="262" bestFit="1" customWidth="1"/>
    <col min="5650" max="5650" width="9.140625" style="262" bestFit="1" customWidth="1"/>
    <col min="5651" max="5651" width="4.7109375" style="262" bestFit="1" customWidth="1"/>
    <col min="5652" max="5888" width="9.140625" style="262"/>
    <col min="5889" max="5889" width="14.7109375" style="262" bestFit="1" customWidth="1"/>
    <col min="5890" max="5890" width="9.140625" style="262" bestFit="1" customWidth="1"/>
    <col min="5891" max="5891" width="10.140625" style="262" bestFit="1" customWidth="1"/>
    <col min="5892" max="5892" width="9.42578125" style="262" bestFit="1" customWidth="1"/>
    <col min="5893" max="5893" width="10.140625" style="262" bestFit="1" customWidth="1"/>
    <col min="5894" max="5894" width="9.5703125" style="262" bestFit="1" customWidth="1"/>
    <col min="5895" max="5899" width="10.140625" style="262" bestFit="1" customWidth="1"/>
    <col min="5900" max="5900" width="9.85546875" style="262" bestFit="1" customWidth="1"/>
    <col min="5901" max="5901" width="9.28515625" style="262" bestFit="1" customWidth="1"/>
    <col min="5902" max="5902" width="10.28515625" style="262" bestFit="1" customWidth="1"/>
    <col min="5903" max="5903" width="11.7109375" style="262" bestFit="1" customWidth="1"/>
    <col min="5904" max="5904" width="9.7109375" style="262" bestFit="1" customWidth="1"/>
    <col min="5905" max="5905" width="8.28515625" style="262" bestFit="1" customWidth="1"/>
    <col min="5906" max="5906" width="9.140625" style="262" bestFit="1" customWidth="1"/>
    <col min="5907" max="5907" width="4.7109375" style="262" bestFit="1" customWidth="1"/>
    <col min="5908" max="6144" width="9.140625" style="262"/>
    <col min="6145" max="6145" width="14.7109375" style="262" bestFit="1" customWidth="1"/>
    <col min="6146" max="6146" width="9.140625" style="262" bestFit="1" customWidth="1"/>
    <col min="6147" max="6147" width="10.140625" style="262" bestFit="1" customWidth="1"/>
    <col min="6148" max="6148" width="9.42578125" style="262" bestFit="1" customWidth="1"/>
    <col min="6149" max="6149" width="10.140625" style="262" bestFit="1" customWidth="1"/>
    <col min="6150" max="6150" width="9.5703125" style="262" bestFit="1" customWidth="1"/>
    <col min="6151" max="6155" width="10.140625" style="262" bestFit="1" customWidth="1"/>
    <col min="6156" max="6156" width="9.85546875" style="262" bestFit="1" customWidth="1"/>
    <col min="6157" max="6157" width="9.28515625" style="262" bestFit="1" customWidth="1"/>
    <col min="6158" max="6158" width="10.28515625" style="262" bestFit="1" customWidth="1"/>
    <col min="6159" max="6159" width="11.7109375" style="262" bestFit="1" customWidth="1"/>
    <col min="6160" max="6160" width="9.7109375" style="262" bestFit="1" customWidth="1"/>
    <col min="6161" max="6161" width="8.28515625" style="262" bestFit="1" customWidth="1"/>
    <col min="6162" max="6162" width="9.140625" style="262" bestFit="1" customWidth="1"/>
    <col min="6163" max="6163" width="4.7109375" style="262" bestFit="1" customWidth="1"/>
    <col min="6164" max="6400" width="9.140625" style="262"/>
    <col min="6401" max="6401" width="14.7109375" style="262" bestFit="1" customWidth="1"/>
    <col min="6402" max="6402" width="9.140625" style="262" bestFit="1" customWidth="1"/>
    <col min="6403" max="6403" width="10.140625" style="262" bestFit="1" customWidth="1"/>
    <col min="6404" max="6404" width="9.42578125" style="262" bestFit="1" customWidth="1"/>
    <col min="6405" max="6405" width="10.140625" style="262" bestFit="1" customWidth="1"/>
    <col min="6406" max="6406" width="9.5703125" style="262" bestFit="1" customWidth="1"/>
    <col min="6407" max="6411" width="10.140625" style="262" bestFit="1" customWidth="1"/>
    <col min="6412" max="6412" width="9.85546875" style="262" bestFit="1" customWidth="1"/>
    <col min="6413" max="6413" width="9.28515625" style="262" bestFit="1" customWidth="1"/>
    <col min="6414" max="6414" width="10.28515625" style="262" bestFit="1" customWidth="1"/>
    <col min="6415" max="6415" width="11.7109375" style="262" bestFit="1" customWidth="1"/>
    <col min="6416" max="6416" width="9.7109375" style="262" bestFit="1" customWidth="1"/>
    <col min="6417" max="6417" width="8.28515625" style="262" bestFit="1" customWidth="1"/>
    <col min="6418" max="6418" width="9.140625" style="262" bestFit="1" customWidth="1"/>
    <col min="6419" max="6419" width="4.7109375" style="262" bestFit="1" customWidth="1"/>
    <col min="6420" max="6656" width="9.140625" style="262"/>
    <col min="6657" max="6657" width="14.7109375" style="262" bestFit="1" customWidth="1"/>
    <col min="6658" max="6658" width="9.140625" style="262" bestFit="1" customWidth="1"/>
    <col min="6659" max="6659" width="10.140625" style="262" bestFit="1" customWidth="1"/>
    <col min="6660" max="6660" width="9.42578125" style="262" bestFit="1" customWidth="1"/>
    <col min="6661" max="6661" width="10.140625" style="262" bestFit="1" customWidth="1"/>
    <col min="6662" max="6662" width="9.5703125" style="262" bestFit="1" customWidth="1"/>
    <col min="6663" max="6667" width="10.140625" style="262" bestFit="1" customWidth="1"/>
    <col min="6668" max="6668" width="9.85546875" style="262" bestFit="1" customWidth="1"/>
    <col min="6669" max="6669" width="9.28515625" style="262" bestFit="1" customWidth="1"/>
    <col min="6670" max="6670" width="10.28515625" style="262" bestFit="1" customWidth="1"/>
    <col min="6671" max="6671" width="11.7109375" style="262" bestFit="1" customWidth="1"/>
    <col min="6672" max="6672" width="9.7109375" style="262" bestFit="1" customWidth="1"/>
    <col min="6673" max="6673" width="8.28515625" style="262" bestFit="1" customWidth="1"/>
    <col min="6674" max="6674" width="9.140625" style="262" bestFit="1" customWidth="1"/>
    <col min="6675" max="6675" width="4.7109375" style="262" bestFit="1" customWidth="1"/>
    <col min="6676" max="6912" width="9.140625" style="262"/>
    <col min="6913" max="6913" width="14.7109375" style="262" bestFit="1" customWidth="1"/>
    <col min="6914" max="6914" width="9.140625" style="262" bestFit="1" customWidth="1"/>
    <col min="6915" max="6915" width="10.140625" style="262" bestFit="1" customWidth="1"/>
    <col min="6916" max="6916" width="9.42578125" style="262" bestFit="1" customWidth="1"/>
    <col min="6917" max="6917" width="10.140625" style="262" bestFit="1" customWidth="1"/>
    <col min="6918" max="6918" width="9.5703125" style="262" bestFit="1" customWidth="1"/>
    <col min="6919" max="6923" width="10.140625" style="262" bestFit="1" customWidth="1"/>
    <col min="6924" max="6924" width="9.85546875" style="262" bestFit="1" customWidth="1"/>
    <col min="6925" max="6925" width="9.28515625" style="262" bestFit="1" customWidth="1"/>
    <col min="6926" max="6926" width="10.28515625" style="262" bestFit="1" customWidth="1"/>
    <col min="6927" max="6927" width="11.7109375" style="262" bestFit="1" customWidth="1"/>
    <col min="6928" max="6928" width="9.7109375" style="262" bestFit="1" customWidth="1"/>
    <col min="6929" max="6929" width="8.28515625" style="262" bestFit="1" customWidth="1"/>
    <col min="6930" max="6930" width="9.140625" style="262" bestFit="1" customWidth="1"/>
    <col min="6931" max="6931" width="4.7109375" style="262" bestFit="1" customWidth="1"/>
    <col min="6932" max="7168" width="9.140625" style="262"/>
    <col min="7169" max="7169" width="14.7109375" style="262" bestFit="1" customWidth="1"/>
    <col min="7170" max="7170" width="9.140625" style="262" bestFit="1" customWidth="1"/>
    <col min="7171" max="7171" width="10.140625" style="262" bestFit="1" customWidth="1"/>
    <col min="7172" max="7172" width="9.42578125" style="262" bestFit="1" customWidth="1"/>
    <col min="7173" max="7173" width="10.140625" style="262" bestFit="1" customWidth="1"/>
    <col min="7174" max="7174" width="9.5703125" style="262" bestFit="1" customWidth="1"/>
    <col min="7175" max="7179" width="10.140625" style="262" bestFit="1" customWidth="1"/>
    <col min="7180" max="7180" width="9.85546875" style="262" bestFit="1" customWidth="1"/>
    <col min="7181" max="7181" width="9.28515625" style="262" bestFit="1" customWidth="1"/>
    <col min="7182" max="7182" width="10.28515625" style="262" bestFit="1" customWidth="1"/>
    <col min="7183" max="7183" width="11.7109375" style="262" bestFit="1" customWidth="1"/>
    <col min="7184" max="7184" width="9.7109375" style="262" bestFit="1" customWidth="1"/>
    <col min="7185" max="7185" width="8.28515625" style="262" bestFit="1" customWidth="1"/>
    <col min="7186" max="7186" width="9.140625" style="262" bestFit="1" customWidth="1"/>
    <col min="7187" max="7187" width="4.7109375" style="262" bestFit="1" customWidth="1"/>
    <col min="7188" max="7424" width="9.140625" style="262"/>
    <col min="7425" max="7425" width="14.7109375" style="262" bestFit="1" customWidth="1"/>
    <col min="7426" max="7426" width="9.140625" style="262" bestFit="1" customWidth="1"/>
    <col min="7427" max="7427" width="10.140625" style="262" bestFit="1" customWidth="1"/>
    <col min="7428" max="7428" width="9.42578125" style="262" bestFit="1" customWidth="1"/>
    <col min="7429" max="7429" width="10.140625" style="262" bestFit="1" customWidth="1"/>
    <col min="7430" max="7430" width="9.5703125" style="262" bestFit="1" customWidth="1"/>
    <col min="7431" max="7435" width="10.140625" style="262" bestFit="1" customWidth="1"/>
    <col min="7436" max="7436" width="9.85546875" style="262" bestFit="1" customWidth="1"/>
    <col min="7437" max="7437" width="9.28515625" style="262" bestFit="1" customWidth="1"/>
    <col min="7438" max="7438" width="10.28515625" style="262" bestFit="1" customWidth="1"/>
    <col min="7439" max="7439" width="11.7109375" style="262" bestFit="1" customWidth="1"/>
    <col min="7440" max="7440" width="9.7109375" style="262" bestFit="1" customWidth="1"/>
    <col min="7441" max="7441" width="8.28515625" style="262" bestFit="1" customWidth="1"/>
    <col min="7442" max="7442" width="9.140625" style="262" bestFit="1" customWidth="1"/>
    <col min="7443" max="7443" width="4.7109375" style="262" bestFit="1" customWidth="1"/>
    <col min="7444" max="7680" width="9.140625" style="262"/>
    <col min="7681" max="7681" width="14.7109375" style="262" bestFit="1" customWidth="1"/>
    <col min="7682" max="7682" width="9.140625" style="262" bestFit="1" customWidth="1"/>
    <col min="7683" max="7683" width="10.140625" style="262" bestFit="1" customWidth="1"/>
    <col min="7684" max="7684" width="9.42578125" style="262" bestFit="1" customWidth="1"/>
    <col min="7685" max="7685" width="10.140625" style="262" bestFit="1" customWidth="1"/>
    <col min="7686" max="7686" width="9.5703125" style="262" bestFit="1" customWidth="1"/>
    <col min="7687" max="7691" width="10.140625" style="262" bestFit="1" customWidth="1"/>
    <col min="7692" max="7692" width="9.85546875" style="262" bestFit="1" customWidth="1"/>
    <col min="7693" max="7693" width="9.28515625" style="262" bestFit="1" customWidth="1"/>
    <col min="7694" max="7694" width="10.28515625" style="262" bestFit="1" customWidth="1"/>
    <col min="7695" max="7695" width="11.7109375" style="262" bestFit="1" customWidth="1"/>
    <col min="7696" max="7696" width="9.7109375" style="262" bestFit="1" customWidth="1"/>
    <col min="7697" max="7697" width="8.28515625" style="262" bestFit="1" customWidth="1"/>
    <col min="7698" max="7698" width="9.140625" style="262" bestFit="1" customWidth="1"/>
    <col min="7699" max="7699" width="4.7109375" style="262" bestFit="1" customWidth="1"/>
    <col min="7700" max="7936" width="9.140625" style="262"/>
    <col min="7937" max="7937" width="14.7109375" style="262" bestFit="1" customWidth="1"/>
    <col min="7938" max="7938" width="9.140625" style="262" bestFit="1" customWidth="1"/>
    <col min="7939" max="7939" width="10.140625" style="262" bestFit="1" customWidth="1"/>
    <col min="7940" max="7940" width="9.42578125" style="262" bestFit="1" customWidth="1"/>
    <col min="7941" max="7941" width="10.140625" style="262" bestFit="1" customWidth="1"/>
    <col min="7942" max="7942" width="9.5703125" style="262" bestFit="1" customWidth="1"/>
    <col min="7943" max="7947" width="10.140625" style="262" bestFit="1" customWidth="1"/>
    <col min="7948" max="7948" width="9.85546875" style="262" bestFit="1" customWidth="1"/>
    <col min="7949" max="7949" width="9.28515625" style="262" bestFit="1" customWidth="1"/>
    <col min="7950" max="7950" width="10.28515625" style="262" bestFit="1" customWidth="1"/>
    <col min="7951" max="7951" width="11.7109375" style="262" bestFit="1" customWidth="1"/>
    <col min="7952" max="7952" width="9.7109375" style="262" bestFit="1" customWidth="1"/>
    <col min="7953" max="7953" width="8.28515625" style="262" bestFit="1" customWidth="1"/>
    <col min="7954" max="7954" width="9.140625" style="262" bestFit="1" customWidth="1"/>
    <col min="7955" max="7955" width="4.7109375" style="262" bestFit="1" customWidth="1"/>
    <col min="7956" max="8192" width="9.140625" style="262"/>
    <col min="8193" max="8193" width="14.7109375" style="262" bestFit="1" customWidth="1"/>
    <col min="8194" max="8194" width="9.140625" style="262" bestFit="1" customWidth="1"/>
    <col min="8195" max="8195" width="10.140625" style="262" bestFit="1" customWidth="1"/>
    <col min="8196" max="8196" width="9.42578125" style="262" bestFit="1" customWidth="1"/>
    <col min="8197" max="8197" width="10.140625" style="262" bestFit="1" customWidth="1"/>
    <col min="8198" max="8198" width="9.5703125" style="262" bestFit="1" customWidth="1"/>
    <col min="8199" max="8203" width="10.140625" style="262" bestFit="1" customWidth="1"/>
    <col min="8204" max="8204" width="9.85546875" style="262" bestFit="1" customWidth="1"/>
    <col min="8205" max="8205" width="9.28515625" style="262" bestFit="1" customWidth="1"/>
    <col min="8206" max="8206" width="10.28515625" style="262" bestFit="1" customWidth="1"/>
    <col min="8207" max="8207" width="11.7109375" style="262" bestFit="1" customWidth="1"/>
    <col min="8208" max="8208" width="9.7109375" style="262" bestFit="1" customWidth="1"/>
    <col min="8209" max="8209" width="8.28515625" style="262" bestFit="1" customWidth="1"/>
    <col min="8210" max="8210" width="9.140625" style="262" bestFit="1" customWidth="1"/>
    <col min="8211" max="8211" width="4.7109375" style="262" bestFit="1" customWidth="1"/>
    <col min="8212" max="8448" width="9.140625" style="262"/>
    <col min="8449" max="8449" width="14.7109375" style="262" bestFit="1" customWidth="1"/>
    <col min="8450" max="8450" width="9.140625" style="262" bestFit="1" customWidth="1"/>
    <col min="8451" max="8451" width="10.140625" style="262" bestFit="1" customWidth="1"/>
    <col min="8452" max="8452" width="9.42578125" style="262" bestFit="1" customWidth="1"/>
    <col min="8453" max="8453" width="10.140625" style="262" bestFit="1" customWidth="1"/>
    <col min="8454" max="8454" width="9.5703125" style="262" bestFit="1" customWidth="1"/>
    <col min="8455" max="8459" width="10.140625" style="262" bestFit="1" customWidth="1"/>
    <col min="8460" max="8460" width="9.85546875" style="262" bestFit="1" customWidth="1"/>
    <col min="8461" max="8461" width="9.28515625" style="262" bestFit="1" customWidth="1"/>
    <col min="8462" max="8462" width="10.28515625" style="262" bestFit="1" customWidth="1"/>
    <col min="8463" max="8463" width="11.7109375" style="262" bestFit="1" customWidth="1"/>
    <col min="8464" max="8464" width="9.7109375" style="262" bestFit="1" customWidth="1"/>
    <col min="8465" max="8465" width="8.28515625" style="262" bestFit="1" customWidth="1"/>
    <col min="8466" max="8466" width="9.140625" style="262" bestFit="1" customWidth="1"/>
    <col min="8467" max="8467" width="4.7109375" style="262" bestFit="1" customWidth="1"/>
    <col min="8468" max="8704" width="9.140625" style="262"/>
    <col min="8705" max="8705" width="14.7109375" style="262" bestFit="1" customWidth="1"/>
    <col min="8706" max="8706" width="9.140625" style="262" bestFit="1" customWidth="1"/>
    <col min="8707" max="8707" width="10.140625" style="262" bestFit="1" customWidth="1"/>
    <col min="8708" max="8708" width="9.42578125" style="262" bestFit="1" customWidth="1"/>
    <col min="8709" max="8709" width="10.140625" style="262" bestFit="1" customWidth="1"/>
    <col min="8710" max="8710" width="9.5703125" style="262" bestFit="1" customWidth="1"/>
    <col min="8711" max="8715" width="10.140625" style="262" bestFit="1" customWidth="1"/>
    <col min="8716" max="8716" width="9.85546875" style="262" bestFit="1" customWidth="1"/>
    <col min="8717" max="8717" width="9.28515625" style="262" bestFit="1" customWidth="1"/>
    <col min="8718" max="8718" width="10.28515625" style="262" bestFit="1" customWidth="1"/>
    <col min="8719" max="8719" width="11.7109375" style="262" bestFit="1" customWidth="1"/>
    <col min="8720" max="8720" width="9.7109375" style="262" bestFit="1" customWidth="1"/>
    <col min="8721" max="8721" width="8.28515625" style="262" bestFit="1" customWidth="1"/>
    <col min="8722" max="8722" width="9.140625" style="262" bestFit="1" customWidth="1"/>
    <col min="8723" max="8723" width="4.7109375" style="262" bestFit="1" customWidth="1"/>
    <col min="8724" max="8960" width="9.140625" style="262"/>
    <col min="8961" max="8961" width="14.7109375" style="262" bestFit="1" customWidth="1"/>
    <col min="8962" max="8962" width="9.140625" style="262" bestFit="1" customWidth="1"/>
    <col min="8963" max="8963" width="10.140625" style="262" bestFit="1" customWidth="1"/>
    <col min="8964" max="8964" width="9.42578125" style="262" bestFit="1" customWidth="1"/>
    <col min="8965" max="8965" width="10.140625" style="262" bestFit="1" customWidth="1"/>
    <col min="8966" max="8966" width="9.5703125" style="262" bestFit="1" customWidth="1"/>
    <col min="8967" max="8971" width="10.140625" style="262" bestFit="1" customWidth="1"/>
    <col min="8972" max="8972" width="9.85546875" style="262" bestFit="1" customWidth="1"/>
    <col min="8973" max="8973" width="9.28515625" style="262" bestFit="1" customWidth="1"/>
    <col min="8974" max="8974" width="10.28515625" style="262" bestFit="1" customWidth="1"/>
    <col min="8975" max="8975" width="11.7109375" style="262" bestFit="1" customWidth="1"/>
    <col min="8976" max="8976" width="9.7109375" style="262" bestFit="1" customWidth="1"/>
    <col min="8977" max="8977" width="8.28515625" style="262" bestFit="1" customWidth="1"/>
    <col min="8978" max="8978" width="9.140625" style="262" bestFit="1" customWidth="1"/>
    <col min="8979" max="8979" width="4.7109375" style="262" bestFit="1" customWidth="1"/>
    <col min="8980" max="9216" width="9.140625" style="262"/>
    <col min="9217" max="9217" width="14.7109375" style="262" bestFit="1" customWidth="1"/>
    <col min="9218" max="9218" width="9.140625" style="262" bestFit="1" customWidth="1"/>
    <col min="9219" max="9219" width="10.140625" style="262" bestFit="1" customWidth="1"/>
    <col min="9220" max="9220" width="9.42578125" style="262" bestFit="1" customWidth="1"/>
    <col min="9221" max="9221" width="10.140625" style="262" bestFit="1" customWidth="1"/>
    <col min="9222" max="9222" width="9.5703125" style="262" bestFit="1" customWidth="1"/>
    <col min="9223" max="9227" width="10.140625" style="262" bestFit="1" customWidth="1"/>
    <col min="9228" max="9228" width="9.85546875" style="262" bestFit="1" customWidth="1"/>
    <col min="9229" max="9229" width="9.28515625" style="262" bestFit="1" customWidth="1"/>
    <col min="9230" max="9230" width="10.28515625" style="262" bestFit="1" customWidth="1"/>
    <col min="9231" max="9231" width="11.7109375" style="262" bestFit="1" customWidth="1"/>
    <col min="9232" max="9232" width="9.7109375" style="262" bestFit="1" customWidth="1"/>
    <col min="9233" max="9233" width="8.28515625" style="262" bestFit="1" customWidth="1"/>
    <col min="9234" max="9234" width="9.140625" style="262" bestFit="1" customWidth="1"/>
    <col min="9235" max="9235" width="4.7109375" style="262" bestFit="1" customWidth="1"/>
    <col min="9236" max="9472" width="9.140625" style="262"/>
    <col min="9473" max="9473" width="14.7109375" style="262" bestFit="1" customWidth="1"/>
    <col min="9474" max="9474" width="9.140625" style="262" bestFit="1" customWidth="1"/>
    <col min="9475" max="9475" width="10.140625" style="262" bestFit="1" customWidth="1"/>
    <col min="9476" max="9476" width="9.42578125" style="262" bestFit="1" customWidth="1"/>
    <col min="9477" max="9477" width="10.140625" style="262" bestFit="1" customWidth="1"/>
    <col min="9478" max="9478" width="9.5703125" style="262" bestFit="1" customWidth="1"/>
    <col min="9479" max="9483" width="10.140625" style="262" bestFit="1" customWidth="1"/>
    <col min="9484" max="9484" width="9.85546875" style="262" bestFit="1" customWidth="1"/>
    <col min="9485" max="9485" width="9.28515625" style="262" bestFit="1" customWidth="1"/>
    <col min="9486" max="9486" width="10.28515625" style="262" bestFit="1" customWidth="1"/>
    <col min="9487" max="9487" width="11.7109375" style="262" bestFit="1" customWidth="1"/>
    <col min="9488" max="9488" width="9.7109375" style="262" bestFit="1" customWidth="1"/>
    <col min="9489" max="9489" width="8.28515625" style="262" bestFit="1" customWidth="1"/>
    <col min="9490" max="9490" width="9.140625" style="262" bestFit="1" customWidth="1"/>
    <col min="9491" max="9491" width="4.7109375" style="262" bestFit="1" customWidth="1"/>
    <col min="9492" max="9728" width="9.140625" style="262"/>
    <col min="9729" max="9729" width="14.7109375" style="262" bestFit="1" customWidth="1"/>
    <col min="9730" max="9730" width="9.140625" style="262" bestFit="1" customWidth="1"/>
    <col min="9731" max="9731" width="10.140625" style="262" bestFit="1" customWidth="1"/>
    <col min="9732" max="9732" width="9.42578125" style="262" bestFit="1" customWidth="1"/>
    <col min="9733" max="9733" width="10.140625" style="262" bestFit="1" customWidth="1"/>
    <col min="9734" max="9734" width="9.5703125" style="262" bestFit="1" customWidth="1"/>
    <col min="9735" max="9739" width="10.140625" style="262" bestFit="1" customWidth="1"/>
    <col min="9740" max="9740" width="9.85546875" style="262" bestFit="1" customWidth="1"/>
    <col min="9741" max="9741" width="9.28515625" style="262" bestFit="1" customWidth="1"/>
    <col min="9742" max="9742" width="10.28515625" style="262" bestFit="1" customWidth="1"/>
    <col min="9743" max="9743" width="11.7109375" style="262" bestFit="1" customWidth="1"/>
    <col min="9744" max="9744" width="9.7109375" style="262" bestFit="1" customWidth="1"/>
    <col min="9745" max="9745" width="8.28515625" style="262" bestFit="1" customWidth="1"/>
    <col min="9746" max="9746" width="9.140625" style="262" bestFit="1" customWidth="1"/>
    <col min="9747" max="9747" width="4.7109375" style="262" bestFit="1" customWidth="1"/>
    <col min="9748" max="9984" width="9.140625" style="262"/>
    <col min="9985" max="9985" width="14.7109375" style="262" bestFit="1" customWidth="1"/>
    <col min="9986" max="9986" width="9.140625" style="262" bestFit="1" customWidth="1"/>
    <col min="9987" max="9987" width="10.140625" style="262" bestFit="1" customWidth="1"/>
    <col min="9988" max="9988" width="9.42578125" style="262" bestFit="1" customWidth="1"/>
    <col min="9989" max="9989" width="10.140625" style="262" bestFit="1" customWidth="1"/>
    <col min="9990" max="9990" width="9.5703125" style="262" bestFit="1" customWidth="1"/>
    <col min="9991" max="9995" width="10.140625" style="262" bestFit="1" customWidth="1"/>
    <col min="9996" max="9996" width="9.85546875" style="262" bestFit="1" customWidth="1"/>
    <col min="9997" max="9997" width="9.28515625" style="262" bestFit="1" customWidth="1"/>
    <col min="9998" max="9998" width="10.28515625" style="262" bestFit="1" customWidth="1"/>
    <col min="9999" max="9999" width="11.7109375" style="262" bestFit="1" customWidth="1"/>
    <col min="10000" max="10000" width="9.7109375" style="262" bestFit="1" customWidth="1"/>
    <col min="10001" max="10001" width="8.28515625" style="262" bestFit="1" customWidth="1"/>
    <col min="10002" max="10002" width="9.140625" style="262" bestFit="1" customWidth="1"/>
    <col min="10003" max="10003" width="4.7109375" style="262" bestFit="1" customWidth="1"/>
    <col min="10004" max="10240" width="9.140625" style="262"/>
    <col min="10241" max="10241" width="14.7109375" style="262" bestFit="1" customWidth="1"/>
    <col min="10242" max="10242" width="9.140625" style="262" bestFit="1" customWidth="1"/>
    <col min="10243" max="10243" width="10.140625" style="262" bestFit="1" customWidth="1"/>
    <col min="10244" max="10244" width="9.42578125" style="262" bestFit="1" customWidth="1"/>
    <col min="10245" max="10245" width="10.140625" style="262" bestFit="1" customWidth="1"/>
    <col min="10246" max="10246" width="9.5703125" style="262" bestFit="1" customWidth="1"/>
    <col min="10247" max="10251" width="10.140625" style="262" bestFit="1" customWidth="1"/>
    <col min="10252" max="10252" width="9.85546875" style="262" bestFit="1" customWidth="1"/>
    <col min="10253" max="10253" width="9.28515625" style="262" bestFit="1" customWidth="1"/>
    <col min="10254" max="10254" width="10.28515625" style="262" bestFit="1" customWidth="1"/>
    <col min="10255" max="10255" width="11.7109375" style="262" bestFit="1" customWidth="1"/>
    <col min="10256" max="10256" width="9.7109375" style="262" bestFit="1" customWidth="1"/>
    <col min="10257" max="10257" width="8.28515625" style="262" bestFit="1" customWidth="1"/>
    <col min="10258" max="10258" width="9.140625" style="262" bestFit="1" customWidth="1"/>
    <col min="10259" max="10259" width="4.7109375" style="262" bestFit="1" customWidth="1"/>
    <col min="10260" max="10496" width="9.140625" style="262"/>
    <col min="10497" max="10497" width="14.7109375" style="262" bestFit="1" customWidth="1"/>
    <col min="10498" max="10498" width="9.140625" style="262" bestFit="1" customWidth="1"/>
    <col min="10499" max="10499" width="10.140625" style="262" bestFit="1" customWidth="1"/>
    <col min="10500" max="10500" width="9.42578125" style="262" bestFit="1" customWidth="1"/>
    <col min="10501" max="10501" width="10.140625" style="262" bestFit="1" customWidth="1"/>
    <col min="10502" max="10502" width="9.5703125" style="262" bestFit="1" customWidth="1"/>
    <col min="10503" max="10507" width="10.140625" style="262" bestFit="1" customWidth="1"/>
    <col min="10508" max="10508" width="9.85546875" style="262" bestFit="1" customWidth="1"/>
    <col min="10509" max="10509" width="9.28515625" style="262" bestFit="1" customWidth="1"/>
    <col min="10510" max="10510" width="10.28515625" style="262" bestFit="1" customWidth="1"/>
    <col min="10511" max="10511" width="11.7109375" style="262" bestFit="1" customWidth="1"/>
    <col min="10512" max="10512" width="9.7109375" style="262" bestFit="1" customWidth="1"/>
    <col min="10513" max="10513" width="8.28515625" style="262" bestFit="1" customWidth="1"/>
    <col min="10514" max="10514" width="9.140625" style="262" bestFit="1" customWidth="1"/>
    <col min="10515" max="10515" width="4.7109375" style="262" bestFit="1" customWidth="1"/>
    <col min="10516" max="10752" width="9.140625" style="262"/>
    <col min="10753" max="10753" width="14.7109375" style="262" bestFit="1" customWidth="1"/>
    <col min="10754" max="10754" width="9.140625" style="262" bestFit="1" customWidth="1"/>
    <col min="10755" max="10755" width="10.140625" style="262" bestFit="1" customWidth="1"/>
    <col min="10756" max="10756" width="9.42578125" style="262" bestFit="1" customWidth="1"/>
    <col min="10757" max="10757" width="10.140625" style="262" bestFit="1" customWidth="1"/>
    <col min="10758" max="10758" width="9.5703125" style="262" bestFit="1" customWidth="1"/>
    <col min="10759" max="10763" width="10.140625" style="262" bestFit="1" customWidth="1"/>
    <col min="10764" max="10764" width="9.85546875" style="262" bestFit="1" customWidth="1"/>
    <col min="10765" max="10765" width="9.28515625" style="262" bestFit="1" customWidth="1"/>
    <col min="10766" max="10766" width="10.28515625" style="262" bestFit="1" customWidth="1"/>
    <col min="10767" max="10767" width="11.7109375" style="262" bestFit="1" customWidth="1"/>
    <col min="10768" max="10768" width="9.7109375" style="262" bestFit="1" customWidth="1"/>
    <col min="10769" max="10769" width="8.28515625" style="262" bestFit="1" customWidth="1"/>
    <col min="10770" max="10770" width="9.140625" style="262" bestFit="1" customWidth="1"/>
    <col min="10771" max="10771" width="4.7109375" style="262" bestFit="1" customWidth="1"/>
    <col min="10772" max="11008" width="9.140625" style="262"/>
    <col min="11009" max="11009" width="14.7109375" style="262" bestFit="1" customWidth="1"/>
    <col min="11010" max="11010" width="9.140625" style="262" bestFit="1" customWidth="1"/>
    <col min="11011" max="11011" width="10.140625" style="262" bestFit="1" customWidth="1"/>
    <col min="11012" max="11012" width="9.42578125" style="262" bestFit="1" customWidth="1"/>
    <col min="11013" max="11013" width="10.140625" style="262" bestFit="1" customWidth="1"/>
    <col min="11014" max="11014" width="9.5703125" style="262" bestFit="1" customWidth="1"/>
    <col min="11015" max="11019" width="10.140625" style="262" bestFit="1" customWidth="1"/>
    <col min="11020" max="11020" width="9.85546875" style="262" bestFit="1" customWidth="1"/>
    <col min="11021" max="11021" width="9.28515625" style="262" bestFit="1" customWidth="1"/>
    <col min="11022" max="11022" width="10.28515625" style="262" bestFit="1" customWidth="1"/>
    <col min="11023" max="11023" width="11.7109375" style="262" bestFit="1" customWidth="1"/>
    <col min="11024" max="11024" width="9.7109375" style="262" bestFit="1" customWidth="1"/>
    <col min="11025" max="11025" width="8.28515625" style="262" bestFit="1" customWidth="1"/>
    <col min="11026" max="11026" width="9.140625" style="262" bestFit="1" customWidth="1"/>
    <col min="11027" max="11027" width="4.7109375" style="262" bestFit="1" customWidth="1"/>
    <col min="11028" max="11264" width="9.140625" style="262"/>
    <col min="11265" max="11265" width="14.7109375" style="262" bestFit="1" customWidth="1"/>
    <col min="11266" max="11266" width="9.140625" style="262" bestFit="1" customWidth="1"/>
    <col min="11267" max="11267" width="10.140625" style="262" bestFit="1" customWidth="1"/>
    <col min="11268" max="11268" width="9.42578125" style="262" bestFit="1" customWidth="1"/>
    <col min="11269" max="11269" width="10.140625" style="262" bestFit="1" customWidth="1"/>
    <col min="11270" max="11270" width="9.5703125" style="262" bestFit="1" customWidth="1"/>
    <col min="11271" max="11275" width="10.140625" style="262" bestFit="1" customWidth="1"/>
    <col min="11276" max="11276" width="9.85546875" style="262" bestFit="1" customWidth="1"/>
    <col min="11277" max="11277" width="9.28515625" style="262" bestFit="1" customWidth="1"/>
    <col min="11278" max="11278" width="10.28515625" style="262" bestFit="1" customWidth="1"/>
    <col min="11279" max="11279" width="11.7109375" style="262" bestFit="1" customWidth="1"/>
    <col min="11280" max="11280" width="9.7109375" style="262" bestFit="1" customWidth="1"/>
    <col min="11281" max="11281" width="8.28515625" style="262" bestFit="1" customWidth="1"/>
    <col min="11282" max="11282" width="9.140625" style="262" bestFit="1" customWidth="1"/>
    <col min="11283" max="11283" width="4.7109375" style="262" bestFit="1" customWidth="1"/>
    <col min="11284" max="11520" width="9.140625" style="262"/>
    <col min="11521" max="11521" width="14.7109375" style="262" bestFit="1" customWidth="1"/>
    <col min="11522" max="11522" width="9.140625" style="262" bestFit="1" customWidth="1"/>
    <col min="11523" max="11523" width="10.140625" style="262" bestFit="1" customWidth="1"/>
    <col min="11524" max="11524" width="9.42578125" style="262" bestFit="1" customWidth="1"/>
    <col min="11525" max="11525" width="10.140625" style="262" bestFit="1" customWidth="1"/>
    <col min="11526" max="11526" width="9.5703125" style="262" bestFit="1" customWidth="1"/>
    <col min="11527" max="11531" width="10.140625" style="262" bestFit="1" customWidth="1"/>
    <col min="11532" max="11532" width="9.85546875" style="262" bestFit="1" customWidth="1"/>
    <col min="11533" max="11533" width="9.28515625" style="262" bestFit="1" customWidth="1"/>
    <col min="11534" max="11534" width="10.28515625" style="262" bestFit="1" customWidth="1"/>
    <col min="11535" max="11535" width="11.7109375" style="262" bestFit="1" customWidth="1"/>
    <col min="11536" max="11536" width="9.7109375" style="262" bestFit="1" customWidth="1"/>
    <col min="11537" max="11537" width="8.28515625" style="262" bestFit="1" customWidth="1"/>
    <col min="11538" max="11538" width="9.140625" style="262" bestFit="1" customWidth="1"/>
    <col min="11539" max="11539" width="4.7109375" style="262" bestFit="1" customWidth="1"/>
    <col min="11540" max="11776" width="9.140625" style="262"/>
    <col min="11777" max="11777" width="14.7109375" style="262" bestFit="1" customWidth="1"/>
    <col min="11778" max="11778" width="9.140625" style="262" bestFit="1" customWidth="1"/>
    <col min="11779" max="11779" width="10.140625" style="262" bestFit="1" customWidth="1"/>
    <col min="11780" max="11780" width="9.42578125" style="262" bestFit="1" customWidth="1"/>
    <col min="11781" max="11781" width="10.140625" style="262" bestFit="1" customWidth="1"/>
    <col min="11782" max="11782" width="9.5703125" style="262" bestFit="1" customWidth="1"/>
    <col min="11783" max="11787" width="10.140625" style="262" bestFit="1" customWidth="1"/>
    <col min="11788" max="11788" width="9.85546875" style="262" bestFit="1" customWidth="1"/>
    <col min="11789" max="11789" width="9.28515625" style="262" bestFit="1" customWidth="1"/>
    <col min="11790" max="11790" width="10.28515625" style="262" bestFit="1" customWidth="1"/>
    <col min="11791" max="11791" width="11.7109375" style="262" bestFit="1" customWidth="1"/>
    <col min="11792" max="11792" width="9.7109375" style="262" bestFit="1" customWidth="1"/>
    <col min="11793" max="11793" width="8.28515625" style="262" bestFit="1" customWidth="1"/>
    <col min="11794" max="11794" width="9.140625" style="262" bestFit="1" customWidth="1"/>
    <col min="11795" max="11795" width="4.7109375" style="262" bestFit="1" customWidth="1"/>
    <col min="11796" max="12032" width="9.140625" style="262"/>
    <col min="12033" max="12033" width="14.7109375" style="262" bestFit="1" customWidth="1"/>
    <col min="12034" max="12034" width="9.140625" style="262" bestFit="1" customWidth="1"/>
    <col min="12035" max="12035" width="10.140625" style="262" bestFit="1" customWidth="1"/>
    <col min="12036" max="12036" width="9.42578125" style="262" bestFit="1" customWidth="1"/>
    <col min="12037" max="12037" width="10.140625" style="262" bestFit="1" customWidth="1"/>
    <col min="12038" max="12038" width="9.5703125" style="262" bestFit="1" customWidth="1"/>
    <col min="12039" max="12043" width="10.140625" style="262" bestFit="1" customWidth="1"/>
    <col min="12044" max="12044" width="9.85546875" style="262" bestFit="1" customWidth="1"/>
    <col min="12045" max="12045" width="9.28515625" style="262" bestFit="1" customWidth="1"/>
    <col min="12046" max="12046" width="10.28515625" style="262" bestFit="1" customWidth="1"/>
    <col min="12047" max="12047" width="11.7109375" style="262" bestFit="1" customWidth="1"/>
    <col min="12048" max="12048" width="9.7109375" style="262" bestFit="1" customWidth="1"/>
    <col min="12049" max="12049" width="8.28515625" style="262" bestFit="1" customWidth="1"/>
    <col min="12050" max="12050" width="9.140625" style="262" bestFit="1" customWidth="1"/>
    <col min="12051" max="12051" width="4.7109375" style="262" bestFit="1" customWidth="1"/>
    <col min="12052" max="12288" width="9.140625" style="262"/>
    <col min="12289" max="12289" width="14.7109375" style="262" bestFit="1" customWidth="1"/>
    <col min="12290" max="12290" width="9.140625" style="262" bestFit="1" customWidth="1"/>
    <col min="12291" max="12291" width="10.140625" style="262" bestFit="1" customWidth="1"/>
    <col min="12292" max="12292" width="9.42578125" style="262" bestFit="1" customWidth="1"/>
    <col min="12293" max="12293" width="10.140625" style="262" bestFit="1" customWidth="1"/>
    <col min="12294" max="12294" width="9.5703125" style="262" bestFit="1" customWidth="1"/>
    <col min="12295" max="12299" width="10.140625" style="262" bestFit="1" customWidth="1"/>
    <col min="12300" max="12300" width="9.85546875" style="262" bestFit="1" customWidth="1"/>
    <col min="12301" max="12301" width="9.28515625" style="262" bestFit="1" customWidth="1"/>
    <col min="12302" max="12302" width="10.28515625" style="262" bestFit="1" customWidth="1"/>
    <col min="12303" max="12303" width="11.7109375" style="262" bestFit="1" customWidth="1"/>
    <col min="12304" max="12304" width="9.7109375" style="262" bestFit="1" customWidth="1"/>
    <col min="12305" max="12305" width="8.28515625" style="262" bestFit="1" customWidth="1"/>
    <col min="12306" max="12306" width="9.140625" style="262" bestFit="1" customWidth="1"/>
    <col min="12307" max="12307" width="4.7109375" style="262" bestFit="1" customWidth="1"/>
    <col min="12308" max="12544" width="9.140625" style="262"/>
    <col min="12545" max="12545" width="14.7109375" style="262" bestFit="1" customWidth="1"/>
    <col min="12546" max="12546" width="9.140625" style="262" bestFit="1" customWidth="1"/>
    <col min="12547" max="12547" width="10.140625" style="262" bestFit="1" customWidth="1"/>
    <col min="12548" max="12548" width="9.42578125" style="262" bestFit="1" customWidth="1"/>
    <col min="12549" max="12549" width="10.140625" style="262" bestFit="1" customWidth="1"/>
    <col min="12550" max="12550" width="9.5703125" style="262" bestFit="1" customWidth="1"/>
    <col min="12551" max="12555" width="10.140625" style="262" bestFit="1" customWidth="1"/>
    <col min="12556" max="12556" width="9.85546875" style="262" bestFit="1" customWidth="1"/>
    <col min="12557" max="12557" width="9.28515625" style="262" bestFit="1" customWidth="1"/>
    <col min="12558" max="12558" width="10.28515625" style="262" bestFit="1" customWidth="1"/>
    <col min="12559" max="12559" width="11.7109375" style="262" bestFit="1" customWidth="1"/>
    <col min="12560" max="12560" width="9.7109375" style="262" bestFit="1" customWidth="1"/>
    <col min="12561" max="12561" width="8.28515625" style="262" bestFit="1" customWidth="1"/>
    <col min="12562" max="12562" width="9.140625" style="262" bestFit="1" customWidth="1"/>
    <col min="12563" max="12563" width="4.7109375" style="262" bestFit="1" customWidth="1"/>
    <col min="12564" max="12800" width="9.140625" style="262"/>
    <col min="12801" max="12801" width="14.7109375" style="262" bestFit="1" customWidth="1"/>
    <col min="12802" max="12802" width="9.140625" style="262" bestFit="1" customWidth="1"/>
    <col min="12803" max="12803" width="10.140625" style="262" bestFit="1" customWidth="1"/>
    <col min="12804" max="12804" width="9.42578125" style="262" bestFit="1" customWidth="1"/>
    <col min="12805" max="12805" width="10.140625" style="262" bestFit="1" customWidth="1"/>
    <col min="12806" max="12806" width="9.5703125" style="262" bestFit="1" customWidth="1"/>
    <col min="12807" max="12811" width="10.140625" style="262" bestFit="1" customWidth="1"/>
    <col min="12812" max="12812" width="9.85546875" style="262" bestFit="1" customWidth="1"/>
    <col min="12813" max="12813" width="9.28515625" style="262" bestFit="1" customWidth="1"/>
    <col min="12814" max="12814" width="10.28515625" style="262" bestFit="1" customWidth="1"/>
    <col min="12815" max="12815" width="11.7109375" style="262" bestFit="1" customWidth="1"/>
    <col min="12816" max="12816" width="9.7109375" style="262" bestFit="1" customWidth="1"/>
    <col min="12817" max="12817" width="8.28515625" style="262" bestFit="1" customWidth="1"/>
    <col min="12818" max="12818" width="9.140625" style="262" bestFit="1" customWidth="1"/>
    <col min="12819" max="12819" width="4.7109375" style="262" bestFit="1" customWidth="1"/>
    <col min="12820" max="13056" width="9.140625" style="262"/>
    <col min="13057" max="13057" width="14.7109375" style="262" bestFit="1" customWidth="1"/>
    <col min="13058" max="13058" width="9.140625" style="262" bestFit="1" customWidth="1"/>
    <col min="13059" max="13059" width="10.140625" style="262" bestFit="1" customWidth="1"/>
    <col min="13060" max="13060" width="9.42578125" style="262" bestFit="1" customWidth="1"/>
    <col min="13061" max="13061" width="10.140625" style="262" bestFit="1" customWidth="1"/>
    <col min="13062" max="13062" width="9.5703125" style="262" bestFit="1" customWidth="1"/>
    <col min="13063" max="13067" width="10.140625" style="262" bestFit="1" customWidth="1"/>
    <col min="13068" max="13068" width="9.85546875" style="262" bestFit="1" customWidth="1"/>
    <col min="13069" max="13069" width="9.28515625" style="262" bestFit="1" customWidth="1"/>
    <col min="13070" max="13070" width="10.28515625" style="262" bestFit="1" customWidth="1"/>
    <col min="13071" max="13071" width="11.7109375" style="262" bestFit="1" customWidth="1"/>
    <col min="13072" max="13072" width="9.7109375" style="262" bestFit="1" customWidth="1"/>
    <col min="13073" max="13073" width="8.28515625" style="262" bestFit="1" customWidth="1"/>
    <col min="13074" max="13074" width="9.140625" style="262" bestFit="1" customWidth="1"/>
    <col min="13075" max="13075" width="4.7109375" style="262" bestFit="1" customWidth="1"/>
    <col min="13076" max="13312" width="9.140625" style="262"/>
    <col min="13313" max="13313" width="14.7109375" style="262" bestFit="1" customWidth="1"/>
    <col min="13314" max="13314" width="9.140625" style="262" bestFit="1" customWidth="1"/>
    <col min="13315" max="13315" width="10.140625" style="262" bestFit="1" customWidth="1"/>
    <col min="13316" max="13316" width="9.42578125" style="262" bestFit="1" customWidth="1"/>
    <col min="13317" max="13317" width="10.140625" style="262" bestFit="1" customWidth="1"/>
    <col min="13318" max="13318" width="9.5703125" style="262" bestFit="1" customWidth="1"/>
    <col min="13319" max="13323" width="10.140625" style="262" bestFit="1" customWidth="1"/>
    <col min="13324" max="13324" width="9.85546875" style="262" bestFit="1" customWidth="1"/>
    <col min="13325" max="13325" width="9.28515625" style="262" bestFit="1" customWidth="1"/>
    <col min="13326" max="13326" width="10.28515625" style="262" bestFit="1" customWidth="1"/>
    <col min="13327" max="13327" width="11.7109375" style="262" bestFit="1" customWidth="1"/>
    <col min="13328" max="13328" width="9.7109375" style="262" bestFit="1" customWidth="1"/>
    <col min="13329" max="13329" width="8.28515625" style="262" bestFit="1" customWidth="1"/>
    <col min="13330" max="13330" width="9.140625" style="262" bestFit="1" customWidth="1"/>
    <col min="13331" max="13331" width="4.7109375" style="262" bestFit="1" customWidth="1"/>
    <col min="13332" max="13568" width="9.140625" style="262"/>
    <col min="13569" max="13569" width="14.7109375" style="262" bestFit="1" customWidth="1"/>
    <col min="13570" max="13570" width="9.140625" style="262" bestFit="1" customWidth="1"/>
    <col min="13571" max="13571" width="10.140625" style="262" bestFit="1" customWidth="1"/>
    <col min="13572" max="13572" width="9.42578125" style="262" bestFit="1" customWidth="1"/>
    <col min="13573" max="13573" width="10.140625" style="262" bestFit="1" customWidth="1"/>
    <col min="13574" max="13574" width="9.5703125" style="262" bestFit="1" customWidth="1"/>
    <col min="13575" max="13579" width="10.140625" style="262" bestFit="1" customWidth="1"/>
    <col min="13580" max="13580" width="9.85546875" style="262" bestFit="1" customWidth="1"/>
    <col min="13581" max="13581" width="9.28515625" style="262" bestFit="1" customWidth="1"/>
    <col min="13582" max="13582" width="10.28515625" style="262" bestFit="1" customWidth="1"/>
    <col min="13583" max="13583" width="11.7109375" style="262" bestFit="1" customWidth="1"/>
    <col min="13584" max="13584" width="9.7109375" style="262" bestFit="1" customWidth="1"/>
    <col min="13585" max="13585" width="8.28515625" style="262" bestFit="1" customWidth="1"/>
    <col min="13586" max="13586" width="9.140625" style="262" bestFit="1" customWidth="1"/>
    <col min="13587" max="13587" width="4.7109375" style="262" bestFit="1" customWidth="1"/>
    <col min="13588" max="13824" width="9.140625" style="262"/>
    <col min="13825" max="13825" width="14.7109375" style="262" bestFit="1" customWidth="1"/>
    <col min="13826" max="13826" width="9.140625" style="262" bestFit="1" customWidth="1"/>
    <col min="13827" max="13827" width="10.140625" style="262" bestFit="1" customWidth="1"/>
    <col min="13828" max="13828" width="9.42578125" style="262" bestFit="1" customWidth="1"/>
    <col min="13829" max="13829" width="10.140625" style="262" bestFit="1" customWidth="1"/>
    <col min="13830" max="13830" width="9.5703125" style="262" bestFit="1" customWidth="1"/>
    <col min="13831" max="13835" width="10.140625" style="262" bestFit="1" customWidth="1"/>
    <col min="13836" max="13836" width="9.85546875" style="262" bestFit="1" customWidth="1"/>
    <col min="13837" max="13837" width="9.28515625" style="262" bestFit="1" customWidth="1"/>
    <col min="13838" max="13838" width="10.28515625" style="262" bestFit="1" customWidth="1"/>
    <col min="13839" max="13839" width="11.7109375" style="262" bestFit="1" customWidth="1"/>
    <col min="13840" max="13840" width="9.7109375" style="262" bestFit="1" customWidth="1"/>
    <col min="13841" max="13841" width="8.28515625" style="262" bestFit="1" customWidth="1"/>
    <col min="13842" max="13842" width="9.140625" style="262" bestFit="1" customWidth="1"/>
    <col min="13843" max="13843" width="4.7109375" style="262" bestFit="1" customWidth="1"/>
    <col min="13844" max="14080" width="9.140625" style="262"/>
    <col min="14081" max="14081" width="14.7109375" style="262" bestFit="1" customWidth="1"/>
    <col min="14082" max="14082" width="9.140625" style="262" bestFit="1" customWidth="1"/>
    <col min="14083" max="14083" width="10.140625" style="262" bestFit="1" customWidth="1"/>
    <col min="14084" max="14084" width="9.42578125" style="262" bestFit="1" customWidth="1"/>
    <col min="14085" max="14085" width="10.140625" style="262" bestFit="1" customWidth="1"/>
    <col min="14086" max="14086" width="9.5703125" style="262" bestFit="1" customWidth="1"/>
    <col min="14087" max="14091" width="10.140625" style="262" bestFit="1" customWidth="1"/>
    <col min="14092" max="14092" width="9.85546875" style="262" bestFit="1" customWidth="1"/>
    <col min="14093" max="14093" width="9.28515625" style="262" bestFit="1" customWidth="1"/>
    <col min="14094" max="14094" width="10.28515625" style="262" bestFit="1" customWidth="1"/>
    <col min="14095" max="14095" width="11.7109375" style="262" bestFit="1" customWidth="1"/>
    <col min="14096" max="14096" width="9.7109375" style="262" bestFit="1" customWidth="1"/>
    <col min="14097" max="14097" width="8.28515625" style="262" bestFit="1" customWidth="1"/>
    <col min="14098" max="14098" width="9.140625" style="262" bestFit="1" customWidth="1"/>
    <col min="14099" max="14099" width="4.7109375" style="262" bestFit="1" customWidth="1"/>
    <col min="14100" max="14336" width="9.140625" style="262"/>
    <col min="14337" max="14337" width="14.7109375" style="262" bestFit="1" customWidth="1"/>
    <col min="14338" max="14338" width="9.140625" style="262" bestFit="1" customWidth="1"/>
    <col min="14339" max="14339" width="10.140625" style="262" bestFit="1" customWidth="1"/>
    <col min="14340" max="14340" width="9.42578125" style="262" bestFit="1" customWidth="1"/>
    <col min="14341" max="14341" width="10.140625" style="262" bestFit="1" customWidth="1"/>
    <col min="14342" max="14342" width="9.5703125" style="262" bestFit="1" customWidth="1"/>
    <col min="14343" max="14347" width="10.140625" style="262" bestFit="1" customWidth="1"/>
    <col min="14348" max="14348" width="9.85546875" style="262" bestFit="1" customWidth="1"/>
    <col min="14349" max="14349" width="9.28515625" style="262" bestFit="1" customWidth="1"/>
    <col min="14350" max="14350" width="10.28515625" style="262" bestFit="1" customWidth="1"/>
    <col min="14351" max="14351" width="11.7109375" style="262" bestFit="1" customWidth="1"/>
    <col min="14352" max="14352" width="9.7109375" style="262" bestFit="1" customWidth="1"/>
    <col min="14353" max="14353" width="8.28515625" style="262" bestFit="1" customWidth="1"/>
    <col min="14354" max="14354" width="9.140625" style="262" bestFit="1" customWidth="1"/>
    <col min="14355" max="14355" width="4.7109375" style="262" bestFit="1" customWidth="1"/>
    <col min="14356" max="14592" width="9.140625" style="262"/>
    <col min="14593" max="14593" width="14.7109375" style="262" bestFit="1" customWidth="1"/>
    <col min="14594" max="14594" width="9.140625" style="262" bestFit="1" customWidth="1"/>
    <col min="14595" max="14595" width="10.140625" style="262" bestFit="1" customWidth="1"/>
    <col min="14596" max="14596" width="9.42578125" style="262" bestFit="1" customWidth="1"/>
    <col min="14597" max="14597" width="10.140625" style="262" bestFit="1" customWidth="1"/>
    <col min="14598" max="14598" width="9.5703125" style="262" bestFit="1" customWidth="1"/>
    <col min="14599" max="14603" width="10.140625" style="262" bestFit="1" customWidth="1"/>
    <col min="14604" max="14604" width="9.85546875" style="262" bestFit="1" customWidth="1"/>
    <col min="14605" max="14605" width="9.28515625" style="262" bestFit="1" customWidth="1"/>
    <col min="14606" max="14606" width="10.28515625" style="262" bestFit="1" customWidth="1"/>
    <col min="14607" max="14607" width="11.7109375" style="262" bestFit="1" customWidth="1"/>
    <col min="14608" max="14608" width="9.7109375" style="262" bestFit="1" customWidth="1"/>
    <col min="14609" max="14609" width="8.28515625" style="262" bestFit="1" customWidth="1"/>
    <col min="14610" max="14610" width="9.140625" style="262" bestFit="1" customWidth="1"/>
    <col min="14611" max="14611" width="4.7109375" style="262" bestFit="1" customWidth="1"/>
    <col min="14612" max="14848" width="9.140625" style="262"/>
    <col min="14849" max="14849" width="14.7109375" style="262" bestFit="1" customWidth="1"/>
    <col min="14850" max="14850" width="9.140625" style="262" bestFit="1" customWidth="1"/>
    <col min="14851" max="14851" width="10.140625" style="262" bestFit="1" customWidth="1"/>
    <col min="14852" max="14852" width="9.42578125" style="262" bestFit="1" customWidth="1"/>
    <col min="14853" max="14853" width="10.140625" style="262" bestFit="1" customWidth="1"/>
    <col min="14854" max="14854" width="9.5703125" style="262" bestFit="1" customWidth="1"/>
    <col min="14855" max="14859" width="10.140625" style="262" bestFit="1" customWidth="1"/>
    <col min="14860" max="14860" width="9.85546875" style="262" bestFit="1" customWidth="1"/>
    <col min="14861" max="14861" width="9.28515625" style="262" bestFit="1" customWidth="1"/>
    <col min="14862" max="14862" width="10.28515625" style="262" bestFit="1" customWidth="1"/>
    <col min="14863" max="14863" width="11.7109375" style="262" bestFit="1" customWidth="1"/>
    <col min="14864" max="14864" width="9.7109375" style="262" bestFit="1" customWidth="1"/>
    <col min="14865" max="14865" width="8.28515625" style="262" bestFit="1" customWidth="1"/>
    <col min="14866" max="14866" width="9.140625" style="262" bestFit="1" customWidth="1"/>
    <col min="14867" max="14867" width="4.7109375" style="262" bestFit="1" customWidth="1"/>
    <col min="14868" max="15104" width="9.140625" style="262"/>
    <col min="15105" max="15105" width="14.7109375" style="262" bestFit="1" customWidth="1"/>
    <col min="15106" max="15106" width="9.140625" style="262" bestFit="1" customWidth="1"/>
    <col min="15107" max="15107" width="10.140625" style="262" bestFit="1" customWidth="1"/>
    <col min="15108" max="15108" width="9.42578125" style="262" bestFit="1" customWidth="1"/>
    <col min="15109" max="15109" width="10.140625" style="262" bestFit="1" customWidth="1"/>
    <col min="15110" max="15110" width="9.5703125" style="262" bestFit="1" customWidth="1"/>
    <col min="15111" max="15115" width="10.140625" style="262" bestFit="1" customWidth="1"/>
    <col min="15116" max="15116" width="9.85546875" style="262" bestFit="1" customWidth="1"/>
    <col min="15117" max="15117" width="9.28515625" style="262" bestFit="1" customWidth="1"/>
    <col min="15118" max="15118" width="10.28515625" style="262" bestFit="1" customWidth="1"/>
    <col min="15119" max="15119" width="11.7109375" style="262" bestFit="1" customWidth="1"/>
    <col min="15120" max="15120" width="9.7109375" style="262" bestFit="1" customWidth="1"/>
    <col min="15121" max="15121" width="8.28515625" style="262" bestFit="1" customWidth="1"/>
    <col min="15122" max="15122" width="9.140625" style="262" bestFit="1" customWidth="1"/>
    <col min="15123" max="15123" width="4.7109375" style="262" bestFit="1" customWidth="1"/>
    <col min="15124" max="15360" width="9.140625" style="262"/>
    <col min="15361" max="15361" width="14.7109375" style="262" bestFit="1" customWidth="1"/>
    <col min="15362" max="15362" width="9.140625" style="262" bestFit="1" customWidth="1"/>
    <col min="15363" max="15363" width="10.140625" style="262" bestFit="1" customWidth="1"/>
    <col min="15364" max="15364" width="9.42578125" style="262" bestFit="1" customWidth="1"/>
    <col min="15365" max="15365" width="10.140625" style="262" bestFit="1" customWidth="1"/>
    <col min="15366" max="15366" width="9.5703125" style="262" bestFit="1" customWidth="1"/>
    <col min="15367" max="15371" width="10.140625" style="262" bestFit="1" customWidth="1"/>
    <col min="15372" max="15372" width="9.85546875" style="262" bestFit="1" customWidth="1"/>
    <col min="15373" max="15373" width="9.28515625" style="262" bestFit="1" customWidth="1"/>
    <col min="15374" max="15374" width="10.28515625" style="262" bestFit="1" customWidth="1"/>
    <col min="15375" max="15375" width="11.7109375" style="262" bestFit="1" customWidth="1"/>
    <col min="15376" max="15376" width="9.7109375" style="262" bestFit="1" customWidth="1"/>
    <col min="15377" max="15377" width="8.28515625" style="262" bestFit="1" customWidth="1"/>
    <col min="15378" max="15378" width="9.140625" style="262" bestFit="1" customWidth="1"/>
    <col min="15379" max="15379" width="4.7109375" style="262" bestFit="1" customWidth="1"/>
    <col min="15380" max="15616" width="9.140625" style="262"/>
    <col min="15617" max="15617" width="14.7109375" style="262" bestFit="1" customWidth="1"/>
    <col min="15618" max="15618" width="9.140625" style="262" bestFit="1" customWidth="1"/>
    <col min="15619" max="15619" width="10.140625" style="262" bestFit="1" customWidth="1"/>
    <col min="15620" max="15620" width="9.42578125" style="262" bestFit="1" customWidth="1"/>
    <col min="15621" max="15621" width="10.140625" style="262" bestFit="1" customWidth="1"/>
    <col min="15622" max="15622" width="9.5703125" style="262" bestFit="1" customWidth="1"/>
    <col min="15623" max="15627" width="10.140625" style="262" bestFit="1" customWidth="1"/>
    <col min="15628" max="15628" width="9.85546875" style="262" bestFit="1" customWidth="1"/>
    <col min="15629" max="15629" width="9.28515625" style="262" bestFit="1" customWidth="1"/>
    <col min="15630" max="15630" width="10.28515625" style="262" bestFit="1" customWidth="1"/>
    <col min="15631" max="15631" width="11.7109375" style="262" bestFit="1" customWidth="1"/>
    <col min="15632" max="15632" width="9.7109375" style="262" bestFit="1" customWidth="1"/>
    <col min="15633" max="15633" width="8.28515625" style="262" bestFit="1" customWidth="1"/>
    <col min="15634" max="15634" width="9.140625" style="262" bestFit="1" customWidth="1"/>
    <col min="15635" max="15635" width="4.7109375" style="262" bestFit="1" customWidth="1"/>
    <col min="15636" max="15872" width="9.140625" style="262"/>
    <col min="15873" max="15873" width="14.7109375" style="262" bestFit="1" customWidth="1"/>
    <col min="15874" max="15874" width="9.140625" style="262" bestFit="1" customWidth="1"/>
    <col min="15875" max="15875" width="10.140625" style="262" bestFit="1" customWidth="1"/>
    <col min="15876" max="15876" width="9.42578125" style="262" bestFit="1" customWidth="1"/>
    <col min="15877" max="15877" width="10.140625" style="262" bestFit="1" customWidth="1"/>
    <col min="15878" max="15878" width="9.5703125" style="262" bestFit="1" customWidth="1"/>
    <col min="15879" max="15883" width="10.140625" style="262" bestFit="1" customWidth="1"/>
    <col min="15884" max="15884" width="9.85546875" style="262" bestFit="1" customWidth="1"/>
    <col min="15885" max="15885" width="9.28515625" style="262" bestFit="1" customWidth="1"/>
    <col min="15886" max="15886" width="10.28515625" style="262" bestFit="1" customWidth="1"/>
    <col min="15887" max="15887" width="11.7109375" style="262" bestFit="1" customWidth="1"/>
    <col min="15888" max="15888" width="9.7109375" style="262" bestFit="1" customWidth="1"/>
    <col min="15889" max="15889" width="8.28515625" style="262" bestFit="1" customWidth="1"/>
    <col min="15890" max="15890" width="9.140625" style="262" bestFit="1" customWidth="1"/>
    <col min="15891" max="15891" width="4.7109375" style="262" bestFit="1" customWidth="1"/>
    <col min="15892" max="16128" width="9.140625" style="262"/>
    <col min="16129" max="16129" width="14.7109375" style="262" bestFit="1" customWidth="1"/>
    <col min="16130" max="16130" width="9.140625" style="262" bestFit="1" customWidth="1"/>
    <col min="16131" max="16131" width="10.140625" style="262" bestFit="1" customWidth="1"/>
    <col min="16132" max="16132" width="9.42578125" style="262" bestFit="1" customWidth="1"/>
    <col min="16133" max="16133" width="10.140625" style="262" bestFit="1" customWidth="1"/>
    <col min="16134" max="16134" width="9.5703125" style="262" bestFit="1" customWidth="1"/>
    <col min="16135" max="16139" width="10.140625" style="262" bestFit="1" customWidth="1"/>
    <col min="16140" max="16140" width="9.85546875" style="262" bestFit="1" customWidth="1"/>
    <col min="16141" max="16141" width="9.28515625" style="262" bestFit="1" customWidth="1"/>
    <col min="16142" max="16142" width="10.28515625" style="262" bestFit="1" customWidth="1"/>
    <col min="16143" max="16143" width="11.7109375" style="262" bestFit="1" customWidth="1"/>
    <col min="16144" max="16144" width="9.7109375" style="262" bestFit="1" customWidth="1"/>
    <col min="16145" max="16145" width="8.28515625" style="262" bestFit="1" customWidth="1"/>
    <col min="16146" max="16146" width="9.140625" style="262" bestFit="1" customWidth="1"/>
    <col min="16147" max="16147" width="4.7109375" style="262" bestFit="1" customWidth="1"/>
    <col min="16148" max="16384" width="9.140625" style="262"/>
  </cols>
  <sheetData>
    <row r="1" spans="1:18" ht="18" customHeight="1" x14ac:dyDescent="0.2">
      <c r="A1" s="351" t="s">
        <v>37</v>
      </c>
      <c r="B1" s="351"/>
      <c r="C1" s="351"/>
      <c r="D1" s="351"/>
      <c r="E1" s="351"/>
      <c r="F1" s="351"/>
      <c r="G1" s="351"/>
      <c r="H1" s="351"/>
      <c r="I1" s="351"/>
      <c r="J1" s="351"/>
      <c r="K1" s="351"/>
      <c r="L1" s="351"/>
      <c r="M1" s="351"/>
      <c r="N1" s="351"/>
      <c r="O1" s="351"/>
      <c r="P1" s="351"/>
      <c r="Q1" s="351"/>
      <c r="R1" s="351"/>
    </row>
    <row r="2" spans="1:18" s="265" customFormat="1" ht="25.5" customHeight="1" x14ac:dyDescent="0.2">
      <c r="A2" s="355" t="s">
        <v>519</v>
      </c>
      <c r="B2" s="355" t="s">
        <v>285</v>
      </c>
      <c r="C2" s="378" t="s">
        <v>520</v>
      </c>
      <c r="D2" s="379"/>
      <c r="E2" s="378" t="s">
        <v>521</v>
      </c>
      <c r="F2" s="379"/>
      <c r="G2" s="375" t="s">
        <v>522</v>
      </c>
      <c r="H2" s="376"/>
      <c r="I2" s="376"/>
      <c r="J2" s="377"/>
      <c r="K2" s="375" t="s">
        <v>523</v>
      </c>
      <c r="L2" s="376"/>
      <c r="M2" s="376"/>
      <c r="N2" s="377"/>
      <c r="O2" s="378" t="s">
        <v>150</v>
      </c>
      <c r="P2" s="379"/>
      <c r="Q2" s="424" t="s">
        <v>524</v>
      </c>
      <c r="R2" s="425"/>
    </row>
    <row r="3" spans="1:18" s="265" customFormat="1" ht="13.5" customHeight="1" x14ac:dyDescent="0.2">
      <c r="A3" s="423"/>
      <c r="B3" s="423"/>
      <c r="C3" s="380"/>
      <c r="D3" s="381"/>
      <c r="E3" s="380"/>
      <c r="F3" s="381"/>
      <c r="G3" s="375" t="s">
        <v>525</v>
      </c>
      <c r="H3" s="377"/>
      <c r="I3" s="375" t="s">
        <v>526</v>
      </c>
      <c r="J3" s="377"/>
      <c r="K3" s="375" t="s">
        <v>525</v>
      </c>
      <c r="L3" s="377"/>
      <c r="M3" s="375" t="s">
        <v>526</v>
      </c>
      <c r="N3" s="377"/>
      <c r="O3" s="380"/>
      <c r="P3" s="381"/>
      <c r="Q3" s="426"/>
      <c r="R3" s="427"/>
    </row>
    <row r="4" spans="1:18" s="265" customFormat="1" ht="39" customHeight="1" x14ac:dyDescent="0.2">
      <c r="A4" s="356"/>
      <c r="B4" s="356"/>
      <c r="C4" s="276" t="s">
        <v>527</v>
      </c>
      <c r="D4" s="311" t="s">
        <v>528</v>
      </c>
      <c r="E4" s="276" t="s">
        <v>527</v>
      </c>
      <c r="F4" s="311" t="s">
        <v>528</v>
      </c>
      <c r="G4" s="276" t="s">
        <v>527</v>
      </c>
      <c r="H4" s="311" t="s">
        <v>528</v>
      </c>
      <c r="I4" s="276" t="s">
        <v>527</v>
      </c>
      <c r="J4" s="311" t="s">
        <v>528</v>
      </c>
      <c r="K4" s="276" t="s">
        <v>527</v>
      </c>
      <c r="L4" s="311" t="s">
        <v>528</v>
      </c>
      <c r="M4" s="276" t="s">
        <v>527</v>
      </c>
      <c r="N4" s="311" t="s">
        <v>528</v>
      </c>
      <c r="O4" s="276" t="s">
        <v>527</v>
      </c>
      <c r="P4" s="311" t="s">
        <v>528</v>
      </c>
      <c r="Q4" s="276" t="s">
        <v>529</v>
      </c>
      <c r="R4" s="311" t="s">
        <v>528</v>
      </c>
    </row>
    <row r="5" spans="1:18" s="265" customFormat="1" ht="15" customHeight="1" x14ac:dyDescent="0.2">
      <c r="A5" s="266" t="s">
        <v>69</v>
      </c>
      <c r="B5" s="271">
        <v>246</v>
      </c>
      <c r="C5" s="283">
        <v>44117</v>
      </c>
      <c r="D5" s="283">
        <v>3217.5382433750001</v>
      </c>
      <c r="E5" s="283">
        <v>467</v>
      </c>
      <c r="F5" s="283">
        <v>36.725538004999997</v>
      </c>
      <c r="G5" s="283">
        <v>82</v>
      </c>
      <c r="H5" s="283">
        <v>5.9207460000000003</v>
      </c>
      <c r="I5" s="283">
        <v>32</v>
      </c>
      <c r="J5" s="283">
        <v>2.284462875</v>
      </c>
      <c r="K5" s="283">
        <v>3</v>
      </c>
      <c r="L5" s="283">
        <v>0.17921999999999999</v>
      </c>
      <c r="M5" s="283">
        <v>0</v>
      </c>
      <c r="N5" s="283">
        <v>0</v>
      </c>
      <c r="O5" s="283">
        <v>44701</v>
      </c>
      <c r="P5" s="283">
        <v>3262.6482102549999</v>
      </c>
      <c r="Q5" s="283">
        <v>2</v>
      </c>
      <c r="R5" s="283">
        <v>0.12</v>
      </c>
    </row>
    <row r="6" spans="1:18" s="265" customFormat="1" ht="15" customHeight="1" x14ac:dyDescent="0.2">
      <c r="A6" s="266" t="s">
        <v>70</v>
      </c>
      <c r="B6" s="271">
        <v>248</v>
      </c>
      <c r="C6" s="283">
        <v>438</v>
      </c>
      <c r="D6" s="283">
        <v>39.158369999999998</v>
      </c>
      <c r="E6" s="283">
        <v>271</v>
      </c>
      <c r="F6" s="283">
        <v>17.779123240000001</v>
      </c>
      <c r="G6" s="283">
        <v>19158</v>
      </c>
      <c r="H6" s="283">
        <v>1308.5016734999999</v>
      </c>
      <c r="I6" s="283">
        <v>11298</v>
      </c>
      <c r="J6" s="283">
        <v>884.62804249999999</v>
      </c>
      <c r="K6" s="283">
        <v>2</v>
      </c>
      <c r="L6" s="283">
        <v>7.5679999999999997E-2</v>
      </c>
      <c r="M6" s="283">
        <v>0</v>
      </c>
      <c r="N6" s="283">
        <v>0</v>
      </c>
      <c r="O6" s="283">
        <v>31167</v>
      </c>
      <c r="P6" s="283">
        <v>2250.1428892399999</v>
      </c>
      <c r="Q6" s="283">
        <v>9</v>
      </c>
      <c r="R6" s="283">
        <v>0.67341037000000004</v>
      </c>
    </row>
    <row r="7" spans="1:18" s="265" customFormat="1" ht="15" customHeight="1" x14ac:dyDescent="0.2">
      <c r="A7" s="266" t="s">
        <v>156</v>
      </c>
      <c r="B7" s="271">
        <v>21</v>
      </c>
      <c r="C7" s="283">
        <v>20</v>
      </c>
      <c r="D7" s="283">
        <v>1.702080625</v>
      </c>
      <c r="E7" s="283">
        <v>39</v>
      </c>
      <c r="F7" s="283">
        <v>2.5485901599999998</v>
      </c>
      <c r="G7" s="283">
        <v>0</v>
      </c>
      <c r="H7" s="283">
        <v>0</v>
      </c>
      <c r="I7" s="283">
        <v>0</v>
      </c>
      <c r="J7" s="283">
        <v>0</v>
      </c>
      <c r="K7" s="283">
        <v>0</v>
      </c>
      <c r="L7" s="283">
        <v>0</v>
      </c>
      <c r="M7" s="283">
        <v>0</v>
      </c>
      <c r="N7" s="283">
        <v>0</v>
      </c>
      <c r="O7" s="283">
        <v>59</v>
      </c>
      <c r="P7" s="283">
        <v>4.2506707849999996</v>
      </c>
      <c r="Q7" s="283">
        <v>2</v>
      </c>
      <c r="R7" s="283">
        <v>0.13</v>
      </c>
    </row>
    <row r="8" spans="1:18" s="265" customFormat="1" ht="15" customHeight="1" x14ac:dyDescent="0.2">
      <c r="A8" s="266" t="s">
        <v>157</v>
      </c>
      <c r="B8" s="271">
        <v>22</v>
      </c>
      <c r="C8" s="283">
        <v>6</v>
      </c>
      <c r="D8" s="283">
        <v>0.52782562499999996</v>
      </c>
      <c r="E8" s="283">
        <v>33</v>
      </c>
      <c r="F8" s="283">
        <v>2.0079963049999998</v>
      </c>
      <c r="G8" s="283">
        <v>0</v>
      </c>
      <c r="H8" s="283">
        <v>0</v>
      </c>
      <c r="I8" s="283">
        <v>0</v>
      </c>
      <c r="J8" s="283">
        <v>0</v>
      </c>
      <c r="K8" s="283">
        <v>2</v>
      </c>
      <c r="L8" s="283">
        <v>7.5679999999999997E-2</v>
      </c>
      <c r="M8" s="283">
        <v>0</v>
      </c>
      <c r="N8" s="283">
        <v>0</v>
      </c>
      <c r="O8" s="283">
        <v>41</v>
      </c>
      <c r="P8" s="283">
        <v>2.6115019300000002</v>
      </c>
      <c r="Q8" s="283">
        <v>4</v>
      </c>
      <c r="R8" s="283">
        <v>0.23</v>
      </c>
    </row>
    <row r="9" spans="1:18" s="265" customFormat="1" ht="15" customHeight="1" x14ac:dyDescent="0.2">
      <c r="A9" s="266" t="s">
        <v>158</v>
      </c>
      <c r="B9" s="271">
        <v>21</v>
      </c>
      <c r="C9" s="283">
        <v>331</v>
      </c>
      <c r="D9" s="283">
        <v>29.3028175</v>
      </c>
      <c r="E9" s="283">
        <v>21</v>
      </c>
      <c r="F9" s="283">
        <v>1.249884105</v>
      </c>
      <c r="G9" s="283">
        <v>0</v>
      </c>
      <c r="H9" s="283">
        <v>0</v>
      </c>
      <c r="I9" s="283">
        <v>0</v>
      </c>
      <c r="J9" s="283">
        <v>0</v>
      </c>
      <c r="K9" s="283">
        <v>0</v>
      </c>
      <c r="L9" s="283">
        <v>0</v>
      </c>
      <c r="M9" s="283">
        <v>0</v>
      </c>
      <c r="N9" s="283">
        <v>0</v>
      </c>
      <c r="O9" s="283">
        <v>352</v>
      </c>
      <c r="P9" s="283">
        <v>30.552701604999999</v>
      </c>
      <c r="Q9" s="283">
        <v>11</v>
      </c>
      <c r="R9" s="283">
        <v>0.90134248500000003</v>
      </c>
    </row>
    <row r="10" spans="1:18" s="265" customFormat="1" ht="15" customHeight="1" x14ac:dyDescent="0.2">
      <c r="A10" s="266" t="s">
        <v>159</v>
      </c>
      <c r="B10" s="271">
        <v>22</v>
      </c>
      <c r="C10" s="283">
        <v>20</v>
      </c>
      <c r="D10" s="283">
        <v>1.838100625</v>
      </c>
      <c r="E10" s="283">
        <v>22</v>
      </c>
      <c r="F10" s="283">
        <v>1.342100415</v>
      </c>
      <c r="G10" s="283">
        <v>0</v>
      </c>
      <c r="H10" s="283">
        <v>0</v>
      </c>
      <c r="I10" s="283">
        <v>0</v>
      </c>
      <c r="J10" s="283">
        <v>0</v>
      </c>
      <c r="K10" s="283">
        <v>0</v>
      </c>
      <c r="L10" s="283">
        <v>0</v>
      </c>
      <c r="M10" s="283">
        <v>0</v>
      </c>
      <c r="N10" s="283">
        <v>0</v>
      </c>
      <c r="O10" s="283">
        <v>42</v>
      </c>
      <c r="P10" s="283">
        <v>3.18020104</v>
      </c>
      <c r="Q10" s="283">
        <v>3</v>
      </c>
      <c r="R10" s="283">
        <v>0.17589257999999999</v>
      </c>
    </row>
    <row r="11" spans="1:18" s="265" customFormat="1" ht="15" customHeight="1" x14ac:dyDescent="0.2">
      <c r="A11" s="266" t="s">
        <v>160</v>
      </c>
      <c r="B11" s="271">
        <v>21</v>
      </c>
      <c r="C11" s="283">
        <v>0</v>
      </c>
      <c r="D11" s="283">
        <v>0</v>
      </c>
      <c r="E11" s="283">
        <v>16</v>
      </c>
      <c r="F11" s="283">
        <v>1.00513187</v>
      </c>
      <c r="G11" s="283">
        <v>0</v>
      </c>
      <c r="H11" s="283">
        <v>0</v>
      </c>
      <c r="I11" s="283">
        <v>0</v>
      </c>
      <c r="J11" s="283">
        <v>0</v>
      </c>
      <c r="K11" s="283">
        <v>0</v>
      </c>
      <c r="L11" s="283">
        <v>0</v>
      </c>
      <c r="M11" s="283">
        <v>0</v>
      </c>
      <c r="N11" s="283">
        <v>0</v>
      </c>
      <c r="O11" s="283">
        <v>16</v>
      </c>
      <c r="P11" s="283">
        <v>1.00513187</v>
      </c>
      <c r="Q11" s="283">
        <v>3</v>
      </c>
      <c r="R11" s="283">
        <v>0.20286813000000001</v>
      </c>
    </row>
    <row r="12" spans="1:18" s="265" customFormat="1" ht="15" customHeight="1" x14ac:dyDescent="0.2">
      <c r="A12" s="266" t="s">
        <v>161</v>
      </c>
      <c r="B12" s="271">
        <v>18</v>
      </c>
      <c r="C12" s="283">
        <v>0</v>
      </c>
      <c r="D12" s="283">
        <v>0</v>
      </c>
      <c r="E12" s="283">
        <v>14</v>
      </c>
      <c r="F12" s="283">
        <v>0.93372739000000005</v>
      </c>
      <c r="G12" s="283">
        <v>0</v>
      </c>
      <c r="H12" s="283">
        <v>0</v>
      </c>
      <c r="I12" s="283">
        <v>0</v>
      </c>
      <c r="J12" s="283">
        <v>0</v>
      </c>
      <c r="K12" s="283">
        <v>0</v>
      </c>
      <c r="L12" s="283">
        <v>0</v>
      </c>
      <c r="M12" s="283">
        <v>0</v>
      </c>
      <c r="N12" s="283">
        <v>0</v>
      </c>
      <c r="O12" s="283">
        <v>14</v>
      </c>
      <c r="P12" s="283">
        <v>0.93372739000000005</v>
      </c>
      <c r="Q12" s="283">
        <v>3</v>
      </c>
      <c r="R12" s="283">
        <v>0.18461427</v>
      </c>
    </row>
    <row r="13" spans="1:18" s="265" customFormat="1" ht="15" customHeight="1" x14ac:dyDescent="0.2">
      <c r="A13" s="266" t="s">
        <v>162</v>
      </c>
      <c r="B13" s="271">
        <v>21</v>
      </c>
      <c r="C13" s="283">
        <v>0</v>
      </c>
      <c r="D13" s="283">
        <v>0</v>
      </c>
      <c r="E13" s="283">
        <v>5</v>
      </c>
      <c r="F13" s="283">
        <v>0.286846235</v>
      </c>
      <c r="G13" s="283">
        <v>0</v>
      </c>
      <c r="H13" s="283">
        <v>0</v>
      </c>
      <c r="I13" s="283">
        <v>0</v>
      </c>
      <c r="J13" s="283">
        <v>0</v>
      </c>
      <c r="K13" s="283">
        <v>0</v>
      </c>
      <c r="L13" s="283">
        <v>0</v>
      </c>
      <c r="M13" s="283">
        <v>0</v>
      </c>
      <c r="N13" s="283">
        <v>0</v>
      </c>
      <c r="O13" s="283">
        <v>5</v>
      </c>
      <c r="P13" s="283">
        <v>0.286846235</v>
      </c>
      <c r="Q13" s="283">
        <v>2</v>
      </c>
      <c r="R13" s="283">
        <v>0.12</v>
      </c>
    </row>
    <row r="14" spans="1:18" s="265" customFormat="1" ht="15" customHeight="1" x14ac:dyDescent="0.2">
      <c r="A14" s="266" t="s">
        <v>163</v>
      </c>
      <c r="B14" s="271">
        <v>20</v>
      </c>
      <c r="C14" s="283">
        <v>0</v>
      </c>
      <c r="D14" s="283">
        <v>0</v>
      </c>
      <c r="E14" s="283">
        <v>4</v>
      </c>
      <c r="F14" s="283">
        <v>0.24654329999999999</v>
      </c>
      <c r="G14" s="283">
        <v>0</v>
      </c>
      <c r="H14" s="283">
        <v>0</v>
      </c>
      <c r="I14" s="283">
        <v>0</v>
      </c>
      <c r="J14" s="283">
        <v>0</v>
      </c>
      <c r="K14" s="283">
        <v>0</v>
      </c>
      <c r="L14" s="283">
        <v>0</v>
      </c>
      <c r="M14" s="283">
        <v>0</v>
      </c>
      <c r="N14" s="283">
        <v>0</v>
      </c>
      <c r="O14" s="283">
        <v>4</v>
      </c>
      <c r="P14" s="283">
        <v>0.24654329999999999</v>
      </c>
      <c r="Q14" s="283">
        <v>2</v>
      </c>
      <c r="R14" s="283">
        <v>0.12</v>
      </c>
    </row>
    <row r="15" spans="1:18" s="265" customFormat="1" ht="15" customHeight="1" x14ac:dyDescent="0.2">
      <c r="A15" s="266" t="s">
        <v>164</v>
      </c>
      <c r="B15" s="271">
        <v>20</v>
      </c>
      <c r="C15" s="283">
        <v>0</v>
      </c>
      <c r="D15" s="283">
        <v>0</v>
      </c>
      <c r="E15" s="283">
        <v>9</v>
      </c>
      <c r="F15" s="283">
        <v>0.55091330000000005</v>
      </c>
      <c r="G15" s="283">
        <v>0</v>
      </c>
      <c r="H15" s="283">
        <v>0</v>
      </c>
      <c r="I15" s="283">
        <v>0</v>
      </c>
      <c r="J15" s="283">
        <v>0</v>
      </c>
      <c r="K15" s="283">
        <v>0</v>
      </c>
      <c r="L15" s="283">
        <v>0</v>
      </c>
      <c r="M15" s="283">
        <v>0</v>
      </c>
      <c r="N15" s="283">
        <v>0</v>
      </c>
      <c r="O15" s="283">
        <v>9</v>
      </c>
      <c r="P15" s="283">
        <v>0.55091330000000005</v>
      </c>
      <c r="Q15" s="283">
        <v>3</v>
      </c>
      <c r="R15" s="283">
        <v>0.18</v>
      </c>
    </row>
    <row r="16" spans="1:18" s="265" customFormat="1" ht="15" customHeight="1" x14ac:dyDescent="0.2">
      <c r="A16" s="266" t="s">
        <v>165</v>
      </c>
      <c r="B16" s="271">
        <v>23</v>
      </c>
      <c r="C16" s="283">
        <v>2</v>
      </c>
      <c r="D16" s="283">
        <v>0.17939749999999999</v>
      </c>
      <c r="E16" s="283">
        <v>5</v>
      </c>
      <c r="F16" s="283">
        <v>0.28869165000000002</v>
      </c>
      <c r="G16" s="283">
        <v>0</v>
      </c>
      <c r="H16" s="283">
        <v>0</v>
      </c>
      <c r="I16" s="283">
        <v>0</v>
      </c>
      <c r="J16" s="283">
        <v>0</v>
      </c>
      <c r="K16" s="283">
        <v>0</v>
      </c>
      <c r="L16" s="283">
        <v>0</v>
      </c>
      <c r="M16" s="283">
        <v>0</v>
      </c>
      <c r="N16" s="283">
        <v>0</v>
      </c>
      <c r="O16" s="283">
        <v>7</v>
      </c>
      <c r="P16" s="283">
        <v>0.46808915000000001</v>
      </c>
      <c r="Q16" s="283">
        <v>2</v>
      </c>
      <c r="R16" s="283">
        <v>0.11847229500000001</v>
      </c>
    </row>
    <row r="17" spans="1:18" s="265" customFormat="1" ht="15" customHeight="1" x14ac:dyDescent="0.2">
      <c r="A17" s="266" t="s">
        <v>166</v>
      </c>
      <c r="B17" s="271">
        <v>20</v>
      </c>
      <c r="C17" s="283">
        <v>0</v>
      </c>
      <c r="D17" s="283">
        <v>0</v>
      </c>
      <c r="E17" s="283">
        <v>11</v>
      </c>
      <c r="F17" s="283">
        <v>0.77771986000000004</v>
      </c>
      <c r="G17" s="283">
        <v>0</v>
      </c>
      <c r="H17" s="283">
        <v>0</v>
      </c>
      <c r="I17" s="283">
        <v>0</v>
      </c>
      <c r="J17" s="283">
        <v>0</v>
      </c>
      <c r="K17" s="283">
        <v>0</v>
      </c>
      <c r="L17" s="283">
        <v>0</v>
      </c>
      <c r="M17" s="283">
        <v>0</v>
      </c>
      <c r="N17" s="283">
        <v>0</v>
      </c>
      <c r="O17" s="283">
        <v>11</v>
      </c>
      <c r="P17" s="283">
        <v>0.77771986000000004</v>
      </c>
      <c r="Q17" s="283">
        <v>3</v>
      </c>
      <c r="R17" s="283">
        <v>0.21</v>
      </c>
    </row>
    <row r="18" spans="1:18" s="265" customFormat="1" ht="15" customHeight="1" x14ac:dyDescent="0.2">
      <c r="A18" s="266" t="s">
        <v>167</v>
      </c>
      <c r="B18" s="271">
        <v>19</v>
      </c>
      <c r="C18" s="283">
        <v>59</v>
      </c>
      <c r="D18" s="283">
        <v>5.6081481249999996</v>
      </c>
      <c r="E18" s="283">
        <v>92</v>
      </c>
      <c r="F18" s="283">
        <v>6.5409786499999996</v>
      </c>
      <c r="G18" s="283">
        <v>19158</v>
      </c>
      <c r="H18" s="283">
        <v>1308.5016734999999</v>
      </c>
      <c r="I18" s="283">
        <v>11298</v>
      </c>
      <c r="J18" s="283">
        <v>884.62804249999999</v>
      </c>
      <c r="K18" s="283">
        <v>0</v>
      </c>
      <c r="L18" s="283">
        <v>0</v>
      </c>
      <c r="M18" s="283">
        <v>0</v>
      </c>
      <c r="N18" s="283">
        <v>0</v>
      </c>
      <c r="O18" s="283">
        <v>30607</v>
      </c>
      <c r="P18" s="283">
        <v>2205.2788427750002</v>
      </c>
      <c r="Q18" s="283">
        <v>9</v>
      </c>
      <c r="R18" s="283">
        <v>0.67341037000000004</v>
      </c>
    </row>
    <row r="19" spans="1:18" s="265" customFormat="1" ht="14.25" customHeight="1" x14ac:dyDescent="0.2">
      <c r="A19" s="353" t="s">
        <v>106</v>
      </c>
      <c r="B19" s="353"/>
      <c r="C19" s="353"/>
      <c r="D19" s="353"/>
      <c r="E19" s="353"/>
      <c r="F19" s="353"/>
      <c r="G19" s="353"/>
      <c r="H19" s="353"/>
      <c r="I19" s="353"/>
      <c r="J19" s="353"/>
    </row>
    <row r="20" spans="1:18" s="265" customFormat="1" ht="13.5" customHeight="1" x14ac:dyDescent="0.2">
      <c r="A20" s="353" t="s">
        <v>530</v>
      </c>
      <c r="B20" s="353"/>
      <c r="C20" s="353"/>
      <c r="D20" s="353"/>
      <c r="E20" s="353"/>
      <c r="F20" s="353"/>
      <c r="G20" s="353"/>
      <c r="H20" s="353"/>
      <c r="I20" s="353"/>
      <c r="J20" s="353"/>
    </row>
    <row r="21" spans="1:18" s="265" customFormat="1" ht="13.5" customHeight="1" x14ac:dyDescent="0.2">
      <c r="A21" s="353" t="s">
        <v>393</v>
      </c>
      <c r="B21" s="353"/>
      <c r="C21" s="353"/>
      <c r="D21" s="353"/>
      <c r="E21" s="353"/>
      <c r="F21" s="353"/>
      <c r="G21" s="353"/>
      <c r="H21" s="353"/>
      <c r="I21" s="353"/>
      <c r="J21" s="353"/>
    </row>
    <row r="22" spans="1:18" s="265" customFormat="1" ht="28.35" customHeight="1" x14ac:dyDescent="0.2"/>
  </sheetData>
  <mergeCells count="16">
    <mergeCell ref="A21:J21"/>
    <mergeCell ref="A1:R1"/>
    <mergeCell ref="A2:A4"/>
    <mergeCell ref="B2:B4"/>
    <mergeCell ref="C2:D3"/>
    <mergeCell ref="E2:F3"/>
    <mergeCell ref="G2:J2"/>
    <mergeCell ref="K2:N2"/>
    <mergeCell ref="O2:P3"/>
    <mergeCell ref="Q2:R3"/>
    <mergeCell ref="G3:H3"/>
    <mergeCell ref="I3:J3"/>
    <mergeCell ref="K3:L3"/>
    <mergeCell ref="M3:N3"/>
    <mergeCell ref="A19:J19"/>
    <mergeCell ref="A20:J20"/>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2"/>
  <sheetViews>
    <sheetView workbookViewId="0">
      <selection sqref="A1:N1"/>
    </sheetView>
  </sheetViews>
  <sheetFormatPr defaultRowHeight="12.75" x14ac:dyDescent="0.2"/>
  <cols>
    <col min="1" max="1" width="12.140625" style="262" bestFit="1" customWidth="1"/>
    <col min="2" max="2" width="9.140625" style="262" bestFit="1" customWidth="1"/>
    <col min="3" max="18" width="13.5703125" style="262" bestFit="1" customWidth="1"/>
    <col min="19" max="19" width="5" style="262" bestFit="1" customWidth="1"/>
    <col min="20" max="256" width="9.140625" style="262"/>
    <col min="257" max="257" width="12.140625" style="262" bestFit="1" customWidth="1"/>
    <col min="258" max="258" width="9.140625" style="262" bestFit="1" customWidth="1"/>
    <col min="259" max="274" width="13.5703125" style="262" bestFit="1" customWidth="1"/>
    <col min="275" max="275" width="5" style="262" bestFit="1" customWidth="1"/>
    <col min="276" max="512" width="9.140625" style="262"/>
    <col min="513" max="513" width="12.140625" style="262" bestFit="1" customWidth="1"/>
    <col min="514" max="514" width="9.140625" style="262" bestFit="1" customWidth="1"/>
    <col min="515" max="530" width="13.5703125" style="262" bestFit="1" customWidth="1"/>
    <col min="531" max="531" width="5" style="262" bestFit="1" customWidth="1"/>
    <col min="532" max="768" width="9.140625" style="262"/>
    <col min="769" max="769" width="12.140625" style="262" bestFit="1" customWidth="1"/>
    <col min="770" max="770" width="9.140625" style="262" bestFit="1" customWidth="1"/>
    <col min="771" max="786" width="13.5703125" style="262" bestFit="1" customWidth="1"/>
    <col min="787" max="787" width="5" style="262" bestFit="1" customWidth="1"/>
    <col min="788" max="1024" width="9.140625" style="262"/>
    <col min="1025" max="1025" width="12.140625" style="262" bestFit="1" customWidth="1"/>
    <col min="1026" max="1026" width="9.140625" style="262" bestFit="1" customWidth="1"/>
    <col min="1027" max="1042" width="13.5703125" style="262" bestFit="1" customWidth="1"/>
    <col min="1043" max="1043" width="5" style="262" bestFit="1" customWidth="1"/>
    <col min="1044" max="1280" width="9.140625" style="262"/>
    <col min="1281" max="1281" width="12.140625" style="262" bestFit="1" customWidth="1"/>
    <col min="1282" max="1282" width="9.140625" style="262" bestFit="1" customWidth="1"/>
    <col min="1283" max="1298" width="13.5703125" style="262" bestFit="1" customWidth="1"/>
    <col min="1299" max="1299" width="5" style="262" bestFit="1" customWidth="1"/>
    <col min="1300" max="1536" width="9.140625" style="262"/>
    <col min="1537" max="1537" width="12.140625" style="262" bestFit="1" customWidth="1"/>
    <col min="1538" max="1538" width="9.140625" style="262" bestFit="1" customWidth="1"/>
    <col min="1539" max="1554" width="13.5703125" style="262" bestFit="1" customWidth="1"/>
    <col min="1555" max="1555" width="5" style="262" bestFit="1" customWidth="1"/>
    <col min="1556" max="1792" width="9.140625" style="262"/>
    <col min="1793" max="1793" width="12.140625" style="262" bestFit="1" customWidth="1"/>
    <col min="1794" max="1794" width="9.140625" style="262" bestFit="1" customWidth="1"/>
    <col min="1795" max="1810" width="13.5703125" style="262" bestFit="1" customWidth="1"/>
    <col min="1811" max="1811" width="5" style="262" bestFit="1" customWidth="1"/>
    <col min="1812" max="2048" width="9.140625" style="262"/>
    <col min="2049" max="2049" width="12.140625" style="262" bestFit="1" customWidth="1"/>
    <col min="2050" max="2050" width="9.140625" style="262" bestFit="1" customWidth="1"/>
    <col min="2051" max="2066" width="13.5703125" style="262" bestFit="1" customWidth="1"/>
    <col min="2067" max="2067" width="5" style="262" bestFit="1" customWidth="1"/>
    <col min="2068" max="2304" width="9.140625" style="262"/>
    <col min="2305" max="2305" width="12.140625" style="262" bestFit="1" customWidth="1"/>
    <col min="2306" max="2306" width="9.140625" style="262" bestFit="1" customWidth="1"/>
    <col min="2307" max="2322" width="13.5703125" style="262" bestFit="1" customWidth="1"/>
    <col min="2323" max="2323" width="5" style="262" bestFit="1" customWidth="1"/>
    <col min="2324" max="2560" width="9.140625" style="262"/>
    <col min="2561" max="2561" width="12.140625" style="262" bestFit="1" customWidth="1"/>
    <col min="2562" max="2562" width="9.140625" style="262" bestFit="1" customWidth="1"/>
    <col min="2563" max="2578" width="13.5703125" style="262" bestFit="1" customWidth="1"/>
    <col min="2579" max="2579" width="5" style="262" bestFit="1" customWidth="1"/>
    <col min="2580" max="2816" width="9.140625" style="262"/>
    <col min="2817" max="2817" width="12.140625" style="262" bestFit="1" customWidth="1"/>
    <col min="2818" max="2818" width="9.140625" style="262" bestFit="1" customWidth="1"/>
    <col min="2819" max="2834" width="13.5703125" style="262" bestFit="1" customWidth="1"/>
    <col min="2835" max="2835" width="5" style="262" bestFit="1" customWidth="1"/>
    <col min="2836" max="3072" width="9.140625" style="262"/>
    <col min="3073" max="3073" width="12.140625" style="262" bestFit="1" customWidth="1"/>
    <col min="3074" max="3074" width="9.140625" style="262" bestFit="1" customWidth="1"/>
    <col min="3075" max="3090" width="13.5703125" style="262" bestFit="1" customWidth="1"/>
    <col min="3091" max="3091" width="5" style="262" bestFit="1" customWidth="1"/>
    <col min="3092" max="3328" width="9.140625" style="262"/>
    <col min="3329" max="3329" width="12.140625" style="262" bestFit="1" customWidth="1"/>
    <col min="3330" max="3330" width="9.140625" style="262" bestFit="1" customWidth="1"/>
    <col min="3331" max="3346" width="13.5703125" style="262" bestFit="1" customWidth="1"/>
    <col min="3347" max="3347" width="5" style="262" bestFit="1" customWidth="1"/>
    <col min="3348" max="3584" width="9.140625" style="262"/>
    <col min="3585" max="3585" width="12.140625" style="262" bestFit="1" customWidth="1"/>
    <col min="3586" max="3586" width="9.140625" style="262" bestFit="1" customWidth="1"/>
    <col min="3587" max="3602" width="13.5703125" style="262" bestFit="1" customWidth="1"/>
    <col min="3603" max="3603" width="5" style="262" bestFit="1" customWidth="1"/>
    <col min="3604" max="3840" width="9.140625" style="262"/>
    <col min="3841" max="3841" width="12.140625" style="262" bestFit="1" customWidth="1"/>
    <col min="3842" max="3842" width="9.140625" style="262" bestFit="1" customWidth="1"/>
    <col min="3843" max="3858" width="13.5703125" style="262" bestFit="1" customWidth="1"/>
    <col min="3859" max="3859" width="5" style="262" bestFit="1" customWidth="1"/>
    <col min="3860" max="4096" width="9.140625" style="262"/>
    <col min="4097" max="4097" width="12.140625" style="262" bestFit="1" customWidth="1"/>
    <col min="4098" max="4098" width="9.140625" style="262" bestFit="1" customWidth="1"/>
    <col min="4099" max="4114" width="13.5703125" style="262" bestFit="1" customWidth="1"/>
    <col min="4115" max="4115" width="5" style="262" bestFit="1" customWidth="1"/>
    <col min="4116" max="4352" width="9.140625" style="262"/>
    <col min="4353" max="4353" width="12.140625" style="262" bestFit="1" customWidth="1"/>
    <col min="4354" max="4354" width="9.140625" style="262" bestFit="1" customWidth="1"/>
    <col min="4355" max="4370" width="13.5703125" style="262" bestFit="1" customWidth="1"/>
    <col min="4371" max="4371" width="5" style="262" bestFit="1" customWidth="1"/>
    <col min="4372" max="4608" width="9.140625" style="262"/>
    <col min="4609" max="4609" width="12.140625" style="262" bestFit="1" customWidth="1"/>
    <col min="4610" max="4610" width="9.140625" style="262" bestFit="1" customWidth="1"/>
    <col min="4611" max="4626" width="13.5703125" style="262" bestFit="1" customWidth="1"/>
    <col min="4627" max="4627" width="5" style="262" bestFit="1" customWidth="1"/>
    <col min="4628" max="4864" width="9.140625" style="262"/>
    <col min="4865" max="4865" width="12.140625" style="262" bestFit="1" customWidth="1"/>
    <col min="4866" max="4866" width="9.140625" style="262" bestFit="1" customWidth="1"/>
    <col min="4867" max="4882" width="13.5703125" style="262" bestFit="1" customWidth="1"/>
    <col min="4883" max="4883" width="5" style="262" bestFit="1" customWidth="1"/>
    <col min="4884" max="5120" width="9.140625" style="262"/>
    <col min="5121" max="5121" width="12.140625" style="262" bestFit="1" customWidth="1"/>
    <col min="5122" max="5122" width="9.140625" style="262" bestFit="1" customWidth="1"/>
    <col min="5123" max="5138" width="13.5703125" style="262" bestFit="1" customWidth="1"/>
    <col min="5139" max="5139" width="5" style="262" bestFit="1" customWidth="1"/>
    <col min="5140" max="5376" width="9.140625" style="262"/>
    <col min="5377" max="5377" width="12.140625" style="262" bestFit="1" customWidth="1"/>
    <col min="5378" max="5378" width="9.140625" style="262" bestFit="1" customWidth="1"/>
    <col min="5379" max="5394" width="13.5703125" style="262" bestFit="1" customWidth="1"/>
    <col min="5395" max="5395" width="5" style="262" bestFit="1" customWidth="1"/>
    <col min="5396" max="5632" width="9.140625" style="262"/>
    <col min="5633" max="5633" width="12.140625" style="262" bestFit="1" customWidth="1"/>
    <col min="5634" max="5634" width="9.140625" style="262" bestFit="1" customWidth="1"/>
    <col min="5635" max="5650" width="13.5703125" style="262" bestFit="1" customWidth="1"/>
    <col min="5651" max="5651" width="5" style="262" bestFit="1" customWidth="1"/>
    <col min="5652" max="5888" width="9.140625" style="262"/>
    <col min="5889" max="5889" width="12.140625" style="262" bestFit="1" customWidth="1"/>
    <col min="5890" max="5890" width="9.140625" style="262" bestFit="1" customWidth="1"/>
    <col min="5891" max="5906" width="13.5703125" style="262" bestFit="1" customWidth="1"/>
    <col min="5907" max="5907" width="5" style="262" bestFit="1" customWidth="1"/>
    <col min="5908" max="6144" width="9.140625" style="262"/>
    <col min="6145" max="6145" width="12.140625" style="262" bestFit="1" customWidth="1"/>
    <col min="6146" max="6146" width="9.140625" style="262" bestFit="1" customWidth="1"/>
    <col min="6147" max="6162" width="13.5703125" style="262" bestFit="1" customWidth="1"/>
    <col min="6163" max="6163" width="5" style="262" bestFit="1" customWidth="1"/>
    <col min="6164" max="6400" width="9.140625" style="262"/>
    <col min="6401" max="6401" width="12.140625" style="262" bestFit="1" customWidth="1"/>
    <col min="6402" max="6402" width="9.140625" style="262" bestFit="1" customWidth="1"/>
    <col min="6403" max="6418" width="13.5703125" style="262" bestFit="1" customWidth="1"/>
    <col min="6419" max="6419" width="5" style="262" bestFit="1" customWidth="1"/>
    <col min="6420" max="6656" width="9.140625" style="262"/>
    <col min="6657" max="6657" width="12.140625" style="262" bestFit="1" customWidth="1"/>
    <col min="6658" max="6658" width="9.140625" style="262" bestFit="1" customWidth="1"/>
    <col min="6659" max="6674" width="13.5703125" style="262" bestFit="1" customWidth="1"/>
    <col min="6675" max="6675" width="5" style="262" bestFit="1" customWidth="1"/>
    <col min="6676" max="6912" width="9.140625" style="262"/>
    <col min="6913" max="6913" width="12.140625" style="262" bestFit="1" customWidth="1"/>
    <col min="6914" max="6914" width="9.140625" style="262" bestFit="1" customWidth="1"/>
    <col min="6915" max="6930" width="13.5703125" style="262" bestFit="1" customWidth="1"/>
    <col min="6931" max="6931" width="5" style="262" bestFit="1" customWidth="1"/>
    <col min="6932" max="7168" width="9.140625" style="262"/>
    <col min="7169" max="7169" width="12.140625" style="262" bestFit="1" customWidth="1"/>
    <col min="7170" max="7170" width="9.140625" style="262" bestFit="1" customWidth="1"/>
    <col min="7171" max="7186" width="13.5703125" style="262" bestFit="1" customWidth="1"/>
    <col min="7187" max="7187" width="5" style="262" bestFit="1" customWidth="1"/>
    <col min="7188" max="7424" width="9.140625" style="262"/>
    <col min="7425" max="7425" width="12.140625" style="262" bestFit="1" customWidth="1"/>
    <col min="7426" max="7426" width="9.140625" style="262" bestFit="1" customWidth="1"/>
    <col min="7427" max="7442" width="13.5703125" style="262" bestFit="1" customWidth="1"/>
    <col min="7443" max="7443" width="5" style="262" bestFit="1" customWidth="1"/>
    <col min="7444" max="7680" width="9.140625" style="262"/>
    <col min="7681" max="7681" width="12.140625" style="262" bestFit="1" customWidth="1"/>
    <col min="7682" max="7682" width="9.140625" style="262" bestFit="1" customWidth="1"/>
    <col min="7683" max="7698" width="13.5703125" style="262" bestFit="1" customWidth="1"/>
    <col min="7699" max="7699" width="5" style="262" bestFit="1" customWidth="1"/>
    <col min="7700" max="7936" width="9.140625" style="262"/>
    <col min="7937" max="7937" width="12.140625" style="262" bestFit="1" customWidth="1"/>
    <col min="7938" max="7938" width="9.140625" style="262" bestFit="1" customWidth="1"/>
    <col min="7939" max="7954" width="13.5703125" style="262" bestFit="1" customWidth="1"/>
    <col min="7955" max="7955" width="5" style="262" bestFit="1" customWidth="1"/>
    <col min="7956" max="8192" width="9.140625" style="262"/>
    <col min="8193" max="8193" width="12.140625" style="262" bestFit="1" customWidth="1"/>
    <col min="8194" max="8194" width="9.140625" style="262" bestFit="1" customWidth="1"/>
    <col min="8195" max="8210" width="13.5703125" style="262" bestFit="1" customWidth="1"/>
    <col min="8211" max="8211" width="5" style="262" bestFit="1" customWidth="1"/>
    <col min="8212" max="8448" width="9.140625" style="262"/>
    <col min="8449" max="8449" width="12.140625" style="262" bestFit="1" customWidth="1"/>
    <col min="8450" max="8450" width="9.140625" style="262" bestFit="1" customWidth="1"/>
    <col min="8451" max="8466" width="13.5703125" style="262" bestFit="1" customWidth="1"/>
    <col min="8467" max="8467" width="5" style="262" bestFit="1" customWidth="1"/>
    <col min="8468" max="8704" width="9.140625" style="262"/>
    <col min="8705" max="8705" width="12.140625" style="262" bestFit="1" customWidth="1"/>
    <col min="8706" max="8706" width="9.140625" style="262" bestFit="1" customWidth="1"/>
    <col min="8707" max="8722" width="13.5703125" style="262" bestFit="1" customWidth="1"/>
    <col min="8723" max="8723" width="5" style="262" bestFit="1" customWidth="1"/>
    <col min="8724" max="8960" width="9.140625" style="262"/>
    <col min="8961" max="8961" width="12.140625" style="262" bestFit="1" customWidth="1"/>
    <col min="8962" max="8962" width="9.140625" style="262" bestFit="1" customWidth="1"/>
    <col min="8963" max="8978" width="13.5703125" style="262" bestFit="1" customWidth="1"/>
    <col min="8979" max="8979" width="5" style="262" bestFit="1" customWidth="1"/>
    <col min="8980" max="9216" width="9.140625" style="262"/>
    <col min="9217" max="9217" width="12.140625" style="262" bestFit="1" customWidth="1"/>
    <col min="9218" max="9218" width="9.140625" style="262" bestFit="1" customWidth="1"/>
    <col min="9219" max="9234" width="13.5703125" style="262" bestFit="1" customWidth="1"/>
    <col min="9235" max="9235" width="5" style="262" bestFit="1" customWidth="1"/>
    <col min="9236" max="9472" width="9.140625" style="262"/>
    <col min="9473" max="9473" width="12.140625" style="262" bestFit="1" customWidth="1"/>
    <col min="9474" max="9474" width="9.140625" style="262" bestFit="1" customWidth="1"/>
    <col min="9475" max="9490" width="13.5703125" style="262" bestFit="1" customWidth="1"/>
    <col min="9491" max="9491" width="5" style="262" bestFit="1" customWidth="1"/>
    <col min="9492" max="9728" width="9.140625" style="262"/>
    <col min="9729" max="9729" width="12.140625" style="262" bestFit="1" customWidth="1"/>
    <col min="9730" max="9730" width="9.140625" style="262" bestFit="1" customWidth="1"/>
    <col min="9731" max="9746" width="13.5703125" style="262" bestFit="1" customWidth="1"/>
    <col min="9747" max="9747" width="5" style="262" bestFit="1" customWidth="1"/>
    <col min="9748" max="9984" width="9.140625" style="262"/>
    <col min="9985" max="9985" width="12.140625" style="262" bestFit="1" customWidth="1"/>
    <col min="9986" max="9986" width="9.140625" style="262" bestFit="1" customWidth="1"/>
    <col min="9987" max="10002" width="13.5703125" style="262" bestFit="1" customWidth="1"/>
    <col min="10003" max="10003" width="5" style="262" bestFit="1" customWidth="1"/>
    <col min="10004" max="10240" width="9.140625" style="262"/>
    <col min="10241" max="10241" width="12.140625" style="262" bestFit="1" customWidth="1"/>
    <col min="10242" max="10242" width="9.140625" style="262" bestFit="1" customWidth="1"/>
    <col min="10243" max="10258" width="13.5703125" style="262" bestFit="1" customWidth="1"/>
    <col min="10259" max="10259" width="5" style="262" bestFit="1" customWidth="1"/>
    <col min="10260" max="10496" width="9.140625" style="262"/>
    <col min="10497" max="10497" width="12.140625" style="262" bestFit="1" customWidth="1"/>
    <col min="10498" max="10498" width="9.140625" style="262" bestFit="1" customWidth="1"/>
    <col min="10499" max="10514" width="13.5703125" style="262" bestFit="1" customWidth="1"/>
    <col min="10515" max="10515" width="5" style="262" bestFit="1" customWidth="1"/>
    <col min="10516" max="10752" width="9.140625" style="262"/>
    <col min="10753" max="10753" width="12.140625" style="262" bestFit="1" customWidth="1"/>
    <col min="10754" max="10754" width="9.140625" style="262" bestFit="1" customWidth="1"/>
    <col min="10755" max="10770" width="13.5703125" style="262" bestFit="1" customWidth="1"/>
    <col min="10771" max="10771" width="5" style="262" bestFit="1" customWidth="1"/>
    <col min="10772" max="11008" width="9.140625" style="262"/>
    <col min="11009" max="11009" width="12.140625" style="262" bestFit="1" customWidth="1"/>
    <col min="11010" max="11010" width="9.140625" style="262" bestFit="1" customWidth="1"/>
    <col min="11011" max="11026" width="13.5703125" style="262" bestFit="1" customWidth="1"/>
    <col min="11027" max="11027" width="5" style="262" bestFit="1" customWidth="1"/>
    <col min="11028" max="11264" width="9.140625" style="262"/>
    <col min="11265" max="11265" width="12.140625" style="262" bestFit="1" customWidth="1"/>
    <col min="11266" max="11266" width="9.140625" style="262" bestFit="1" customWidth="1"/>
    <col min="11267" max="11282" width="13.5703125" style="262" bestFit="1" customWidth="1"/>
    <col min="11283" max="11283" width="5" style="262" bestFit="1" customWidth="1"/>
    <col min="11284" max="11520" width="9.140625" style="262"/>
    <col min="11521" max="11521" width="12.140625" style="262" bestFit="1" customWidth="1"/>
    <col min="11522" max="11522" width="9.140625" style="262" bestFit="1" customWidth="1"/>
    <col min="11523" max="11538" width="13.5703125" style="262" bestFit="1" customWidth="1"/>
    <col min="11539" max="11539" width="5" style="262" bestFit="1" customWidth="1"/>
    <col min="11540" max="11776" width="9.140625" style="262"/>
    <col min="11777" max="11777" width="12.140625" style="262" bestFit="1" customWidth="1"/>
    <col min="11778" max="11778" width="9.140625" style="262" bestFit="1" customWidth="1"/>
    <col min="11779" max="11794" width="13.5703125" style="262" bestFit="1" customWidth="1"/>
    <col min="11795" max="11795" width="5" style="262" bestFit="1" customWidth="1"/>
    <col min="11796" max="12032" width="9.140625" style="262"/>
    <col min="12033" max="12033" width="12.140625" style="262" bestFit="1" customWidth="1"/>
    <col min="12034" max="12034" width="9.140625" style="262" bestFit="1" customWidth="1"/>
    <col min="12035" max="12050" width="13.5703125" style="262" bestFit="1" customWidth="1"/>
    <col min="12051" max="12051" width="5" style="262" bestFit="1" customWidth="1"/>
    <col min="12052" max="12288" width="9.140625" style="262"/>
    <col min="12289" max="12289" width="12.140625" style="262" bestFit="1" customWidth="1"/>
    <col min="12290" max="12290" width="9.140625" style="262" bestFit="1" customWidth="1"/>
    <col min="12291" max="12306" width="13.5703125" style="262" bestFit="1" customWidth="1"/>
    <col min="12307" max="12307" width="5" style="262" bestFit="1" customWidth="1"/>
    <col min="12308" max="12544" width="9.140625" style="262"/>
    <col min="12545" max="12545" width="12.140625" style="262" bestFit="1" customWidth="1"/>
    <col min="12546" max="12546" width="9.140625" style="262" bestFit="1" customWidth="1"/>
    <col min="12547" max="12562" width="13.5703125" style="262" bestFit="1" customWidth="1"/>
    <col min="12563" max="12563" width="5" style="262" bestFit="1" customWidth="1"/>
    <col min="12564" max="12800" width="9.140625" style="262"/>
    <col min="12801" max="12801" width="12.140625" style="262" bestFit="1" customWidth="1"/>
    <col min="12802" max="12802" width="9.140625" style="262" bestFit="1" customWidth="1"/>
    <col min="12803" max="12818" width="13.5703125" style="262" bestFit="1" customWidth="1"/>
    <col min="12819" max="12819" width="5" style="262" bestFit="1" customWidth="1"/>
    <col min="12820" max="13056" width="9.140625" style="262"/>
    <col min="13057" max="13057" width="12.140625" style="262" bestFit="1" customWidth="1"/>
    <col min="13058" max="13058" width="9.140625" style="262" bestFit="1" customWidth="1"/>
    <col min="13059" max="13074" width="13.5703125" style="262" bestFit="1" customWidth="1"/>
    <col min="13075" max="13075" width="5" style="262" bestFit="1" customWidth="1"/>
    <col min="13076" max="13312" width="9.140625" style="262"/>
    <col min="13313" max="13313" width="12.140625" style="262" bestFit="1" customWidth="1"/>
    <col min="13314" max="13314" width="9.140625" style="262" bestFit="1" customWidth="1"/>
    <col min="13315" max="13330" width="13.5703125" style="262" bestFit="1" customWidth="1"/>
    <col min="13331" max="13331" width="5" style="262" bestFit="1" customWidth="1"/>
    <col min="13332" max="13568" width="9.140625" style="262"/>
    <col min="13569" max="13569" width="12.140625" style="262" bestFit="1" customWidth="1"/>
    <col min="13570" max="13570" width="9.140625" style="262" bestFit="1" customWidth="1"/>
    <col min="13571" max="13586" width="13.5703125" style="262" bestFit="1" customWidth="1"/>
    <col min="13587" max="13587" width="5" style="262" bestFit="1" customWidth="1"/>
    <col min="13588" max="13824" width="9.140625" style="262"/>
    <col min="13825" max="13825" width="12.140625" style="262" bestFit="1" customWidth="1"/>
    <col min="13826" max="13826" width="9.140625" style="262" bestFit="1" customWidth="1"/>
    <col min="13827" max="13842" width="13.5703125" style="262" bestFit="1" customWidth="1"/>
    <col min="13843" max="13843" width="5" style="262" bestFit="1" customWidth="1"/>
    <col min="13844" max="14080" width="9.140625" style="262"/>
    <col min="14081" max="14081" width="12.140625" style="262" bestFit="1" customWidth="1"/>
    <col min="14082" max="14082" width="9.140625" style="262" bestFit="1" customWidth="1"/>
    <col min="14083" max="14098" width="13.5703125" style="262" bestFit="1" customWidth="1"/>
    <col min="14099" max="14099" width="5" style="262" bestFit="1" customWidth="1"/>
    <col min="14100" max="14336" width="9.140625" style="262"/>
    <col min="14337" max="14337" width="12.140625" style="262" bestFit="1" customWidth="1"/>
    <col min="14338" max="14338" width="9.140625" style="262" bestFit="1" customWidth="1"/>
    <col min="14339" max="14354" width="13.5703125" style="262" bestFit="1" customWidth="1"/>
    <col min="14355" max="14355" width="5" style="262" bestFit="1" customWidth="1"/>
    <col min="14356" max="14592" width="9.140625" style="262"/>
    <col min="14593" max="14593" width="12.140625" style="262" bestFit="1" customWidth="1"/>
    <col min="14594" max="14594" width="9.140625" style="262" bestFit="1" customWidth="1"/>
    <col min="14595" max="14610" width="13.5703125" style="262" bestFit="1" customWidth="1"/>
    <col min="14611" max="14611" width="5" style="262" bestFit="1" customWidth="1"/>
    <col min="14612" max="14848" width="9.140625" style="262"/>
    <col min="14849" max="14849" width="12.140625" style="262" bestFit="1" customWidth="1"/>
    <col min="14850" max="14850" width="9.140625" style="262" bestFit="1" customWidth="1"/>
    <col min="14851" max="14866" width="13.5703125" style="262" bestFit="1" customWidth="1"/>
    <col min="14867" max="14867" width="5" style="262" bestFit="1" customWidth="1"/>
    <col min="14868" max="15104" width="9.140625" style="262"/>
    <col min="15105" max="15105" width="12.140625" style="262" bestFit="1" customWidth="1"/>
    <col min="15106" max="15106" width="9.140625" style="262" bestFit="1" customWidth="1"/>
    <col min="15107" max="15122" width="13.5703125" style="262" bestFit="1" customWidth="1"/>
    <col min="15123" max="15123" width="5" style="262" bestFit="1" customWidth="1"/>
    <col min="15124" max="15360" width="9.140625" style="262"/>
    <col min="15361" max="15361" width="12.140625" style="262" bestFit="1" customWidth="1"/>
    <col min="15362" max="15362" width="9.140625" style="262" bestFit="1" customWidth="1"/>
    <col min="15363" max="15378" width="13.5703125" style="262" bestFit="1" customWidth="1"/>
    <col min="15379" max="15379" width="5" style="262" bestFit="1" customWidth="1"/>
    <col min="15380" max="15616" width="9.140625" style="262"/>
    <col min="15617" max="15617" width="12.140625" style="262" bestFit="1" customWidth="1"/>
    <col min="15618" max="15618" width="9.140625" style="262" bestFit="1" customWidth="1"/>
    <col min="15619" max="15634" width="13.5703125" style="262" bestFit="1" customWidth="1"/>
    <col min="15635" max="15635" width="5" style="262" bestFit="1" customWidth="1"/>
    <col min="15636" max="15872" width="9.140625" style="262"/>
    <col min="15873" max="15873" width="12.140625" style="262" bestFit="1" customWidth="1"/>
    <col min="15874" max="15874" width="9.140625" style="262" bestFit="1" customWidth="1"/>
    <col min="15875" max="15890" width="13.5703125" style="262" bestFit="1" customWidth="1"/>
    <col min="15891" max="15891" width="5" style="262" bestFit="1" customWidth="1"/>
    <col min="15892" max="16128" width="9.140625" style="262"/>
    <col min="16129" max="16129" width="12.140625" style="262" bestFit="1" customWidth="1"/>
    <col min="16130" max="16130" width="9.140625" style="262" bestFit="1" customWidth="1"/>
    <col min="16131" max="16146" width="13.5703125" style="262" bestFit="1" customWidth="1"/>
    <col min="16147" max="16147" width="5" style="262" bestFit="1" customWidth="1"/>
    <col min="16148" max="16384" width="9.140625" style="262"/>
  </cols>
  <sheetData>
    <row r="1" spans="1:18" ht="18" customHeight="1" x14ac:dyDescent="0.2">
      <c r="A1" s="351" t="s">
        <v>531</v>
      </c>
      <c r="B1" s="351"/>
      <c r="C1" s="351"/>
      <c r="D1" s="351"/>
      <c r="E1" s="351"/>
      <c r="F1" s="351"/>
      <c r="G1" s="351"/>
      <c r="H1" s="351"/>
      <c r="I1" s="351"/>
      <c r="J1" s="351"/>
      <c r="K1" s="351"/>
      <c r="L1" s="351"/>
      <c r="M1" s="351"/>
      <c r="N1" s="351"/>
    </row>
    <row r="2" spans="1:18" s="265" customFormat="1" ht="25.5" customHeight="1" x14ac:dyDescent="0.2">
      <c r="A2" s="355" t="s">
        <v>519</v>
      </c>
      <c r="B2" s="355" t="s">
        <v>285</v>
      </c>
      <c r="C2" s="378" t="s">
        <v>520</v>
      </c>
      <c r="D2" s="379"/>
      <c r="E2" s="378" t="s">
        <v>521</v>
      </c>
      <c r="F2" s="379"/>
      <c r="G2" s="375" t="s">
        <v>522</v>
      </c>
      <c r="H2" s="376"/>
      <c r="I2" s="376"/>
      <c r="J2" s="377"/>
      <c r="K2" s="375" t="s">
        <v>523</v>
      </c>
      <c r="L2" s="376"/>
      <c r="M2" s="376"/>
      <c r="N2" s="377"/>
      <c r="O2" s="378" t="s">
        <v>150</v>
      </c>
      <c r="P2" s="379"/>
      <c r="Q2" s="424" t="s">
        <v>524</v>
      </c>
      <c r="R2" s="425"/>
    </row>
    <row r="3" spans="1:18" s="265" customFormat="1" ht="13.5" customHeight="1" x14ac:dyDescent="0.2">
      <c r="A3" s="423"/>
      <c r="B3" s="423"/>
      <c r="C3" s="380"/>
      <c r="D3" s="381"/>
      <c r="E3" s="380"/>
      <c r="F3" s="381"/>
      <c r="G3" s="375" t="s">
        <v>525</v>
      </c>
      <c r="H3" s="377"/>
      <c r="I3" s="375" t="s">
        <v>526</v>
      </c>
      <c r="J3" s="377"/>
      <c r="K3" s="375" t="s">
        <v>525</v>
      </c>
      <c r="L3" s="377"/>
      <c r="M3" s="375" t="s">
        <v>526</v>
      </c>
      <c r="N3" s="377"/>
      <c r="O3" s="380"/>
      <c r="P3" s="381"/>
      <c r="Q3" s="426"/>
      <c r="R3" s="427"/>
    </row>
    <row r="4" spans="1:18" s="265" customFormat="1" ht="27" customHeight="1" x14ac:dyDescent="0.2">
      <c r="A4" s="356"/>
      <c r="B4" s="356"/>
      <c r="C4" s="276" t="s">
        <v>527</v>
      </c>
      <c r="D4" s="311" t="s">
        <v>528</v>
      </c>
      <c r="E4" s="276" t="s">
        <v>527</v>
      </c>
      <c r="F4" s="311" t="s">
        <v>528</v>
      </c>
      <c r="G4" s="276" t="s">
        <v>527</v>
      </c>
      <c r="H4" s="311" t="s">
        <v>528</v>
      </c>
      <c r="I4" s="276" t="s">
        <v>527</v>
      </c>
      <c r="J4" s="311" t="s">
        <v>528</v>
      </c>
      <c r="K4" s="276" t="s">
        <v>527</v>
      </c>
      <c r="L4" s="311" t="s">
        <v>528</v>
      </c>
      <c r="M4" s="276" t="s">
        <v>527</v>
      </c>
      <c r="N4" s="311" t="s">
        <v>528</v>
      </c>
      <c r="O4" s="276" t="s">
        <v>527</v>
      </c>
      <c r="P4" s="311" t="s">
        <v>528</v>
      </c>
      <c r="Q4" s="276" t="s">
        <v>527</v>
      </c>
      <c r="R4" s="311" t="s">
        <v>528</v>
      </c>
    </row>
    <row r="5" spans="1:18" s="265" customFormat="1" ht="15" customHeight="1" x14ac:dyDescent="0.2">
      <c r="A5" s="266" t="s">
        <v>69</v>
      </c>
      <c r="B5" s="271">
        <v>246</v>
      </c>
      <c r="C5" s="301">
        <v>57674584</v>
      </c>
      <c r="D5" s="290">
        <v>4810454.3916689996</v>
      </c>
      <c r="E5" s="301">
        <v>214758366</v>
      </c>
      <c r="F5" s="301">
        <v>15597519.7223446</v>
      </c>
      <c r="G5" s="301">
        <v>783312918</v>
      </c>
      <c r="H5" s="301">
        <v>71028905.386217803</v>
      </c>
      <c r="I5" s="301">
        <v>731721304</v>
      </c>
      <c r="J5" s="301">
        <v>63892970.901222497</v>
      </c>
      <c r="K5" s="301">
        <v>86282094</v>
      </c>
      <c r="L5" s="290">
        <v>6728006.9254511604</v>
      </c>
      <c r="M5" s="301">
        <v>40129282</v>
      </c>
      <c r="N5" s="290">
        <v>2927001.61905709</v>
      </c>
      <c r="O5" s="329">
        <v>1913878548</v>
      </c>
      <c r="P5" s="301">
        <v>164984858.950562</v>
      </c>
      <c r="Q5" s="290">
        <v>3800266</v>
      </c>
      <c r="R5" s="290">
        <v>274930.59255605499</v>
      </c>
    </row>
    <row r="6" spans="1:18" s="265" customFormat="1" ht="15" customHeight="1" x14ac:dyDescent="0.2">
      <c r="A6" s="266" t="s">
        <v>70</v>
      </c>
      <c r="B6" s="271">
        <v>248</v>
      </c>
      <c r="C6" s="301">
        <v>69824522</v>
      </c>
      <c r="D6" s="290">
        <v>5568914.4199999999</v>
      </c>
      <c r="E6" s="301">
        <v>255533869</v>
      </c>
      <c r="F6" s="301">
        <v>16147010.83</v>
      </c>
      <c r="G6" s="329">
        <v>1391027617</v>
      </c>
      <c r="H6" s="301">
        <v>107726326.8</v>
      </c>
      <c r="I6" s="329">
        <v>1261429870</v>
      </c>
      <c r="J6" s="301">
        <v>95576078.140000001</v>
      </c>
      <c r="K6" s="301">
        <v>123510308</v>
      </c>
      <c r="L6" s="290">
        <v>8517920.4590000007</v>
      </c>
      <c r="M6" s="301">
        <v>63476234</v>
      </c>
      <c r="N6" s="290">
        <v>4064454.3810000001</v>
      </c>
      <c r="O6" s="329">
        <v>3164802420</v>
      </c>
      <c r="P6" s="301">
        <v>237600705</v>
      </c>
      <c r="Q6" s="290">
        <v>4038916</v>
      </c>
      <c r="R6" s="290">
        <v>286402.84869999997</v>
      </c>
    </row>
    <row r="7" spans="1:18" s="265" customFormat="1" ht="15" customHeight="1" x14ac:dyDescent="0.2">
      <c r="A7" s="266" t="s">
        <v>156</v>
      </c>
      <c r="B7" s="271">
        <v>21</v>
      </c>
      <c r="C7" s="290">
        <v>4993824</v>
      </c>
      <c r="D7" s="290">
        <v>433691.273762225</v>
      </c>
      <c r="E7" s="301">
        <v>19971346</v>
      </c>
      <c r="F7" s="290">
        <v>1431956.7571702399</v>
      </c>
      <c r="G7" s="301">
        <v>69599045</v>
      </c>
      <c r="H7" s="290">
        <v>6570818.3973215204</v>
      </c>
      <c r="I7" s="301">
        <v>67963276</v>
      </c>
      <c r="J7" s="290">
        <v>6169967.5836405698</v>
      </c>
      <c r="K7" s="290">
        <v>9224410</v>
      </c>
      <c r="L7" s="290">
        <v>711977.43302098499</v>
      </c>
      <c r="M7" s="290">
        <v>4247393</v>
      </c>
      <c r="N7" s="290">
        <v>301815.939864085</v>
      </c>
      <c r="O7" s="301">
        <v>175999294</v>
      </c>
      <c r="P7" s="301">
        <v>15620227.3847796</v>
      </c>
      <c r="Q7" s="290">
        <v>4567264</v>
      </c>
      <c r="R7" s="290">
        <v>351290.31786055502</v>
      </c>
    </row>
    <row r="8" spans="1:18" s="265" customFormat="1" ht="15" customHeight="1" x14ac:dyDescent="0.2">
      <c r="A8" s="266" t="s">
        <v>157</v>
      </c>
      <c r="B8" s="271">
        <v>22</v>
      </c>
      <c r="C8" s="290">
        <v>4991448</v>
      </c>
      <c r="D8" s="290">
        <v>446740.88998507499</v>
      </c>
      <c r="E8" s="301">
        <v>21801493</v>
      </c>
      <c r="F8" s="290">
        <v>1430486.52776758</v>
      </c>
      <c r="G8" s="301">
        <v>86598523</v>
      </c>
      <c r="H8" s="290">
        <v>8491735.6803199295</v>
      </c>
      <c r="I8" s="301">
        <v>82860071</v>
      </c>
      <c r="J8" s="290">
        <v>7927461.3851190498</v>
      </c>
      <c r="K8" s="290">
        <v>9968877</v>
      </c>
      <c r="L8" s="290">
        <v>712976.86946806498</v>
      </c>
      <c r="M8" s="290">
        <v>5105748</v>
      </c>
      <c r="N8" s="290">
        <v>332671.50878594001</v>
      </c>
      <c r="O8" s="301">
        <v>211326160</v>
      </c>
      <c r="P8" s="301">
        <v>19342072.861445598</v>
      </c>
      <c r="Q8" s="290">
        <v>3796577</v>
      </c>
      <c r="R8" s="290">
        <v>285599.44376459997</v>
      </c>
    </row>
    <row r="9" spans="1:18" s="265" customFormat="1" ht="15" customHeight="1" x14ac:dyDescent="0.2">
      <c r="A9" s="266" t="s">
        <v>158</v>
      </c>
      <c r="B9" s="271">
        <v>21</v>
      </c>
      <c r="C9" s="290">
        <v>5182508</v>
      </c>
      <c r="D9" s="290">
        <v>468591.042712475</v>
      </c>
      <c r="E9" s="301">
        <v>20044920</v>
      </c>
      <c r="F9" s="290">
        <v>1317353.4264954999</v>
      </c>
      <c r="G9" s="301">
        <v>84577639</v>
      </c>
      <c r="H9" s="290">
        <v>8445192.8997977693</v>
      </c>
      <c r="I9" s="301">
        <v>76522830</v>
      </c>
      <c r="J9" s="290">
        <v>7441947.8226933302</v>
      </c>
      <c r="K9" s="290">
        <v>8967595</v>
      </c>
      <c r="L9" s="290">
        <v>651758.49147938006</v>
      </c>
      <c r="M9" s="290">
        <v>4212883</v>
      </c>
      <c r="N9" s="290">
        <v>285772.96485312498</v>
      </c>
      <c r="O9" s="301">
        <v>199508375</v>
      </c>
      <c r="P9" s="301">
        <v>18610616.6480316</v>
      </c>
      <c r="Q9" s="290">
        <v>3992821</v>
      </c>
      <c r="R9" s="290">
        <v>300615.84119713499</v>
      </c>
    </row>
    <row r="10" spans="1:18" s="265" customFormat="1" ht="15" customHeight="1" x14ac:dyDescent="0.2">
      <c r="A10" s="266" t="s">
        <v>159</v>
      </c>
      <c r="B10" s="271">
        <v>22</v>
      </c>
      <c r="C10" s="290">
        <v>4672793</v>
      </c>
      <c r="D10" s="290">
        <v>429456.78759214998</v>
      </c>
      <c r="E10" s="301">
        <v>21816111</v>
      </c>
      <c r="F10" s="290">
        <v>1476882.3651340301</v>
      </c>
      <c r="G10" s="301">
        <v>77931556</v>
      </c>
      <c r="H10" s="290">
        <v>7947392.3607037198</v>
      </c>
      <c r="I10" s="301">
        <v>76059866</v>
      </c>
      <c r="J10" s="290">
        <v>7553894.06608715</v>
      </c>
      <c r="K10" s="301">
        <v>11475161</v>
      </c>
      <c r="L10" s="290">
        <v>870430.04526865506</v>
      </c>
      <c r="M10" s="290">
        <v>5324918</v>
      </c>
      <c r="N10" s="290">
        <v>379021.05009510001</v>
      </c>
      <c r="O10" s="301">
        <v>197280405</v>
      </c>
      <c r="P10" s="301">
        <v>18657076.674880799</v>
      </c>
      <c r="Q10" s="290">
        <v>4353922</v>
      </c>
      <c r="R10" s="290">
        <v>350440.90064361499</v>
      </c>
    </row>
    <row r="11" spans="1:18" s="265" customFormat="1" ht="15" customHeight="1" x14ac:dyDescent="0.2">
      <c r="A11" s="266" t="s">
        <v>160</v>
      </c>
      <c r="B11" s="271">
        <v>21</v>
      </c>
      <c r="C11" s="290">
        <v>4086103</v>
      </c>
      <c r="D11" s="290">
        <v>394229.13651310001</v>
      </c>
      <c r="E11" s="301">
        <v>21581854</v>
      </c>
      <c r="F11" s="290">
        <v>1544987.2236541801</v>
      </c>
      <c r="G11" s="301">
        <v>80237798</v>
      </c>
      <c r="H11" s="290">
        <v>8626841.1499275807</v>
      </c>
      <c r="I11" s="301">
        <v>78161817</v>
      </c>
      <c r="J11" s="290">
        <v>8184551.27808748</v>
      </c>
      <c r="K11" s="301">
        <v>11369088</v>
      </c>
      <c r="L11" s="290">
        <v>901552.53595318506</v>
      </c>
      <c r="M11" s="290">
        <v>5249072</v>
      </c>
      <c r="N11" s="290">
        <v>393970.99750629999</v>
      </c>
      <c r="O11" s="301">
        <v>200685732</v>
      </c>
      <c r="P11" s="301">
        <v>20046132.321641799</v>
      </c>
      <c r="Q11" s="290">
        <v>4152480</v>
      </c>
      <c r="R11" s="290">
        <v>341915.25601266499</v>
      </c>
    </row>
    <row r="12" spans="1:18" s="265" customFormat="1" ht="15" customHeight="1" x14ac:dyDescent="0.2">
      <c r="A12" s="266" t="s">
        <v>161</v>
      </c>
      <c r="B12" s="271">
        <v>18</v>
      </c>
      <c r="C12" s="290">
        <v>5832447</v>
      </c>
      <c r="D12" s="290">
        <v>540039.54469492496</v>
      </c>
      <c r="E12" s="301">
        <v>21640734</v>
      </c>
      <c r="F12" s="290">
        <v>1464394.07776854</v>
      </c>
      <c r="G12" s="301">
        <v>104142054</v>
      </c>
      <c r="H12" s="301">
        <v>10662246.770992201</v>
      </c>
      <c r="I12" s="301">
        <v>87133996</v>
      </c>
      <c r="J12" s="290">
        <v>8675527.5469219498</v>
      </c>
      <c r="K12" s="290">
        <v>9897504</v>
      </c>
      <c r="L12" s="290">
        <v>753661.14593340002</v>
      </c>
      <c r="M12" s="290">
        <v>5036142</v>
      </c>
      <c r="N12" s="290">
        <v>362771.88757834502</v>
      </c>
      <c r="O12" s="301">
        <v>233682877</v>
      </c>
      <c r="P12" s="301">
        <v>22458640.973889399</v>
      </c>
      <c r="Q12" s="290">
        <v>3859031</v>
      </c>
      <c r="R12" s="290">
        <v>284743.01803734998</v>
      </c>
    </row>
    <row r="13" spans="1:18" s="265" customFormat="1" ht="15" customHeight="1" x14ac:dyDescent="0.2">
      <c r="A13" s="266" t="s">
        <v>162</v>
      </c>
      <c r="B13" s="271">
        <v>21</v>
      </c>
      <c r="C13" s="290">
        <v>8230210</v>
      </c>
      <c r="D13" s="290">
        <v>667269.8694967</v>
      </c>
      <c r="E13" s="301">
        <v>24929740</v>
      </c>
      <c r="F13" s="290">
        <v>1488064.90156005</v>
      </c>
      <c r="G13" s="301">
        <v>123060526</v>
      </c>
      <c r="H13" s="301">
        <v>10742713.3942704</v>
      </c>
      <c r="I13" s="301">
        <v>101343656</v>
      </c>
      <c r="J13" s="290">
        <v>8520364.09894168</v>
      </c>
      <c r="K13" s="290">
        <v>9592185</v>
      </c>
      <c r="L13" s="290">
        <v>664312.25035985501</v>
      </c>
      <c r="M13" s="290">
        <v>5482238</v>
      </c>
      <c r="N13" s="290">
        <v>350545.59079273499</v>
      </c>
      <c r="O13" s="301">
        <v>272638555</v>
      </c>
      <c r="P13" s="301">
        <v>22433270.105421402</v>
      </c>
      <c r="Q13" s="290">
        <v>5134553</v>
      </c>
      <c r="R13" s="290">
        <v>317298.01586096501</v>
      </c>
    </row>
    <row r="14" spans="1:18" s="265" customFormat="1" ht="15" customHeight="1" x14ac:dyDescent="0.2">
      <c r="A14" s="266" t="s">
        <v>163</v>
      </c>
      <c r="B14" s="271">
        <v>20</v>
      </c>
      <c r="C14" s="290">
        <v>6717256</v>
      </c>
      <c r="D14" s="290">
        <v>441854.53846805001</v>
      </c>
      <c r="E14" s="301">
        <v>21315096</v>
      </c>
      <c r="F14" s="290">
        <v>1187157.3268972901</v>
      </c>
      <c r="G14" s="301">
        <v>144476482</v>
      </c>
      <c r="H14" s="290">
        <v>8216768.3903207304</v>
      </c>
      <c r="I14" s="301">
        <v>138321044</v>
      </c>
      <c r="J14" s="290">
        <v>7702237.1707999799</v>
      </c>
      <c r="K14" s="290">
        <v>9868483</v>
      </c>
      <c r="L14" s="290">
        <v>576187.49759666994</v>
      </c>
      <c r="M14" s="290">
        <v>5323461</v>
      </c>
      <c r="N14" s="290">
        <v>290333.36671422998</v>
      </c>
      <c r="O14" s="301">
        <v>326021822</v>
      </c>
      <c r="P14" s="301">
        <v>18414538.290796999</v>
      </c>
      <c r="Q14" s="290">
        <v>4337096</v>
      </c>
      <c r="R14" s="290">
        <v>276558.72975971497</v>
      </c>
    </row>
    <row r="15" spans="1:18" s="265" customFormat="1" ht="15" customHeight="1" x14ac:dyDescent="0.2">
      <c r="A15" s="266" t="s">
        <v>164</v>
      </c>
      <c r="B15" s="271">
        <v>20</v>
      </c>
      <c r="C15" s="290">
        <v>6343194</v>
      </c>
      <c r="D15" s="290">
        <v>432193.70485315</v>
      </c>
      <c r="E15" s="301">
        <v>20474282</v>
      </c>
      <c r="F15" s="290">
        <v>1170839.2364163599</v>
      </c>
      <c r="G15" s="301">
        <v>150063428</v>
      </c>
      <c r="H15" s="290">
        <v>8858652.9491959307</v>
      </c>
      <c r="I15" s="301">
        <v>136335130</v>
      </c>
      <c r="J15" s="290">
        <v>7864301.9030776201</v>
      </c>
      <c r="K15" s="290">
        <v>9523131</v>
      </c>
      <c r="L15" s="290">
        <v>576930.37903334503</v>
      </c>
      <c r="M15" s="290">
        <v>4865999</v>
      </c>
      <c r="N15" s="290">
        <v>280844.68810417003</v>
      </c>
      <c r="O15" s="301">
        <v>327605164</v>
      </c>
      <c r="P15" s="301">
        <v>19183762.860680599</v>
      </c>
      <c r="Q15" s="290">
        <v>4422992</v>
      </c>
      <c r="R15" s="290">
        <v>290864.55352931499</v>
      </c>
    </row>
    <row r="16" spans="1:18" s="265" customFormat="1" ht="15" customHeight="1" x14ac:dyDescent="0.2">
      <c r="A16" s="266" t="s">
        <v>165</v>
      </c>
      <c r="B16" s="271">
        <v>23</v>
      </c>
      <c r="C16" s="290">
        <v>6852010</v>
      </c>
      <c r="D16" s="290">
        <v>472303.33939152502</v>
      </c>
      <c r="E16" s="301">
        <v>21835896</v>
      </c>
      <c r="F16" s="290">
        <v>1277385.4996819301</v>
      </c>
      <c r="G16" s="301">
        <v>173612999</v>
      </c>
      <c r="H16" s="301">
        <v>10316455.7100835</v>
      </c>
      <c r="I16" s="301">
        <v>152121040</v>
      </c>
      <c r="J16" s="290">
        <v>8887078.3332334496</v>
      </c>
      <c r="K16" s="301">
        <v>11934197</v>
      </c>
      <c r="L16" s="290">
        <v>738289.89256975497</v>
      </c>
      <c r="M16" s="290">
        <v>6738236</v>
      </c>
      <c r="N16" s="290">
        <v>393322.64735481999</v>
      </c>
      <c r="O16" s="301">
        <v>373094378</v>
      </c>
      <c r="P16" s="301">
        <v>22084835.422315001</v>
      </c>
      <c r="Q16" s="290">
        <v>3705986</v>
      </c>
      <c r="R16" s="290">
        <v>243146.4526851</v>
      </c>
    </row>
    <row r="17" spans="1:18" s="265" customFormat="1" ht="15" customHeight="1" x14ac:dyDescent="0.2">
      <c r="A17" s="266" t="s">
        <v>166</v>
      </c>
      <c r="B17" s="271">
        <v>20</v>
      </c>
      <c r="C17" s="290">
        <v>5953512</v>
      </c>
      <c r="D17" s="290">
        <v>413439.90740000003</v>
      </c>
      <c r="E17" s="301">
        <v>20566789</v>
      </c>
      <c r="F17" s="290">
        <v>1156660.7450000001</v>
      </c>
      <c r="G17" s="301">
        <v>140105033</v>
      </c>
      <c r="H17" s="290">
        <v>8625206.0500000007</v>
      </c>
      <c r="I17" s="301">
        <v>126937217</v>
      </c>
      <c r="J17" s="290">
        <v>7725598.1730000004</v>
      </c>
      <c r="K17" s="301">
        <v>10971086</v>
      </c>
      <c r="L17" s="290">
        <v>658099.92839999998</v>
      </c>
      <c r="M17" s="290">
        <v>6771081</v>
      </c>
      <c r="N17" s="290">
        <v>377219.7928</v>
      </c>
      <c r="O17" s="301">
        <v>311304718</v>
      </c>
      <c r="P17" s="301">
        <v>18956224.600000001</v>
      </c>
      <c r="Q17" s="290">
        <v>3534643</v>
      </c>
      <c r="R17" s="290">
        <v>232143.53950000001</v>
      </c>
    </row>
    <row r="18" spans="1:18" s="265" customFormat="1" ht="15" customHeight="1" x14ac:dyDescent="0.2">
      <c r="A18" s="266" t="s">
        <v>167</v>
      </c>
      <c r="B18" s="271">
        <v>19</v>
      </c>
      <c r="C18" s="290">
        <v>5969217</v>
      </c>
      <c r="D18" s="290">
        <v>429104.38510000001</v>
      </c>
      <c r="E18" s="301">
        <v>19555608</v>
      </c>
      <c r="F18" s="290">
        <v>1200842.743</v>
      </c>
      <c r="G18" s="301">
        <v>156622534</v>
      </c>
      <c r="H18" s="301">
        <v>10222303</v>
      </c>
      <c r="I18" s="301">
        <v>137669927</v>
      </c>
      <c r="J18" s="290">
        <v>8923148.7760000005</v>
      </c>
      <c r="K18" s="301">
        <v>10718591</v>
      </c>
      <c r="L18" s="290">
        <v>701743.99040000001</v>
      </c>
      <c r="M18" s="290">
        <v>5119063</v>
      </c>
      <c r="N18" s="290">
        <v>316163.94679999998</v>
      </c>
      <c r="O18" s="301">
        <v>335654940</v>
      </c>
      <c r="P18" s="301">
        <v>21793306.84</v>
      </c>
      <c r="Q18" s="290">
        <v>4038916</v>
      </c>
      <c r="R18" s="290">
        <v>286402.84869999997</v>
      </c>
    </row>
    <row r="19" spans="1:18" s="265" customFormat="1" ht="14.25" customHeight="1" x14ac:dyDescent="0.2">
      <c r="A19" s="353" t="s">
        <v>106</v>
      </c>
      <c r="B19" s="353"/>
      <c r="C19" s="353"/>
      <c r="D19" s="353"/>
      <c r="E19" s="353"/>
      <c r="F19" s="353"/>
      <c r="G19" s="353"/>
      <c r="H19" s="353"/>
      <c r="I19" s="353"/>
      <c r="J19" s="353"/>
      <c r="K19" s="353"/>
      <c r="L19" s="353"/>
      <c r="M19" s="353"/>
      <c r="N19" s="353"/>
      <c r="O19" s="353"/>
      <c r="P19" s="353"/>
      <c r="Q19" s="353"/>
      <c r="R19" s="353"/>
    </row>
    <row r="20" spans="1:18" s="265" customFormat="1" ht="13.5" customHeight="1" x14ac:dyDescent="0.2">
      <c r="A20" s="353" t="s">
        <v>530</v>
      </c>
      <c r="B20" s="353"/>
      <c r="C20" s="353"/>
      <c r="D20" s="353"/>
      <c r="E20" s="353"/>
      <c r="F20" s="353"/>
      <c r="G20" s="353"/>
      <c r="H20" s="353"/>
      <c r="I20" s="353"/>
      <c r="J20" s="353"/>
      <c r="K20" s="353"/>
      <c r="L20" s="353"/>
      <c r="M20" s="353"/>
      <c r="N20" s="353"/>
      <c r="O20" s="353"/>
      <c r="P20" s="353"/>
      <c r="Q20" s="353"/>
      <c r="R20" s="353"/>
    </row>
    <row r="21" spans="1:18" s="265" customFormat="1" ht="13.5" customHeight="1" x14ac:dyDescent="0.2">
      <c r="A21" s="353" t="s">
        <v>450</v>
      </c>
      <c r="B21" s="353"/>
      <c r="C21" s="353"/>
      <c r="D21" s="353"/>
      <c r="E21" s="353"/>
      <c r="F21" s="353"/>
      <c r="G21" s="353"/>
      <c r="H21" s="353"/>
      <c r="I21" s="353"/>
      <c r="J21" s="353"/>
      <c r="K21" s="353"/>
      <c r="L21" s="353"/>
      <c r="M21" s="353"/>
      <c r="N21" s="353"/>
      <c r="O21" s="353"/>
      <c r="P21" s="353"/>
      <c r="Q21" s="353"/>
      <c r="R21" s="353"/>
    </row>
    <row r="22" spans="1:18" s="265" customFormat="1" ht="28.35" customHeight="1" x14ac:dyDescent="0.2"/>
  </sheetData>
  <mergeCells count="16">
    <mergeCell ref="A1:N1"/>
    <mergeCell ref="A2:A4"/>
    <mergeCell ref="B2:B4"/>
    <mergeCell ref="C2:D3"/>
    <mergeCell ref="E2:F3"/>
    <mergeCell ref="G2:J2"/>
    <mergeCell ref="K2:N2"/>
    <mergeCell ref="A19:R19"/>
    <mergeCell ref="A20:R20"/>
    <mergeCell ref="A21:R21"/>
    <mergeCell ref="O2:P3"/>
    <mergeCell ref="Q2:R3"/>
    <mergeCell ref="G3:H3"/>
    <mergeCell ref="I3:J3"/>
    <mergeCell ref="K3:L3"/>
    <mergeCell ref="M3:N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M21"/>
  <sheetViews>
    <sheetView workbookViewId="0">
      <selection sqref="A1:M1"/>
    </sheetView>
  </sheetViews>
  <sheetFormatPr defaultRowHeight="12.75" x14ac:dyDescent="0.2"/>
  <cols>
    <col min="1" max="1" width="13.42578125" style="262" bestFit="1" customWidth="1"/>
    <col min="2" max="6" width="10.7109375" style="262" bestFit="1" customWidth="1"/>
    <col min="7" max="7" width="11.28515625" style="262" bestFit="1" customWidth="1"/>
    <col min="8" max="12" width="10.7109375" style="262" bestFit="1" customWidth="1"/>
    <col min="13" max="13" width="10.85546875" style="262" bestFit="1" customWidth="1"/>
    <col min="14" max="14" width="4.7109375" style="262" bestFit="1" customWidth="1"/>
    <col min="15" max="256" width="9.140625" style="262"/>
    <col min="257" max="257" width="13.42578125" style="262" bestFit="1" customWidth="1"/>
    <col min="258" max="262" width="10.7109375" style="262" bestFit="1" customWidth="1"/>
    <col min="263" max="263" width="11.28515625" style="262" bestFit="1" customWidth="1"/>
    <col min="264" max="268" width="10.7109375" style="262" bestFit="1" customWidth="1"/>
    <col min="269" max="269" width="10.85546875" style="262" bestFit="1" customWidth="1"/>
    <col min="270" max="270" width="4.7109375" style="262" bestFit="1" customWidth="1"/>
    <col min="271" max="512" width="9.140625" style="262"/>
    <col min="513" max="513" width="13.42578125" style="262" bestFit="1" customWidth="1"/>
    <col min="514" max="518" width="10.7109375" style="262" bestFit="1" customWidth="1"/>
    <col min="519" max="519" width="11.28515625" style="262" bestFit="1" customWidth="1"/>
    <col min="520" max="524" width="10.7109375" style="262" bestFit="1" customWidth="1"/>
    <col min="525" max="525" width="10.85546875" style="262" bestFit="1" customWidth="1"/>
    <col min="526" max="526" width="4.7109375" style="262" bestFit="1" customWidth="1"/>
    <col min="527" max="768" width="9.140625" style="262"/>
    <col min="769" max="769" width="13.42578125" style="262" bestFit="1" customWidth="1"/>
    <col min="770" max="774" width="10.7109375" style="262" bestFit="1" customWidth="1"/>
    <col min="775" max="775" width="11.28515625" style="262" bestFit="1" customWidth="1"/>
    <col min="776" max="780" width="10.7109375" style="262" bestFit="1" customWidth="1"/>
    <col min="781" max="781" width="10.85546875" style="262" bestFit="1" customWidth="1"/>
    <col min="782" max="782" width="4.7109375" style="262" bestFit="1" customWidth="1"/>
    <col min="783" max="1024" width="9.140625" style="262"/>
    <col min="1025" max="1025" width="13.42578125" style="262" bestFit="1" customWidth="1"/>
    <col min="1026" max="1030" width="10.7109375" style="262" bestFit="1" customWidth="1"/>
    <col min="1031" max="1031" width="11.28515625" style="262" bestFit="1" customWidth="1"/>
    <col min="1032" max="1036" width="10.7109375" style="262" bestFit="1" customWidth="1"/>
    <col min="1037" max="1037" width="10.85546875" style="262" bestFit="1" customWidth="1"/>
    <col min="1038" max="1038" width="4.7109375" style="262" bestFit="1" customWidth="1"/>
    <col min="1039" max="1280" width="9.140625" style="262"/>
    <col min="1281" max="1281" width="13.42578125" style="262" bestFit="1" customWidth="1"/>
    <col min="1282" max="1286" width="10.7109375" style="262" bestFit="1" customWidth="1"/>
    <col min="1287" max="1287" width="11.28515625" style="262" bestFit="1" customWidth="1"/>
    <col min="1288" max="1292" width="10.7109375" style="262" bestFit="1" customWidth="1"/>
    <col min="1293" max="1293" width="10.85546875" style="262" bestFit="1" customWidth="1"/>
    <col min="1294" max="1294" width="4.7109375" style="262" bestFit="1" customWidth="1"/>
    <col min="1295" max="1536" width="9.140625" style="262"/>
    <col min="1537" max="1537" width="13.42578125" style="262" bestFit="1" customWidth="1"/>
    <col min="1538" max="1542" width="10.7109375" style="262" bestFit="1" customWidth="1"/>
    <col min="1543" max="1543" width="11.28515625" style="262" bestFit="1" customWidth="1"/>
    <col min="1544" max="1548" width="10.7109375" style="262" bestFit="1" customWidth="1"/>
    <col min="1549" max="1549" width="10.85546875" style="262" bestFit="1" customWidth="1"/>
    <col min="1550" max="1550" width="4.7109375" style="262" bestFit="1" customWidth="1"/>
    <col min="1551" max="1792" width="9.140625" style="262"/>
    <col min="1793" max="1793" width="13.42578125" style="262" bestFit="1" customWidth="1"/>
    <col min="1794" max="1798" width="10.7109375" style="262" bestFit="1" customWidth="1"/>
    <col min="1799" max="1799" width="11.28515625" style="262" bestFit="1" customWidth="1"/>
    <col min="1800" max="1804" width="10.7109375" style="262" bestFit="1" customWidth="1"/>
    <col min="1805" max="1805" width="10.85546875" style="262" bestFit="1" customWidth="1"/>
    <col min="1806" max="1806" width="4.7109375" style="262" bestFit="1" customWidth="1"/>
    <col min="1807" max="2048" width="9.140625" style="262"/>
    <col min="2049" max="2049" width="13.42578125" style="262" bestFit="1" customWidth="1"/>
    <col min="2050" max="2054" width="10.7109375" style="262" bestFit="1" customWidth="1"/>
    <col min="2055" max="2055" width="11.28515625" style="262" bestFit="1" customWidth="1"/>
    <col min="2056" max="2060" width="10.7109375" style="262" bestFit="1" customWidth="1"/>
    <col min="2061" max="2061" width="10.85546875" style="262" bestFit="1" customWidth="1"/>
    <col min="2062" max="2062" width="4.7109375" style="262" bestFit="1" customWidth="1"/>
    <col min="2063" max="2304" width="9.140625" style="262"/>
    <col min="2305" max="2305" width="13.42578125" style="262" bestFit="1" customWidth="1"/>
    <col min="2306" max="2310" width="10.7109375" style="262" bestFit="1" customWidth="1"/>
    <col min="2311" max="2311" width="11.28515625" style="262" bestFit="1" customWidth="1"/>
    <col min="2312" max="2316" width="10.7109375" style="262" bestFit="1" customWidth="1"/>
    <col min="2317" max="2317" width="10.85546875" style="262" bestFit="1" customWidth="1"/>
    <col min="2318" max="2318" width="4.7109375" style="262" bestFit="1" customWidth="1"/>
    <col min="2319" max="2560" width="9.140625" style="262"/>
    <col min="2561" max="2561" width="13.42578125" style="262" bestFit="1" customWidth="1"/>
    <col min="2562" max="2566" width="10.7109375" style="262" bestFit="1" customWidth="1"/>
    <col min="2567" max="2567" width="11.28515625" style="262" bestFit="1" customWidth="1"/>
    <col min="2568" max="2572" width="10.7109375" style="262" bestFit="1" customWidth="1"/>
    <col min="2573" max="2573" width="10.85546875" style="262" bestFit="1" customWidth="1"/>
    <col min="2574" max="2574" width="4.7109375" style="262" bestFit="1" customWidth="1"/>
    <col min="2575" max="2816" width="9.140625" style="262"/>
    <col min="2817" max="2817" width="13.42578125" style="262" bestFit="1" customWidth="1"/>
    <col min="2818" max="2822" width="10.7109375" style="262" bestFit="1" customWidth="1"/>
    <col min="2823" max="2823" width="11.28515625" style="262" bestFit="1" customWidth="1"/>
    <col min="2824" max="2828" width="10.7109375" style="262" bestFit="1" customWidth="1"/>
    <col min="2829" max="2829" width="10.85546875" style="262" bestFit="1" customWidth="1"/>
    <col min="2830" max="2830" width="4.7109375" style="262" bestFit="1" customWidth="1"/>
    <col min="2831" max="3072" width="9.140625" style="262"/>
    <col min="3073" max="3073" width="13.42578125" style="262" bestFit="1" customWidth="1"/>
    <col min="3074" max="3078" width="10.7109375" style="262" bestFit="1" customWidth="1"/>
    <col min="3079" max="3079" width="11.28515625" style="262" bestFit="1" customWidth="1"/>
    <col min="3080" max="3084" width="10.7109375" style="262" bestFit="1" customWidth="1"/>
    <col min="3085" max="3085" width="10.85546875" style="262" bestFit="1" customWidth="1"/>
    <col min="3086" max="3086" width="4.7109375" style="262" bestFit="1" customWidth="1"/>
    <col min="3087" max="3328" width="9.140625" style="262"/>
    <col min="3329" max="3329" width="13.42578125" style="262" bestFit="1" customWidth="1"/>
    <col min="3330" max="3334" width="10.7109375" style="262" bestFit="1" customWidth="1"/>
    <col min="3335" max="3335" width="11.28515625" style="262" bestFit="1" customWidth="1"/>
    <col min="3336" max="3340" width="10.7109375" style="262" bestFit="1" customWidth="1"/>
    <col min="3341" max="3341" width="10.85546875" style="262" bestFit="1" customWidth="1"/>
    <col min="3342" max="3342" width="4.7109375" style="262" bestFit="1" customWidth="1"/>
    <col min="3343" max="3584" width="9.140625" style="262"/>
    <col min="3585" max="3585" width="13.42578125" style="262" bestFit="1" customWidth="1"/>
    <col min="3586" max="3590" width="10.7109375" style="262" bestFit="1" customWidth="1"/>
    <col min="3591" max="3591" width="11.28515625" style="262" bestFit="1" customWidth="1"/>
    <col min="3592" max="3596" width="10.7109375" style="262" bestFit="1" customWidth="1"/>
    <col min="3597" max="3597" width="10.85546875" style="262" bestFit="1" customWidth="1"/>
    <col min="3598" max="3598" width="4.7109375" style="262" bestFit="1" customWidth="1"/>
    <col min="3599" max="3840" width="9.140625" style="262"/>
    <col min="3841" max="3841" width="13.42578125" style="262" bestFit="1" customWidth="1"/>
    <col min="3842" max="3846" width="10.7109375" style="262" bestFit="1" customWidth="1"/>
    <col min="3847" max="3847" width="11.28515625" style="262" bestFit="1" customWidth="1"/>
    <col min="3848" max="3852" width="10.7109375" style="262" bestFit="1" customWidth="1"/>
    <col min="3853" max="3853" width="10.85546875" style="262" bestFit="1" customWidth="1"/>
    <col min="3854" max="3854" width="4.7109375" style="262" bestFit="1" customWidth="1"/>
    <col min="3855" max="4096" width="9.140625" style="262"/>
    <col min="4097" max="4097" width="13.42578125" style="262" bestFit="1" customWidth="1"/>
    <col min="4098" max="4102" width="10.7109375" style="262" bestFit="1" customWidth="1"/>
    <col min="4103" max="4103" width="11.28515625" style="262" bestFit="1" customWidth="1"/>
    <col min="4104" max="4108" width="10.7109375" style="262" bestFit="1" customWidth="1"/>
    <col min="4109" max="4109" width="10.85546875" style="262" bestFit="1" customWidth="1"/>
    <col min="4110" max="4110" width="4.7109375" style="262" bestFit="1" customWidth="1"/>
    <col min="4111" max="4352" width="9.140625" style="262"/>
    <col min="4353" max="4353" width="13.42578125" style="262" bestFit="1" customWidth="1"/>
    <col min="4354" max="4358" width="10.7109375" style="262" bestFit="1" customWidth="1"/>
    <col min="4359" max="4359" width="11.28515625" style="262" bestFit="1" customWidth="1"/>
    <col min="4360" max="4364" width="10.7109375" style="262" bestFit="1" customWidth="1"/>
    <col min="4365" max="4365" width="10.85546875" style="262" bestFit="1" customWidth="1"/>
    <col min="4366" max="4366" width="4.7109375" style="262" bestFit="1" customWidth="1"/>
    <col min="4367" max="4608" width="9.140625" style="262"/>
    <col min="4609" max="4609" width="13.42578125" style="262" bestFit="1" customWidth="1"/>
    <col min="4610" max="4614" width="10.7109375" style="262" bestFit="1" customWidth="1"/>
    <col min="4615" max="4615" width="11.28515625" style="262" bestFit="1" customWidth="1"/>
    <col min="4616" max="4620" width="10.7109375" style="262" bestFit="1" customWidth="1"/>
    <col min="4621" max="4621" width="10.85546875" style="262" bestFit="1" customWidth="1"/>
    <col min="4622" max="4622" width="4.7109375" style="262" bestFit="1" customWidth="1"/>
    <col min="4623" max="4864" width="9.140625" style="262"/>
    <col min="4865" max="4865" width="13.42578125" style="262" bestFit="1" customWidth="1"/>
    <col min="4866" max="4870" width="10.7109375" style="262" bestFit="1" customWidth="1"/>
    <col min="4871" max="4871" width="11.28515625" style="262" bestFit="1" customWidth="1"/>
    <col min="4872" max="4876" width="10.7109375" style="262" bestFit="1" customWidth="1"/>
    <col min="4877" max="4877" width="10.85546875" style="262" bestFit="1" customWidth="1"/>
    <col min="4878" max="4878" width="4.7109375" style="262" bestFit="1" customWidth="1"/>
    <col min="4879" max="5120" width="9.140625" style="262"/>
    <col min="5121" max="5121" width="13.42578125" style="262" bestFit="1" customWidth="1"/>
    <col min="5122" max="5126" width="10.7109375" style="262" bestFit="1" customWidth="1"/>
    <col min="5127" max="5127" width="11.28515625" style="262" bestFit="1" customWidth="1"/>
    <col min="5128" max="5132" width="10.7109375" style="262" bestFit="1" customWidth="1"/>
    <col min="5133" max="5133" width="10.85546875" style="262" bestFit="1" customWidth="1"/>
    <col min="5134" max="5134" width="4.7109375" style="262" bestFit="1" customWidth="1"/>
    <col min="5135" max="5376" width="9.140625" style="262"/>
    <col min="5377" max="5377" width="13.42578125" style="262" bestFit="1" customWidth="1"/>
    <col min="5378" max="5382" width="10.7109375" style="262" bestFit="1" customWidth="1"/>
    <col min="5383" max="5383" width="11.28515625" style="262" bestFit="1" customWidth="1"/>
    <col min="5384" max="5388" width="10.7109375" style="262" bestFit="1" customWidth="1"/>
    <col min="5389" max="5389" width="10.85546875" style="262" bestFit="1" customWidth="1"/>
    <col min="5390" max="5390" width="4.7109375" style="262" bestFit="1" customWidth="1"/>
    <col min="5391" max="5632" width="9.140625" style="262"/>
    <col min="5633" max="5633" width="13.42578125" style="262" bestFit="1" customWidth="1"/>
    <col min="5634" max="5638" width="10.7109375" style="262" bestFit="1" customWidth="1"/>
    <col min="5639" max="5639" width="11.28515625" style="262" bestFit="1" customWidth="1"/>
    <col min="5640" max="5644" width="10.7109375" style="262" bestFit="1" customWidth="1"/>
    <col min="5645" max="5645" width="10.85546875" style="262" bestFit="1" customWidth="1"/>
    <col min="5646" max="5646" width="4.7109375" style="262" bestFit="1" customWidth="1"/>
    <col min="5647" max="5888" width="9.140625" style="262"/>
    <col min="5889" max="5889" width="13.42578125" style="262" bestFit="1" customWidth="1"/>
    <col min="5890" max="5894" width="10.7109375" style="262" bestFit="1" customWidth="1"/>
    <col min="5895" max="5895" width="11.28515625" style="262" bestFit="1" customWidth="1"/>
    <col min="5896" max="5900" width="10.7109375" style="262" bestFit="1" customWidth="1"/>
    <col min="5901" max="5901" width="10.85546875" style="262" bestFit="1" customWidth="1"/>
    <col min="5902" max="5902" width="4.7109375" style="262" bestFit="1" customWidth="1"/>
    <col min="5903" max="6144" width="9.140625" style="262"/>
    <col min="6145" max="6145" width="13.42578125" style="262" bestFit="1" customWidth="1"/>
    <col min="6146" max="6150" width="10.7109375" style="262" bestFit="1" customWidth="1"/>
    <col min="6151" max="6151" width="11.28515625" style="262" bestFit="1" customWidth="1"/>
    <col min="6152" max="6156" width="10.7109375" style="262" bestFit="1" customWidth="1"/>
    <col min="6157" max="6157" width="10.85546875" style="262" bestFit="1" customWidth="1"/>
    <col min="6158" max="6158" width="4.7109375" style="262" bestFit="1" customWidth="1"/>
    <col min="6159" max="6400" width="9.140625" style="262"/>
    <col min="6401" max="6401" width="13.42578125" style="262" bestFit="1" customWidth="1"/>
    <col min="6402" max="6406" width="10.7109375" style="262" bestFit="1" customWidth="1"/>
    <col min="6407" max="6407" width="11.28515625" style="262" bestFit="1" customWidth="1"/>
    <col min="6408" max="6412" width="10.7109375" style="262" bestFit="1" customWidth="1"/>
    <col min="6413" max="6413" width="10.85546875" style="262" bestFit="1" customWidth="1"/>
    <col min="6414" max="6414" width="4.7109375" style="262" bestFit="1" customWidth="1"/>
    <col min="6415" max="6656" width="9.140625" style="262"/>
    <col min="6657" max="6657" width="13.42578125" style="262" bestFit="1" customWidth="1"/>
    <col min="6658" max="6662" width="10.7109375" style="262" bestFit="1" customWidth="1"/>
    <col min="6663" max="6663" width="11.28515625" style="262" bestFit="1" customWidth="1"/>
    <col min="6664" max="6668" width="10.7109375" style="262" bestFit="1" customWidth="1"/>
    <col min="6669" max="6669" width="10.85546875" style="262" bestFit="1" customWidth="1"/>
    <col min="6670" max="6670" width="4.7109375" style="262" bestFit="1" customWidth="1"/>
    <col min="6671" max="6912" width="9.140625" style="262"/>
    <col min="6913" max="6913" width="13.42578125" style="262" bestFit="1" customWidth="1"/>
    <col min="6914" max="6918" width="10.7109375" style="262" bestFit="1" customWidth="1"/>
    <col min="6919" max="6919" width="11.28515625" style="262" bestFit="1" customWidth="1"/>
    <col min="6920" max="6924" width="10.7109375" style="262" bestFit="1" customWidth="1"/>
    <col min="6925" max="6925" width="10.85546875" style="262" bestFit="1" customWidth="1"/>
    <col min="6926" max="6926" width="4.7109375" style="262" bestFit="1" customWidth="1"/>
    <col min="6927" max="7168" width="9.140625" style="262"/>
    <col min="7169" max="7169" width="13.42578125" style="262" bestFit="1" customWidth="1"/>
    <col min="7170" max="7174" width="10.7109375" style="262" bestFit="1" customWidth="1"/>
    <col min="7175" max="7175" width="11.28515625" style="262" bestFit="1" customWidth="1"/>
    <col min="7176" max="7180" width="10.7109375" style="262" bestFit="1" customWidth="1"/>
    <col min="7181" max="7181" width="10.85546875" style="262" bestFit="1" customWidth="1"/>
    <col min="7182" max="7182" width="4.7109375" style="262" bestFit="1" customWidth="1"/>
    <col min="7183" max="7424" width="9.140625" style="262"/>
    <col min="7425" max="7425" width="13.42578125" style="262" bestFit="1" customWidth="1"/>
    <col min="7426" max="7430" width="10.7109375" style="262" bestFit="1" customWidth="1"/>
    <col min="7431" max="7431" width="11.28515625" style="262" bestFit="1" customWidth="1"/>
    <col min="7432" max="7436" width="10.7109375" style="262" bestFit="1" customWidth="1"/>
    <col min="7437" max="7437" width="10.85546875" style="262" bestFit="1" customWidth="1"/>
    <col min="7438" max="7438" width="4.7109375" style="262" bestFit="1" customWidth="1"/>
    <col min="7439" max="7680" width="9.140625" style="262"/>
    <col min="7681" max="7681" width="13.42578125" style="262" bestFit="1" customWidth="1"/>
    <col min="7682" max="7686" width="10.7109375" style="262" bestFit="1" customWidth="1"/>
    <col min="7687" max="7687" width="11.28515625" style="262" bestFit="1" customWidth="1"/>
    <col min="7688" max="7692" width="10.7109375" style="262" bestFit="1" customWidth="1"/>
    <col min="7693" max="7693" width="10.85546875" style="262" bestFit="1" customWidth="1"/>
    <col min="7694" max="7694" width="4.7109375" style="262" bestFit="1" customWidth="1"/>
    <col min="7695" max="7936" width="9.140625" style="262"/>
    <col min="7937" max="7937" width="13.42578125" style="262" bestFit="1" customWidth="1"/>
    <col min="7938" max="7942" width="10.7109375" style="262" bestFit="1" customWidth="1"/>
    <col min="7943" max="7943" width="11.28515625" style="262" bestFit="1" customWidth="1"/>
    <col min="7944" max="7948" width="10.7109375" style="262" bestFit="1" customWidth="1"/>
    <col min="7949" max="7949" width="10.85546875" style="262" bestFit="1" customWidth="1"/>
    <col min="7950" max="7950" width="4.7109375" style="262" bestFit="1" customWidth="1"/>
    <col min="7951" max="8192" width="9.140625" style="262"/>
    <col min="8193" max="8193" width="13.42578125" style="262" bestFit="1" customWidth="1"/>
    <col min="8194" max="8198" width="10.7109375" style="262" bestFit="1" customWidth="1"/>
    <col min="8199" max="8199" width="11.28515625" style="262" bestFit="1" customWidth="1"/>
    <col min="8200" max="8204" width="10.7109375" style="262" bestFit="1" customWidth="1"/>
    <col min="8205" max="8205" width="10.85546875" style="262" bestFit="1" customWidth="1"/>
    <col min="8206" max="8206" width="4.7109375" style="262" bestFit="1" customWidth="1"/>
    <col min="8207" max="8448" width="9.140625" style="262"/>
    <col min="8449" max="8449" width="13.42578125" style="262" bestFit="1" customWidth="1"/>
    <col min="8450" max="8454" width="10.7109375" style="262" bestFit="1" customWidth="1"/>
    <col min="8455" max="8455" width="11.28515625" style="262" bestFit="1" customWidth="1"/>
    <col min="8456" max="8460" width="10.7109375" style="262" bestFit="1" customWidth="1"/>
    <col min="8461" max="8461" width="10.85546875" style="262" bestFit="1" customWidth="1"/>
    <col min="8462" max="8462" width="4.7109375" style="262" bestFit="1" customWidth="1"/>
    <col min="8463" max="8704" width="9.140625" style="262"/>
    <col min="8705" max="8705" width="13.42578125" style="262" bestFit="1" customWidth="1"/>
    <col min="8706" max="8710" width="10.7109375" style="262" bestFit="1" customWidth="1"/>
    <col min="8711" max="8711" width="11.28515625" style="262" bestFit="1" customWidth="1"/>
    <col min="8712" max="8716" width="10.7109375" style="262" bestFit="1" customWidth="1"/>
    <col min="8717" max="8717" width="10.85546875" style="262" bestFit="1" customWidth="1"/>
    <col min="8718" max="8718" width="4.7109375" style="262" bestFit="1" customWidth="1"/>
    <col min="8719" max="8960" width="9.140625" style="262"/>
    <col min="8961" max="8961" width="13.42578125" style="262" bestFit="1" customWidth="1"/>
    <col min="8962" max="8966" width="10.7109375" style="262" bestFit="1" customWidth="1"/>
    <col min="8967" max="8967" width="11.28515625" style="262" bestFit="1" customWidth="1"/>
    <col min="8968" max="8972" width="10.7109375" style="262" bestFit="1" customWidth="1"/>
    <col min="8973" max="8973" width="10.85546875" style="262" bestFit="1" customWidth="1"/>
    <col min="8974" max="8974" width="4.7109375" style="262" bestFit="1" customWidth="1"/>
    <col min="8975" max="9216" width="9.140625" style="262"/>
    <col min="9217" max="9217" width="13.42578125" style="262" bestFit="1" customWidth="1"/>
    <col min="9218" max="9222" width="10.7109375" style="262" bestFit="1" customWidth="1"/>
    <col min="9223" max="9223" width="11.28515625" style="262" bestFit="1" customWidth="1"/>
    <col min="9224" max="9228" width="10.7109375" style="262" bestFit="1" customWidth="1"/>
    <col min="9229" max="9229" width="10.85546875" style="262" bestFit="1" customWidth="1"/>
    <col min="9230" max="9230" width="4.7109375" style="262" bestFit="1" customWidth="1"/>
    <col min="9231" max="9472" width="9.140625" style="262"/>
    <col min="9473" max="9473" width="13.42578125" style="262" bestFit="1" customWidth="1"/>
    <col min="9474" max="9478" width="10.7109375" style="262" bestFit="1" customWidth="1"/>
    <col min="9479" max="9479" width="11.28515625" style="262" bestFit="1" customWidth="1"/>
    <col min="9480" max="9484" width="10.7109375" style="262" bestFit="1" customWidth="1"/>
    <col min="9485" max="9485" width="10.85546875" style="262" bestFit="1" customWidth="1"/>
    <col min="9486" max="9486" width="4.7109375" style="262" bestFit="1" customWidth="1"/>
    <col min="9487" max="9728" width="9.140625" style="262"/>
    <col min="9729" max="9729" width="13.42578125" style="262" bestFit="1" customWidth="1"/>
    <col min="9730" max="9734" width="10.7109375" style="262" bestFit="1" customWidth="1"/>
    <col min="9735" max="9735" width="11.28515625" style="262" bestFit="1" customWidth="1"/>
    <col min="9736" max="9740" width="10.7109375" style="262" bestFit="1" customWidth="1"/>
    <col min="9741" max="9741" width="10.85546875" style="262" bestFit="1" customWidth="1"/>
    <col min="9742" max="9742" width="4.7109375" style="262" bestFit="1" customWidth="1"/>
    <col min="9743" max="9984" width="9.140625" style="262"/>
    <col min="9985" max="9985" width="13.42578125" style="262" bestFit="1" customWidth="1"/>
    <col min="9986" max="9990" width="10.7109375" style="262" bestFit="1" customWidth="1"/>
    <col min="9991" max="9991" width="11.28515625" style="262" bestFit="1" customWidth="1"/>
    <col min="9992" max="9996" width="10.7109375" style="262" bestFit="1" customWidth="1"/>
    <col min="9997" max="9997" width="10.85546875" style="262" bestFit="1" customWidth="1"/>
    <col min="9998" max="9998" width="4.7109375" style="262" bestFit="1" customWidth="1"/>
    <col min="9999" max="10240" width="9.140625" style="262"/>
    <col min="10241" max="10241" width="13.42578125" style="262" bestFit="1" customWidth="1"/>
    <col min="10242" max="10246" width="10.7109375" style="262" bestFit="1" customWidth="1"/>
    <col min="10247" max="10247" width="11.28515625" style="262" bestFit="1" customWidth="1"/>
    <col min="10248" max="10252" width="10.7109375" style="262" bestFit="1" customWidth="1"/>
    <col min="10253" max="10253" width="10.85546875" style="262" bestFit="1" customWidth="1"/>
    <col min="10254" max="10254" width="4.7109375" style="262" bestFit="1" customWidth="1"/>
    <col min="10255" max="10496" width="9.140625" style="262"/>
    <col min="10497" max="10497" width="13.42578125" style="262" bestFit="1" customWidth="1"/>
    <col min="10498" max="10502" width="10.7109375" style="262" bestFit="1" customWidth="1"/>
    <col min="10503" max="10503" width="11.28515625" style="262" bestFit="1" customWidth="1"/>
    <col min="10504" max="10508" width="10.7109375" style="262" bestFit="1" customWidth="1"/>
    <col min="10509" max="10509" width="10.85546875" style="262" bestFit="1" customWidth="1"/>
    <col min="10510" max="10510" width="4.7109375" style="262" bestFit="1" customWidth="1"/>
    <col min="10511" max="10752" width="9.140625" style="262"/>
    <col min="10753" max="10753" width="13.42578125" style="262" bestFit="1" customWidth="1"/>
    <col min="10754" max="10758" width="10.7109375" style="262" bestFit="1" customWidth="1"/>
    <col min="10759" max="10759" width="11.28515625" style="262" bestFit="1" customWidth="1"/>
    <col min="10760" max="10764" width="10.7109375" style="262" bestFit="1" customWidth="1"/>
    <col min="10765" max="10765" width="10.85546875" style="262" bestFit="1" customWidth="1"/>
    <col min="10766" max="10766" width="4.7109375" style="262" bestFit="1" customWidth="1"/>
    <col min="10767" max="11008" width="9.140625" style="262"/>
    <col min="11009" max="11009" width="13.42578125" style="262" bestFit="1" customWidth="1"/>
    <col min="11010" max="11014" width="10.7109375" style="262" bestFit="1" customWidth="1"/>
    <col min="11015" max="11015" width="11.28515625" style="262" bestFit="1" customWidth="1"/>
    <col min="11016" max="11020" width="10.7109375" style="262" bestFit="1" customWidth="1"/>
    <col min="11021" max="11021" width="10.85546875" style="262" bestFit="1" customWidth="1"/>
    <col min="11022" max="11022" width="4.7109375" style="262" bestFit="1" customWidth="1"/>
    <col min="11023" max="11264" width="9.140625" style="262"/>
    <col min="11265" max="11265" width="13.42578125" style="262" bestFit="1" customWidth="1"/>
    <col min="11266" max="11270" width="10.7109375" style="262" bestFit="1" customWidth="1"/>
    <col min="11271" max="11271" width="11.28515625" style="262" bestFit="1" customWidth="1"/>
    <col min="11272" max="11276" width="10.7109375" style="262" bestFit="1" customWidth="1"/>
    <col min="11277" max="11277" width="10.85546875" style="262" bestFit="1" customWidth="1"/>
    <col min="11278" max="11278" width="4.7109375" style="262" bestFit="1" customWidth="1"/>
    <col min="11279" max="11520" width="9.140625" style="262"/>
    <col min="11521" max="11521" width="13.42578125" style="262" bestFit="1" customWidth="1"/>
    <col min="11522" max="11526" width="10.7109375" style="262" bestFit="1" customWidth="1"/>
    <col min="11527" max="11527" width="11.28515625" style="262" bestFit="1" customWidth="1"/>
    <col min="11528" max="11532" width="10.7109375" style="262" bestFit="1" customWidth="1"/>
    <col min="11533" max="11533" width="10.85546875" style="262" bestFit="1" customWidth="1"/>
    <col min="11534" max="11534" width="4.7109375" style="262" bestFit="1" customWidth="1"/>
    <col min="11535" max="11776" width="9.140625" style="262"/>
    <col min="11777" max="11777" width="13.42578125" style="262" bestFit="1" customWidth="1"/>
    <col min="11778" max="11782" width="10.7109375" style="262" bestFit="1" customWidth="1"/>
    <col min="11783" max="11783" width="11.28515625" style="262" bestFit="1" customWidth="1"/>
    <col min="11784" max="11788" width="10.7109375" style="262" bestFit="1" customWidth="1"/>
    <col min="11789" max="11789" width="10.85546875" style="262" bestFit="1" customWidth="1"/>
    <col min="11790" max="11790" width="4.7109375" style="262" bestFit="1" customWidth="1"/>
    <col min="11791" max="12032" width="9.140625" style="262"/>
    <col min="12033" max="12033" width="13.42578125" style="262" bestFit="1" customWidth="1"/>
    <col min="12034" max="12038" width="10.7109375" style="262" bestFit="1" customWidth="1"/>
    <col min="12039" max="12039" width="11.28515625" style="262" bestFit="1" customWidth="1"/>
    <col min="12040" max="12044" width="10.7109375" style="262" bestFit="1" customWidth="1"/>
    <col min="12045" max="12045" width="10.85546875" style="262" bestFit="1" customWidth="1"/>
    <col min="12046" max="12046" width="4.7109375" style="262" bestFit="1" customWidth="1"/>
    <col min="12047" max="12288" width="9.140625" style="262"/>
    <col min="12289" max="12289" width="13.42578125" style="262" bestFit="1" customWidth="1"/>
    <col min="12290" max="12294" width="10.7109375" style="262" bestFit="1" customWidth="1"/>
    <col min="12295" max="12295" width="11.28515625" style="262" bestFit="1" customWidth="1"/>
    <col min="12296" max="12300" width="10.7109375" style="262" bestFit="1" customWidth="1"/>
    <col min="12301" max="12301" width="10.85546875" style="262" bestFit="1" customWidth="1"/>
    <col min="12302" max="12302" width="4.7109375" style="262" bestFit="1" customWidth="1"/>
    <col min="12303" max="12544" width="9.140625" style="262"/>
    <col min="12545" max="12545" width="13.42578125" style="262" bestFit="1" customWidth="1"/>
    <col min="12546" max="12550" width="10.7109375" style="262" bestFit="1" customWidth="1"/>
    <col min="12551" max="12551" width="11.28515625" style="262" bestFit="1" customWidth="1"/>
    <col min="12552" max="12556" width="10.7109375" style="262" bestFit="1" customWidth="1"/>
    <col min="12557" max="12557" width="10.85546875" style="262" bestFit="1" customWidth="1"/>
    <col min="12558" max="12558" width="4.7109375" style="262" bestFit="1" customWidth="1"/>
    <col min="12559" max="12800" width="9.140625" style="262"/>
    <col min="12801" max="12801" width="13.42578125" style="262" bestFit="1" customWidth="1"/>
    <col min="12802" max="12806" width="10.7109375" style="262" bestFit="1" customWidth="1"/>
    <col min="12807" max="12807" width="11.28515625" style="262" bestFit="1" customWidth="1"/>
    <col min="12808" max="12812" width="10.7109375" style="262" bestFit="1" customWidth="1"/>
    <col min="12813" max="12813" width="10.85546875" style="262" bestFit="1" customWidth="1"/>
    <col min="12814" max="12814" width="4.7109375" style="262" bestFit="1" customWidth="1"/>
    <col min="12815" max="13056" width="9.140625" style="262"/>
    <col min="13057" max="13057" width="13.42578125" style="262" bestFit="1" customWidth="1"/>
    <col min="13058" max="13062" width="10.7109375" style="262" bestFit="1" customWidth="1"/>
    <col min="13063" max="13063" width="11.28515625" style="262" bestFit="1" customWidth="1"/>
    <col min="13064" max="13068" width="10.7109375" style="262" bestFit="1" customWidth="1"/>
    <col min="13069" max="13069" width="10.85546875" style="262" bestFit="1" customWidth="1"/>
    <col min="13070" max="13070" width="4.7109375" style="262" bestFit="1" customWidth="1"/>
    <col min="13071" max="13312" width="9.140625" style="262"/>
    <col min="13313" max="13313" width="13.42578125" style="262" bestFit="1" customWidth="1"/>
    <col min="13314" max="13318" width="10.7109375" style="262" bestFit="1" customWidth="1"/>
    <col min="13319" max="13319" width="11.28515625" style="262" bestFit="1" customWidth="1"/>
    <col min="13320" max="13324" width="10.7109375" style="262" bestFit="1" customWidth="1"/>
    <col min="13325" max="13325" width="10.85546875" style="262" bestFit="1" customWidth="1"/>
    <col min="13326" max="13326" width="4.7109375" style="262" bestFit="1" customWidth="1"/>
    <col min="13327" max="13568" width="9.140625" style="262"/>
    <col min="13569" max="13569" width="13.42578125" style="262" bestFit="1" customWidth="1"/>
    <col min="13570" max="13574" width="10.7109375" style="262" bestFit="1" customWidth="1"/>
    <col min="13575" max="13575" width="11.28515625" style="262" bestFit="1" customWidth="1"/>
    <col min="13576" max="13580" width="10.7109375" style="262" bestFit="1" customWidth="1"/>
    <col min="13581" max="13581" width="10.85546875" style="262" bestFit="1" customWidth="1"/>
    <col min="13582" max="13582" width="4.7109375" style="262" bestFit="1" customWidth="1"/>
    <col min="13583" max="13824" width="9.140625" style="262"/>
    <col min="13825" max="13825" width="13.42578125" style="262" bestFit="1" customWidth="1"/>
    <col min="13826" max="13830" width="10.7109375" style="262" bestFit="1" customWidth="1"/>
    <col min="13831" max="13831" width="11.28515625" style="262" bestFit="1" customWidth="1"/>
    <col min="13832" max="13836" width="10.7109375" style="262" bestFit="1" customWidth="1"/>
    <col min="13837" max="13837" width="10.85546875" style="262" bestFit="1" customWidth="1"/>
    <col min="13838" max="13838" width="4.7109375" style="262" bestFit="1" customWidth="1"/>
    <col min="13839" max="14080" width="9.140625" style="262"/>
    <col min="14081" max="14081" width="13.42578125" style="262" bestFit="1" customWidth="1"/>
    <col min="14082" max="14086" width="10.7109375" style="262" bestFit="1" customWidth="1"/>
    <col min="14087" max="14087" width="11.28515625" style="262" bestFit="1" customWidth="1"/>
    <col min="14088" max="14092" width="10.7109375" style="262" bestFit="1" customWidth="1"/>
    <col min="14093" max="14093" width="10.85546875" style="262" bestFit="1" customWidth="1"/>
    <col min="14094" max="14094" width="4.7109375" style="262" bestFit="1" customWidth="1"/>
    <col min="14095" max="14336" width="9.140625" style="262"/>
    <col min="14337" max="14337" width="13.42578125" style="262" bestFit="1" customWidth="1"/>
    <col min="14338" max="14342" width="10.7109375" style="262" bestFit="1" customWidth="1"/>
    <col min="14343" max="14343" width="11.28515625" style="262" bestFit="1" customWidth="1"/>
    <col min="14344" max="14348" width="10.7109375" style="262" bestFit="1" customWidth="1"/>
    <col min="14349" max="14349" width="10.85546875" style="262" bestFit="1" customWidth="1"/>
    <col min="14350" max="14350" width="4.7109375" style="262" bestFit="1" customWidth="1"/>
    <col min="14351" max="14592" width="9.140625" style="262"/>
    <col min="14593" max="14593" width="13.42578125" style="262" bestFit="1" customWidth="1"/>
    <col min="14594" max="14598" width="10.7109375" style="262" bestFit="1" customWidth="1"/>
    <col min="14599" max="14599" width="11.28515625" style="262" bestFit="1" customWidth="1"/>
    <col min="14600" max="14604" width="10.7109375" style="262" bestFit="1" customWidth="1"/>
    <col min="14605" max="14605" width="10.85546875" style="262" bestFit="1" customWidth="1"/>
    <col min="14606" max="14606" width="4.7109375" style="262" bestFit="1" customWidth="1"/>
    <col min="14607" max="14848" width="9.140625" style="262"/>
    <col min="14849" max="14849" width="13.42578125" style="262" bestFit="1" customWidth="1"/>
    <col min="14850" max="14854" width="10.7109375" style="262" bestFit="1" customWidth="1"/>
    <col min="14855" max="14855" width="11.28515625" style="262" bestFit="1" customWidth="1"/>
    <col min="14856" max="14860" width="10.7109375" style="262" bestFit="1" customWidth="1"/>
    <col min="14861" max="14861" width="10.85546875" style="262" bestFit="1" customWidth="1"/>
    <col min="14862" max="14862" width="4.7109375" style="262" bestFit="1" customWidth="1"/>
    <col min="14863" max="15104" width="9.140625" style="262"/>
    <col min="15105" max="15105" width="13.42578125" style="262" bestFit="1" customWidth="1"/>
    <col min="15106" max="15110" width="10.7109375" style="262" bestFit="1" customWidth="1"/>
    <col min="15111" max="15111" width="11.28515625" style="262" bestFit="1" customWidth="1"/>
    <col min="15112" max="15116" width="10.7109375" style="262" bestFit="1" customWidth="1"/>
    <col min="15117" max="15117" width="10.85546875" style="262" bestFit="1" customWidth="1"/>
    <col min="15118" max="15118" width="4.7109375" style="262" bestFit="1" customWidth="1"/>
    <col min="15119" max="15360" width="9.140625" style="262"/>
    <col min="15361" max="15361" width="13.42578125" style="262" bestFit="1" customWidth="1"/>
    <col min="15362" max="15366" width="10.7109375" style="262" bestFit="1" customWidth="1"/>
    <col min="15367" max="15367" width="11.28515625" style="262" bestFit="1" customWidth="1"/>
    <col min="15368" max="15372" width="10.7109375" style="262" bestFit="1" customWidth="1"/>
    <col min="15373" max="15373" width="10.85546875" style="262" bestFit="1" customWidth="1"/>
    <col min="15374" max="15374" width="4.7109375" style="262" bestFit="1" customWidth="1"/>
    <col min="15375" max="15616" width="9.140625" style="262"/>
    <col min="15617" max="15617" width="13.42578125" style="262" bestFit="1" customWidth="1"/>
    <col min="15618" max="15622" width="10.7109375" style="262" bestFit="1" customWidth="1"/>
    <col min="15623" max="15623" width="11.28515625" style="262" bestFit="1" customWidth="1"/>
    <col min="15624" max="15628" width="10.7109375" style="262" bestFit="1" customWidth="1"/>
    <col min="15629" max="15629" width="10.85546875" style="262" bestFit="1" customWidth="1"/>
    <col min="15630" max="15630" width="4.7109375" style="262" bestFit="1" customWidth="1"/>
    <col min="15631" max="15872" width="9.140625" style="262"/>
    <col min="15873" max="15873" width="13.42578125" style="262" bestFit="1" customWidth="1"/>
    <col min="15874" max="15878" width="10.7109375" style="262" bestFit="1" customWidth="1"/>
    <col min="15879" max="15879" width="11.28515625" style="262" bestFit="1" customWidth="1"/>
    <col min="15880" max="15884" width="10.7109375" style="262" bestFit="1" customWidth="1"/>
    <col min="15885" max="15885" width="10.85546875" style="262" bestFit="1" customWidth="1"/>
    <col min="15886" max="15886" width="4.7109375" style="262" bestFit="1" customWidth="1"/>
    <col min="15887" max="16128" width="9.140625" style="262"/>
    <col min="16129" max="16129" width="13.42578125" style="262" bestFit="1" customWidth="1"/>
    <col min="16130" max="16134" width="10.7109375" style="262" bestFit="1" customWidth="1"/>
    <col min="16135" max="16135" width="11.28515625" style="262" bestFit="1" customWidth="1"/>
    <col min="16136" max="16140" width="10.7109375" style="262" bestFit="1" customWidth="1"/>
    <col min="16141" max="16141" width="10.85546875" style="262" bestFit="1" customWidth="1"/>
    <col min="16142" max="16142" width="4.7109375" style="262" bestFit="1" customWidth="1"/>
    <col min="16143" max="16384" width="9.140625" style="262"/>
  </cols>
  <sheetData>
    <row r="1" spans="1:13" ht="17.25" customHeight="1" x14ac:dyDescent="0.2">
      <c r="A1" s="430" t="s">
        <v>532</v>
      </c>
      <c r="B1" s="430"/>
      <c r="C1" s="430"/>
      <c r="D1" s="430"/>
      <c r="E1" s="430"/>
      <c r="F1" s="430"/>
      <c r="G1" s="430"/>
      <c r="H1" s="430"/>
      <c r="I1" s="430"/>
      <c r="J1" s="430"/>
      <c r="K1" s="430"/>
      <c r="L1" s="430"/>
      <c r="M1" s="430"/>
    </row>
    <row r="2" spans="1:13" s="265" customFormat="1" ht="17.25" customHeight="1" x14ac:dyDescent="0.2">
      <c r="A2" s="355" t="s">
        <v>519</v>
      </c>
      <c r="B2" s="375" t="s">
        <v>257</v>
      </c>
      <c r="C2" s="376"/>
      <c r="D2" s="376"/>
      <c r="E2" s="376"/>
      <c r="F2" s="376"/>
      <c r="G2" s="377"/>
      <c r="H2" s="375" t="s">
        <v>258</v>
      </c>
      <c r="I2" s="376"/>
      <c r="J2" s="376"/>
      <c r="K2" s="376"/>
      <c r="L2" s="376"/>
      <c r="M2" s="377"/>
    </row>
    <row r="3" spans="1:13" s="265" customFormat="1" ht="27" customHeight="1" x14ac:dyDescent="0.2">
      <c r="A3" s="423"/>
      <c r="B3" s="371" t="s">
        <v>533</v>
      </c>
      <c r="C3" s="372"/>
      <c r="D3" s="371" t="s">
        <v>534</v>
      </c>
      <c r="E3" s="372"/>
      <c r="F3" s="363" t="s">
        <v>150</v>
      </c>
      <c r="G3" s="428" t="s">
        <v>535</v>
      </c>
      <c r="H3" s="371" t="s">
        <v>533</v>
      </c>
      <c r="I3" s="372"/>
      <c r="J3" s="371" t="s">
        <v>534</v>
      </c>
      <c r="K3" s="372"/>
      <c r="L3" s="363" t="s">
        <v>150</v>
      </c>
      <c r="M3" s="428" t="s">
        <v>535</v>
      </c>
    </row>
    <row r="4" spans="1:13" s="265" customFormat="1" ht="27" customHeight="1" x14ac:dyDescent="0.2">
      <c r="A4" s="356"/>
      <c r="B4" s="276" t="s">
        <v>536</v>
      </c>
      <c r="C4" s="276" t="s">
        <v>537</v>
      </c>
      <c r="D4" s="276" t="s">
        <v>538</v>
      </c>
      <c r="E4" s="276" t="s">
        <v>539</v>
      </c>
      <c r="F4" s="365"/>
      <c r="G4" s="429"/>
      <c r="H4" s="276" t="s">
        <v>536</v>
      </c>
      <c r="I4" s="276" t="s">
        <v>537</v>
      </c>
      <c r="J4" s="276" t="s">
        <v>538</v>
      </c>
      <c r="K4" s="276" t="s">
        <v>539</v>
      </c>
      <c r="L4" s="365"/>
      <c r="M4" s="429"/>
    </row>
    <row r="5" spans="1:13" s="265" customFormat="1" ht="18" customHeight="1" x14ac:dyDescent="0.2">
      <c r="A5" s="266" t="s">
        <v>69</v>
      </c>
      <c r="B5" s="283">
        <v>10.68</v>
      </c>
      <c r="C5" s="283">
        <v>0.34</v>
      </c>
      <c r="D5" s="283">
        <v>0.06</v>
      </c>
      <c r="E5" s="283">
        <v>0</v>
      </c>
      <c r="F5" s="283">
        <v>11.08</v>
      </c>
      <c r="G5" s="283">
        <v>17.89</v>
      </c>
      <c r="H5" s="290">
        <v>115457.08</v>
      </c>
      <c r="I5" s="283">
        <v>2212.9499999999998</v>
      </c>
      <c r="J5" s="283">
        <v>18941.509999999998</v>
      </c>
      <c r="K5" s="283">
        <v>3210.19</v>
      </c>
      <c r="L5" s="290">
        <v>139821.73000000001</v>
      </c>
      <c r="M5" s="283">
        <v>1617.45</v>
      </c>
    </row>
    <row r="6" spans="1:13" s="265" customFormat="1" ht="18" customHeight="1" x14ac:dyDescent="0.2">
      <c r="A6" s="266" t="s">
        <v>70</v>
      </c>
      <c r="B6" s="283">
        <v>0.98</v>
      </c>
      <c r="C6" s="283">
        <v>0.08</v>
      </c>
      <c r="D6" s="283">
        <v>8.67</v>
      </c>
      <c r="E6" s="283">
        <v>0.05</v>
      </c>
      <c r="F6" s="283">
        <v>9.7799999999999994</v>
      </c>
      <c r="G6" s="283">
        <v>19.43</v>
      </c>
      <c r="H6" s="290">
        <v>136640.06</v>
      </c>
      <c r="I6" s="283">
        <v>2754.22</v>
      </c>
      <c r="J6" s="283">
        <v>19252.849999999999</v>
      </c>
      <c r="K6" s="283">
        <v>2534.91</v>
      </c>
      <c r="L6" s="290">
        <v>161182.04</v>
      </c>
      <c r="M6" s="283">
        <v>1911.63</v>
      </c>
    </row>
    <row r="7" spans="1:13" s="265" customFormat="1" ht="18" customHeight="1" x14ac:dyDescent="0.2">
      <c r="A7" s="266" t="s">
        <v>156</v>
      </c>
      <c r="B7" s="283">
        <v>0.12</v>
      </c>
      <c r="C7" s="283">
        <v>0.02</v>
      </c>
      <c r="D7" s="283">
        <v>0</v>
      </c>
      <c r="E7" s="283">
        <v>0</v>
      </c>
      <c r="F7" s="283">
        <v>0.14000000000000001</v>
      </c>
      <c r="G7" s="283">
        <v>17.98</v>
      </c>
      <c r="H7" s="283">
        <v>9426.5</v>
      </c>
      <c r="I7" s="283">
        <v>160.96</v>
      </c>
      <c r="J7" s="283">
        <v>1453.52</v>
      </c>
      <c r="K7" s="283">
        <v>144.61000000000001</v>
      </c>
      <c r="L7" s="283">
        <v>11185.59</v>
      </c>
      <c r="M7" s="283">
        <v>0</v>
      </c>
    </row>
    <row r="8" spans="1:13" s="265" customFormat="1" ht="18" customHeight="1" x14ac:dyDescent="0.2">
      <c r="A8" s="266" t="s">
        <v>157</v>
      </c>
      <c r="B8" s="283">
        <v>0.13</v>
      </c>
      <c r="C8" s="283">
        <v>0</v>
      </c>
      <c r="D8" s="283">
        <v>0</v>
      </c>
      <c r="E8" s="283">
        <v>0</v>
      </c>
      <c r="F8" s="283">
        <v>0.13</v>
      </c>
      <c r="G8" s="283">
        <v>18.09</v>
      </c>
      <c r="H8" s="283">
        <v>12422.3</v>
      </c>
      <c r="I8" s="283">
        <v>373.97</v>
      </c>
      <c r="J8" s="283">
        <v>1275.3499999999999</v>
      </c>
      <c r="K8" s="283">
        <v>208.78</v>
      </c>
      <c r="L8" s="283">
        <v>14280.4</v>
      </c>
      <c r="M8" s="283">
        <v>1663.79</v>
      </c>
    </row>
    <row r="9" spans="1:13" s="265" customFormat="1" ht="18" customHeight="1" x14ac:dyDescent="0.2">
      <c r="A9" s="266" t="s">
        <v>158</v>
      </c>
      <c r="B9" s="283">
        <v>0.13</v>
      </c>
      <c r="C9" s="283">
        <v>0.02</v>
      </c>
      <c r="D9" s="283">
        <v>0</v>
      </c>
      <c r="E9" s="283">
        <v>0</v>
      </c>
      <c r="F9" s="283">
        <v>0.15</v>
      </c>
      <c r="G9" s="283">
        <v>18.2</v>
      </c>
      <c r="H9" s="283">
        <v>11243.01</v>
      </c>
      <c r="I9" s="283">
        <v>299.39999999999998</v>
      </c>
      <c r="J9" s="283">
        <v>1645.06</v>
      </c>
      <c r="K9" s="283">
        <v>394.04</v>
      </c>
      <c r="L9" s="283">
        <v>13581.51</v>
      </c>
      <c r="M9" s="283">
        <v>1692.85</v>
      </c>
    </row>
    <row r="10" spans="1:13" s="265" customFormat="1" ht="18" customHeight="1" x14ac:dyDescent="0.2">
      <c r="A10" s="266" t="s">
        <v>159</v>
      </c>
      <c r="B10" s="283">
        <v>0.11</v>
      </c>
      <c r="C10" s="283">
        <v>0</v>
      </c>
      <c r="D10" s="283">
        <v>0</v>
      </c>
      <c r="E10" s="283">
        <v>0</v>
      </c>
      <c r="F10" s="283">
        <v>0.11</v>
      </c>
      <c r="G10" s="283">
        <v>18.309999999999999</v>
      </c>
      <c r="H10" s="283">
        <v>12392.17</v>
      </c>
      <c r="I10" s="283">
        <v>161.07</v>
      </c>
      <c r="J10" s="283">
        <v>1323.05</v>
      </c>
      <c r="K10" s="283">
        <v>124.62</v>
      </c>
      <c r="L10" s="283">
        <v>14000.91</v>
      </c>
      <c r="M10" s="283">
        <v>1708.07</v>
      </c>
    </row>
    <row r="11" spans="1:13" s="265" customFormat="1" ht="18" customHeight="1" x14ac:dyDescent="0.2">
      <c r="A11" s="266" t="s">
        <v>160</v>
      </c>
      <c r="B11" s="283">
        <v>0.05</v>
      </c>
      <c r="C11" s="283">
        <v>0</v>
      </c>
      <c r="D11" s="283">
        <v>0</v>
      </c>
      <c r="E11" s="283">
        <v>0</v>
      </c>
      <c r="F11" s="283">
        <v>0.05</v>
      </c>
      <c r="G11" s="283">
        <v>18.420000000000002</v>
      </c>
      <c r="H11" s="283">
        <v>9001.41</v>
      </c>
      <c r="I11" s="283">
        <v>108.61</v>
      </c>
      <c r="J11" s="283">
        <v>1187.5999999999999</v>
      </c>
      <c r="K11" s="283">
        <v>133.41</v>
      </c>
      <c r="L11" s="283">
        <v>10431.030000000001</v>
      </c>
      <c r="M11" s="283">
        <v>1730.54</v>
      </c>
    </row>
    <row r="12" spans="1:13" s="265" customFormat="1" ht="18" customHeight="1" x14ac:dyDescent="0.2">
      <c r="A12" s="266" t="s">
        <v>161</v>
      </c>
      <c r="B12" s="283">
        <v>7.0000000000000007E-2</v>
      </c>
      <c r="C12" s="283">
        <v>0</v>
      </c>
      <c r="D12" s="283">
        <v>0</v>
      </c>
      <c r="E12" s="283">
        <v>0</v>
      </c>
      <c r="F12" s="283">
        <v>0</v>
      </c>
      <c r="G12" s="283">
        <v>7.0000000000000007E-2</v>
      </c>
      <c r="H12" s="283">
        <v>16643.84</v>
      </c>
      <c r="I12" s="283">
        <v>347.61</v>
      </c>
      <c r="J12" s="283">
        <v>1857.61</v>
      </c>
      <c r="K12" s="283">
        <v>264.74</v>
      </c>
      <c r="L12" s="283">
        <v>19113.8</v>
      </c>
      <c r="M12" s="283">
        <v>1735.74</v>
      </c>
    </row>
    <row r="13" spans="1:13" s="265" customFormat="1" ht="18" customHeight="1" x14ac:dyDescent="0.2">
      <c r="A13" s="266" t="s">
        <v>162</v>
      </c>
      <c r="B13" s="283">
        <v>0.14000000000000001</v>
      </c>
      <c r="C13" s="283">
        <v>0</v>
      </c>
      <c r="D13" s="283">
        <v>0</v>
      </c>
      <c r="E13" s="283">
        <v>0</v>
      </c>
      <c r="F13" s="283">
        <v>0</v>
      </c>
      <c r="G13" s="283">
        <v>0.14000000000000001</v>
      </c>
      <c r="H13" s="283">
        <v>19279.05</v>
      </c>
      <c r="I13" s="283">
        <v>359.46</v>
      </c>
      <c r="J13" s="283">
        <v>2456.09</v>
      </c>
      <c r="K13" s="283">
        <v>272.48</v>
      </c>
      <c r="L13" s="283">
        <v>22367.08</v>
      </c>
      <c r="M13" s="283">
        <v>1780.09</v>
      </c>
    </row>
    <row r="14" spans="1:13" s="265" customFormat="1" ht="18" customHeight="1" x14ac:dyDescent="0.2">
      <c r="A14" s="266" t="s">
        <v>163</v>
      </c>
      <c r="B14" s="283">
        <v>0.03</v>
      </c>
      <c r="C14" s="283">
        <v>0</v>
      </c>
      <c r="D14" s="283">
        <v>0</v>
      </c>
      <c r="E14" s="283">
        <v>0</v>
      </c>
      <c r="F14" s="283">
        <v>0.03</v>
      </c>
      <c r="G14" s="283">
        <v>18.82</v>
      </c>
      <c r="H14" s="283">
        <v>8535.8700000000008</v>
      </c>
      <c r="I14" s="283">
        <v>296</v>
      </c>
      <c r="J14" s="283">
        <v>1202.97</v>
      </c>
      <c r="K14" s="283">
        <v>156.78</v>
      </c>
      <c r="L14" s="283">
        <v>10191.620000000001</v>
      </c>
      <c r="M14" s="283">
        <v>1805.85</v>
      </c>
    </row>
    <row r="15" spans="1:13" s="265" customFormat="1" ht="18" customHeight="1" x14ac:dyDescent="0.2">
      <c r="A15" s="266" t="s">
        <v>164</v>
      </c>
      <c r="B15" s="283">
        <v>0.03</v>
      </c>
      <c r="C15" s="283">
        <v>0.01</v>
      </c>
      <c r="D15" s="283">
        <v>0</v>
      </c>
      <c r="E15" s="283">
        <v>0</v>
      </c>
      <c r="F15" s="283">
        <v>0.04</v>
      </c>
      <c r="G15" s="283">
        <v>18.93</v>
      </c>
      <c r="H15" s="283">
        <v>10940.52</v>
      </c>
      <c r="I15" s="283">
        <v>88.1</v>
      </c>
      <c r="J15" s="283">
        <v>2041.47</v>
      </c>
      <c r="K15" s="283">
        <v>382.72</v>
      </c>
      <c r="L15" s="283">
        <v>13452.81</v>
      </c>
      <c r="M15" s="283">
        <v>1838.78</v>
      </c>
    </row>
    <row r="16" spans="1:13" s="265" customFormat="1" ht="18" customHeight="1" x14ac:dyDescent="0.2">
      <c r="A16" s="266" t="s">
        <v>165</v>
      </c>
      <c r="B16" s="283">
        <v>0.05</v>
      </c>
      <c r="C16" s="283">
        <v>0</v>
      </c>
      <c r="D16" s="283">
        <v>0</v>
      </c>
      <c r="E16" s="283">
        <v>0</v>
      </c>
      <c r="F16" s="283">
        <v>0.05</v>
      </c>
      <c r="G16" s="283">
        <v>19.149999999999999</v>
      </c>
      <c r="H16" s="283">
        <v>8867.9</v>
      </c>
      <c r="I16" s="283">
        <v>278.25</v>
      </c>
      <c r="J16" s="283">
        <v>1469.83</v>
      </c>
      <c r="K16" s="283">
        <v>116.48</v>
      </c>
      <c r="L16" s="283">
        <v>10732.46</v>
      </c>
      <c r="M16" s="283">
        <v>1873.3</v>
      </c>
    </row>
    <row r="17" spans="1:13" s="265" customFormat="1" ht="18" customHeight="1" x14ac:dyDescent="0.2">
      <c r="A17" s="266" t="s">
        <v>166</v>
      </c>
      <c r="B17" s="283">
        <v>0.04</v>
      </c>
      <c r="C17" s="283">
        <v>0</v>
      </c>
      <c r="D17" s="283">
        <v>0</v>
      </c>
      <c r="E17" s="283">
        <v>0</v>
      </c>
      <c r="F17" s="283">
        <v>0.04</v>
      </c>
      <c r="G17" s="283">
        <v>19.32</v>
      </c>
      <c r="H17" s="283">
        <v>9734.34</v>
      </c>
      <c r="I17" s="283">
        <v>73.11</v>
      </c>
      <c r="J17" s="283">
        <v>1226.29</v>
      </c>
      <c r="K17" s="283">
        <v>106.02</v>
      </c>
      <c r="L17" s="283">
        <v>11139.76</v>
      </c>
      <c r="M17" s="283">
        <v>1882.93</v>
      </c>
    </row>
    <row r="18" spans="1:13" s="265" customFormat="1" ht="18" customHeight="1" x14ac:dyDescent="0.2">
      <c r="A18" s="266" t="s">
        <v>167</v>
      </c>
      <c r="B18" s="283">
        <v>0.15</v>
      </c>
      <c r="C18" s="283">
        <v>0.03</v>
      </c>
      <c r="D18" s="283">
        <v>8.67</v>
      </c>
      <c r="E18" s="283">
        <v>0.05</v>
      </c>
      <c r="F18" s="283">
        <v>8.9</v>
      </c>
      <c r="G18" s="283">
        <v>19.43</v>
      </c>
      <c r="H18" s="283">
        <v>8153.15</v>
      </c>
      <c r="I18" s="283">
        <v>207.68</v>
      </c>
      <c r="J18" s="283">
        <v>2114.0100000000002</v>
      </c>
      <c r="K18" s="283">
        <v>230.23</v>
      </c>
      <c r="L18" s="283">
        <v>10705.07</v>
      </c>
      <c r="M18" s="283">
        <v>1911.63</v>
      </c>
    </row>
    <row r="19" spans="1:13" s="265" customFormat="1" ht="14.25" customHeight="1" x14ac:dyDescent="0.2">
      <c r="A19" s="353" t="s">
        <v>106</v>
      </c>
      <c r="B19" s="353"/>
      <c r="C19" s="353"/>
      <c r="D19" s="353"/>
    </row>
    <row r="20" spans="1:13" s="265" customFormat="1" ht="12.75" customHeight="1" x14ac:dyDescent="0.2">
      <c r="A20" s="353" t="s">
        <v>256</v>
      </c>
      <c r="B20" s="353"/>
      <c r="C20" s="353"/>
      <c r="D20" s="353"/>
    </row>
    <row r="21" spans="1:13" s="265" customFormat="1" ht="26.1" customHeight="1" x14ac:dyDescent="0.2"/>
  </sheetData>
  <mergeCells count="14">
    <mergeCell ref="L3:L4"/>
    <mergeCell ref="M3:M4"/>
    <mergeCell ref="A19:D19"/>
    <mergeCell ref="A20:D20"/>
    <mergeCell ref="A1:M1"/>
    <mergeCell ref="A2:A4"/>
    <mergeCell ref="B2:G2"/>
    <mergeCell ref="H2:M2"/>
    <mergeCell ref="B3:C3"/>
    <mergeCell ref="D3:E3"/>
    <mergeCell ref="F3:F4"/>
    <mergeCell ref="G3:G4"/>
    <mergeCell ref="H3:I3"/>
    <mergeCell ref="J3:K3"/>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K20"/>
  <sheetViews>
    <sheetView workbookViewId="0">
      <selection sqref="A1:K1"/>
    </sheetView>
  </sheetViews>
  <sheetFormatPr defaultRowHeight="12.75" x14ac:dyDescent="0.2"/>
  <cols>
    <col min="1" max="11" width="14.7109375" style="262" bestFit="1" customWidth="1"/>
    <col min="12" max="12" width="4.7109375" style="262" bestFit="1" customWidth="1"/>
    <col min="13" max="256" width="9.140625" style="262"/>
    <col min="257" max="267" width="14.7109375" style="262" bestFit="1" customWidth="1"/>
    <col min="268" max="268" width="4.7109375" style="262" bestFit="1" customWidth="1"/>
    <col min="269" max="512" width="9.140625" style="262"/>
    <col min="513" max="523" width="14.7109375" style="262" bestFit="1" customWidth="1"/>
    <col min="524" max="524" width="4.7109375" style="262" bestFit="1" customWidth="1"/>
    <col min="525" max="768" width="9.140625" style="262"/>
    <col min="769" max="779" width="14.7109375" style="262" bestFit="1" customWidth="1"/>
    <col min="780" max="780" width="4.7109375" style="262" bestFit="1" customWidth="1"/>
    <col min="781" max="1024" width="9.140625" style="262"/>
    <col min="1025" max="1035" width="14.7109375" style="262" bestFit="1" customWidth="1"/>
    <col min="1036" max="1036" width="4.7109375" style="262" bestFit="1" customWidth="1"/>
    <col min="1037" max="1280" width="9.140625" style="262"/>
    <col min="1281" max="1291" width="14.7109375" style="262" bestFit="1" customWidth="1"/>
    <col min="1292" max="1292" width="4.7109375" style="262" bestFit="1" customWidth="1"/>
    <col min="1293" max="1536" width="9.140625" style="262"/>
    <col min="1537" max="1547" width="14.7109375" style="262" bestFit="1" customWidth="1"/>
    <col min="1548" max="1548" width="4.7109375" style="262" bestFit="1" customWidth="1"/>
    <col min="1549" max="1792" width="9.140625" style="262"/>
    <col min="1793" max="1803" width="14.7109375" style="262" bestFit="1" customWidth="1"/>
    <col min="1804" max="1804" width="4.7109375" style="262" bestFit="1" customWidth="1"/>
    <col min="1805" max="2048" width="9.140625" style="262"/>
    <col min="2049" max="2059" width="14.7109375" style="262" bestFit="1" customWidth="1"/>
    <col min="2060" max="2060" width="4.7109375" style="262" bestFit="1" customWidth="1"/>
    <col min="2061" max="2304" width="9.140625" style="262"/>
    <col min="2305" max="2315" width="14.7109375" style="262" bestFit="1" customWidth="1"/>
    <col min="2316" max="2316" width="4.7109375" style="262" bestFit="1" customWidth="1"/>
    <col min="2317" max="2560" width="9.140625" style="262"/>
    <col min="2561" max="2571" width="14.7109375" style="262" bestFit="1" customWidth="1"/>
    <col min="2572" max="2572" width="4.7109375" style="262" bestFit="1" customWidth="1"/>
    <col min="2573" max="2816" width="9.140625" style="262"/>
    <col min="2817" max="2827" width="14.7109375" style="262" bestFit="1" customWidth="1"/>
    <col min="2828" max="2828" width="4.7109375" style="262" bestFit="1" customWidth="1"/>
    <col min="2829" max="3072" width="9.140625" style="262"/>
    <col min="3073" max="3083" width="14.7109375" style="262" bestFit="1" customWidth="1"/>
    <col min="3084" max="3084" width="4.7109375" style="262" bestFit="1" customWidth="1"/>
    <col min="3085" max="3328" width="9.140625" style="262"/>
    <col min="3329" max="3339" width="14.7109375" style="262" bestFit="1" customWidth="1"/>
    <col min="3340" max="3340" width="4.7109375" style="262" bestFit="1" customWidth="1"/>
    <col min="3341" max="3584" width="9.140625" style="262"/>
    <col min="3585" max="3595" width="14.7109375" style="262" bestFit="1" customWidth="1"/>
    <col min="3596" max="3596" width="4.7109375" style="262" bestFit="1" customWidth="1"/>
    <col min="3597" max="3840" width="9.140625" style="262"/>
    <col min="3841" max="3851" width="14.7109375" style="262" bestFit="1" customWidth="1"/>
    <col min="3852" max="3852" width="4.7109375" style="262" bestFit="1" customWidth="1"/>
    <col min="3853" max="4096" width="9.140625" style="262"/>
    <col min="4097" max="4107" width="14.7109375" style="262" bestFit="1" customWidth="1"/>
    <col min="4108" max="4108" width="4.7109375" style="262" bestFit="1" customWidth="1"/>
    <col min="4109" max="4352" width="9.140625" style="262"/>
    <col min="4353" max="4363" width="14.7109375" style="262" bestFit="1" customWidth="1"/>
    <col min="4364" max="4364" width="4.7109375" style="262" bestFit="1" customWidth="1"/>
    <col min="4365" max="4608" width="9.140625" style="262"/>
    <col min="4609" max="4619" width="14.7109375" style="262" bestFit="1" customWidth="1"/>
    <col min="4620" max="4620" width="4.7109375" style="262" bestFit="1" customWidth="1"/>
    <col min="4621" max="4864" width="9.140625" style="262"/>
    <col min="4865" max="4875" width="14.7109375" style="262" bestFit="1" customWidth="1"/>
    <col min="4876" max="4876" width="4.7109375" style="262" bestFit="1" customWidth="1"/>
    <col min="4877" max="5120" width="9.140625" style="262"/>
    <col min="5121" max="5131" width="14.7109375" style="262" bestFit="1" customWidth="1"/>
    <col min="5132" max="5132" width="4.7109375" style="262" bestFit="1" customWidth="1"/>
    <col min="5133" max="5376" width="9.140625" style="262"/>
    <col min="5377" max="5387" width="14.7109375" style="262" bestFit="1" customWidth="1"/>
    <col min="5388" max="5388" width="4.7109375" style="262" bestFit="1" customWidth="1"/>
    <col min="5389" max="5632" width="9.140625" style="262"/>
    <col min="5633" max="5643" width="14.7109375" style="262" bestFit="1" customWidth="1"/>
    <col min="5644" max="5644" width="4.7109375" style="262" bestFit="1" customWidth="1"/>
    <col min="5645" max="5888" width="9.140625" style="262"/>
    <col min="5889" max="5899" width="14.7109375" style="262" bestFit="1" customWidth="1"/>
    <col min="5900" max="5900" width="4.7109375" style="262" bestFit="1" customWidth="1"/>
    <col min="5901" max="6144" width="9.140625" style="262"/>
    <col min="6145" max="6155" width="14.7109375" style="262" bestFit="1" customWidth="1"/>
    <col min="6156" max="6156" width="4.7109375" style="262" bestFit="1" customWidth="1"/>
    <col min="6157" max="6400" width="9.140625" style="262"/>
    <col min="6401" max="6411" width="14.7109375" style="262" bestFit="1" customWidth="1"/>
    <col min="6412" max="6412" width="4.7109375" style="262" bestFit="1" customWidth="1"/>
    <col min="6413" max="6656" width="9.140625" style="262"/>
    <col min="6657" max="6667" width="14.7109375" style="262" bestFit="1" customWidth="1"/>
    <col min="6668" max="6668" width="4.7109375" style="262" bestFit="1" customWidth="1"/>
    <col min="6669" max="6912" width="9.140625" style="262"/>
    <col min="6913" max="6923" width="14.7109375" style="262" bestFit="1" customWidth="1"/>
    <col min="6924" max="6924" width="4.7109375" style="262" bestFit="1" customWidth="1"/>
    <col min="6925" max="7168" width="9.140625" style="262"/>
    <col min="7169" max="7179" width="14.7109375" style="262" bestFit="1" customWidth="1"/>
    <col min="7180" max="7180" width="4.7109375" style="262" bestFit="1" customWidth="1"/>
    <col min="7181" max="7424" width="9.140625" style="262"/>
    <col min="7425" max="7435" width="14.7109375" style="262" bestFit="1" customWidth="1"/>
    <col min="7436" max="7436" width="4.7109375" style="262" bestFit="1" customWidth="1"/>
    <col min="7437" max="7680" width="9.140625" style="262"/>
    <col min="7681" max="7691" width="14.7109375" style="262" bestFit="1" customWidth="1"/>
    <col min="7692" max="7692" width="4.7109375" style="262" bestFit="1" customWidth="1"/>
    <col min="7693" max="7936" width="9.140625" style="262"/>
    <col min="7937" max="7947" width="14.7109375" style="262" bestFit="1" customWidth="1"/>
    <col min="7948" max="7948" width="4.7109375" style="262" bestFit="1" customWidth="1"/>
    <col min="7949" max="8192" width="9.140625" style="262"/>
    <col min="8193" max="8203" width="14.7109375" style="262" bestFit="1" customWidth="1"/>
    <col min="8204" max="8204" width="4.7109375" style="262" bestFit="1" customWidth="1"/>
    <col min="8205" max="8448" width="9.140625" style="262"/>
    <col min="8449" max="8459" width="14.7109375" style="262" bestFit="1" customWidth="1"/>
    <col min="8460" max="8460" width="4.7109375" style="262" bestFit="1" customWidth="1"/>
    <col min="8461" max="8704" width="9.140625" style="262"/>
    <col min="8705" max="8715" width="14.7109375" style="262" bestFit="1" customWidth="1"/>
    <col min="8716" max="8716" width="4.7109375" style="262" bestFit="1" customWidth="1"/>
    <col min="8717" max="8960" width="9.140625" style="262"/>
    <col min="8961" max="8971" width="14.7109375" style="262" bestFit="1" customWidth="1"/>
    <col min="8972" max="8972" width="4.7109375" style="262" bestFit="1" customWidth="1"/>
    <col min="8973" max="9216" width="9.140625" style="262"/>
    <col min="9217" max="9227" width="14.7109375" style="262" bestFit="1" customWidth="1"/>
    <col min="9228" max="9228" width="4.7109375" style="262" bestFit="1" customWidth="1"/>
    <col min="9229" max="9472" width="9.140625" style="262"/>
    <col min="9473" max="9483" width="14.7109375" style="262" bestFit="1" customWidth="1"/>
    <col min="9484" max="9484" width="4.7109375" style="262" bestFit="1" customWidth="1"/>
    <col min="9485" max="9728" width="9.140625" style="262"/>
    <col min="9729" max="9739" width="14.7109375" style="262" bestFit="1" customWidth="1"/>
    <col min="9740" max="9740" width="4.7109375" style="262" bestFit="1" customWidth="1"/>
    <col min="9741" max="9984" width="9.140625" style="262"/>
    <col min="9985" max="9995" width="14.7109375" style="262" bestFit="1" customWidth="1"/>
    <col min="9996" max="9996" width="4.7109375" style="262" bestFit="1" customWidth="1"/>
    <col min="9997" max="10240" width="9.140625" style="262"/>
    <col min="10241" max="10251" width="14.7109375" style="262" bestFit="1" customWidth="1"/>
    <col min="10252" max="10252" width="4.7109375" style="262" bestFit="1" customWidth="1"/>
    <col min="10253" max="10496" width="9.140625" style="262"/>
    <col min="10497" max="10507" width="14.7109375" style="262" bestFit="1" customWidth="1"/>
    <col min="10508" max="10508" width="4.7109375" style="262" bestFit="1" customWidth="1"/>
    <col min="10509" max="10752" width="9.140625" style="262"/>
    <col min="10753" max="10763" width="14.7109375" style="262" bestFit="1" customWidth="1"/>
    <col min="10764" max="10764" width="4.7109375" style="262" bestFit="1" customWidth="1"/>
    <col min="10765" max="11008" width="9.140625" style="262"/>
    <col min="11009" max="11019" width="14.7109375" style="262" bestFit="1" customWidth="1"/>
    <col min="11020" max="11020" width="4.7109375" style="262" bestFit="1" customWidth="1"/>
    <col min="11021" max="11264" width="9.140625" style="262"/>
    <col min="11265" max="11275" width="14.7109375" style="262" bestFit="1" customWidth="1"/>
    <col min="11276" max="11276" width="4.7109375" style="262" bestFit="1" customWidth="1"/>
    <col min="11277" max="11520" width="9.140625" style="262"/>
    <col min="11521" max="11531" width="14.7109375" style="262" bestFit="1" customWidth="1"/>
    <col min="11532" max="11532" width="4.7109375" style="262" bestFit="1" customWidth="1"/>
    <col min="11533" max="11776" width="9.140625" style="262"/>
    <col min="11777" max="11787" width="14.7109375" style="262" bestFit="1" customWidth="1"/>
    <col min="11788" max="11788" width="4.7109375" style="262" bestFit="1" customWidth="1"/>
    <col min="11789" max="12032" width="9.140625" style="262"/>
    <col min="12033" max="12043" width="14.7109375" style="262" bestFit="1" customWidth="1"/>
    <col min="12044" max="12044" width="4.7109375" style="262" bestFit="1" customWidth="1"/>
    <col min="12045" max="12288" width="9.140625" style="262"/>
    <col min="12289" max="12299" width="14.7109375" style="262" bestFit="1" customWidth="1"/>
    <col min="12300" max="12300" width="4.7109375" style="262" bestFit="1" customWidth="1"/>
    <col min="12301" max="12544" width="9.140625" style="262"/>
    <col min="12545" max="12555" width="14.7109375" style="262" bestFit="1" customWidth="1"/>
    <col min="12556" max="12556" width="4.7109375" style="262" bestFit="1" customWidth="1"/>
    <col min="12557" max="12800" width="9.140625" style="262"/>
    <col min="12801" max="12811" width="14.7109375" style="262" bestFit="1" customWidth="1"/>
    <col min="12812" max="12812" width="4.7109375" style="262" bestFit="1" customWidth="1"/>
    <col min="12813" max="13056" width="9.140625" style="262"/>
    <col min="13057" max="13067" width="14.7109375" style="262" bestFit="1" customWidth="1"/>
    <col min="13068" max="13068" width="4.7109375" style="262" bestFit="1" customWidth="1"/>
    <col min="13069" max="13312" width="9.140625" style="262"/>
    <col min="13313" max="13323" width="14.7109375" style="262" bestFit="1" customWidth="1"/>
    <col min="13324" max="13324" width="4.7109375" style="262" bestFit="1" customWidth="1"/>
    <col min="13325" max="13568" width="9.140625" style="262"/>
    <col min="13569" max="13579" width="14.7109375" style="262" bestFit="1" customWidth="1"/>
    <col min="13580" max="13580" width="4.7109375" style="262" bestFit="1" customWidth="1"/>
    <col min="13581" max="13824" width="9.140625" style="262"/>
    <col min="13825" max="13835" width="14.7109375" style="262" bestFit="1" customWidth="1"/>
    <col min="13836" max="13836" width="4.7109375" style="262" bestFit="1" customWidth="1"/>
    <col min="13837" max="14080" width="9.140625" style="262"/>
    <col min="14081" max="14091" width="14.7109375" style="262" bestFit="1" customWidth="1"/>
    <col min="14092" max="14092" width="4.7109375" style="262" bestFit="1" customWidth="1"/>
    <col min="14093" max="14336" width="9.140625" style="262"/>
    <col min="14337" max="14347" width="14.7109375" style="262" bestFit="1" customWidth="1"/>
    <col min="14348" max="14348" width="4.7109375" style="262" bestFit="1" customWidth="1"/>
    <col min="14349" max="14592" width="9.140625" style="262"/>
    <col min="14593" max="14603" width="14.7109375" style="262" bestFit="1" customWidth="1"/>
    <col min="14604" max="14604" width="4.7109375" style="262" bestFit="1" customWidth="1"/>
    <col min="14605" max="14848" width="9.140625" style="262"/>
    <col min="14849" max="14859" width="14.7109375" style="262" bestFit="1" customWidth="1"/>
    <col min="14860" max="14860" width="4.7109375" style="262" bestFit="1" customWidth="1"/>
    <col min="14861" max="15104" width="9.140625" style="262"/>
    <col min="15105" max="15115" width="14.7109375" style="262" bestFit="1" customWidth="1"/>
    <col min="15116" max="15116" width="4.7109375" style="262" bestFit="1" customWidth="1"/>
    <col min="15117" max="15360" width="9.140625" style="262"/>
    <col min="15361" max="15371" width="14.7109375" style="262" bestFit="1" customWidth="1"/>
    <col min="15372" max="15372" width="4.7109375" style="262" bestFit="1" customWidth="1"/>
    <col min="15373" max="15616" width="9.140625" style="262"/>
    <col min="15617" max="15627" width="14.7109375" style="262" bestFit="1" customWidth="1"/>
    <col min="15628" max="15628" width="4.7109375" style="262" bestFit="1" customWidth="1"/>
    <col min="15629" max="15872" width="9.140625" style="262"/>
    <col min="15873" max="15883" width="14.7109375" style="262" bestFit="1" customWidth="1"/>
    <col min="15884" max="15884" width="4.7109375" style="262" bestFit="1" customWidth="1"/>
    <col min="15885" max="16128" width="9.140625" style="262"/>
    <col min="16129" max="16139" width="14.7109375" style="262" bestFit="1" customWidth="1"/>
    <col min="16140" max="16140" width="4.7109375" style="262" bestFit="1" customWidth="1"/>
    <col min="16141" max="16384" width="9.140625" style="262"/>
  </cols>
  <sheetData>
    <row r="1" spans="1:11" ht="15" customHeight="1" x14ac:dyDescent="0.2">
      <c r="A1" s="385" t="s">
        <v>40</v>
      </c>
      <c r="B1" s="385"/>
      <c r="C1" s="385"/>
      <c r="D1" s="385"/>
      <c r="E1" s="385"/>
      <c r="F1" s="385"/>
      <c r="G1" s="385"/>
      <c r="H1" s="385"/>
      <c r="I1" s="385"/>
      <c r="J1" s="385"/>
      <c r="K1" s="385"/>
    </row>
    <row r="2" spans="1:11" s="265" customFormat="1" ht="12.75" customHeight="1" x14ac:dyDescent="0.2">
      <c r="A2" s="363" t="s">
        <v>250</v>
      </c>
      <c r="B2" s="375" t="s">
        <v>339</v>
      </c>
      <c r="C2" s="376"/>
      <c r="D2" s="376"/>
      <c r="E2" s="376"/>
      <c r="F2" s="377"/>
      <c r="G2" s="375" t="s">
        <v>540</v>
      </c>
      <c r="H2" s="376"/>
      <c r="I2" s="376"/>
      <c r="J2" s="376"/>
      <c r="K2" s="377"/>
    </row>
    <row r="3" spans="1:11" s="265" customFormat="1" ht="15" customHeight="1" x14ac:dyDescent="0.2">
      <c r="A3" s="365"/>
      <c r="B3" s="263" t="s">
        <v>541</v>
      </c>
      <c r="C3" s="263" t="s">
        <v>542</v>
      </c>
      <c r="D3" s="263" t="s">
        <v>97</v>
      </c>
      <c r="E3" s="263" t="s">
        <v>342</v>
      </c>
      <c r="F3" s="263" t="s">
        <v>336</v>
      </c>
      <c r="G3" s="263" t="s">
        <v>541</v>
      </c>
      <c r="H3" s="263" t="s">
        <v>542</v>
      </c>
      <c r="I3" s="263" t="s">
        <v>97</v>
      </c>
      <c r="J3" s="263" t="s">
        <v>342</v>
      </c>
      <c r="K3" s="263" t="s">
        <v>336</v>
      </c>
    </row>
    <row r="4" spans="1:11" s="265" customFormat="1" ht="18" customHeight="1" x14ac:dyDescent="0.2">
      <c r="A4" s="266" t="s">
        <v>69</v>
      </c>
      <c r="B4" s="330">
        <v>90.616431035000005</v>
      </c>
      <c r="C4" s="330">
        <v>1.546121055</v>
      </c>
      <c r="D4" s="330">
        <v>0</v>
      </c>
      <c r="E4" s="330">
        <v>0</v>
      </c>
      <c r="F4" s="330">
        <v>7.8374479099999999</v>
      </c>
      <c r="G4" s="330">
        <v>0</v>
      </c>
      <c r="H4" s="330">
        <v>0</v>
      </c>
      <c r="I4" s="330">
        <v>0</v>
      </c>
      <c r="J4" s="330">
        <v>0</v>
      </c>
      <c r="K4" s="330">
        <v>100</v>
      </c>
    </row>
    <row r="5" spans="1:11" s="265" customFormat="1" ht="18" customHeight="1" x14ac:dyDescent="0.2">
      <c r="A5" s="266" t="s">
        <v>70</v>
      </c>
      <c r="B5" s="330">
        <v>2</v>
      </c>
      <c r="C5" s="330">
        <v>0</v>
      </c>
      <c r="D5" s="330">
        <v>0</v>
      </c>
      <c r="E5" s="330">
        <v>0</v>
      </c>
      <c r="F5" s="330">
        <v>98</v>
      </c>
      <c r="G5" s="330">
        <v>0</v>
      </c>
      <c r="H5" s="330">
        <v>0</v>
      </c>
      <c r="I5" s="330">
        <v>0</v>
      </c>
      <c r="J5" s="330">
        <v>0</v>
      </c>
      <c r="K5" s="330">
        <v>100</v>
      </c>
    </row>
    <row r="6" spans="1:11" s="265" customFormat="1" ht="18" customHeight="1" x14ac:dyDescent="0.2">
      <c r="A6" s="266" t="s">
        <v>156</v>
      </c>
      <c r="B6" s="330">
        <v>44.71</v>
      </c>
      <c r="C6" s="330">
        <v>0</v>
      </c>
      <c r="D6" s="330">
        <v>0</v>
      </c>
      <c r="E6" s="330">
        <v>0</v>
      </c>
      <c r="F6" s="330">
        <v>55.29</v>
      </c>
      <c r="G6" s="330">
        <v>0</v>
      </c>
      <c r="H6" s="330">
        <v>0</v>
      </c>
      <c r="I6" s="330">
        <v>0</v>
      </c>
      <c r="J6" s="330">
        <v>0</v>
      </c>
      <c r="K6" s="330">
        <v>100</v>
      </c>
    </row>
    <row r="7" spans="1:11" s="265" customFormat="1" ht="18" customHeight="1" x14ac:dyDescent="0.2">
      <c r="A7" s="266" t="s">
        <v>157</v>
      </c>
      <c r="B7" s="330">
        <v>21.11</v>
      </c>
      <c r="C7" s="330">
        <v>0</v>
      </c>
      <c r="D7" s="330">
        <v>0</v>
      </c>
      <c r="E7" s="330">
        <v>0</v>
      </c>
      <c r="F7" s="330">
        <v>78.89</v>
      </c>
      <c r="G7" s="330">
        <v>0</v>
      </c>
      <c r="H7" s="330">
        <v>0</v>
      </c>
      <c r="I7" s="330">
        <v>0</v>
      </c>
      <c r="J7" s="330">
        <v>0</v>
      </c>
      <c r="K7" s="330">
        <v>100</v>
      </c>
    </row>
    <row r="8" spans="1:11" s="265" customFormat="1" ht="18" customHeight="1" x14ac:dyDescent="0.2">
      <c r="A8" s="266" t="s">
        <v>158</v>
      </c>
      <c r="B8" s="330">
        <v>95.33</v>
      </c>
      <c r="C8" s="330">
        <v>0</v>
      </c>
      <c r="D8" s="330">
        <v>0</v>
      </c>
      <c r="E8" s="330">
        <v>0</v>
      </c>
      <c r="F8" s="330">
        <v>4.67</v>
      </c>
      <c r="G8" s="330">
        <v>78.601600000000005</v>
      </c>
      <c r="H8" s="330">
        <v>0</v>
      </c>
      <c r="I8" s="330">
        <v>0</v>
      </c>
      <c r="J8" s="330">
        <v>0</v>
      </c>
      <c r="K8" s="330">
        <v>21.398399999999999</v>
      </c>
    </row>
    <row r="9" spans="1:11" s="265" customFormat="1" ht="18" customHeight="1" x14ac:dyDescent="0.2">
      <c r="A9" s="266" t="s">
        <v>159</v>
      </c>
      <c r="B9" s="330">
        <v>55</v>
      </c>
      <c r="C9" s="330">
        <v>0</v>
      </c>
      <c r="D9" s="330">
        <v>0</v>
      </c>
      <c r="E9" s="330">
        <v>0</v>
      </c>
      <c r="F9" s="330">
        <v>45</v>
      </c>
      <c r="G9" s="330">
        <v>0</v>
      </c>
      <c r="H9" s="330">
        <v>0</v>
      </c>
      <c r="I9" s="330">
        <v>0</v>
      </c>
      <c r="J9" s="330">
        <v>0</v>
      </c>
      <c r="K9" s="330">
        <v>100</v>
      </c>
    </row>
    <row r="10" spans="1:11" s="265" customFormat="1" ht="18" customHeight="1" x14ac:dyDescent="0.2">
      <c r="A10" s="266" t="s">
        <v>160</v>
      </c>
      <c r="B10" s="330">
        <v>0</v>
      </c>
      <c r="C10" s="330">
        <v>0</v>
      </c>
      <c r="D10" s="330">
        <v>0</v>
      </c>
      <c r="E10" s="330">
        <v>0</v>
      </c>
      <c r="F10" s="330">
        <v>100</v>
      </c>
      <c r="G10" s="330">
        <v>0</v>
      </c>
      <c r="H10" s="330">
        <v>0</v>
      </c>
      <c r="I10" s="330">
        <v>0</v>
      </c>
      <c r="J10" s="330">
        <v>0</v>
      </c>
      <c r="K10" s="330">
        <v>100</v>
      </c>
    </row>
    <row r="11" spans="1:11" s="265" customFormat="1" ht="18" customHeight="1" x14ac:dyDescent="0.2">
      <c r="A11" s="266" t="s">
        <v>161</v>
      </c>
      <c r="B11" s="330">
        <v>0</v>
      </c>
      <c r="C11" s="330">
        <v>0</v>
      </c>
      <c r="D11" s="330">
        <v>0</v>
      </c>
      <c r="E11" s="330">
        <v>0</v>
      </c>
      <c r="F11" s="330">
        <v>100</v>
      </c>
      <c r="G11" s="330">
        <v>0</v>
      </c>
      <c r="H11" s="330">
        <v>0</v>
      </c>
      <c r="I11" s="330">
        <v>0</v>
      </c>
      <c r="J11" s="330">
        <v>0</v>
      </c>
      <c r="K11" s="330">
        <v>100</v>
      </c>
    </row>
    <row r="12" spans="1:11" s="265" customFormat="1" ht="18" customHeight="1" x14ac:dyDescent="0.2">
      <c r="A12" s="266" t="s">
        <v>162</v>
      </c>
      <c r="B12" s="330">
        <v>0</v>
      </c>
      <c r="C12" s="330">
        <v>0</v>
      </c>
      <c r="D12" s="330">
        <v>0</v>
      </c>
      <c r="E12" s="330">
        <v>0</v>
      </c>
      <c r="F12" s="330">
        <v>100</v>
      </c>
      <c r="G12" s="330">
        <v>0</v>
      </c>
      <c r="H12" s="330">
        <v>0</v>
      </c>
      <c r="I12" s="330">
        <v>0</v>
      </c>
      <c r="J12" s="330">
        <v>0</v>
      </c>
      <c r="K12" s="330">
        <v>100</v>
      </c>
    </row>
    <row r="13" spans="1:11" s="265" customFormat="1" ht="18" customHeight="1" x14ac:dyDescent="0.2">
      <c r="A13" s="266" t="s">
        <v>163</v>
      </c>
      <c r="B13" s="330">
        <v>0</v>
      </c>
      <c r="C13" s="330">
        <v>0</v>
      </c>
      <c r="D13" s="330">
        <v>0</v>
      </c>
      <c r="E13" s="330">
        <v>0</v>
      </c>
      <c r="F13" s="330">
        <v>100</v>
      </c>
      <c r="G13" s="330">
        <v>0</v>
      </c>
      <c r="H13" s="330">
        <v>0</v>
      </c>
      <c r="I13" s="330">
        <v>0</v>
      </c>
      <c r="J13" s="330">
        <v>0</v>
      </c>
      <c r="K13" s="330">
        <v>100</v>
      </c>
    </row>
    <row r="14" spans="1:11" s="265" customFormat="1" ht="18" customHeight="1" x14ac:dyDescent="0.2">
      <c r="A14" s="266" t="s">
        <v>164</v>
      </c>
      <c r="B14" s="330">
        <v>0</v>
      </c>
      <c r="C14" s="330">
        <v>0</v>
      </c>
      <c r="D14" s="330">
        <v>0</v>
      </c>
      <c r="E14" s="330">
        <v>0</v>
      </c>
      <c r="F14" s="330">
        <v>100</v>
      </c>
      <c r="G14" s="330">
        <v>0</v>
      </c>
      <c r="H14" s="330">
        <v>0</v>
      </c>
      <c r="I14" s="330">
        <v>0</v>
      </c>
      <c r="J14" s="330">
        <v>0</v>
      </c>
      <c r="K14" s="330">
        <v>100</v>
      </c>
    </row>
    <row r="15" spans="1:11" s="265" customFormat="1" ht="18" customHeight="1" x14ac:dyDescent="0.2">
      <c r="A15" s="266" t="s">
        <v>165</v>
      </c>
      <c r="B15" s="330">
        <v>38.33</v>
      </c>
      <c r="C15" s="330">
        <v>0</v>
      </c>
      <c r="D15" s="330">
        <v>0</v>
      </c>
      <c r="E15" s="330">
        <v>0</v>
      </c>
      <c r="F15" s="330">
        <v>61.67</v>
      </c>
      <c r="G15" s="330">
        <v>0</v>
      </c>
      <c r="H15" s="330">
        <v>0</v>
      </c>
      <c r="I15" s="330">
        <v>0</v>
      </c>
      <c r="J15" s="330">
        <v>0</v>
      </c>
      <c r="K15" s="330">
        <v>100</v>
      </c>
    </row>
    <row r="16" spans="1:11" s="265" customFormat="1" ht="18" customHeight="1" x14ac:dyDescent="0.2">
      <c r="A16" s="266" t="s">
        <v>166</v>
      </c>
      <c r="B16" s="330">
        <v>0</v>
      </c>
      <c r="C16" s="330">
        <v>0</v>
      </c>
      <c r="D16" s="330">
        <v>0</v>
      </c>
      <c r="E16" s="330">
        <v>0</v>
      </c>
      <c r="F16" s="330">
        <v>100</v>
      </c>
      <c r="G16" s="330">
        <v>0</v>
      </c>
      <c r="H16" s="330">
        <v>0</v>
      </c>
      <c r="I16" s="330">
        <v>0</v>
      </c>
      <c r="J16" s="330">
        <v>0</v>
      </c>
      <c r="K16" s="330">
        <v>100</v>
      </c>
    </row>
    <row r="17" spans="1:11" s="265" customFormat="1" ht="18" customHeight="1" x14ac:dyDescent="0.2">
      <c r="A17" s="266" t="s">
        <v>167</v>
      </c>
      <c r="B17" s="330">
        <v>0.53</v>
      </c>
      <c r="C17" s="330">
        <v>0</v>
      </c>
      <c r="D17" s="330">
        <v>0</v>
      </c>
      <c r="E17" s="330">
        <v>0</v>
      </c>
      <c r="F17" s="330">
        <v>99.47</v>
      </c>
      <c r="G17" s="330">
        <v>0</v>
      </c>
      <c r="H17" s="330">
        <v>0</v>
      </c>
      <c r="I17" s="330">
        <v>0</v>
      </c>
      <c r="J17" s="330">
        <v>0</v>
      </c>
      <c r="K17" s="330">
        <v>100</v>
      </c>
    </row>
    <row r="18" spans="1:11" s="265" customFormat="1" ht="15" customHeight="1" x14ac:dyDescent="0.2">
      <c r="A18" s="353" t="s">
        <v>106</v>
      </c>
      <c r="B18" s="353"/>
      <c r="C18" s="353"/>
      <c r="D18" s="353"/>
      <c r="E18" s="353"/>
      <c r="F18" s="353"/>
      <c r="G18" s="353"/>
      <c r="H18" s="353"/>
      <c r="I18" s="353"/>
      <c r="J18" s="353"/>
      <c r="K18" s="353"/>
    </row>
    <row r="19" spans="1:11" s="265" customFormat="1" ht="13.5" customHeight="1" x14ac:dyDescent="0.2">
      <c r="A19" s="353" t="s">
        <v>393</v>
      </c>
      <c r="B19" s="353"/>
      <c r="C19" s="353"/>
      <c r="D19" s="353"/>
      <c r="E19" s="353"/>
      <c r="F19" s="353"/>
      <c r="G19" s="353"/>
      <c r="H19" s="353"/>
      <c r="I19" s="353"/>
      <c r="J19" s="353"/>
      <c r="K19" s="353"/>
    </row>
    <row r="20" spans="1:11" s="265" customFormat="1" ht="27.6" customHeight="1" x14ac:dyDescent="0.2"/>
  </sheetData>
  <mergeCells count="6">
    <mergeCell ref="A19:K19"/>
    <mergeCell ref="A1:K1"/>
    <mergeCell ref="A2:A3"/>
    <mergeCell ref="B2:F2"/>
    <mergeCell ref="G2:K2"/>
    <mergeCell ref="A18:K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K20"/>
  <sheetViews>
    <sheetView workbookViewId="0">
      <selection sqref="A1:K1"/>
    </sheetView>
  </sheetViews>
  <sheetFormatPr defaultRowHeight="12.75" x14ac:dyDescent="0.2"/>
  <cols>
    <col min="1" max="11" width="14.7109375" style="262" bestFit="1" customWidth="1"/>
    <col min="12" max="12" width="5" style="262" bestFit="1" customWidth="1"/>
    <col min="13" max="256" width="9.140625" style="262"/>
    <col min="257" max="267" width="14.7109375" style="262" bestFit="1" customWidth="1"/>
    <col min="268" max="268" width="5" style="262" bestFit="1" customWidth="1"/>
    <col min="269" max="512" width="9.140625" style="262"/>
    <col min="513" max="523" width="14.7109375" style="262" bestFit="1" customWidth="1"/>
    <col min="524" max="524" width="5" style="262" bestFit="1" customWidth="1"/>
    <col min="525" max="768" width="9.140625" style="262"/>
    <col min="769" max="779" width="14.7109375" style="262" bestFit="1" customWidth="1"/>
    <col min="780" max="780" width="5" style="262" bestFit="1" customWidth="1"/>
    <col min="781" max="1024" width="9.140625" style="262"/>
    <col min="1025" max="1035" width="14.7109375" style="262" bestFit="1" customWidth="1"/>
    <col min="1036" max="1036" width="5" style="262" bestFit="1" customWidth="1"/>
    <col min="1037" max="1280" width="9.140625" style="262"/>
    <col min="1281" max="1291" width="14.7109375" style="262" bestFit="1" customWidth="1"/>
    <col min="1292" max="1292" width="5" style="262" bestFit="1" customWidth="1"/>
    <col min="1293" max="1536" width="9.140625" style="262"/>
    <col min="1537" max="1547" width="14.7109375" style="262" bestFit="1" customWidth="1"/>
    <col min="1548" max="1548" width="5" style="262" bestFit="1" customWidth="1"/>
    <col min="1549" max="1792" width="9.140625" style="262"/>
    <col min="1793" max="1803" width="14.7109375" style="262" bestFit="1" customWidth="1"/>
    <col min="1804" max="1804" width="5" style="262" bestFit="1" customWidth="1"/>
    <col min="1805" max="2048" width="9.140625" style="262"/>
    <col min="2049" max="2059" width="14.7109375" style="262" bestFit="1" customWidth="1"/>
    <col min="2060" max="2060" width="5" style="262" bestFit="1" customWidth="1"/>
    <col min="2061" max="2304" width="9.140625" style="262"/>
    <col min="2305" max="2315" width="14.7109375" style="262" bestFit="1" customWidth="1"/>
    <col min="2316" max="2316" width="5" style="262" bestFit="1" customWidth="1"/>
    <col min="2317" max="2560" width="9.140625" style="262"/>
    <col min="2561" max="2571" width="14.7109375" style="262" bestFit="1" customWidth="1"/>
    <col min="2572" max="2572" width="5" style="262" bestFit="1" customWidth="1"/>
    <col min="2573" max="2816" width="9.140625" style="262"/>
    <col min="2817" max="2827" width="14.7109375" style="262" bestFit="1" customWidth="1"/>
    <col min="2828" max="2828" width="5" style="262" bestFit="1" customWidth="1"/>
    <col min="2829" max="3072" width="9.140625" style="262"/>
    <col min="3073" max="3083" width="14.7109375" style="262" bestFit="1" customWidth="1"/>
    <col min="3084" max="3084" width="5" style="262" bestFit="1" customWidth="1"/>
    <col min="3085" max="3328" width="9.140625" style="262"/>
    <col min="3329" max="3339" width="14.7109375" style="262" bestFit="1" customWidth="1"/>
    <col min="3340" max="3340" width="5" style="262" bestFit="1" customWidth="1"/>
    <col min="3341" max="3584" width="9.140625" style="262"/>
    <col min="3585" max="3595" width="14.7109375" style="262" bestFit="1" customWidth="1"/>
    <col min="3596" max="3596" width="5" style="262" bestFit="1" customWidth="1"/>
    <col min="3597" max="3840" width="9.140625" style="262"/>
    <col min="3841" max="3851" width="14.7109375" style="262" bestFit="1" customWidth="1"/>
    <col min="3852" max="3852" width="5" style="262" bestFit="1" customWidth="1"/>
    <col min="3853" max="4096" width="9.140625" style="262"/>
    <col min="4097" max="4107" width="14.7109375" style="262" bestFit="1" customWidth="1"/>
    <col min="4108" max="4108" width="5" style="262" bestFit="1" customWidth="1"/>
    <col min="4109" max="4352" width="9.140625" style="262"/>
    <col min="4353" max="4363" width="14.7109375" style="262" bestFit="1" customWidth="1"/>
    <col min="4364" max="4364" width="5" style="262" bestFit="1" customWidth="1"/>
    <col min="4365" max="4608" width="9.140625" style="262"/>
    <col min="4609" max="4619" width="14.7109375" style="262" bestFit="1" customWidth="1"/>
    <col min="4620" max="4620" width="5" style="262" bestFit="1" customWidth="1"/>
    <col min="4621" max="4864" width="9.140625" style="262"/>
    <col min="4865" max="4875" width="14.7109375" style="262" bestFit="1" customWidth="1"/>
    <col min="4876" max="4876" width="5" style="262" bestFit="1" customWidth="1"/>
    <col min="4877" max="5120" width="9.140625" style="262"/>
    <col min="5121" max="5131" width="14.7109375" style="262" bestFit="1" customWidth="1"/>
    <col min="5132" max="5132" width="5" style="262" bestFit="1" customWidth="1"/>
    <col min="5133" max="5376" width="9.140625" style="262"/>
    <col min="5377" max="5387" width="14.7109375" style="262" bestFit="1" customWidth="1"/>
    <col min="5388" max="5388" width="5" style="262" bestFit="1" customWidth="1"/>
    <col min="5389" max="5632" width="9.140625" style="262"/>
    <col min="5633" max="5643" width="14.7109375" style="262" bestFit="1" customWidth="1"/>
    <col min="5644" max="5644" width="5" style="262" bestFit="1" customWidth="1"/>
    <col min="5645" max="5888" width="9.140625" style="262"/>
    <col min="5889" max="5899" width="14.7109375" style="262" bestFit="1" customWidth="1"/>
    <col min="5900" max="5900" width="5" style="262" bestFit="1" customWidth="1"/>
    <col min="5901" max="6144" width="9.140625" style="262"/>
    <col min="6145" max="6155" width="14.7109375" style="262" bestFit="1" customWidth="1"/>
    <col min="6156" max="6156" width="5" style="262" bestFit="1" customWidth="1"/>
    <col min="6157" max="6400" width="9.140625" style="262"/>
    <col min="6401" max="6411" width="14.7109375" style="262" bestFit="1" customWidth="1"/>
    <col min="6412" max="6412" width="5" style="262" bestFit="1" customWidth="1"/>
    <col min="6413" max="6656" width="9.140625" style="262"/>
    <col min="6657" max="6667" width="14.7109375" style="262" bestFit="1" customWidth="1"/>
    <col min="6668" max="6668" width="5" style="262" bestFit="1" customWidth="1"/>
    <col min="6669" max="6912" width="9.140625" style="262"/>
    <col min="6913" max="6923" width="14.7109375" style="262" bestFit="1" customWidth="1"/>
    <col min="6924" max="6924" width="5" style="262" bestFit="1" customWidth="1"/>
    <col min="6925" max="7168" width="9.140625" style="262"/>
    <col min="7169" max="7179" width="14.7109375" style="262" bestFit="1" customWidth="1"/>
    <col min="7180" max="7180" width="5" style="262" bestFit="1" customWidth="1"/>
    <col min="7181" max="7424" width="9.140625" style="262"/>
    <col min="7425" max="7435" width="14.7109375" style="262" bestFit="1" customWidth="1"/>
    <col min="7436" max="7436" width="5" style="262" bestFit="1" customWidth="1"/>
    <col min="7437" max="7680" width="9.140625" style="262"/>
    <col min="7681" max="7691" width="14.7109375" style="262" bestFit="1" customWidth="1"/>
    <col min="7692" max="7692" width="5" style="262" bestFit="1" customWidth="1"/>
    <col min="7693" max="7936" width="9.140625" style="262"/>
    <col min="7937" max="7947" width="14.7109375" style="262" bestFit="1" customWidth="1"/>
    <col min="7948" max="7948" width="5" style="262" bestFit="1" customWidth="1"/>
    <col min="7949" max="8192" width="9.140625" style="262"/>
    <col min="8193" max="8203" width="14.7109375" style="262" bestFit="1" customWidth="1"/>
    <col min="8204" max="8204" width="5" style="262" bestFit="1" customWidth="1"/>
    <col min="8205" max="8448" width="9.140625" style="262"/>
    <col min="8449" max="8459" width="14.7109375" style="262" bestFit="1" customWidth="1"/>
    <col min="8460" max="8460" width="5" style="262" bestFit="1" customWidth="1"/>
    <col min="8461" max="8704" width="9.140625" style="262"/>
    <col min="8705" max="8715" width="14.7109375" style="262" bestFit="1" customWidth="1"/>
    <col min="8716" max="8716" width="5" style="262" bestFit="1" customWidth="1"/>
    <col min="8717" max="8960" width="9.140625" style="262"/>
    <col min="8961" max="8971" width="14.7109375" style="262" bestFit="1" customWidth="1"/>
    <col min="8972" max="8972" width="5" style="262" bestFit="1" customWidth="1"/>
    <col min="8973" max="9216" width="9.140625" style="262"/>
    <col min="9217" max="9227" width="14.7109375" style="262" bestFit="1" customWidth="1"/>
    <col min="9228" max="9228" width="5" style="262" bestFit="1" customWidth="1"/>
    <col min="9229" max="9472" width="9.140625" style="262"/>
    <col min="9473" max="9483" width="14.7109375" style="262" bestFit="1" customWidth="1"/>
    <col min="9484" max="9484" width="5" style="262" bestFit="1" customWidth="1"/>
    <col min="9485" max="9728" width="9.140625" style="262"/>
    <col min="9729" max="9739" width="14.7109375" style="262" bestFit="1" customWidth="1"/>
    <col min="9740" max="9740" width="5" style="262" bestFit="1" customWidth="1"/>
    <col min="9741" max="9984" width="9.140625" style="262"/>
    <col min="9985" max="9995" width="14.7109375" style="262" bestFit="1" customWidth="1"/>
    <col min="9996" max="9996" width="5" style="262" bestFit="1" customWidth="1"/>
    <col min="9997" max="10240" width="9.140625" style="262"/>
    <col min="10241" max="10251" width="14.7109375" style="262" bestFit="1" customWidth="1"/>
    <col min="10252" max="10252" width="5" style="262" bestFit="1" customWidth="1"/>
    <col min="10253" max="10496" width="9.140625" style="262"/>
    <col min="10497" max="10507" width="14.7109375" style="262" bestFit="1" customWidth="1"/>
    <col min="10508" max="10508" width="5" style="262" bestFit="1" customWidth="1"/>
    <col min="10509" max="10752" width="9.140625" style="262"/>
    <col min="10753" max="10763" width="14.7109375" style="262" bestFit="1" customWidth="1"/>
    <col min="10764" max="10764" width="5" style="262" bestFit="1" customWidth="1"/>
    <col min="10765" max="11008" width="9.140625" style="262"/>
    <col min="11009" max="11019" width="14.7109375" style="262" bestFit="1" customWidth="1"/>
    <col min="11020" max="11020" width="5" style="262" bestFit="1" customWidth="1"/>
    <col min="11021" max="11264" width="9.140625" style="262"/>
    <col min="11265" max="11275" width="14.7109375" style="262" bestFit="1" customWidth="1"/>
    <col min="11276" max="11276" width="5" style="262" bestFit="1" customWidth="1"/>
    <col min="11277" max="11520" width="9.140625" style="262"/>
    <col min="11521" max="11531" width="14.7109375" style="262" bestFit="1" customWidth="1"/>
    <col min="11532" max="11532" width="5" style="262" bestFit="1" customWidth="1"/>
    <col min="11533" max="11776" width="9.140625" style="262"/>
    <col min="11777" max="11787" width="14.7109375" style="262" bestFit="1" customWidth="1"/>
    <col min="11788" max="11788" width="5" style="262" bestFit="1" customWidth="1"/>
    <col min="11789" max="12032" width="9.140625" style="262"/>
    <col min="12033" max="12043" width="14.7109375" style="262" bestFit="1" customWidth="1"/>
    <col min="12044" max="12044" width="5" style="262" bestFit="1" customWidth="1"/>
    <col min="12045" max="12288" width="9.140625" style="262"/>
    <col min="12289" max="12299" width="14.7109375" style="262" bestFit="1" customWidth="1"/>
    <col min="12300" max="12300" width="5" style="262" bestFit="1" customWidth="1"/>
    <col min="12301" max="12544" width="9.140625" style="262"/>
    <col min="12545" max="12555" width="14.7109375" style="262" bestFit="1" customWidth="1"/>
    <col min="12556" max="12556" width="5" style="262" bestFit="1" customWidth="1"/>
    <col min="12557" max="12800" width="9.140625" style="262"/>
    <col min="12801" max="12811" width="14.7109375" style="262" bestFit="1" customWidth="1"/>
    <col min="12812" max="12812" width="5" style="262" bestFit="1" customWidth="1"/>
    <col min="12813" max="13056" width="9.140625" style="262"/>
    <col min="13057" max="13067" width="14.7109375" style="262" bestFit="1" customWidth="1"/>
    <col min="13068" max="13068" width="5" style="262" bestFit="1" customWidth="1"/>
    <col min="13069" max="13312" width="9.140625" style="262"/>
    <col min="13313" max="13323" width="14.7109375" style="262" bestFit="1" customWidth="1"/>
    <col min="13324" max="13324" width="5" style="262" bestFit="1" customWidth="1"/>
    <col min="13325" max="13568" width="9.140625" style="262"/>
    <col min="13569" max="13579" width="14.7109375" style="262" bestFit="1" customWidth="1"/>
    <col min="13580" max="13580" width="5" style="262" bestFit="1" customWidth="1"/>
    <col min="13581" max="13824" width="9.140625" style="262"/>
    <col min="13825" max="13835" width="14.7109375" style="262" bestFit="1" customWidth="1"/>
    <col min="13836" max="13836" width="5" style="262" bestFit="1" customWidth="1"/>
    <col min="13837" max="14080" width="9.140625" style="262"/>
    <col min="14081" max="14091" width="14.7109375" style="262" bestFit="1" customWidth="1"/>
    <col min="14092" max="14092" width="5" style="262" bestFit="1" customWidth="1"/>
    <col min="14093" max="14336" width="9.140625" style="262"/>
    <col min="14337" max="14347" width="14.7109375" style="262" bestFit="1" customWidth="1"/>
    <col min="14348" max="14348" width="5" style="262" bestFit="1" customWidth="1"/>
    <col min="14349" max="14592" width="9.140625" style="262"/>
    <col min="14593" max="14603" width="14.7109375" style="262" bestFit="1" customWidth="1"/>
    <col min="14604" max="14604" width="5" style="262" bestFit="1" customWidth="1"/>
    <col min="14605" max="14848" width="9.140625" style="262"/>
    <col min="14849" max="14859" width="14.7109375" style="262" bestFit="1" customWidth="1"/>
    <col min="14860" max="14860" width="5" style="262" bestFit="1" customWidth="1"/>
    <col min="14861" max="15104" width="9.140625" style="262"/>
    <col min="15105" max="15115" width="14.7109375" style="262" bestFit="1" customWidth="1"/>
    <col min="15116" max="15116" width="5" style="262" bestFit="1" customWidth="1"/>
    <col min="15117" max="15360" width="9.140625" style="262"/>
    <col min="15361" max="15371" width="14.7109375" style="262" bestFit="1" customWidth="1"/>
    <col min="15372" max="15372" width="5" style="262" bestFit="1" customWidth="1"/>
    <col min="15373" max="15616" width="9.140625" style="262"/>
    <col min="15617" max="15627" width="14.7109375" style="262" bestFit="1" customWidth="1"/>
    <col min="15628" max="15628" width="5" style="262" bestFit="1" customWidth="1"/>
    <col min="15629" max="15872" width="9.140625" style="262"/>
    <col min="15873" max="15883" width="14.7109375" style="262" bestFit="1" customWidth="1"/>
    <col min="15884" max="15884" width="5" style="262" bestFit="1" customWidth="1"/>
    <col min="15885" max="16128" width="9.140625" style="262"/>
    <col min="16129" max="16139" width="14.7109375" style="262" bestFit="1" customWidth="1"/>
    <col min="16140" max="16140" width="5" style="262" bestFit="1" customWidth="1"/>
    <col min="16141" max="16384" width="9.140625" style="262"/>
  </cols>
  <sheetData>
    <row r="1" spans="1:11" ht="18" customHeight="1" x14ac:dyDescent="0.2">
      <c r="A1" s="431" t="s">
        <v>41</v>
      </c>
      <c r="B1" s="431"/>
      <c r="C1" s="431"/>
      <c r="D1" s="431"/>
      <c r="E1" s="431"/>
      <c r="F1" s="431"/>
      <c r="G1" s="431"/>
      <c r="H1" s="431"/>
      <c r="I1" s="431"/>
      <c r="J1" s="431"/>
      <c r="K1" s="431"/>
    </row>
    <row r="2" spans="1:11" s="265" customFormat="1" ht="18" customHeight="1" x14ac:dyDescent="0.2">
      <c r="A2" s="363" t="s">
        <v>250</v>
      </c>
      <c r="B2" s="369" t="s">
        <v>339</v>
      </c>
      <c r="C2" s="395"/>
      <c r="D2" s="395"/>
      <c r="E2" s="395"/>
      <c r="F2" s="370"/>
      <c r="G2" s="369" t="s">
        <v>540</v>
      </c>
      <c r="H2" s="395"/>
      <c r="I2" s="395"/>
      <c r="J2" s="395"/>
      <c r="K2" s="370"/>
    </row>
    <row r="3" spans="1:11" s="265" customFormat="1" ht="15" customHeight="1" x14ac:dyDescent="0.2">
      <c r="A3" s="365"/>
      <c r="B3" s="299" t="s">
        <v>541</v>
      </c>
      <c r="C3" s="299" t="s">
        <v>341</v>
      </c>
      <c r="D3" s="299" t="s">
        <v>97</v>
      </c>
      <c r="E3" s="299" t="s">
        <v>342</v>
      </c>
      <c r="F3" s="299" t="s">
        <v>336</v>
      </c>
      <c r="G3" s="299" t="s">
        <v>541</v>
      </c>
      <c r="H3" s="299" t="s">
        <v>341</v>
      </c>
      <c r="I3" s="299" t="s">
        <v>97</v>
      </c>
      <c r="J3" s="299" t="s">
        <v>342</v>
      </c>
      <c r="K3" s="299" t="s">
        <v>336</v>
      </c>
    </row>
    <row r="4" spans="1:11" s="265" customFormat="1" ht="18" customHeight="1" x14ac:dyDescent="0.2">
      <c r="A4" s="266" t="s">
        <v>69</v>
      </c>
      <c r="B4" s="306">
        <v>42.34</v>
      </c>
      <c r="C4" s="306">
        <v>11.44</v>
      </c>
      <c r="D4" s="306">
        <v>0.46</v>
      </c>
      <c r="E4" s="306">
        <v>0</v>
      </c>
      <c r="F4" s="306">
        <v>45.76</v>
      </c>
      <c r="G4" s="306">
        <v>11.149433</v>
      </c>
      <c r="H4" s="306">
        <v>24.377642089999998</v>
      </c>
      <c r="I4" s="306">
        <v>14.032153020000001</v>
      </c>
      <c r="J4" s="306">
        <v>0</v>
      </c>
      <c r="K4" s="306">
        <v>50.440771890000001</v>
      </c>
    </row>
    <row r="5" spans="1:11" s="265" customFormat="1" ht="18" customHeight="1" x14ac:dyDescent="0.2">
      <c r="A5" s="266" t="s">
        <v>70</v>
      </c>
      <c r="B5" s="306">
        <v>37.840000000000003</v>
      </c>
      <c r="C5" s="306">
        <v>13.58</v>
      </c>
      <c r="D5" s="306">
        <v>0.42</v>
      </c>
      <c r="E5" s="306">
        <v>0</v>
      </c>
      <c r="F5" s="306">
        <v>48.16</v>
      </c>
      <c r="G5" s="306">
        <v>13.72</v>
      </c>
      <c r="H5" s="306">
        <v>29.83</v>
      </c>
      <c r="I5" s="306">
        <v>13.19</v>
      </c>
      <c r="J5" s="306">
        <v>0</v>
      </c>
      <c r="K5" s="306">
        <v>43.25</v>
      </c>
    </row>
    <row r="6" spans="1:11" s="265" customFormat="1" ht="18" customHeight="1" x14ac:dyDescent="0.2">
      <c r="A6" s="266" t="s">
        <v>156</v>
      </c>
      <c r="B6" s="306">
        <v>42.38</v>
      </c>
      <c r="C6" s="306">
        <v>12.67</v>
      </c>
      <c r="D6" s="306">
        <v>0.51</v>
      </c>
      <c r="E6" s="306">
        <v>0</v>
      </c>
      <c r="F6" s="306">
        <v>44.43</v>
      </c>
      <c r="G6" s="306">
        <v>12.7</v>
      </c>
      <c r="H6" s="306">
        <v>22.2</v>
      </c>
      <c r="I6" s="306">
        <v>12.97</v>
      </c>
      <c r="J6" s="306">
        <v>0</v>
      </c>
      <c r="K6" s="306">
        <v>52.13</v>
      </c>
    </row>
    <row r="7" spans="1:11" s="265" customFormat="1" ht="18" customHeight="1" x14ac:dyDescent="0.2">
      <c r="A7" s="266" t="s">
        <v>157</v>
      </c>
      <c r="B7" s="306">
        <v>42.58</v>
      </c>
      <c r="C7" s="306">
        <v>12.6</v>
      </c>
      <c r="D7" s="306">
        <v>0.41</v>
      </c>
      <c r="E7" s="306">
        <v>0</v>
      </c>
      <c r="F7" s="306">
        <v>44.41</v>
      </c>
      <c r="G7" s="306">
        <v>11.42</v>
      </c>
      <c r="H7" s="306">
        <v>24.74</v>
      </c>
      <c r="I7" s="306">
        <v>15.58</v>
      </c>
      <c r="J7" s="306">
        <v>0</v>
      </c>
      <c r="K7" s="306">
        <v>48.25</v>
      </c>
    </row>
    <row r="8" spans="1:11" s="265" customFormat="1" ht="18" customHeight="1" x14ac:dyDescent="0.2">
      <c r="A8" s="266" t="s">
        <v>158</v>
      </c>
      <c r="B8" s="306">
        <v>42.75</v>
      </c>
      <c r="C8" s="306">
        <v>11.72</v>
      </c>
      <c r="D8" s="306">
        <v>0.42</v>
      </c>
      <c r="E8" s="306">
        <v>0</v>
      </c>
      <c r="F8" s="306">
        <v>45.11</v>
      </c>
      <c r="G8" s="306">
        <v>13.01</v>
      </c>
      <c r="H8" s="306">
        <v>24.95</v>
      </c>
      <c r="I8" s="306">
        <v>13.96</v>
      </c>
      <c r="J8" s="306">
        <v>0</v>
      </c>
      <c r="K8" s="306">
        <v>48.08</v>
      </c>
    </row>
    <row r="9" spans="1:11" s="265" customFormat="1" ht="18" customHeight="1" x14ac:dyDescent="0.2">
      <c r="A9" s="266" t="s">
        <v>159</v>
      </c>
      <c r="B9" s="306">
        <v>41.02</v>
      </c>
      <c r="C9" s="306">
        <v>11.23</v>
      </c>
      <c r="D9" s="306">
        <v>0.44</v>
      </c>
      <c r="E9" s="306">
        <v>0</v>
      </c>
      <c r="F9" s="306">
        <v>47.31</v>
      </c>
      <c r="G9" s="306">
        <v>13.71</v>
      </c>
      <c r="H9" s="306">
        <v>23.01</v>
      </c>
      <c r="I9" s="306">
        <v>13.64</v>
      </c>
      <c r="J9" s="306">
        <v>0</v>
      </c>
      <c r="K9" s="306">
        <v>49.63</v>
      </c>
    </row>
    <row r="10" spans="1:11" s="265" customFormat="1" ht="18" customHeight="1" x14ac:dyDescent="0.2">
      <c r="A10" s="266" t="s">
        <v>160</v>
      </c>
      <c r="B10" s="306">
        <v>39.08</v>
      </c>
      <c r="C10" s="306">
        <v>11.64</v>
      </c>
      <c r="D10" s="306">
        <v>0.45</v>
      </c>
      <c r="E10" s="306">
        <v>0</v>
      </c>
      <c r="F10" s="306">
        <v>48.84</v>
      </c>
      <c r="G10" s="306">
        <v>13</v>
      </c>
      <c r="H10" s="306">
        <v>24.23</v>
      </c>
      <c r="I10" s="306">
        <v>14.52</v>
      </c>
      <c r="J10" s="306">
        <v>0</v>
      </c>
      <c r="K10" s="306">
        <v>48.25</v>
      </c>
    </row>
    <row r="11" spans="1:11" s="265" customFormat="1" ht="18" customHeight="1" x14ac:dyDescent="0.2">
      <c r="A11" s="266" t="s">
        <v>161</v>
      </c>
      <c r="B11" s="306">
        <v>35.409999999999997</v>
      </c>
      <c r="C11" s="306">
        <v>14.09</v>
      </c>
      <c r="D11" s="306">
        <v>0.36</v>
      </c>
      <c r="E11" s="306">
        <v>0</v>
      </c>
      <c r="F11" s="306">
        <v>50.14</v>
      </c>
      <c r="G11" s="306">
        <v>13.48</v>
      </c>
      <c r="H11" s="306">
        <v>27.34</v>
      </c>
      <c r="I11" s="306">
        <v>15.5</v>
      </c>
      <c r="J11" s="306">
        <v>0</v>
      </c>
      <c r="K11" s="306">
        <v>43.68</v>
      </c>
    </row>
    <row r="12" spans="1:11" s="265" customFormat="1" ht="18" customHeight="1" x14ac:dyDescent="0.2">
      <c r="A12" s="266" t="s">
        <v>162</v>
      </c>
      <c r="B12" s="306">
        <v>34.9</v>
      </c>
      <c r="C12" s="306">
        <v>15.26</v>
      </c>
      <c r="D12" s="306">
        <v>0.42</v>
      </c>
      <c r="E12" s="306">
        <v>0</v>
      </c>
      <c r="F12" s="306">
        <v>49.42</v>
      </c>
      <c r="G12" s="306">
        <v>16.41</v>
      </c>
      <c r="H12" s="306">
        <v>26.5</v>
      </c>
      <c r="I12" s="306">
        <v>13.31</v>
      </c>
      <c r="J12" s="306">
        <v>0</v>
      </c>
      <c r="K12" s="306">
        <v>43.77</v>
      </c>
    </row>
    <row r="13" spans="1:11" s="265" customFormat="1" ht="18" customHeight="1" x14ac:dyDescent="0.2">
      <c r="A13" s="266" t="s">
        <v>163</v>
      </c>
      <c r="B13" s="306">
        <v>35.11</v>
      </c>
      <c r="C13" s="306">
        <v>12.91</v>
      </c>
      <c r="D13" s="306">
        <v>0.46</v>
      </c>
      <c r="E13" s="306">
        <v>0</v>
      </c>
      <c r="F13" s="306">
        <v>51.52</v>
      </c>
      <c r="G13" s="306">
        <v>13.46</v>
      </c>
      <c r="H13" s="306">
        <v>28.49</v>
      </c>
      <c r="I13" s="306">
        <v>15.17</v>
      </c>
      <c r="J13" s="306">
        <v>0</v>
      </c>
      <c r="K13" s="306">
        <v>42.88</v>
      </c>
    </row>
    <row r="14" spans="1:11" s="265" customFormat="1" ht="18" customHeight="1" x14ac:dyDescent="0.2">
      <c r="A14" s="266" t="s">
        <v>164</v>
      </c>
      <c r="B14" s="306">
        <v>35.299999999999997</v>
      </c>
      <c r="C14" s="306">
        <v>13.12</v>
      </c>
      <c r="D14" s="306">
        <v>0.43</v>
      </c>
      <c r="E14" s="306">
        <v>0</v>
      </c>
      <c r="F14" s="306">
        <v>51.15</v>
      </c>
      <c r="G14" s="306">
        <v>15.23</v>
      </c>
      <c r="H14" s="306">
        <v>24.6</v>
      </c>
      <c r="I14" s="306">
        <v>13.56</v>
      </c>
      <c r="J14" s="306">
        <v>0</v>
      </c>
      <c r="K14" s="306">
        <v>46.61</v>
      </c>
    </row>
    <row r="15" spans="1:11" s="265" customFormat="1" ht="18" customHeight="1" x14ac:dyDescent="0.2">
      <c r="A15" s="266" t="s">
        <v>165</v>
      </c>
      <c r="B15" s="306">
        <v>35.76</v>
      </c>
      <c r="C15" s="306">
        <v>12.9</v>
      </c>
      <c r="D15" s="306">
        <v>0.36</v>
      </c>
      <c r="E15" s="306">
        <v>0</v>
      </c>
      <c r="F15" s="306">
        <v>50.99</v>
      </c>
      <c r="G15" s="306">
        <v>11.86</v>
      </c>
      <c r="H15" s="306">
        <v>31.79</v>
      </c>
      <c r="I15" s="306">
        <v>15.94</v>
      </c>
      <c r="J15" s="306">
        <v>0</v>
      </c>
      <c r="K15" s="306">
        <v>40.42</v>
      </c>
    </row>
    <row r="16" spans="1:11" s="265" customFormat="1" ht="18" customHeight="1" x14ac:dyDescent="0.2">
      <c r="A16" s="266" t="s">
        <v>166</v>
      </c>
      <c r="B16" s="306">
        <v>35.450000000000003</v>
      </c>
      <c r="C16" s="306">
        <v>16.46</v>
      </c>
      <c r="D16" s="306">
        <v>0.41</v>
      </c>
      <c r="E16" s="306">
        <v>0</v>
      </c>
      <c r="F16" s="306">
        <v>47.68</v>
      </c>
      <c r="G16" s="306">
        <v>12.94</v>
      </c>
      <c r="H16" s="306">
        <v>30.93</v>
      </c>
      <c r="I16" s="306">
        <v>15.81</v>
      </c>
      <c r="J16" s="306">
        <v>0</v>
      </c>
      <c r="K16" s="306">
        <v>40.33</v>
      </c>
    </row>
    <row r="17" spans="1:11" s="265" customFormat="1" ht="18" customHeight="1" x14ac:dyDescent="0.2">
      <c r="A17" s="266" t="s">
        <v>167</v>
      </c>
      <c r="B17" s="306">
        <v>34.369999999999997</v>
      </c>
      <c r="C17" s="306">
        <v>18.39</v>
      </c>
      <c r="D17" s="306">
        <v>0.36</v>
      </c>
      <c r="E17" s="306">
        <v>0</v>
      </c>
      <c r="F17" s="306">
        <v>46.88</v>
      </c>
      <c r="G17" s="306">
        <v>13.72</v>
      </c>
      <c r="H17" s="306">
        <v>29.83</v>
      </c>
      <c r="I17" s="306">
        <v>13.19</v>
      </c>
      <c r="J17" s="306">
        <v>0</v>
      </c>
      <c r="K17" s="306">
        <v>43.25</v>
      </c>
    </row>
    <row r="18" spans="1:11" s="265" customFormat="1" ht="14.25" customHeight="1" x14ac:dyDescent="0.2">
      <c r="A18" s="373" t="s">
        <v>106</v>
      </c>
      <c r="B18" s="373"/>
      <c r="C18" s="373"/>
      <c r="D18" s="373"/>
      <c r="E18" s="373"/>
      <c r="F18" s="373"/>
      <c r="G18" s="373"/>
      <c r="H18" s="373"/>
      <c r="I18" s="373"/>
      <c r="J18" s="373"/>
      <c r="K18" s="373"/>
    </row>
    <row r="19" spans="1:11" s="265" customFormat="1" ht="13.5" customHeight="1" x14ac:dyDescent="0.2">
      <c r="A19" s="373" t="s">
        <v>450</v>
      </c>
      <c r="B19" s="373"/>
      <c r="C19" s="373"/>
      <c r="D19" s="373"/>
      <c r="E19" s="373"/>
      <c r="F19" s="373"/>
      <c r="G19" s="373"/>
      <c r="H19" s="373"/>
      <c r="I19" s="373"/>
      <c r="J19" s="373"/>
      <c r="K19" s="373"/>
    </row>
    <row r="20" spans="1:11" s="265" customFormat="1" ht="26.85" customHeight="1" x14ac:dyDescent="0.2"/>
  </sheetData>
  <mergeCells count="6">
    <mergeCell ref="A19:K19"/>
    <mergeCell ref="A1:K1"/>
    <mergeCell ref="A2:A3"/>
    <mergeCell ref="B2:F2"/>
    <mergeCell ref="G2:K2"/>
    <mergeCell ref="A18:K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K20"/>
  <sheetViews>
    <sheetView workbookViewId="0">
      <selection sqref="A1:H1"/>
    </sheetView>
  </sheetViews>
  <sheetFormatPr defaultRowHeight="12.75" x14ac:dyDescent="0.2"/>
  <cols>
    <col min="1" max="7" width="14.7109375" style="262" bestFit="1" customWidth="1"/>
    <col min="8" max="8" width="15" style="262" bestFit="1" customWidth="1"/>
    <col min="9" max="9" width="14.42578125" style="262" bestFit="1" customWidth="1"/>
    <col min="10" max="11" width="14.7109375" style="262" bestFit="1" customWidth="1"/>
    <col min="12" max="12" width="4.7109375" style="262" bestFit="1" customWidth="1"/>
    <col min="13" max="256" width="9.140625" style="262"/>
    <col min="257" max="263" width="14.7109375" style="262" bestFit="1" customWidth="1"/>
    <col min="264" max="264" width="15" style="262" bestFit="1" customWidth="1"/>
    <col min="265" max="265" width="14.42578125" style="262" bestFit="1" customWidth="1"/>
    <col min="266" max="267" width="14.7109375" style="262" bestFit="1" customWidth="1"/>
    <col min="268" max="268" width="4.7109375" style="262" bestFit="1" customWidth="1"/>
    <col min="269" max="512" width="9.140625" style="262"/>
    <col min="513" max="519" width="14.7109375" style="262" bestFit="1" customWidth="1"/>
    <col min="520" max="520" width="15" style="262" bestFit="1" customWidth="1"/>
    <col min="521" max="521" width="14.42578125" style="262" bestFit="1" customWidth="1"/>
    <col min="522" max="523" width="14.7109375" style="262" bestFit="1" customWidth="1"/>
    <col min="524" max="524" width="4.7109375" style="262" bestFit="1" customWidth="1"/>
    <col min="525" max="768" width="9.140625" style="262"/>
    <col min="769" max="775" width="14.7109375" style="262" bestFit="1" customWidth="1"/>
    <col min="776" max="776" width="15" style="262" bestFit="1" customWidth="1"/>
    <col min="777" max="777" width="14.42578125" style="262" bestFit="1" customWidth="1"/>
    <col min="778" max="779" width="14.7109375" style="262" bestFit="1" customWidth="1"/>
    <col min="780" max="780" width="4.7109375" style="262" bestFit="1" customWidth="1"/>
    <col min="781" max="1024" width="9.140625" style="262"/>
    <col min="1025" max="1031" width="14.7109375" style="262" bestFit="1" customWidth="1"/>
    <col min="1032" max="1032" width="15" style="262" bestFit="1" customWidth="1"/>
    <col min="1033" max="1033" width="14.42578125" style="262" bestFit="1" customWidth="1"/>
    <col min="1034" max="1035" width="14.7109375" style="262" bestFit="1" customWidth="1"/>
    <col min="1036" max="1036" width="4.7109375" style="262" bestFit="1" customWidth="1"/>
    <col min="1037" max="1280" width="9.140625" style="262"/>
    <col min="1281" max="1287" width="14.7109375" style="262" bestFit="1" customWidth="1"/>
    <col min="1288" max="1288" width="15" style="262" bestFit="1" customWidth="1"/>
    <col min="1289" max="1289" width="14.42578125" style="262" bestFit="1" customWidth="1"/>
    <col min="1290" max="1291" width="14.7109375" style="262" bestFit="1" customWidth="1"/>
    <col min="1292" max="1292" width="4.7109375" style="262" bestFit="1" customWidth="1"/>
    <col min="1293" max="1536" width="9.140625" style="262"/>
    <col min="1537" max="1543" width="14.7109375" style="262" bestFit="1" customWidth="1"/>
    <col min="1544" max="1544" width="15" style="262" bestFit="1" customWidth="1"/>
    <col min="1545" max="1545" width="14.42578125" style="262" bestFit="1" customWidth="1"/>
    <col min="1546" max="1547" width="14.7109375" style="262" bestFit="1" customWidth="1"/>
    <col min="1548" max="1548" width="4.7109375" style="262" bestFit="1" customWidth="1"/>
    <col min="1549" max="1792" width="9.140625" style="262"/>
    <col min="1793" max="1799" width="14.7109375" style="262" bestFit="1" customWidth="1"/>
    <col min="1800" max="1800" width="15" style="262" bestFit="1" customWidth="1"/>
    <col min="1801" max="1801" width="14.42578125" style="262" bestFit="1" customWidth="1"/>
    <col min="1802" max="1803" width="14.7109375" style="262" bestFit="1" customWidth="1"/>
    <col min="1804" max="1804" width="4.7109375" style="262" bestFit="1" customWidth="1"/>
    <col min="1805" max="2048" width="9.140625" style="262"/>
    <col min="2049" max="2055" width="14.7109375" style="262" bestFit="1" customWidth="1"/>
    <col min="2056" max="2056" width="15" style="262" bestFit="1" customWidth="1"/>
    <col min="2057" max="2057" width="14.42578125" style="262" bestFit="1" customWidth="1"/>
    <col min="2058" max="2059" width="14.7109375" style="262" bestFit="1" customWidth="1"/>
    <col min="2060" max="2060" width="4.7109375" style="262" bestFit="1" customWidth="1"/>
    <col min="2061" max="2304" width="9.140625" style="262"/>
    <col min="2305" max="2311" width="14.7109375" style="262" bestFit="1" customWidth="1"/>
    <col min="2312" max="2312" width="15" style="262" bestFit="1" customWidth="1"/>
    <col min="2313" max="2313" width="14.42578125" style="262" bestFit="1" customWidth="1"/>
    <col min="2314" max="2315" width="14.7109375" style="262" bestFit="1" customWidth="1"/>
    <col min="2316" max="2316" width="4.7109375" style="262" bestFit="1" customWidth="1"/>
    <col min="2317" max="2560" width="9.140625" style="262"/>
    <col min="2561" max="2567" width="14.7109375" style="262" bestFit="1" customWidth="1"/>
    <col min="2568" max="2568" width="15" style="262" bestFit="1" customWidth="1"/>
    <col min="2569" max="2569" width="14.42578125" style="262" bestFit="1" customWidth="1"/>
    <col min="2570" max="2571" width="14.7109375" style="262" bestFit="1" customWidth="1"/>
    <col min="2572" max="2572" width="4.7109375" style="262" bestFit="1" customWidth="1"/>
    <col min="2573" max="2816" width="9.140625" style="262"/>
    <col min="2817" max="2823" width="14.7109375" style="262" bestFit="1" customWidth="1"/>
    <col min="2824" max="2824" width="15" style="262" bestFit="1" customWidth="1"/>
    <col min="2825" max="2825" width="14.42578125" style="262" bestFit="1" customWidth="1"/>
    <col min="2826" max="2827" width="14.7109375" style="262" bestFit="1" customWidth="1"/>
    <col min="2828" max="2828" width="4.7109375" style="262" bestFit="1" customWidth="1"/>
    <col min="2829" max="3072" width="9.140625" style="262"/>
    <col min="3073" max="3079" width="14.7109375" style="262" bestFit="1" customWidth="1"/>
    <col min="3080" max="3080" width="15" style="262" bestFit="1" customWidth="1"/>
    <col min="3081" max="3081" width="14.42578125" style="262" bestFit="1" customWidth="1"/>
    <col min="3082" max="3083" width="14.7109375" style="262" bestFit="1" customWidth="1"/>
    <col min="3084" max="3084" width="4.7109375" style="262" bestFit="1" customWidth="1"/>
    <col min="3085" max="3328" width="9.140625" style="262"/>
    <col min="3329" max="3335" width="14.7109375" style="262" bestFit="1" customWidth="1"/>
    <col min="3336" max="3336" width="15" style="262" bestFit="1" customWidth="1"/>
    <col min="3337" max="3337" width="14.42578125" style="262" bestFit="1" customWidth="1"/>
    <col min="3338" max="3339" width="14.7109375" style="262" bestFit="1" customWidth="1"/>
    <col min="3340" max="3340" width="4.7109375" style="262" bestFit="1" customWidth="1"/>
    <col min="3341" max="3584" width="9.140625" style="262"/>
    <col min="3585" max="3591" width="14.7109375" style="262" bestFit="1" customWidth="1"/>
    <col min="3592" max="3592" width="15" style="262" bestFit="1" customWidth="1"/>
    <col min="3593" max="3593" width="14.42578125" style="262" bestFit="1" customWidth="1"/>
    <col min="3594" max="3595" width="14.7109375" style="262" bestFit="1" customWidth="1"/>
    <col min="3596" max="3596" width="4.7109375" style="262" bestFit="1" customWidth="1"/>
    <col min="3597" max="3840" width="9.140625" style="262"/>
    <col min="3841" max="3847" width="14.7109375" style="262" bestFit="1" customWidth="1"/>
    <col min="3848" max="3848" width="15" style="262" bestFit="1" customWidth="1"/>
    <col min="3849" max="3849" width="14.42578125" style="262" bestFit="1" customWidth="1"/>
    <col min="3850" max="3851" width="14.7109375" style="262" bestFit="1" customWidth="1"/>
    <col min="3852" max="3852" width="4.7109375" style="262" bestFit="1" customWidth="1"/>
    <col min="3853" max="4096" width="9.140625" style="262"/>
    <col min="4097" max="4103" width="14.7109375" style="262" bestFit="1" customWidth="1"/>
    <col min="4104" max="4104" width="15" style="262" bestFit="1" customWidth="1"/>
    <col min="4105" max="4105" width="14.42578125" style="262" bestFit="1" customWidth="1"/>
    <col min="4106" max="4107" width="14.7109375" style="262" bestFit="1" customWidth="1"/>
    <col min="4108" max="4108" width="4.7109375" style="262" bestFit="1" customWidth="1"/>
    <col min="4109" max="4352" width="9.140625" style="262"/>
    <col min="4353" max="4359" width="14.7109375" style="262" bestFit="1" customWidth="1"/>
    <col min="4360" max="4360" width="15" style="262" bestFit="1" customWidth="1"/>
    <col min="4361" max="4361" width="14.42578125" style="262" bestFit="1" customWidth="1"/>
    <col min="4362" max="4363" width="14.7109375" style="262" bestFit="1" customWidth="1"/>
    <col min="4364" max="4364" width="4.7109375" style="262" bestFit="1" customWidth="1"/>
    <col min="4365" max="4608" width="9.140625" style="262"/>
    <col min="4609" max="4615" width="14.7109375" style="262" bestFit="1" customWidth="1"/>
    <col min="4616" max="4616" width="15" style="262" bestFit="1" customWidth="1"/>
    <col min="4617" max="4617" width="14.42578125" style="262" bestFit="1" customWidth="1"/>
    <col min="4618" max="4619" width="14.7109375" style="262" bestFit="1" customWidth="1"/>
    <col min="4620" max="4620" width="4.7109375" style="262" bestFit="1" customWidth="1"/>
    <col min="4621" max="4864" width="9.140625" style="262"/>
    <col min="4865" max="4871" width="14.7109375" style="262" bestFit="1" customWidth="1"/>
    <col min="4872" max="4872" width="15" style="262" bestFit="1" customWidth="1"/>
    <col min="4873" max="4873" width="14.42578125" style="262" bestFit="1" customWidth="1"/>
    <col min="4874" max="4875" width="14.7109375" style="262" bestFit="1" customWidth="1"/>
    <col min="4876" max="4876" width="4.7109375" style="262" bestFit="1" customWidth="1"/>
    <col min="4877" max="5120" width="9.140625" style="262"/>
    <col min="5121" max="5127" width="14.7109375" style="262" bestFit="1" customWidth="1"/>
    <col min="5128" max="5128" width="15" style="262" bestFit="1" customWidth="1"/>
    <col min="5129" max="5129" width="14.42578125" style="262" bestFit="1" customWidth="1"/>
    <col min="5130" max="5131" width="14.7109375" style="262" bestFit="1" customWidth="1"/>
    <col min="5132" max="5132" width="4.7109375" style="262" bestFit="1" customWidth="1"/>
    <col min="5133" max="5376" width="9.140625" style="262"/>
    <col min="5377" max="5383" width="14.7109375" style="262" bestFit="1" customWidth="1"/>
    <col min="5384" max="5384" width="15" style="262" bestFit="1" customWidth="1"/>
    <col min="5385" max="5385" width="14.42578125" style="262" bestFit="1" customWidth="1"/>
    <col min="5386" max="5387" width="14.7109375" style="262" bestFit="1" customWidth="1"/>
    <col min="5388" max="5388" width="4.7109375" style="262" bestFit="1" customWidth="1"/>
    <col min="5389" max="5632" width="9.140625" style="262"/>
    <col min="5633" max="5639" width="14.7109375" style="262" bestFit="1" customWidth="1"/>
    <col min="5640" max="5640" width="15" style="262" bestFit="1" customWidth="1"/>
    <col min="5641" max="5641" width="14.42578125" style="262" bestFit="1" customWidth="1"/>
    <col min="5642" max="5643" width="14.7109375" style="262" bestFit="1" customWidth="1"/>
    <col min="5644" max="5644" width="4.7109375" style="262" bestFit="1" customWidth="1"/>
    <col min="5645" max="5888" width="9.140625" style="262"/>
    <col min="5889" max="5895" width="14.7109375" style="262" bestFit="1" customWidth="1"/>
    <col min="5896" max="5896" width="15" style="262" bestFit="1" customWidth="1"/>
    <col min="5897" max="5897" width="14.42578125" style="262" bestFit="1" customWidth="1"/>
    <col min="5898" max="5899" width="14.7109375" style="262" bestFit="1" customWidth="1"/>
    <col min="5900" max="5900" width="4.7109375" style="262" bestFit="1" customWidth="1"/>
    <col min="5901" max="6144" width="9.140625" style="262"/>
    <col min="6145" max="6151" width="14.7109375" style="262" bestFit="1" customWidth="1"/>
    <col min="6152" max="6152" width="15" style="262" bestFit="1" customWidth="1"/>
    <col min="6153" max="6153" width="14.42578125" style="262" bestFit="1" customWidth="1"/>
    <col min="6154" max="6155" width="14.7109375" style="262" bestFit="1" customWidth="1"/>
    <col min="6156" max="6156" width="4.7109375" style="262" bestFit="1" customWidth="1"/>
    <col min="6157" max="6400" width="9.140625" style="262"/>
    <col min="6401" max="6407" width="14.7109375" style="262" bestFit="1" customWidth="1"/>
    <col min="6408" max="6408" width="15" style="262" bestFit="1" customWidth="1"/>
    <col min="6409" max="6409" width="14.42578125" style="262" bestFit="1" customWidth="1"/>
    <col min="6410" max="6411" width="14.7109375" style="262" bestFit="1" customWidth="1"/>
    <col min="6412" max="6412" width="4.7109375" style="262" bestFit="1" customWidth="1"/>
    <col min="6413" max="6656" width="9.140625" style="262"/>
    <col min="6657" max="6663" width="14.7109375" style="262" bestFit="1" customWidth="1"/>
    <col min="6664" max="6664" width="15" style="262" bestFit="1" customWidth="1"/>
    <col min="6665" max="6665" width="14.42578125" style="262" bestFit="1" customWidth="1"/>
    <col min="6666" max="6667" width="14.7109375" style="262" bestFit="1" customWidth="1"/>
    <col min="6668" max="6668" width="4.7109375" style="262" bestFit="1" customWidth="1"/>
    <col min="6669" max="6912" width="9.140625" style="262"/>
    <col min="6913" max="6919" width="14.7109375" style="262" bestFit="1" customWidth="1"/>
    <col min="6920" max="6920" width="15" style="262" bestFit="1" customWidth="1"/>
    <col min="6921" max="6921" width="14.42578125" style="262" bestFit="1" customWidth="1"/>
    <col min="6922" max="6923" width="14.7109375" style="262" bestFit="1" customWidth="1"/>
    <col min="6924" max="6924" width="4.7109375" style="262" bestFit="1" customWidth="1"/>
    <col min="6925" max="7168" width="9.140625" style="262"/>
    <col min="7169" max="7175" width="14.7109375" style="262" bestFit="1" customWidth="1"/>
    <col min="7176" max="7176" width="15" style="262" bestFit="1" customWidth="1"/>
    <col min="7177" max="7177" width="14.42578125" style="262" bestFit="1" customWidth="1"/>
    <col min="7178" max="7179" width="14.7109375" style="262" bestFit="1" customWidth="1"/>
    <col min="7180" max="7180" width="4.7109375" style="262" bestFit="1" customWidth="1"/>
    <col min="7181" max="7424" width="9.140625" style="262"/>
    <col min="7425" max="7431" width="14.7109375" style="262" bestFit="1" customWidth="1"/>
    <col min="7432" max="7432" width="15" style="262" bestFit="1" customWidth="1"/>
    <col min="7433" max="7433" width="14.42578125" style="262" bestFit="1" customWidth="1"/>
    <col min="7434" max="7435" width="14.7109375" style="262" bestFit="1" customWidth="1"/>
    <col min="7436" max="7436" width="4.7109375" style="262" bestFit="1" customWidth="1"/>
    <col min="7437" max="7680" width="9.140625" style="262"/>
    <col min="7681" max="7687" width="14.7109375" style="262" bestFit="1" customWidth="1"/>
    <col min="7688" max="7688" width="15" style="262" bestFit="1" customWidth="1"/>
    <col min="7689" max="7689" width="14.42578125" style="262" bestFit="1" customWidth="1"/>
    <col min="7690" max="7691" width="14.7109375" style="262" bestFit="1" customWidth="1"/>
    <col min="7692" max="7692" width="4.7109375" style="262" bestFit="1" customWidth="1"/>
    <col min="7693" max="7936" width="9.140625" style="262"/>
    <col min="7937" max="7943" width="14.7109375" style="262" bestFit="1" customWidth="1"/>
    <col min="7944" max="7944" width="15" style="262" bestFit="1" customWidth="1"/>
    <col min="7945" max="7945" width="14.42578125" style="262" bestFit="1" customWidth="1"/>
    <col min="7946" max="7947" width="14.7109375" style="262" bestFit="1" customWidth="1"/>
    <col min="7948" max="7948" width="4.7109375" style="262" bestFit="1" customWidth="1"/>
    <col min="7949" max="8192" width="9.140625" style="262"/>
    <col min="8193" max="8199" width="14.7109375" style="262" bestFit="1" customWidth="1"/>
    <col min="8200" max="8200" width="15" style="262" bestFit="1" customWidth="1"/>
    <col min="8201" max="8201" width="14.42578125" style="262" bestFit="1" customWidth="1"/>
    <col min="8202" max="8203" width="14.7109375" style="262" bestFit="1" customWidth="1"/>
    <col min="8204" max="8204" width="4.7109375" style="262" bestFit="1" customWidth="1"/>
    <col min="8205" max="8448" width="9.140625" style="262"/>
    <col min="8449" max="8455" width="14.7109375" style="262" bestFit="1" customWidth="1"/>
    <col min="8456" max="8456" width="15" style="262" bestFit="1" customWidth="1"/>
    <col min="8457" max="8457" width="14.42578125" style="262" bestFit="1" customWidth="1"/>
    <col min="8458" max="8459" width="14.7109375" style="262" bestFit="1" customWidth="1"/>
    <col min="8460" max="8460" width="4.7109375" style="262" bestFit="1" customWidth="1"/>
    <col min="8461" max="8704" width="9.140625" style="262"/>
    <col min="8705" max="8711" width="14.7109375" style="262" bestFit="1" customWidth="1"/>
    <col min="8712" max="8712" width="15" style="262" bestFit="1" customWidth="1"/>
    <col min="8713" max="8713" width="14.42578125" style="262" bestFit="1" customWidth="1"/>
    <col min="8714" max="8715" width="14.7109375" style="262" bestFit="1" customWidth="1"/>
    <col min="8716" max="8716" width="4.7109375" style="262" bestFit="1" customWidth="1"/>
    <col min="8717" max="8960" width="9.140625" style="262"/>
    <col min="8961" max="8967" width="14.7109375" style="262" bestFit="1" customWidth="1"/>
    <col min="8968" max="8968" width="15" style="262" bestFit="1" customWidth="1"/>
    <col min="8969" max="8969" width="14.42578125" style="262" bestFit="1" customWidth="1"/>
    <col min="8970" max="8971" width="14.7109375" style="262" bestFit="1" customWidth="1"/>
    <col min="8972" max="8972" width="4.7109375" style="262" bestFit="1" customWidth="1"/>
    <col min="8973" max="9216" width="9.140625" style="262"/>
    <col min="9217" max="9223" width="14.7109375" style="262" bestFit="1" customWidth="1"/>
    <col min="9224" max="9224" width="15" style="262" bestFit="1" customWidth="1"/>
    <col min="9225" max="9225" width="14.42578125" style="262" bestFit="1" customWidth="1"/>
    <col min="9226" max="9227" width="14.7109375" style="262" bestFit="1" customWidth="1"/>
    <col min="9228" max="9228" width="4.7109375" style="262" bestFit="1" customWidth="1"/>
    <col min="9229" max="9472" width="9.140625" style="262"/>
    <col min="9473" max="9479" width="14.7109375" style="262" bestFit="1" customWidth="1"/>
    <col min="9480" max="9480" width="15" style="262" bestFit="1" customWidth="1"/>
    <col min="9481" max="9481" width="14.42578125" style="262" bestFit="1" customWidth="1"/>
    <col min="9482" max="9483" width="14.7109375" style="262" bestFit="1" customWidth="1"/>
    <col min="9484" max="9484" width="4.7109375" style="262" bestFit="1" customWidth="1"/>
    <col min="9485" max="9728" width="9.140625" style="262"/>
    <col min="9729" max="9735" width="14.7109375" style="262" bestFit="1" customWidth="1"/>
    <col min="9736" max="9736" width="15" style="262" bestFit="1" customWidth="1"/>
    <col min="9737" max="9737" width="14.42578125" style="262" bestFit="1" customWidth="1"/>
    <col min="9738" max="9739" width="14.7109375" style="262" bestFit="1" customWidth="1"/>
    <col min="9740" max="9740" width="4.7109375" style="262" bestFit="1" customWidth="1"/>
    <col min="9741" max="9984" width="9.140625" style="262"/>
    <col min="9985" max="9991" width="14.7109375" style="262" bestFit="1" customWidth="1"/>
    <col min="9992" max="9992" width="15" style="262" bestFit="1" customWidth="1"/>
    <col min="9993" max="9993" width="14.42578125" style="262" bestFit="1" customWidth="1"/>
    <col min="9994" max="9995" width="14.7109375" style="262" bestFit="1" customWidth="1"/>
    <col min="9996" max="9996" width="4.7109375" style="262" bestFit="1" customWidth="1"/>
    <col min="9997" max="10240" width="9.140625" style="262"/>
    <col min="10241" max="10247" width="14.7109375" style="262" bestFit="1" customWidth="1"/>
    <col min="10248" max="10248" width="15" style="262" bestFit="1" customWidth="1"/>
    <col min="10249" max="10249" width="14.42578125" style="262" bestFit="1" customWidth="1"/>
    <col min="10250" max="10251" width="14.7109375" style="262" bestFit="1" customWidth="1"/>
    <col min="10252" max="10252" width="4.7109375" style="262" bestFit="1" customWidth="1"/>
    <col min="10253" max="10496" width="9.140625" style="262"/>
    <col min="10497" max="10503" width="14.7109375" style="262" bestFit="1" customWidth="1"/>
    <col min="10504" max="10504" width="15" style="262" bestFit="1" customWidth="1"/>
    <col min="10505" max="10505" width="14.42578125" style="262" bestFit="1" customWidth="1"/>
    <col min="10506" max="10507" width="14.7109375" style="262" bestFit="1" customWidth="1"/>
    <col min="10508" max="10508" width="4.7109375" style="262" bestFit="1" customWidth="1"/>
    <col min="10509" max="10752" width="9.140625" style="262"/>
    <col min="10753" max="10759" width="14.7109375" style="262" bestFit="1" customWidth="1"/>
    <col min="10760" max="10760" width="15" style="262" bestFit="1" customWidth="1"/>
    <col min="10761" max="10761" width="14.42578125" style="262" bestFit="1" customWidth="1"/>
    <col min="10762" max="10763" width="14.7109375" style="262" bestFit="1" customWidth="1"/>
    <col min="10764" max="10764" width="4.7109375" style="262" bestFit="1" customWidth="1"/>
    <col min="10765" max="11008" width="9.140625" style="262"/>
    <col min="11009" max="11015" width="14.7109375" style="262" bestFit="1" customWidth="1"/>
    <col min="11016" max="11016" width="15" style="262" bestFit="1" customWidth="1"/>
    <col min="11017" max="11017" width="14.42578125" style="262" bestFit="1" customWidth="1"/>
    <col min="11018" max="11019" width="14.7109375" style="262" bestFit="1" customWidth="1"/>
    <col min="11020" max="11020" width="4.7109375" style="262" bestFit="1" customWidth="1"/>
    <col min="11021" max="11264" width="9.140625" style="262"/>
    <col min="11265" max="11271" width="14.7109375" style="262" bestFit="1" customWidth="1"/>
    <col min="11272" max="11272" width="15" style="262" bestFit="1" customWidth="1"/>
    <col min="11273" max="11273" width="14.42578125" style="262" bestFit="1" customWidth="1"/>
    <col min="11274" max="11275" width="14.7109375" style="262" bestFit="1" customWidth="1"/>
    <col min="11276" max="11276" width="4.7109375" style="262" bestFit="1" customWidth="1"/>
    <col min="11277" max="11520" width="9.140625" style="262"/>
    <col min="11521" max="11527" width="14.7109375" style="262" bestFit="1" customWidth="1"/>
    <col min="11528" max="11528" width="15" style="262" bestFit="1" customWidth="1"/>
    <col min="11529" max="11529" width="14.42578125" style="262" bestFit="1" customWidth="1"/>
    <col min="11530" max="11531" width="14.7109375" style="262" bestFit="1" customWidth="1"/>
    <col min="11532" max="11532" width="4.7109375" style="262" bestFit="1" customWidth="1"/>
    <col min="11533" max="11776" width="9.140625" style="262"/>
    <col min="11777" max="11783" width="14.7109375" style="262" bestFit="1" customWidth="1"/>
    <col min="11784" max="11784" width="15" style="262" bestFit="1" customWidth="1"/>
    <col min="11785" max="11785" width="14.42578125" style="262" bestFit="1" customWidth="1"/>
    <col min="11786" max="11787" width="14.7109375" style="262" bestFit="1" customWidth="1"/>
    <col min="11788" max="11788" width="4.7109375" style="262" bestFit="1" customWidth="1"/>
    <col min="11789" max="12032" width="9.140625" style="262"/>
    <col min="12033" max="12039" width="14.7109375" style="262" bestFit="1" customWidth="1"/>
    <col min="12040" max="12040" width="15" style="262" bestFit="1" customWidth="1"/>
    <col min="12041" max="12041" width="14.42578125" style="262" bestFit="1" customWidth="1"/>
    <col min="12042" max="12043" width="14.7109375" style="262" bestFit="1" customWidth="1"/>
    <col min="12044" max="12044" width="4.7109375" style="262" bestFit="1" customWidth="1"/>
    <col min="12045" max="12288" width="9.140625" style="262"/>
    <col min="12289" max="12295" width="14.7109375" style="262" bestFit="1" customWidth="1"/>
    <col min="12296" max="12296" width="15" style="262" bestFit="1" customWidth="1"/>
    <col min="12297" max="12297" width="14.42578125" style="262" bestFit="1" customWidth="1"/>
    <col min="12298" max="12299" width="14.7109375" style="262" bestFit="1" customWidth="1"/>
    <col min="12300" max="12300" width="4.7109375" style="262" bestFit="1" customWidth="1"/>
    <col min="12301" max="12544" width="9.140625" style="262"/>
    <col min="12545" max="12551" width="14.7109375" style="262" bestFit="1" customWidth="1"/>
    <col min="12552" max="12552" width="15" style="262" bestFit="1" customWidth="1"/>
    <col min="12553" max="12553" width="14.42578125" style="262" bestFit="1" customWidth="1"/>
    <col min="12554" max="12555" width="14.7109375" style="262" bestFit="1" customWidth="1"/>
    <col min="12556" max="12556" width="4.7109375" style="262" bestFit="1" customWidth="1"/>
    <col min="12557" max="12800" width="9.140625" style="262"/>
    <col min="12801" max="12807" width="14.7109375" style="262" bestFit="1" customWidth="1"/>
    <col min="12808" max="12808" width="15" style="262" bestFit="1" customWidth="1"/>
    <col min="12809" max="12809" width="14.42578125" style="262" bestFit="1" customWidth="1"/>
    <col min="12810" max="12811" width="14.7109375" style="262" bestFit="1" customWidth="1"/>
    <col min="12812" max="12812" width="4.7109375" style="262" bestFit="1" customWidth="1"/>
    <col min="12813" max="13056" width="9.140625" style="262"/>
    <col min="13057" max="13063" width="14.7109375" style="262" bestFit="1" customWidth="1"/>
    <col min="13064" max="13064" width="15" style="262" bestFit="1" customWidth="1"/>
    <col min="13065" max="13065" width="14.42578125" style="262" bestFit="1" customWidth="1"/>
    <col min="13066" max="13067" width="14.7109375" style="262" bestFit="1" customWidth="1"/>
    <col min="13068" max="13068" width="4.7109375" style="262" bestFit="1" customWidth="1"/>
    <col min="13069" max="13312" width="9.140625" style="262"/>
    <col min="13313" max="13319" width="14.7109375" style="262" bestFit="1" customWidth="1"/>
    <col min="13320" max="13320" width="15" style="262" bestFit="1" customWidth="1"/>
    <col min="13321" max="13321" width="14.42578125" style="262" bestFit="1" customWidth="1"/>
    <col min="13322" max="13323" width="14.7109375" style="262" bestFit="1" customWidth="1"/>
    <col min="13324" max="13324" width="4.7109375" style="262" bestFit="1" customWidth="1"/>
    <col min="13325" max="13568" width="9.140625" style="262"/>
    <col min="13569" max="13575" width="14.7109375" style="262" bestFit="1" customWidth="1"/>
    <col min="13576" max="13576" width="15" style="262" bestFit="1" customWidth="1"/>
    <col min="13577" max="13577" width="14.42578125" style="262" bestFit="1" customWidth="1"/>
    <col min="13578" max="13579" width="14.7109375" style="262" bestFit="1" customWidth="1"/>
    <col min="13580" max="13580" width="4.7109375" style="262" bestFit="1" customWidth="1"/>
    <col min="13581" max="13824" width="9.140625" style="262"/>
    <col min="13825" max="13831" width="14.7109375" style="262" bestFit="1" customWidth="1"/>
    <col min="13832" max="13832" width="15" style="262" bestFit="1" customWidth="1"/>
    <col min="13833" max="13833" width="14.42578125" style="262" bestFit="1" customWidth="1"/>
    <col min="13834" max="13835" width="14.7109375" style="262" bestFit="1" customWidth="1"/>
    <col min="13836" max="13836" width="4.7109375" style="262" bestFit="1" customWidth="1"/>
    <col min="13837" max="14080" width="9.140625" style="262"/>
    <col min="14081" max="14087" width="14.7109375" style="262" bestFit="1" customWidth="1"/>
    <col min="14088" max="14088" width="15" style="262" bestFit="1" customWidth="1"/>
    <col min="14089" max="14089" width="14.42578125" style="262" bestFit="1" customWidth="1"/>
    <col min="14090" max="14091" width="14.7109375" style="262" bestFit="1" customWidth="1"/>
    <col min="14092" max="14092" width="4.7109375" style="262" bestFit="1" customWidth="1"/>
    <col min="14093" max="14336" width="9.140625" style="262"/>
    <col min="14337" max="14343" width="14.7109375" style="262" bestFit="1" customWidth="1"/>
    <col min="14344" max="14344" width="15" style="262" bestFit="1" customWidth="1"/>
    <col min="14345" max="14345" width="14.42578125" style="262" bestFit="1" customWidth="1"/>
    <col min="14346" max="14347" width="14.7109375" style="262" bestFit="1" customWidth="1"/>
    <col min="14348" max="14348" width="4.7109375" style="262" bestFit="1" customWidth="1"/>
    <col min="14349" max="14592" width="9.140625" style="262"/>
    <col min="14593" max="14599" width="14.7109375" style="262" bestFit="1" customWidth="1"/>
    <col min="14600" max="14600" width="15" style="262" bestFit="1" customWidth="1"/>
    <col min="14601" max="14601" width="14.42578125" style="262" bestFit="1" customWidth="1"/>
    <col min="14602" max="14603" width="14.7109375" style="262" bestFit="1" customWidth="1"/>
    <col min="14604" max="14604" width="4.7109375" style="262" bestFit="1" customWidth="1"/>
    <col min="14605" max="14848" width="9.140625" style="262"/>
    <col min="14849" max="14855" width="14.7109375" style="262" bestFit="1" customWidth="1"/>
    <col min="14856" max="14856" width="15" style="262" bestFit="1" customWidth="1"/>
    <col min="14857" max="14857" width="14.42578125" style="262" bestFit="1" customWidth="1"/>
    <col min="14858" max="14859" width="14.7109375" style="262" bestFit="1" customWidth="1"/>
    <col min="14860" max="14860" width="4.7109375" style="262" bestFit="1" customWidth="1"/>
    <col min="14861" max="15104" width="9.140625" style="262"/>
    <col min="15105" max="15111" width="14.7109375" style="262" bestFit="1" customWidth="1"/>
    <col min="15112" max="15112" width="15" style="262" bestFit="1" customWidth="1"/>
    <col min="15113" max="15113" width="14.42578125" style="262" bestFit="1" customWidth="1"/>
    <col min="15114" max="15115" width="14.7109375" style="262" bestFit="1" customWidth="1"/>
    <col min="15116" max="15116" width="4.7109375" style="262" bestFit="1" customWidth="1"/>
    <col min="15117" max="15360" width="9.140625" style="262"/>
    <col min="15361" max="15367" width="14.7109375" style="262" bestFit="1" customWidth="1"/>
    <col min="15368" max="15368" width="15" style="262" bestFit="1" customWidth="1"/>
    <col min="15369" max="15369" width="14.42578125" style="262" bestFit="1" customWidth="1"/>
    <col min="15370" max="15371" width="14.7109375" style="262" bestFit="1" customWidth="1"/>
    <col min="15372" max="15372" width="4.7109375" style="262" bestFit="1" customWidth="1"/>
    <col min="15373" max="15616" width="9.140625" style="262"/>
    <col min="15617" max="15623" width="14.7109375" style="262" bestFit="1" customWidth="1"/>
    <col min="15624" max="15624" width="15" style="262" bestFit="1" customWidth="1"/>
    <col min="15625" max="15625" width="14.42578125" style="262" bestFit="1" customWidth="1"/>
    <col min="15626" max="15627" width="14.7109375" style="262" bestFit="1" customWidth="1"/>
    <col min="15628" max="15628" width="4.7109375" style="262" bestFit="1" customWidth="1"/>
    <col min="15629" max="15872" width="9.140625" style="262"/>
    <col min="15873" max="15879" width="14.7109375" style="262" bestFit="1" customWidth="1"/>
    <col min="15880" max="15880" width="15" style="262" bestFit="1" customWidth="1"/>
    <col min="15881" max="15881" width="14.42578125" style="262" bestFit="1" customWidth="1"/>
    <col min="15882" max="15883" width="14.7109375" style="262" bestFit="1" customWidth="1"/>
    <col min="15884" max="15884" width="4.7109375" style="262" bestFit="1" customWidth="1"/>
    <col min="15885" max="16128" width="9.140625" style="262"/>
    <col min="16129" max="16135" width="14.7109375" style="262" bestFit="1" customWidth="1"/>
    <col min="16136" max="16136" width="15" style="262" bestFit="1" customWidth="1"/>
    <col min="16137" max="16137" width="14.42578125" style="262" bestFit="1" customWidth="1"/>
    <col min="16138" max="16139" width="14.7109375" style="262" bestFit="1" customWidth="1"/>
    <col min="16140" max="16140" width="4.7109375" style="262" bestFit="1" customWidth="1"/>
    <col min="16141" max="16384" width="9.140625" style="262"/>
  </cols>
  <sheetData>
    <row r="1" spans="1:11" ht="15" customHeight="1" x14ac:dyDescent="0.2">
      <c r="A1" s="385" t="s">
        <v>42</v>
      </c>
      <c r="B1" s="385"/>
      <c r="C1" s="385"/>
      <c r="D1" s="385"/>
      <c r="E1" s="385"/>
      <c r="F1" s="385"/>
      <c r="G1" s="385"/>
      <c r="H1" s="385"/>
    </row>
    <row r="2" spans="1:11" s="265" customFormat="1" ht="18" customHeight="1" x14ac:dyDescent="0.2">
      <c r="A2" s="414" t="s">
        <v>543</v>
      </c>
      <c r="B2" s="415"/>
      <c r="C2" s="415"/>
      <c r="D2" s="415"/>
      <c r="E2" s="415"/>
      <c r="F2" s="415"/>
      <c r="G2" s="415"/>
      <c r="H2" s="415"/>
      <c r="I2" s="415"/>
      <c r="J2" s="415"/>
      <c r="K2" s="416"/>
    </row>
    <row r="3" spans="1:11" s="265" customFormat="1" ht="27.75" customHeight="1" x14ac:dyDescent="0.2">
      <c r="A3" s="331" t="s">
        <v>250</v>
      </c>
      <c r="B3" s="269" t="s">
        <v>544</v>
      </c>
      <c r="C3" s="269" t="s">
        <v>545</v>
      </c>
      <c r="D3" s="269" t="s">
        <v>546</v>
      </c>
      <c r="E3" s="269" t="s">
        <v>547</v>
      </c>
      <c r="F3" s="269" t="s">
        <v>548</v>
      </c>
      <c r="G3" s="269" t="s">
        <v>549</v>
      </c>
      <c r="H3" s="269" t="s">
        <v>550</v>
      </c>
      <c r="I3" s="269" t="s">
        <v>551</v>
      </c>
      <c r="J3" s="269" t="s">
        <v>552</v>
      </c>
      <c r="K3" s="269" t="s">
        <v>553</v>
      </c>
    </row>
    <row r="4" spans="1:11" s="265" customFormat="1" ht="18" customHeight="1" x14ac:dyDescent="0.2">
      <c r="A4" s="266" t="s">
        <v>69</v>
      </c>
      <c r="B4" s="306">
        <v>4.1256569999999999E-2</v>
      </c>
      <c r="C4" s="306">
        <v>99.958743429999998</v>
      </c>
      <c r="D4" s="306">
        <v>0</v>
      </c>
      <c r="E4" s="306">
        <v>0</v>
      </c>
      <c r="F4" s="306">
        <v>0</v>
      </c>
      <c r="G4" s="306">
        <v>5.8662000000000002E-5</v>
      </c>
      <c r="H4" s="306">
        <v>0</v>
      </c>
      <c r="I4" s="306">
        <v>0</v>
      </c>
      <c r="J4" s="306">
        <v>0</v>
      </c>
      <c r="K4" s="306">
        <v>0</v>
      </c>
    </row>
    <row r="5" spans="1:11" s="265" customFormat="1" ht="18" customHeight="1" x14ac:dyDescent="0.2">
      <c r="A5" s="266" t="s">
        <v>70</v>
      </c>
      <c r="B5" s="306">
        <v>41.32</v>
      </c>
      <c r="C5" s="306">
        <v>0</v>
      </c>
      <c r="D5" s="306">
        <v>58.68</v>
      </c>
      <c r="E5" s="306">
        <v>0</v>
      </c>
      <c r="F5" s="306">
        <v>0</v>
      </c>
      <c r="G5" s="306">
        <v>0</v>
      </c>
      <c r="H5" s="306">
        <v>0</v>
      </c>
      <c r="I5" s="306">
        <v>0</v>
      </c>
      <c r="J5" s="306">
        <v>0</v>
      </c>
      <c r="K5" s="306">
        <v>0</v>
      </c>
    </row>
    <row r="6" spans="1:11" s="265" customFormat="1" ht="18" customHeight="1" x14ac:dyDescent="0.2">
      <c r="A6" s="266" t="s">
        <v>156</v>
      </c>
      <c r="B6" s="306">
        <v>100</v>
      </c>
      <c r="C6" s="306">
        <v>0</v>
      </c>
      <c r="D6" s="306">
        <v>0</v>
      </c>
      <c r="E6" s="306">
        <v>0</v>
      </c>
      <c r="F6" s="306">
        <v>0</v>
      </c>
      <c r="G6" s="306">
        <v>0</v>
      </c>
      <c r="H6" s="306">
        <v>0</v>
      </c>
      <c r="I6" s="306">
        <v>0</v>
      </c>
      <c r="J6" s="306">
        <v>0</v>
      </c>
      <c r="K6" s="306">
        <v>0</v>
      </c>
    </row>
    <row r="7" spans="1:11" s="265" customFormat="1" ht="18" customHeight="1" x14ac:dyDescent="0.2">
      <c r="A7" s="266" t="s">
        <v>157</v>
      </c>
      <c r="B7" s="306">
        <v>100</v>
      </c>
      <c r="C7" s="306">
        <v>0</v>
      </c>
      <c r="D7" s="306">
        <v>0</v>
      </c>
      <c r="E7" s="306">
        <v>0</v>
      </c>
      <c r="F7" s="306">
        <v>0</v>
      </c>
      <c r="G7" s="306">
        <v>0</v>
      </c>
      <c r="H7" s="306">
        <v>0</v>
      </c>
      <c r="I7" s="306">
        <v>0</v>
      </c>
      <c r="J7" s="306">
        <v>0</v>
      </c>
      <c r="K7" s="306">
        <v>0</v>
      </c>
    </row>
    <row r="8" spans="1:11" s="265" customFormat="1" ht="18" customHeight="1" x14ac:dyDescent="0.2">
      <c r="A8" s="266" t="s">
        <v>158</v>
      </c>
      <c r="B8" s="306">
        <v>100</v>
      </c>
      <c r="C8" s="306">
        <v>0</v>
      </c>
      <c r="D8" s="306">
        <v>0</v>
      </c>
      <c r="E8" s="306">
        <v>0</v>
      </c>
      <c r="F8" s="306">
        <v>0</v>
      </c>
      <c r="G8" s="306">
        <v>0</v>
      </c>
      <c r="H8" s="306">
        <v>0</v>
      </c>
      <c r="I8" s="306">
        <v>0</v>
      </c>
      <c r="J8" s="306">
        <v>0</v>
      </c>
      <c r="K8" s="306">
        <v>0</v>
      </c>
    </row>
    <row r="9" spans="1:11" s="265" customFormat="1" ht="18" customHeight="1" x14ac:dyDescent="0.2">
      <c r="A9" s="266" t="s">
        <v>159</v>
      </c>
      <c r="B9" s="306">
        <v>100</v>
      </c>
      <c r="C9" s="306">
        <v>0</v>
      </c>
      <c r="D9" s="306">
        <v>0</v>
      </c>
      <c r="E9" s="306">
        <v>0</v>
      </c>
      <c r="F9" s="306">
        <v>0</v>
      </c>
      <c r="G9" s="306">
        <v>0</v>
      </c>
      <c r="H9" s="306">
        <v>0</v>
      </c>
      <c r="I9" s="306">
        <v>0</v>
      </c>
      <c r="J9" s="306">
        <v>0</v>
      </c>
      <c r="K9" s="306">
        <v>0</v>
      </c>
    </row>
    <row r="10" spans="1:11" s="265" customFormat="1" ht="18" customHeight="1" x14ac:dyDescent="0.2">
      <c r="A10" s="266" t="s">
        <v>160</v>
      </c>
      <c r="B10" s="306">
        <v>0</v>
      </c>
      <c r="C10" s="306">
        <v>0</v>
      </c>
      <c r="D10" s="306">
        <v>0</v>
      </c>
      <c r="E10" s="306">
        <v>0</v>
      </c>
      <c r="F10" s="306">
        <v>0</v>
      </c>
      <c r="G10" s="306">
        <v>0</v>
      </c>
      <c r="H10" s="306">
        <v>0</v>
      </c>
      <c r="I10" s="306">
        <v>0</v>
      </c>
      <c r="J10" s="306">
        <v>0</v>
      </c>
      <c r="K10" s="306">
        <v>0</v>
      </c>
    </row>
    <row r="11" spans="1:11" s="265" customFormat="1" ht="18" customHeight="1" x14ac:dyDescent="0.2">
      <c r="A11" s="266" t="s">
        <v>161</v>
      </c>
      <c r="B11" s="306">
        <v>0</v>
      </c>
      <c r="C11" s="306">
        <v>0</v>
      </c>
      <c r="D11" s="306">
        <v>0</v>
      </c>
      <c r="E11" s="306">
        <v>0</v>
      </c>
      <c r="F11" s="306">
        <v>0</v>
      </c>
      <c r="G11" s="306">
        <v>0</v>
      </c>
      <c r="H11" s="306">
        <v>0</v>
      </c>
      <c r="I11" s="306">
        <v>0</v>
      </c>
      <c r="J11" s="306">
        <v>0</v>
      </c>
      <c r="K11" s="306">
        <v>0</v>
      </c>
    </row>
    <row r="12" spans="1:11" s="265" customFormat="1" ht="18" customHeight="1" x14ac:dyDescent="0.2">
      <c r="A12" s="266" t="s">
        <v>162</v>
      </c>
      <c r="B12" s="306">
        <v>0</v>
      </c>
      <c r="C12" s="306">
        <v>0</v>
      </c>
      <c r="D12" s="306">
        <v>0</v>
      </c>
      <c r="E12" s="306">
        <v>0</v>
      </c>
      <c r="F12" s="306">
        <v>0</v>
      </c>
      <c r="G12" s="306">
        <v>0</v>
      </c>
      <c r="H12" s="306">
        <v>0</v>
      </c>
      <c r="I12" s="306">
        <v>0</v>
      </c>
      <c r="J12" s="306">
        <v>0</v>
      </c>
      <c r="K12" s="306">
        <v>0</v>
      </c>
    </row>
    <row r="13" spans="1:11" s="265" customFormat="1" ht="18" customHeight="1" x14ac:dyDescent="0.2">
      <c r="A13" s="266" t="s">
        <v>163</v>
      </c>
      <c r="B13" s="306">
        <v>0</v>
      </c>
      <c r="C13" s="306">
        <v>0</v>
      </c>
      <c r="D13" s="306">
        <v>0</v>
      </c>
      <c r="E13" s="306">
        <v>0</v>
      </c>
      <c r="F13" s="306">
        <v>0</v>
      </c>
      <c r="G13" s="306">
        <v>0</v>
      </c>
      <c r="H13" s="306">
        <v>0</v>
      </c>
      <c r="I13" s="306">
        <v>0</v>
      </c>
      <c r="J13" s="306">
        <v>0</v>
      </c>
      <c r="K13" s="306">
        <v>0</v>
      </c>
    </row>
    <row r="14" spans="1:11" s="265" customFormat="1" ht="18" customHeight="1" x14ac:dyDescent="0.2">
      <c r="A14" s="266" t="s">
        <v>164</v>
      </c>
      <c r="B14" s="306">
        <v>100</v>
      </c>
      <c r="C14" s="306">
        <v>0</v>
      </c>
      <c r="D14" s="306">
        <v>0</v>
      </c>
      <c r="E14" s="306">
        <v>0</v>
      </c>
      <c r="F14" s="306">
        <v>0</v>
      </c>
      <c r="G14" s="306">
        <v>0</v>
      </c>
      <c r="H14" s="306">
        <v>0</v>
      </c>
      <c r="I14" s="306">
        <v>0</v>
      </c>
      <c r="J14" s="306">
        <v>0</v>
      </c>
      <c r="K14" s="306">
        <v>0</v>
      </c>
    </row>
    <row r="15" spans="1:11" s="265" customFormat="1" ht="18" customHeight="1" x14ac:dyDescent="0.2">
      <c r="A15" s="266" t="s">
        <v>165</v>
      </c>
      <c r="B15" s="306">
        <v>100</v>
      </c>
      <c r="C15" s="306">
        <v>0</v>
      </c>
      <c r="D15" s="306">
        <v>0</v>
      </c>
      <c r="E15" s="306">
        <v>0</v>
      </c>
      <c r="F15" s="306">
        <v>0</v>
      </c>
      <c r="G15" s="306">
        <v>0</v>
      </c>
      <c r="H15" s="306">
        <v>0</v>
      </c>
      <c r="I15" s="306">
        <v>0</v>
      </c>
      <c r="J15" s="306">
        <v>0</v>
      </c>
      <c r="K15" s="306">
        <v>0</v>
      </c>
    </row>
    <row r="16" spans="1:11" s="265" customFormat="1" ht="18" customHeight="1" x14ac:dyDescent="0.2">
      <c r="A16" s="266" t="s">
        <v>166</v>
      </c>
      <c r="B16" s="306">
        <v>0</v>
      </c>
      <c r="C16" s="306">
        <v>0</v>
      </c>
      <c r="D16" s="306">
        <v>0</v>
      </c>
      <c r="E16" s="306">
        <v>0</v>
      </c>
      <c r="F16" s="306">
        <v>0</v>
      </c>
      <c r="G16" s="306">
        <v>0</v>
      </c>
      <c r="H16" s="306">
        <v>0</v>
      </c>
      <c r="I16" s="306">
        <v>0</v>
      </c>
      <c r="J16" s="306">
        <v>0</v>
      </c>
      <c r="K16" s="306">
        <v>0</v>
      </c>
    </row>
    <row r="17" spans="1:11" s="265" customFormat="1" ht="18" customHeight="1" x14ac:dyDescent="0.2">
      <c r="A17" s="266" t="s">
        <v>167</v>
      </c>
      <c r="B17" s="306">
        <v>40.270000000000003</v>
      </c>
      <c r="C17" s="306">
        <v>0</v>
      </c>
      <c r="D17" s="306">
        <v>59.73</v>
      </c>
      <c r="E17" s="306">
        <v>0</v>
      </c>
      <c r="F17" s="306">
        <v>0</v>
      </c>
      <c r="G17" s="306">
        <v>0</v>
      </c>
      <c r="H17" s="306">
        <v>0</v>
      </c>
      <c r="I17" s="306">
        <v>0</v>
      </c>
      <c r="J17" s="306">
        <v>0</v>
      </c>
      <c r="K17" s="306">
        <v>0</v>
      </c>
    </row>
    <row r="18" spans="1:11" s="265" customFormat="1" ht="14.25" customHeight="1" x14ac:dyDescent="0.2">
      <c r="A18" s="353" t="s">
        <v>106</v>
      </c>
      <c r="B18" s="353"/>
      <c r="C18" s="353"/>
      <c r="D18" s="353"/>
      <c r="E18" s="353"/>
      <c r="F18" s="353"/>
    </row>
    <row r="19" spans="1:11" s="265" customFormat="1" ht="13.5" customHeight="1" x14ac:dyDescent="0.2">
      <c r="A19" s="353" t="s">
        <v>393</v>
      </c>
      <c r="B19" s="353"/>
      <c r="C19" s="353"/>
      <c r="D19" s="353"/>
      <c r="E19" s="353"/>
      <c r="F19" s="353"/>
    </row>
    <row r="20" spans="1:11" s="265" customFormat="1" ht="27.6" customHeight="1" x14ac:dyDescent="0.2"/>
  </sheetData>
  <mergeCells count="4">
    <mergeCell ref="A1:H1"/>
    <mergeCell ref="A2:K2"/>
    <mergeCell ref="A18:F18"/>
    <mergeCell ref="A19:F19"/>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L20"/>
  <sheetViews>
    <sheetView workbookViewId="0">
      <selection sqref="A1:K1"/>
    </sheetView>
  </sheetViews>
  <sheetFormatPr defaultRowHeight="12.75" x14ac:dyDescent="0.2"/>
  <cols>
    <col min="1" max="12" width="14.7109375" style="262" bestFit="1" customWidth="1"/>
    <col min="13" max="13" width="4.7109375" style="262" bestFit="1" customWidth="1"/>
    <col min="14" max="256" width="9.140625" style="262"/>
    <col min="257" max="268" width="14.7109375" style="262" bestFit="1" customWidth="1"/>
    <col min="269" max="269" width="4.7109375" style="262" bestFit="1" customWidth="1"/>
    <col min="270" max="512" width="9.140625" style="262"/>
    <col min="513" max="524" width="14.7109375" style="262" bestFit="1" customWidth="1"/>
    <col min="525" max="525" width="4.7109375" style="262" bestFit="1" customWidth="1"/>
    <col min="526" max="768" width="9.140625" style="262"/>
    <col min="769" max="780" width="14.7109375" style="262" bestFit="1" customWidth="1"/>
    <col min="781" max="781" width="4.7109375" style="262" bestFit="1" customWidth="1"/>
    <col min="782" max="1024" width="9.140625" style="262"/>
    <col min="1025" max="1036" width="14.7109375" style="262" bestFit="1" customWidth="1"/>
    <col min="1037" max="1037" width="4.7109375" style="262" bestFit="1" customWidth="1"/>
    <col min="1038" max="1280" width="9.140625" style="262"/>
    <col min="1281" max="1292" width="14.7109375" style="262" bestFit="1" customWidth="1"/>
    <col min="1293" max="1293" width="4.7109375" style="262" bestFit="1" customWidth="1"/>
    <col min="1294" max="1536" width="9.140625" style="262"/>
    <col min="1537" max="1548" width="14.7109375" style="262" bestFit="1" customWidth="1"/>
    <col min="1549" max="1549" width="4.7109375" style="262" bestFit="1" customWidth="1"/>
    <col min="1550" max="1792" width="9.140625" style="262"/>
    <col min="1793" max="1804" width="14.7109375" style="262" bestFit="1" customWidth="1"/>
    <col min="1805" max="1805" width="4.7109375" style="262" bestFit="1" customWidth="1"/>
    <col min="1806" max="2048" width="9.140625" style="262"/>
    <col min="2049" max="2060" width="14.7109375" style="262" bestFit="1" customWidth="1"/>
    <col min="2061" max="2061" width="4.7109375" style="262" bestFit="1" customWidth="1"/>
    <col min="2062" max="2304" width="9.140625" style="262"/>
    <col min="2305" max="2316" width="14.7109375" style="262" bestFit="1" customWidth="1"/>
    <col min="2317" max="2317" width="4.7109375" style="262" bestFit="1" customWidth="1"/>
    <col min="2318" max="2560" width="9.140625" style="262"/>
    <col min="2561" max="2572" width="14.7109375" style="262" bestFit="1" customWidth="1"/>
    <col min="2573" max="2573" width="4.7109375" style="262" bestFit="1" customWidth="1"/>
    <col min="2574" max="2816" width="9.140625" style="262"/>
    <col min="2817" max="2828" width="14.7109375" style="262" bestFit="1" customWidth="1"/>
    <col min="2829" max="2829" width="4.7109375" style="262" bestFit="1" customWidth="1"/>
    <col min="2830" max="3072" width="9.140625" style="262"/>
    <col min="3073" max="3084" width="14.7109375" style="262" bestFit="1" customWidth="1"/>
    <col min="3085" max="3085" width="4.7109375" style="262" bestFit="1" customWidth="1"/>
    <col min="3086" max="3328" width="9.140625" style="262"/>
    <col min="3329" max="3340" width="14.7109375" style="262" bestFit="1" customWidth="1"/>
    <col min="3341" max="3341" width="4.7109375" style="262" bestFit="1" customWidth="1"/>
    <col min="3342" max="3584" width="9.140625" style="262"/>
    <col min="3585" max="3596" width="14.7109375" style="262" bestFit="1" customWidth="1"/>
    <col min="3597" max="3597" width="4.7109375" style="262" bestFit="1" customWidth="1"/>
    <col min="3598" max="3840" width="9.140625" style="262"/>
    <col min="3841" max="3852" width="14.7109375" style="262" bestFit="1" customWidth="1"/>
    <col min="3853" max="3853" width="4.7109375" style="262" bestFit="1" customWidth="1"/>
    <col min="3854" max="4096" width="9.140625" style="262"/>
    <col min="4097" max="4108" width="14.7109375" style="262" bestFit="1" customWidth="1"/>
    <col min="4109" max="4109" width="4.7109375" style="262" bestFit="1" customWidth="1"/>
    <col min="4110" max="4352" width="9.140625" style="262"/>
    <col min="4353" max="4364" width="14.7109375" style="262" bestFit="1" customWidth="1"/>
    <col min="4365" max="4365" width="4.7109375" style="262" bestFit="1" customWidth="1"/>
    <col min="4366" max="4608" width="9.140625" style="262"/>
    <col min="4609" max="4620" width="14.7109375" style="262" bestFit="1" customWidth="1"/>
    <col min="4621" max="4621" width="4.7109375" style="262" bestFit="1" customWidth="1"/>
    <col min="4622" max="4864" width="9.140625" style="262"/>
    <col min="4865" max="4876" width="14.7109375" style="262" bestFit="1" customWidth="1"/>
    <col min="4877" max="4877" width="4.7109375" style="262" bestFit="1" customWidth="1"/>
    <col min="4878" max="5120" width="9.140625" style="262"/>
    <col min="5121" max="5132" width="14.7109375" style="262" bestFit="1" customWidth="1"/>
    <col min="5133" max="5133" width="4.7109375" style="262" bestFit="1" customWidth="1"/>
    <col min="5134" max="5376" width="9.140625" style="262"/>
    <col min="5377" max="5388" width="14.7109375" style="262" bestFit="1" customWidth="1"/>
    <col min="5389" max="5389" width="4.7109375" style="262" bestFit="1" customWidth="1"/>
    <col min="5390" max="5632" width="9.140625" style="262"/>
    <col min="5633" max="5644" width="14.7109375" style="262" bestFit="1" customWidth="1"/>
    <col min="5645" max="5645" width="4.7109375" style="262" bestFit="1" customWidth="1"/>
    <col min="5646" max="5888" width="9.140625" style="262"/>
    <col min="5889" max="5900" width="14.7109375" style="262" bestFit="1" customWidth="1"/>
    <col min="5901" max="5901" width="4.7109375" style="262" bestFit="1" customWidth="1"/>
    <col min="5902" max="6144" width="9.140625" style="262"/>
    <col min="6145" max="6156" width="14.7109375" style="262" bestFit="1" customWidth="1"/>
    <col min="6157" max="6157" width="4.7109375" style="262" bestFit="1" customWidth="1"/>
    <col min="6158" max="6400" width="9.140625" style="262"/>
    <col min="6401" max="6412" width="14.7109375" style="262" bestFit="1" customWidth="1"/>
    <col min="6413" max="6413" width="4.7109375" style="262" bestFit="1" customWidth="1"/>
    <col min="6414" max="6656" width="9.140625" style="262"/>
    <col min="6657" max="6668" width="14.7109375" style="262" bestFit="1" customWidth="1"/>
    <col min="6669" max="6669" width="4.7109375" style="262" bestFit="1" customWidth="1"/>
    <col min="6670" max="6912" width="9.140625" style="262"/>
    <col min="6913" max="6924" width="14.7109375" style="262" bestFit="1" customWidth="1"/>
    <col min="6925" max="6925" width="4.7109375" style="262" bestFit="1" customWidth="1"/>
    <col min="6926" max="7168" width="9.140625" style="262"/>
    <col min="7169" max="7180" width="14.7109375" style="262" bestFit="1" customWidth="1"/>
    <col min="7181" max="7181" width="4.7109375" style="262" bestFit="1" customWidth="1"/>
    <col min="7182" max="7424" width="9.140625" style="262"/>
    <col min="7425" max="7436" width="14.7109375" style="262" bestFit="1" customWidth="1"/>
    <col min="7437" max="7437" width="4.7109375" style="262" bestFit="1" customWidth="1"/>
    <col min="7438" max="7680" width="9.140625" style="262"/>
    <col min="7681" max="7692" width="14.7109375" style="262" bestFit="1" customWidth="1"/>
    <col min="7693" max="7693" width="4.7109375" style="262" bestFit="1" customWidth="1"/>
    <col min="7694" max="7936" width="9.140625" style="262"/>
    <col min="7937" max="7948" width="14.7109375" style="262" bestFit="1" customWidth="1"/>
    <col min="7949" max="7949" width="4.7109375" style="262" bestFit="1" customWidth="1"/>
    <col min="7950" max="8192" width="9.140625" style="262"/>
    <col min="8193" max="8204" width="14.7109375" style="262" bestFit="1" customWidth="1"/>
    <col min="8205" max="8205" width="4.7109375" style="262" bestFit="1" customWidth="1"/>
    <col min="8206" max="8448" width="9.140625" style="262"/>
    <col min="8449" max="8460" width="14.7109375" style="262" bestFit="1" customWidth="1"/>
    <col min="8461" max="8461" width="4.7109375" style="262" bestFit="1" customWidth="1"/>
    <col min="8462" max="8704" width="9.140625" style="262"/>
    <col min="8705" max="8716" width="14.7109375" style="262" bestFit="1" customWidth="1"/>
    <col min="8717" max="8717" width="4.7109375" style="262" bestFit="1" customWidth="1"/>
    <col min="8718" max="8960" width="9.140625" style="262"/>
    <col min="8961" max="8972" width="14.7109375" style="262" bestFit="1" customWidth="1"/>
    <col min="8973" max="8973" width="4.7109375" style="262" bestFit="1" customWidth="1"/>
    <col min="8974" max="9216" width="9.140625" style="262"/>
    <col min="9217" max="9228" width="14.7109375" style="262" bestFit="1" customWidth="1"/>
    <col min="9229" max="9229" width="4.7109375" style="262" bestFit="1" customWidth="1"/>
    <col min="9230" max="9472" width="9.140625" style="262"/>
    <col min="9473" max="9484" width="14.7109375" style="262" bestFit="1" customWidth="1"/>
    <col min="9485" max="9485" width="4.7109375" style="262" bestFit="1" customWidth="1"/>
    <col min="9486" max="9728" width="9.140625" style="262"/>
    <col min="9729" max="9740" width="14.7109375" style="262" bestFit="1" customWidth="1"/>
    <col min="9741" max="9741" width="4.7109375" style="262" bestFit="1" customWidth="1"/>
    <col min="9742" max="9984" width="9.140625" style="262"/>
    <col min="9985" max="9996" width="14.7109375" style="262" bestFit="1" customWidth="1"/>
    <col min="9997" max="9997" width="4.7109375" style="262" bestFit="1" customWidth="1"/>
    <col min="9998" max="10240" width="9.140625" style="262"/>
    <col min="10241" max="10252" width="14.7109375" style="262" bestFit="1" customWidth="1"/>
    <col min="10253" max="10253" width="4.7109375" style="262" bestFit="1" customWidth="1"/>
    <col min="10254" max="10496" width="9.140625" style="262"/>
    <col min="10497" max="10508" width="14.7109375" style="262" bestFit="1" customWidth="1"/>
    <col min="10509" max="10509" width="4.7109375" style="262" bestFit="1" customWidth="1"/>
    <col min="10510" max="10752" width="9.140625" style="262"/>
    <col min="10753" max="10764" width="14.7109375" style="262" bestFit="1" customWidth="1"/>
    <col min="10765" max="10765" width="4.7109375" style="262" bestFit="1" customWidth="1"/>
    <col min="10766" max="11008" width="9.140625" style="262"/>
    <col min="11009" max="11020" width="14.7109375" style="262" bestFit="1" customWidth="1"/>
    <col min="11021" max="11021" width="4.7109375" style="262" bestFit="1" customWidth="1"/>
    <col min="11022" max="11264" width="9.140625" style="262"/>
    <col min="11265" max="11276" width="14.7109375" style="262" bestFit="1" customWidth="1"/>
    <col min="11277" max="11277" width="4.7109375" style="262" bestFit="1" customWidth="1"/>
    <col min="11278" max="11520" width="9.140625" style="262"/>
    <col min="11521" max="11532" width="14.7109375" style="262" bestFit="1" customWidth="1"/>
    <col min="11533" max="11533" width="4.7109375" style="262" bestFit="1" customWidth="1"/>
    <col min="11534" max="11776" width="9.140625" style="262"/>
    <col min="11777" max="11788" width="14.7109375" style="262" bestFit="1" customWidth="1"/>
    <col min="11789" max="11789" width="4.7109375" style="262" bestFit="1" customWidth="1"/>
    <col min="11790" max="12032" width="9.140625" style="262"/>
    <col min="12033" max="12044" width="14.7109375" style="262" bestFit="1" customWidth="1"/>
    <col min="12045" max="12045" width="4.7109375" style="262" bestFit="1" customWidth="1"/>
    <col min="12046" max="12288" width="9.140625" style="262"/>
    <col min="12289" max="12300" width="14.7109375" style="262" bestFit="1" customWidth="1"/>
    <col min="12301" max="12301" width="4.7109375" style="262" bestFit="1" customWidth="1"/>
    <col min="12302" max="12544" width="9.140625" style="262"/>
    <col min="12545" max="12556" width="14.7109375" style="262" bestFit="1" customWidth="1"/>
    <col min="12557" max="12557" width="4.7109375" style="262" bestFit="1" customWidth="1"/>
    <col min="12558" max="12800" width="9.140625" style="262"/>
    <col min="12801" max="12812" width="14.7109375" style="262" bestFit="1" customWidth="1"/>
    <col min="12813" max="12813" width="4.7109375" style="262" bestFit="1" customWidth="1"/>
    <col min="12814" max="13056" width="9.140625" style="262"/>
    <col min="13057" max="13068" width="14.7109375" style="262" bestFit="1" customWidth="1"/>
    <col min="13069" max="13069" width="4.7109375" style="262" bestFit="1" customWidth="1"/>
    <col min="13070" max="13312" width="9.140625" style="262"/>
    <col min="13313" max="13324" width="14.7109375" style="262" bestFit="1" customWidth="1"/>
    <col min="13325" max="13325" width="4.7109375" style="262" bestFit="1" customWidth="1"/>
    <col min="13326" max="13568" width="9.140625" style="262"/>
    <col min="13569" max="13580" width="14.7109375" style="262" bestFit="1" customWidth="1"/>
    <col min="13581" max="13581" width="4.7109375" style="262" bestFit="1" customWidth="1"/>
    <col min="13582" max="13824" width="9.140625" style="262"/>
    <col min="13825" max="13836" width="14.7109375" style="262" bestFit="1" customWidth="1"/>
    <col min="13837" max="13837" width="4.7109375" style="262" bestFit="1" customWidth="1"/>
    <col min="13838" max="14080" width="9.140625" style="262"/>
    <col min="14081" max="14092" width="14.7109375" style="262" bestFit="1" customWidth="1"/>
    <col min="14093" max="14093" width="4.7109375" style="262" bestFit="1" customWidth="1"/>
    <col min="14094" max="14336" width="9.140625" style="262"/>
    <col min="14337" max="14348" width="14.7109375" style="262" bestFit="1" customWidth="1"/>
    <col min="14349" max="14349" width="4.7109375" style="262" bestFit="1" customWidth="1"/>
    <col min="14350" max="14592" width="9.140625" style="262"/>
    <col min="14593" max="14604" width="14.7109375" style="262" bestFit="1" customWidth="1"/>
    <col min="14605" max="14605" width="4.7109375" style="262" bestFit="1" customWidth="1"/>
    <col min="14606" max="14848" width="9.140625" style="262"/>
    <col min="14849" max="14860" width="14.7109375" style="262" bestFit="1" customWidth="1"/>
    <col min="14861" max="14861" width="4.7109375" style="262" bestFit="1" customWidth="1"/>
    <col min="14862" max="15104" width="9.140625" style="262"/>
    <col min="15105" max="15116" width="14.7109375" style="262" bestFit="1" customWidth="1"/>
    <col min="15117" max="15117" width="4.7109375" style="262" bestFit="1" customWidth="1"/>
    <col min="15118" max="15360" width="9.140625" style="262"/>
    <col min="15361" max="15372" width="14.7109375" style="262" bestFit="1" customWidth="1"/>
    <col min="15373" max="15373" width="4.7109375" style="262" bestFit="1" customWidth="1"/>
    <col min="15374" max="15616" width="9.140625" style="262"/>
    <col min="15617" max="15628" width="14.7109375" style="262" bestFit="1" customWidth="1"/>
    <col min="15629" max="15629" width="4.7109375" style="262" bestFit="1" customWidth="1"/>
    <col min="15630" max="15872" width="9.140625" style="262"/>
    <col min="15873" max="15884" width="14.7109375" style="262" bestFit="1" customWidth="1"/>
    <col min="15885" max="15885" width="4.7109375" style="262" bestFit="1" customWidth="1"/>
    <col min="15886" max="16128" width="9.140625" style="262"/>
    <col min="16129" max="16140" width="14.7109375" style="262" bestFit="1" customWidth="1"/>
    <col min="16141" max="16141" width="4.7109375" style="262" bestFit="1" customWidth="1"/>
    <col min="16142" max="16384" width="9.140625" style="262"/>
  </cols>
  <sheetData>
    <row r="1" spans="1:12" ht="15" customHeight="1" x14ac:dyDescent="0.2">
      <c r="A1" s="385" t="s">
        <v>43</v>
      </c>
      <c r="B1" s="385"/>
      <c r="C1" s="385"/>
      <c r="D1" s="385"/>
      <c r="E1" s="385"/>
      <c r="F1" s="385"/>
      <c r="G1" s="385"/>
      <c r="H1" s="385"/>
      <c r="I1" s="385"/>
      <c r="J1" s="385"/>
      <c r="K1" s="385"/>
    </row>
    <row r="2" spans="1:12" s="265" customFormat="1" ht="18" customHeight="1" x14ac:dyDescent="0.2">
      <c r="A2" s="414" t="s">
        <v>543</v>
      </c>
      <c r="B2" s="415"/>
      <c r="C2" s="415"/>
      <c r="D2" s="415"/>
      <c r="E2" s="415"/>
      <c r="F2" s="415"/>
      <c r="G2" s="415"/>
      <c r="H2" s="415"/>
      <c r="I2" s="415"/>
      <c r="J2" s="415"/>
      <c r="K2" s="416"/>
    </row>
    <row r="3" spans="1:12" s="265" customFormat="1" ht="18.75" customHeight="1" x14ac:dyDescent="0.2">
      <c r="A3" s="263" t="s">
        <v>250</v>
      </c>
      <c r="B3" s="263" t="s">
        <v>554</v>
      </c>
      <c r="C3" s="263" t="s">
        <v>555</v>
      </c>
      <c r="D3" s="263" t="s">
        <v>556</v>
      </c>
      <c r="E3" s="263" t="s">
        <v>557</v>
      </c>
      <c r="F3" s="263" t="s">
        <v>558</v>
      </c>
      <c r="G3" s="263" t="s">
        <v>559</v>
      </c>
      <c r="H3" s="263" t="s">
        <v>560</v>
      </c>
      <c r="I3" s="263" t="s">
        <v>561</v>
      </c>
      <c r="J3" s="263" t="s">
        <v>562</v>
      </c>
      <c r="K3" s="263" t="s">
        <v>563</v>
      </c>
      <c r="L3" s="263" t="s">
        <v>564</v>
      </c>
    </row>
    <row r="4" spans="1:12" s="265" customFormat="1" ht="18" customHeight="1" x14ac:dyDescent="0.2">
      <c r="A4" s="266" t="s">
        <v>69</v>
      </c>
      <c r="B4" s="306">
        <v>35.72</v>
      </c>
      <c r="C4" s="306">
        <v>0</v>
      </c>
      <c r="D4" s="306">
        <v>64.27</v>
      </c>
      <c r="E4" s="306">
        <v>0</v>
      </c>
      <c r="F4" s="306">
        <v>0</v>
      </c>
      <c r="G4" s="306">
        <v>0</v>
      </c>
      <c r="H4" s="306">
        <v>0</v>
      </c>
      <c r="I4" s="306">
        <v>0</v>
      </c>
      <c r="J4" s="306">
        <v>0</v>
      </c>
      <c r="K4" s="306">
        <v>0</v>
      </c>
      <c r="L4" s="306">
        <v>0</v>
      </c>
    </row>
    <row r="5" spans="1:12" s="265" customFormat="1" ht="18" customHeight="1" x14ac:dyDescent="0.2">
      <c r="A5" s="266" t="s">
        <v>70</v>
      </c>
      <c r="B5" s="306">
        <v>26.234649335</v>
      </c>
      <c r="C5" s="306">
        <v>3.8559150000000001E-3</v>
      </c>
      <c r="D5" s="306">
        <v>73.758930496999994</v>
      </c>
      <c r="E5" s="306">
        <v>2.8288929999999999E-3</v>
      </c>
      <c r="F5" s="306">
        <v>9.9999999999999995E-7</v>
      </c>
      <c r="G5" s="306">
        <v>0</v>
      </c>
      <c r="H5" s="306">
        <v>8.4999999999999994E-8</v>
      </c>
      <c r="I5" s="306">
        <v>0</v>
      </c>
      <c r="J5" s="306">
        <v>0</v>
      </c>
      <c r="K5" s="306">
        <v>0</v>
      </c>
      <c r="L5" s="306">
        <v>4.01E-7</v>
      </c>
    </row>
    <row r="6" spans="1:12" s="265" customFormat="1" ht="18" customHeight="1" x14ac:dyDescent="0.2">
      <c r="A6" s="266" t="s">
        <v>156</v>
      </c>
      <c r="B6" s="306">
        <v>30.25</v>
      </c>
      <c r="C6" s="306">
        <v>0.01</v>
      </c>
      <c r="D6" s="306">
        <v>69.73</v>
      </c>
      <c r="E6" s="306">
        <v>0</v>
      </c>
      <c r="F6" s="306">
        <v>0</v>
      </c>
      <c r="G6" s="306">
        <v>0</v>
      </c>
      <c r="H6" s="306">
        <v>0</v>
      </c>
      <c r="I6" s="306">
        <v>0</v>
      </c>
      <c r="J6" s="306">
        <v>0</v>
      </c>
      <c r="K6" s="306">
        <v>0</v>
      </c>
      <c r="L6" s="306">
        <v>0</v>
      </c>
    </row>
    <row r="7" spans="1:12" s="265" customFormat="1" ht="18" customHeight="1" x14ac:dyDescent="0.2">
      <c r="A7" s="266" t="s">
        <v>157</v>
      </c>
      <c r="B7" s="306">
        <v>26.34</v>
      </c>
      <c r="C7" s="306">
        <v>0</v>
      </c>
      <c r="D7" s="306">
        <v>73.650000000000006</v>
      </c>
      <c r="E7" s="306">
        <v>0</v>
      </c>
      <c r="F7" s="306">
        <v>0</v>
      </c>
      <c r="G7" s="306">
        <v>0</v>
      </c>
      <c r="H7" s="306">
        <v>0</v>
      </c>
      <c r="I7" s="306">
        <v>0</v>
      </c>
      <c r="J7" s="306">
        <v>0</v>
      </c>
      <c r="K7" s="306">
        <v>0</v>
      </c>
      <c r="L7" s="306">
        <v>0</v>
      </c>
    </row>
    <row r="8" spans="1:12" s="265" customFormat="1" ht="18" customHeight="1" x14ac:dyDescent="0.2">
      <c r="A8" s="266" t="s">
        <v>158</v>
      </c>
      <c r="B8" s="306">
        <v>25.337620007999998</v>
      </c>
      <c r="C8" s="306">
        <v>3.4237590000000002E-3</v>
      </c>
      <c r="D8" s="306">
        <v>74.655378354999996</v>
      </c>
      <c r="E8" s="306">
        <v>3.5769790000000001E-3</v>
      </c>
      <c r="F8" s="306">
        <v>8.9800000000000002E-7</v>
      </c>
      <c r="G8" s="306">
        <v>0</v>
      </c>
      <c r="H8" s="306">
        <v>0</v>
      </c>
      <c r="I8" s="306">
        <v>0</v>
      </c>
      <c r="J8" s="306">
        <v>0</v>
      </c>
      <c r="K8" s="306">
        <v>0</v>
      </c>
      <c r="L8" s="306">
        <v>0</v>
      </c>
    </row>
    <row r="9" spans="1:12" s="265" customFormat="1" ht="18" customHeight="1" x14ac:dyDescent="0.2">
      <c r="A9" s="266" t="s">
        <v>159</v>
      </c>
      <c r="B9" s="306">
        <v>23.626187243</v>
      </c>
      <c r="C9" s="306">
        <v>3.2891800000000001E-3</v>
      </c>
      <c r="D9" s="306">
        <v>76.366885436999993</v>
      </c>
      <c r="E9" s="306">
        <v>3.6381400000000002E-3</v>
      </c>
      <c r="F9" s="306">
        <v>0</v>
      </c>
      <c r="G9" s="306">
        <v>0</v>
      </c>
      <c r="H9" s="306">
        <v>0</v>
      </c>
      <c r="I9" s="306">
        <v>0</v>
      </c>
      <c r="J9" s="306">
        <v>0</v>
      </c>
      <c r="K9" s="306">
        <v>0</v>
      </c>
      <c r="L9" s="306">
        <v>0</v>
      </c>
    </row>
    <row r="10" spans="1:12" s="265" customFormat="1" ht="18" customHeight="1" x14ac:dyDescent="0.2">
      <c r="A10" s="266" t="s">
        <v>160</v>
      </c>
      <c r="B10" s="306">
        <v>19.686849950999999</v>
      </c>
      <c r="C10" s="306">
        <v>2.105226E-3</v>
      </c>
      <c r="D10" s="306">
        <v>80.307406336</v>
      </c>
      <c r="E10" s="306">
        <v>3.637454E-3</v>
      </c>
      <c r="F10" s="306">
        <v>0</v>
      </c>
      <c r="G10" s="306">
        <v>0</v>
      </c>
      <c r="H10" s="306">
        <v>0</v>
      </c>
      <c r="I10" s="306">
        <v>0</v>
      </c>
      <c r="J10" s="306">
        <v>0</v>
      </c>
      <c r="K10" s="306">
        <v>0</v>
      </c>
      <c r="L10" s="306">
        <v>1.0330000000000001E-6</v>
      </c>
    </row>
    <row r="11" spans="1:12" s="265" customFormat="1" ht="18" customHeight="1" x14ac:dyDescent="0.2">
      <c r="A11" s="266" t="s">
        <v>161</v>
      </c>
      <c r="B11" s="306">
        <v>23.448892300000001</v>
      </c>
      <c r="C11" s="306">
        <v>4.0538960000000004E-3</v>
      </c>
      <c r="D11" s="306">
        <v>76.543181978999996</v>
      </c>
      <c r="E11" s="306">
        <v>3.8710849999999998E-3</v>
      </c>
      <c r="F11" s="306">
        <v>0</v>
      </c>
      <c r="G11" s="306">
        <v>0</v>
      </c>
      <c r="H11" s="306">
        <v>7.4000000000000001E-7</v>
      </c>
      <c r="I11" s="306">
        <v>0</v>
      </c>
      <c r="J11" s="306">
        <v>0</v>
      </c>
      <c r="K11" s="306">
        <v>0</v>
      </c>
      <c r="L11" s="306">
        <v>0</v>
      </c>
    </row>
    <row r="12" spans="1:12" s="265" customFormat="1" ht="18" customHeight="1" x14ac:dyDescent="0.2">
      <c r="A12" s="266" t="s">
        <v>162</v>
      </c>
      <c r="B12" s="306">
        <v>27.197964648999999</v>
      </c>
      <c r="C12" s="306">
        <v>3.5405079999999999E-3</v>
      </c>
      <c r="D12" s="306">
        <v>72.794700724999998</v>
      </c>
      <c r="E12" s="306">
        <v>3.7924429999999999E-3</v>
      </c>
      <c r="F12" s="306">
        <v>0</v>
      </c>
      <c r="G12" s="306">
        <v>0</v>
      </c>
      <c r="H12" s="306">
        <v>0</v>
      </c>
      <c r="I12" s="306">
        <v>0</v>
      </c>
      <c r="J12" s="306">
        <v>0</v>
      </c>
      <c r="K12" s="306">
        <v>0</v>
      </c>
      <c r="L12" s="306">
        <v>1.6750000000000001E-6</v>
      </c>
    </row>
    <row r="13" spans="1:12" s="265" customFormat="1" ht="18" customHeight="1" x14ac:dyDescent="0.2">
      <c r="A13" s="266" t="s">
        <v>163</v>
      </c>
      <c r="B13" s="306">
        <v>22.620128137999998</v>
      </c>
      <c r="C13" s="306">
        <v>3.584514E-3</v>
      </c>
      <c r="D13" s="306">
        <v>77.371458004999994</v>
      </c>
      <c r="E13" s="306">
        <v>4.8293429999999998E-3</v>
      </c>
      <c r="F13" s="306">
        <v>0</v>
      </c>
      <c r="G13" s="306">
        <v>0</v>
      </c>
      <c r="H13" s="306">
        <v>0</v>
      </c>
      <c r="I13" s="306">
        <v>0</v>
      </c>
      <c r="J13" s="306">
        <v>0</v>
      </c>
      <c r="K13" s="306">
        <v>0</v>
      </c>
      <c r="L13" s="306">
        <v>0</v>
      </c>
    </row>
    <row r="14" spans="1:12" s="265" customFormat="1" ht="18" customHeight="1" x14ac:dyDescent="0.2">
      <c r="A14" s="266" t="s">
        <v>164</v>
      </c>
      <c r="B14" s="306">
        <v>25.050778318999999</v>
      </c>
      <c r="C14" s="306">
        <v>3.413049E-3</v>
      </c>
      <c r="D14" s="306">
        <v>74.945801304</v>
      </c>
      <c r="E14" s="306">
        <v>7.328E-6</v>
      </c>
      <c r="F14" s="306">
        <v>0</v>
      </c>
      <c r="G14" s="306">
        <v>0</v>
      </c>
      <c r="H14" s="306">
        <v>0</v>
      </c>
      <c r="I14" s="306">
        <v>0</v>
      </c>
      <c r="J14" s="306">
        <v>0</v>
      </c>
      <c r="K14" s="306">
        <v>0</v>
      </c>
      <c r="L14" s="306">
        <v>0</v>
      </c>
    </row>
    <row r="15" spans="1:12" s="265" customFormat="1" ht="18" customHeight="1" x14ac:dyDescent="0.2">
      <c r="A15" s="266" t="s">
        <v>165</v>
      </c>
      <c r="B15" s="306">
        <v>22.947570824</v>
      </c>
      <c r="C15" s="306">
        <v>3.631231E-3</v>
      </c>
      <c r="D15" s="306">
        <v>77.048797945000004</v>
      </c>
      <c r="E15" s="306">
        <v>0</v>
      </c>
      <c r="F15" s="306">
        <v>0</v>
      </c>
      <c r="G15" s="306">
        <v>0</v>
      </c>
      <c r="H15" s="306">
        <v>0</v>
      </c>
      <c r="I15" s="306">
        <v>0</v>
      </c>
      <c r="J15" s="306">
        <v>0</v>
      </c>
      <c r="K15" s="306">
        <v>0</v>
      </c>
      <c r="L15" s="306">
        <v>0</v>
      </c>
    </row>
    <row r="16" spans="1:12" s="265" customFormat="1" ht="18" customHeight="1" x14ac:dyDescent="0.2">
      <c r="A16" s="266" t="s">
        <v>166</v>
      </c>
      <c r="B16" s="306">
        <v>34.698538939999999</v>
      </c>
      <c r="C16" s="306">
        <v>4.0234140000000003E-3</v>
      </c>
      <c r="D16" s="306">
        <v>65.297437639999998</v>
      </c>
      <c r="E16" s="306">
        <v>0</v>
      </c>
      <c r="F16" s="306">
        <v>0</v>
      </c>
      <c r="G16" s="306">
        <v>0</v>
      </c>
      <c r="H16" s="306">
        <v>0</v>
      </c>
      <c r="I16" s="306">
        <v>0</v>
      </c>
      <c r="J16" s="306">
        <v>0</v>
      </c>
      <c r="K16" s="306">
        <v>0</v>
      </c>
      <c r="L16" s="306">
        <v>0</v>
      </c>
    </row>
    <row r="17" spans="1:12" s="265" customFormat="1" ht="18" customHeight="1" x14ac:dyDescent="0.2">
      <c r="A17" s="266" t="s">
        <v>167</v>
      </c>
      <c r="B17" s="306">
        <v>34.027807367999998</v>
      </c>
      <c r="C17" s="306">
        <v>3.7256070000000001E-3</v>
      </c>
      <c r="D17" s="306">
        <v>65.968467024999995</v>
      </c>
      <c r="E17" s="306">
        <v>0</v>
      </c>
      <c r="F17" s="306">
        <v>0</v>
      </c>
      <c r="G17" s="306">
        <v>0</v>
      </c>
      <c r="H17" s="306">
        <v>0</v>
      </c>
      <c r="I17" s="306">
        <v>0</v>
      </c>
      <c r="J17" s="306">
        <v>0</v>
      </c>
      <c r="K17" s="306">
        <v>0</v>
      </c>
      <c r="L17" s="306">
        <v>0</v>
      </c>
    </row>
    <row r="18" spans="1:12" s="265" customFormat="1" ht="14.25" customHeight="1" x14ac:dyDescent="0.2">
      <c r="A18" s="373" t="s">
        <v>106</v>
      </c>
      <c r="B18" s="373"/>
      <c r="C18" s="373"/>
      <c r="D18" s="373"/>
    </row>
    <row r="19" spans="1:12" s="265" customFormat="1" ht="13.5" customHeight="1" x14ac:dyDescent="0.2">
      <c r="A19" s="373" t="s">
        <v>450</v>
      </c>
      <c r="B19" s="373"/>
      <c r="C19" s="373"/>
      <c r="D19" s="373"/>
    </row>
    <row r="20" spans="1:12" s="265" customFormat="1" ht="28.35" customHeight="1" x14ac:dyDescent="0.2"/>
  </sheetData>
  <mergeCells count="4">
    <mergeCell ref="A1:K1"/>
    <mergeCell ref="A2:K2"/>
    <mergeCell ref="A18:D18"/>
    <mergeCell ref="A19:D19"/>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L21"/>
  <sheetViews>
    <sheetView workbookViewId="0">
      <selection sqref="A1:L1"/>
    </sheetView>
  </sheetViews>
  <sheetFormatPr defaultRowHeight="12.75" x14ac:dyDescent="0.2"/>
  <cols>
    <col min="1" max="11" width="14.7109375" style="262" bestFit="1" customWidth="1"/>
    <col min="12" max="12" width="15" style="262" bestFit="1" customWidth="1"/>
    <col min="13" max="13" width="4.7109375" style="262" bestFit="1" customWidth="1"/>
    <col min="14" max="256" width="9.140625" style="262"/>
    <col min="257" max="267" width="14.7109375" style="262" bestFit="1" customWidth="1"/>
    <col min="268" max="268" width="15" style="262" bestFit="1" customWidth="1"/>
    <col min="269" max="269" width="4.7109375" style="262" bestFit="1" customWidth="1"/>
    <col min="270" max="512" width="9.140625" style="262"/>
    <col min="513" max="523" width="14.7109375" style="262" bestFit="1" customWidth="1"/>
    <col min="524" max="524" width="15" style="262" bestFit="1" customWidth="1"/>
    <col min="525" max="525" width="4.7109375" style="262" bestFit="1" customWidth="1"/>
    <col min="526" max="768" width="9.140625" style="262"/>
    <col min="769" max="779" width="14.7109375" style="262" bestFit="1" customWidth="1"/>
    <col min="780" max="780" width="15" style="262" bestFit="1" customWidth="1"/>
    <col min="781" max="781" width="4.7109375" style="262" bestFit="1" customWidth="1"/>
    <col min="782" max="1024" width="9.140625" style="262"/>
    <col min="1025" max="1035" width="14.7109375" style="262" bestFit="1" customWidth="1"/>
    <col min="1036" max="1036" width="15" style="262" bestFit="1" customWidth="1"/>
    <col min="1037" max="1037" width="4.7109375" style="262" bestFit="1" customWidth="1"/>
    <col min="1038" max="1280" width="9.140625" style="262"/>
    <col min="1281" max="1291" width="14.7109375" style="262" bestFit="1" customWidth="1"/>
    <col min="1292" max="1292" width="15" style="262" bestFit="1" customWidth="1"/>
    <col min="1293" max="1293" width="4.7109375" style="262" bestFit="1" customWidth="1"/>
    <col min="1294" max="1536" width="9.140625" style="262"/>
    <col min="1537" max="1547" width="14.7109375" style="262" bestFit="1" customWidth="1"/>
    <col min="1548" max="1548" width="15" style="262" bestFit="1" customWidth="1"/>
    <col min="1549" max="1549" width="4.7109375" style="262" bestFit="1" customWidth="1"/>
    <col min="1550" max="1792" width="9.140625" style="262"/>
    <col min="1793" max="1803" width="14.7109375" style="262" bestFit="1" customWidth="1"/>
    <col min="1804" max="1804" width="15" style="262" bestFit="1" customWidth="1"/>
    <col min="1805" max="1805" width="4.7109375" style="262" bestFit="1" customWidth="1"/>
    <col min="1806" max="2048" width="9.140625" style="262"/>
    <col min="2049" max="2059" width="14.7109375" style="262" bestFit="1" customWidth="1"/>
    <col min="2060" max="2060" width="15" style="262" bestFit="1" customWidth="1"/>
    <col min="2061" max="2061" width="4.7109375" style="262" bestFit="1" customWidth="1"/>
    <col min="2062" max="2304" width="9.140625" style="262"/>
    <col min="2305" max="2315" width="14.7109375" style="262" bestFit="1" customWidth="1"/>
    <col min="2316" max="2316" width="15" style="262" bestFit="1" customWidth="1"/>
    <col min="2317" max="2317" width="4.7109375" style="262" bestFit="1" customWidth="1"/>
    <col min="2318" max="2560" width="9.140625" style="262"/>
    <col min="2561" max="2571" width="14.7109375" style="262" bestFit="1" customWidth="1"/>
    <col min="2572" max="2572" width="15" style="262" bestFit="1" customWidth="1"/>
    <col min="2573" max="2573" width="4.7109375" style="262" bestFit="1" customWidth="1"/>
    <col min="2574" max="2816" width="9.140625" style="262"/>
    <col min="2817" max="2827" width="14.7109375" style="262" bestFit="1" customWidth="1"/>
    <col min="2828" max="2828" width="15" style="262" bestFit="1" customWidth="1"/>
    <col min="2829" max="2829" width="4.7109375" style="262" bestFit="1" customWidth="1"/>
    <col min="2830" max="3072" width="9.140625" style="262"/>
    <col min="3073" max="3083" width="14.7109375" style="262" bestFit="1" customWidth="1"/>
    <col min="3084" max="3084" width="15" style="262" bestFit="1" customWidth="1"/>
    <col min="3085" max="3085" width="4.7109375" style="262" bestFit="1" customWidth="1"/>
    <col min="3086" max="3328" width="9.140625" style="262"/>
    <col min="3329" max="3339" width="14.7109375" style="262" bestFit="1" customWidth="1"/>
    <col min="3340" max="3340" width="15" style="262" bestFit="1" customWidth="1"/>
    <col min="3341" max="3341" width="4.7109375" style="262" bestFit="1" customWidth="1"/>
    <col min="3342" max="3584" width="9.140625" style="262"/>
    <col min="3585" max="3595" width="14.7109375" style="262" bestFit="1" customWidth="1"/>
    <col min="3596" max="3596" width="15" style="262" bestFit="1" customWidth="1"/>
    <col min="3597" max="3597" width="4.7109375" style="262" bestFit="1" customWidth="1"/>
    <col min="3598" max="3840" width="9.140625" style="262"/>
    <col min="3841" max="3851" width="14.7109375" style="262" bestFit="1" customWidth="1"/>
    <col min="3852" max="3852" width="15" style="262" bestFit="1" customWidth="1"/>
    <col min="3853" max="3853" width="4.7109375" style="262" bestFit="1" customWidth="1"/>
    <col min="3854" max="4096" width="9.140625" style="262"/>
    <col min="4097" max="4107" width="14.7109375" style="262" bestFit="1" customWidth="1"/>
    <col min="4108" max="4108" width="15" style="262" bestFit="1" customWidth="1"/>
    <col min="4109" max="4109" width="4.7109375" style="262" bestFit="1" customWidth="1"/>
    <col min="4110" max="4352" width="9.140625" style="262"/>
    <col min="4353" max="4363" width="14.7109375" style="262" bestFit="1" customWidth="1"/>
    <col min="4364" max="4364" width="15" style="262" bestFit="1" customWidth="1"/>
    <col min="4365" max="4365" width="4.7109375" style="262" bestFit="1" customWidth="1"/>
    <col min="4366" max="4608" width="9.140625" style="262"/>
    <col min="4609" max="4619" width="14.7109375" style="262" bestFit="1" customWidth="1"/>
    <col min="4620" max="4620" width="15" style="262" bestFit="1" customWidth="1"/>
    <col min="4621" max="4621" width="4.7109375" style="262" bestFit="1" customWidth="1"/>
    <col min="4622" max="4864" width="9.140625" style="262"/>
    <col min="4865" max="4875" width="14.7109375" style="262" bestFit="1" customWidth="1"/>
    <col min="4876" max="4876" width="15" style="262" bestFit="1" customWidth="1"/>
    <col min="4877" max="4877" width="4.7109375" style="262" bestFit="1" customWidth="1"/>
    <col min="4878" max="5120" width="9.140625" style="262"/>
    <col min="5121" max="5131" width="14.7109375" style="262" bestFit="1" customWidth="1"/>
    <col min="5132" max="5132" width="15" style="262" bestFit="1" customWidth="1"/>
    <col min="5133" max="5133" width="4.7109375" style="262" bestFit="1" customWidth="1"/>
    <col min="5134" max="5376" width="9.140625" style="262"/>
    <col min="5377" max="5387" width="14.7109375" style="262" bestFit="1" customWidth="1"/>
    <col min="5388" max="5388" width="15" style="262" bestFit="1" customWidth="1"/>
    <col min="5389" max="5389" width="4.7109375" style="262" bestFit="1" customWidth="1"/>
    <col min="5390" max="5632" width="9.140625" style="262"/>
    <col min="5633" max="5643" width="14.7109375" style="262" bestFit="1" customWidth="1"/>
    <col min="5644" max="5644" width="15" style="262" bestFit="1" customWidth="1"/>
    <col min="5645" max="5645" width="4.7109375" style="262" bestFit="1" customWidth="1"/>
    <col min="5646" max="5888" width="9.140625" style="262"/>
    <col min="5889" max="5899" width="14.7109375" style="262" bestFit="1" customWidth="1"/>
    <col min="5900" max="5900" width="15" style="262" bestFit="1" customWidth="1"/>
    <col min="5901" max="5901" width="4.7109375" style="262" bestFit="1" customWidth="1"/>
    <col min="5902" max="6144" width="9.140625" style="262"/>
    <col min="6145" max="6155" width="14.7109375" style="262" bestFit="1" customWidth="1"/>
    <col min="6156" max="6156" width="15" style="262" bestFit="1" customWidth="1"/>
    <col min="6157" max="6157" width="4.7109375" style="262" bestFit="1" customWidth="1"/>
    <col min="6158" max="6400" width="9.140625" style="262"/>
    <col min="6401" max="6411" width="14.7109375" style="262" bestFit="1" customWidth="1"/>
    <col min="6412" max="6412" width="15" style="262" bestFit="1" customWidth="1"/>
    <col min="6413" max="6413" width="4.7109375" style="262" bestFit="1" customWidth="1"/>
    <col min="6414" max="6656" width="9.140625" style="262"/>
    <col min="6657" max="6667" width="14.7109375" style="262" bestFit="1" customWidth="1"/>
    <col min="6668" max="6668" width="15" style="262" bestFit="1" customWidth="1"/>
    <col min="6669" max="6669" width="4.7109375" style="262" bestFit="1" customWidth="1"/>
    <col min="6670" max="6912" width="9.140625" style="262"/>
    <col min="6913" max="6923" width="14.7109375" style="262" bestFit="1" customWidth="1"/>
    <col min="6924" max="6924" width="15" style="262" bestFit="1" customWidth="1"/>
    <col min="6925" max="6925" width="4.7109375" style="262" bestFit="1" customWidth="1"/>
    <col min="6926" max="7168" width="9.140625" style="262"/>
    <col min="7169" max="7179" width="14.7109375" style="262" bestFit="1" customWidth="1"/>
    <col min="7180" max="7180" width="15" style="262" bestFit="1" customWidth="1"/>
    <col min="7181" max="7181" width="4.7109375" style="262" bestFit="1" customWidth="1"/>
    <col min="7182" max="7424" width="9.140625" style="262"/>
    <col min="7425" max="7435" width="14.7109375" style="262" bestFit="1" customWidth="1"/>
    <col min="7436" max="7436" width="15" style="262" bestFit="1" customWidth="1"/>
    <col min="7437" max="7437" width="4.7109375" style="262" bestFit="1" customWidth="1"/>
    <col min="7438" max="7680" width="9.140625" style="262"/>
    <col min="7681" max="7691" width="14.7109375" style="262" bestFit="1" customWidth="1"/>
    <col min="7692" max="7692" width="15" style="262" bestFit="1" customWidth="1"/>
    <col min="7693" max="7693" width="4.7109375" style="262" bestFit="1" customWidth="1"/>
    <col min="7694" max="7936" width="9.140625" style="262"/>
    <col min="7937" max="7947" width="14.7109375" style="262" bestFit="1" customWidth="1"/>
    <col min="7948" max="7948" width="15" style="262" bestFit="1" customWidth="1"/>
    <col min="7949" max="7949" width="4.7109375" style="262" bestFit="1" customWidth="1"/>
    <col min="7950" max="8192" width="9.140625" style="262"/>
    <col min="8193" max="8203" width="14.7109375" style="262" bestFit="1" customWidth="1"/>
    <col min="8204" max="8204" width="15" style="262" bestFit="1" customWidth="1"/>
    <col min="8205" max="8205" width="4.7109375" style="262" bestFit="1" customWidth="1"/>
    <col min="8206" max="8448" width="9.140625" style="262"/>
    <col min="8449" max="8459" width="14.7109375" style="262" bestFit="1" customWidth="1"/>
    <col min="8460" max="8460" width="15" style="262" bestFit="1" customWidth="1"/>
    <col min="8461" max="8461" width="4.7109375" style="262" bestFit="1" customWidth="1"/>
    <col min="8462" max="8704" width="9.140625" style="262"/>
    <col min="8705" max="8715" width="14.7109375" style="262" bestFit="1" customWidth="1"/>
    <col min="8716" max="8716" width="15" style="262" bestFit="1" customWidth="1"/>
    <col min="8717" max="8717" width="4.7109375" style="262" bestFit="1" customWidth="1"/>
    <col min="8718" max="8960" width="9.140625" style="262"/>
    <col min="8961" max="8971" width="14.7109375" style="262" bestFit="1" customWidth="1"/>
    <col min="8972" max="8972" width="15" style="262" bestFit="1" customWidth="1"/>
    <col min="8973" max="8973" width="4.7109375" style="262" bestFit="1" customWidth="1"/>
    <col min="8974" max="9216" width="9.140625" style="262"/>
    <col min="9217" max="9227" width="14.7109375" style="262" bestFit="1" customWidth="1"/>
    <col min="9228" max="9228" width="15" style="262" bestFit="1" customWidth="1"/>
    <col min="9229" max="9229" width="4.7109375" style="262" bestFit="1" customWidth="1"/>
    <col min="9230" max="9472" width="9.140625" style="262"/>
    <col min="9473" max="9483" width="14.7109375" style="262" bestFit="1" customWidth="1"/>
    <col min="9484" max="9484" width="15" style="262" bestFit="1" customWidth="1"/>
    <col min="9485" max="9485" width="4.7109375" style="262" bestFit="1" customWidth="1"/>
    <col min="9486" max="9728" width="9.140625" style="262"/>
    <col min="9729" max="9739" width="14.7109375" style="262" bestFit="1" customWidth="1"/>
    <col min="9740" max="9740" width="15" style="262" bestFit="1" customWidth="1"/>
    <col min="9741" max="9741" width="4.7109375" style="262" bestFit="1" customWidth="1"/>
    <col min="9742" max="9984" width="9.140625" style="262"/>
    <col min="9985" max="9995" width="14.7109375" style="262" bestFit="1" customWidth="1"/>
    <col min="9996" max="9996" width="15" style="262" bestFit="1" customWidth="1"/>
    <col min="9997" max="9997" width="4.7109375" style="262" bestFit="1" customWidth="1"/>
    <col min="9998" max="10240" width="9.140625" style="262"/>
    <col min="10241" max="10251" width="14.7109375" style="262" bestFit="1" customWidth="1"/>
    <col min="10252" max="10252" width="15" style="262" bestFit="1" customWidth="1"/>
    <col min="10253" max="10253" width="4.7109375" style="262" bestFit="1" customWidth="1"/>
    <col min="10254" max="10496" width="9.140625" style="262"/>
    <col min="10497" max="10507" width="14.7109375" style="262" bestFit="1" customWidth="1"/>
    <col min="10508" max="10508" width="15" style="262" bestFit="1" customWidth="1"/>
    <col min="10509" max="10509" width="4.7109375" style="262" bestFit="1" customWidth="1"/>
    <col min="10510" max="10752" width="9.140625" style="262"/>
    <col min="10753" max="10763" width="14.7109375" style="262" bestFit="1" customWidth="1"/>
    <col min="10764" max="10764" width="15" style="262" bestFit="1" customWidth="1"/>
    <col min="10765" max="10765" width="4.7109375" style="262" bestFit="1" customWidth="1"/>
    <col min="10766" max="11008" width="9.140625" style="262"/>
    <col min="11009" max="11019" width="14.7109375" style="262" bestFit="1" customWidth="1"/>
    <col min="11020" max="11020" width="15" style="262" bestFit="1" customWidth="1"/>
    <col min="11021" max="11021" width="4.7109375" style="262" bestFit="1" customWidth="1"/>
    <col min="11022" max="11264" width="9.140625" style="262"/>
    <col min="11265" max="11275" width="14.7109375" style="262" bestFit="1" customWidth="1"/>
    <col min="11276" max="11276" width="15" style="262" bestFit="1" customWidth="1"/>
    <col min="11277" max="11277" width="4.7109375" style="262" bestFit="1" customWidth="1"/>
    <col min="11278" max="11520" width="9.140625" style="262"/>
    <col min="11521" max="11531" width="14.7109375" style="262" bestFit="1" customWidth="1"/>
    <col min="11532" max="11532" width="15" style="262" bestFit="1" customWidth="1"/>
    <col min="11533" max="11533" width="4.7109375" style="262" bestFit="1" customWidth="1"/>
    <col min="11534" max="11776" width="9.140625" style="262"/>
    <col min="11777" max="11787" width="14.7109375" style="262" bestFit="1" customWidth="1"/>
    <col min="11788" max="11788" width="15" style="262" bestFit="1" customWidth="1"/>
    <col min="11789" max="11789" width="4.7109375" style="262" bestFit="1" customWidth="1"/>
    <col min="11790" max="12032" width="9.140625" style="262"/>
    <col min="12033" max="12043" width="14.7109375" style="262" bestFit="1" customWidth="1"/>
    <col min="12044" max="12044" width="15" style="262" bestFit="1" customWidth="1"/>
    <col min="12045" max="12045" width="4.7109375" style="262" bestFit="1" customWidth="1"/>
    <col min="12046" max="12288" width="9.140625" style="262"/>
    <col min="12289" max="12299" width="14.7109375" style="262" bestFit="1" customWidth="1"/>
    <col min="12300" max="12300" width="15" style="262" bestFit="1" customWidth="1"/>
    <col min="12301" max="12301" width="4.7109375" style="262" bestFit="1" customWidth="1"/>
    <col min="12302" max="12544" width="9.140625" style="262"/>
    <col min="12545" max="12555" width="14.7109375" style="262" bestFit="1" customWidth="1"/>
    <col min="12556" max="12556" width="15" style="262" bestFit="1" customWidth="1"/>
    <col min="12557" max="12557" width="4.7109375" style="262" bestFit="1" customWidth="1"/>
    <col min="12558" max="12800" width="9.140625" style="262"/>
    <col min="12801" max="12811" width="14.7109375" style="262" bestFit="1" customWidth="1"/>
    <col min="12812" max="12812" width="15" style="262" bestFit="1" customWidth="1"/>
    <col min="12813" max="12813" width="4.7109375" style="262" bestFit="1" customWidth="1"/>
    <col min="12814" max="13056" width="9.140625" style="262"/>
    <col min="13057" max="13067" width="14.7109375" style="262" bestFit="1" customWidth="1"/>
    <col min="13068" max="13068" width="15" style="262" bestFit="1" customWidth="1"/>
    <col min="13069" max="13069" width="4.7109375" style="262" bestFit="1" customWidth="1"/>
    <col min="13070" max="13312" width="9.140625" style="262"/>
    <col min="13313" max="13323" width="14.7109375" style="262" bestFit="1" customWidth="1"/>
    <col min="13324" max="13324" width="15" style="262" bestFit="1" customWidth="1"/>
    <col min="13325" max="13325" width="4.7109375" style="262" bestFit="1" customWidth="1"/>
    <col min="13326" max="13568" width="9.140625" style="262"/>
    <col min="13569" max="13579" width="14.7109375" style="262" bestFit="1" customWidth="1"/>
    <col min="13580" max="13580" width="15" style="262" bestFit="1" customWidth="1"/>
    <col min="13581" max="13581" width="4.7109375" style="262" bestFit="1" customWidth="1"/>
    <col min="13582" max="13824" width="9.140625" style="262"/>
    <col min="13825" max="13835" width="14.7109375" style="262" bestFit="1" customWidth="1"/>
    <col min="13836" max="13836" width="15" style="262" bestFit="1" customWidth="1"/>
    <col min="13837" max="13837" width="4.7109375" style="262" bestFit="1" customWidth="1"/>
    <col min="13838" max="14080" width="9.140625" style="262"/>
    <col min="14081" max="14091" width="14.7109375" style="262" bestFit="1" customWidth="1"/>
    <col min="14092" max="14092" width="15" style="262" bestFit="1" customWidth="1"/>
    <col min="14093" max="14093" width="4.7109375" style="262" bestFit="1" customWidth="1"/>
    <col min="14094" max="14336" width="9.140625" style="262"/>
    <col min="14337" max="14347" width="14.7109375" style="262" bestFit="1" customWidth="1"/>
    <col min="14348" max="14348" width="15" style="262" bestFit="1" customWidth="1"/>
    <col min="14349" max="14349" width="4.7109375" style="262" bestFit="1" customWidth="1"/>
    <col min="14350" max="14592" width="9.140625" style="262"/>
    <col min="14593" max="14603" width="14.7109375" style="262" bestFit="1" customWidth="1"/>
    <col min="14604" max="14604" width="15" style="262" bestFit="1" customWidth="1"/>
    <col min="14605" max="14605" width="4.7109375" style="262" bestFit="1" customWidth="1"/>
    <col min="14606" max="14848" width="9.140625" style="262"/>
    <col min="14849" max="14859" width="14.7109375" style="262" bestFit="1" customWidth="1"/>
    <col min="14860" max="14860" width="15" style="262" bestFit="1" customWidth="1"/>
    <col min="14861" max="14861" width="4.7109375" style="262" bestFit="1" customWidth="1"/>
    <col min="14862" max="15104" width="9.140625" style="262"/>
    <col min="15105" max="15115" width="14.7109375" style="262" bestFit="1" customWidth="1"/>
    <col min="15116" max="15116" width="15" style="262" bestFit="1" customWidth="1"/>
    <col min="15117" max="15117" width="4.7109375" style="262" bestFit="1" customWidth="1"/>
    <col min="15118" max="15360" width="9.140625" style="262"/>
    <col min="15361" max="15371" width="14.7109375" style="262" bestFit="1" customWidth="1"/>
    <col min="15372" max="15372" width="15" style="262" bestFit="1" customWidth="1"/>
    <col min="15373" max="15373" width="4.7109375" style="262" bestFit="1" customWidth="1"/>
    <col min="15374" max="15616" width="9.140625" style="262"/>
    <col min="15617" max="15627" width="14.7109375" style="262" bestFit="1" customWidth="1"/>
    <col min="15628" max="15628" width="15" style="262" bestFit="1" customWidth="1"/>
    <col min="15629" max="15629" width="4.7109375" style="262" bestFit="1" customWidth="1"/>
    <col min="15630" max="15872" width="9.140625" style="262"/>
    <col min="15873" max="15883" width="14.7109375" style="262" bestFit="1" customWidth="1"/>
    <col min="15884" max="15884" width="15" style="262" bestFit="1" customWidth="1"/>
    <col min="15885" max="15885" width="4.7109375" style="262" bestFit="1" customWidth="1"/>
    <col min="15886" max="16128" width="9.140625" style="262"/>
    <col min="16129" max="16139" width="14.7109375" style="262" bestFit="1" customWidth="1"/>
    <col min="16140" max="16140" width="15" style="262" bestFit="1" customWidth="1"/>
    <col min="16141" max="16141" width="4.7109375" style="262" bestFit="1" customWidth="1"/>
    <col min="16142" max="16384" width="9.140625" style="262"/>
  </cols>
  <sheetData>
    <row r="1" spans="1:12" ht="16.5" customHeight="1" x14ac:dyDescent="0.2">
      <c r="A1" s="385" t="s">
        <v>44</v>
      </c>
      <c r="B1" s="385"/>
      <c r="C1" s="385"/>
      <c r="D1" s="385"/>
      <c r="E1" s="385"/>
      <c r="F1" s="385"/>
      <c r="G1" s="385"/>
      <c r="H1" s="385"/>
      <c r="I1" s="385"/>
      <c r="J1" s="385"/>
      <c r="K1" s="385"/>
      <c r="L1" s="385"/>
    </row>
    <row r="2" spans="1:12" s="265" customFormat="1" ht="15" customHeight="1" x14ac:dyDescent="0.2">
      <c r="A2" s="363" t="s">
        <v>184</v>
      </c>
      <c r="B2" s="355" t="s">
        <v>285</v>
      </c>
      <c r="C2" s="432" t="s">
        <v>565</v>
      </c>
      <c r="D2" s="433"/>
      <c r="E2" s="375" t="s">
        <v>566</v>
      </c>
      <c r="F2" s="376"/>
      <c r="G2" s="376"/>
      <c r="H2" s="377"/>
      <c r="I2" s="432" t="s">
        <v>150</v>
      </c>
      <c r="J2" s="433"/>
      <c r="K2" s="436" t="s">
        <v>567</v>
      </c>
      <c r="L2" s="437"/>
    </row>
    <row r="3" spans="1:12" s="265" customFormat="1" ht="15" customHeight="1" x14ac:dyDescent="0.2">
      <c r="A3" s="364"/>
      <c r="B3" s="423"/>
      <c r="C3" s="434"/>
      <c r="D3" s="435"/>
      <c r="E3" s="375" t="s">
        <v>525</v>
      </c>
      <c r="F3" s="377"/>
      <c r="G3" s="375" t="s">
        <v>526</v>
      </c>
      <c r="H3" s="377"/>
      <c r="I3" s="434"/>
      <c r="J3" s="435"/>
      <c r="K3" s="438"/>
      <c r="L3" s="439"/>
    </row>
    <row r="4" spans="1:12" s="265" customFormat="1" ht="27" customHeight="1" x14ac:dyDescent="0.2">
      <c r="A4" s="365"/>
      <c r="B4" s="356"/>
      <c r="C4" s="299" t="s">
        <v>568</v>
      </c>
      <c r="D4" s="287" t="s">
        <v>288</v>
      </c>
      <c r="E4" s="299" t="s">
        <v>568</v>
      </c>
      <c r="F4" s="287" t="s">
        <v>288</v>
      </c>
      <c r="G4" s="299" t="s">
        <v>569</v>
      </c>
      <c r="H4" s="287" t="s">
        <v>288</v>
      </c>
      <c r="I4" s="299" t="s">
        <v>568</v>
      </c>
      <c r="J4" s="287" t="s">
        <v>288</v>
      </c>
      <c r="K4" s="299" t="s">
        <v>569</v>
      </c>
      <c r="L4" s="332" t="s">
        <v>570</v>
      </c>
    </row>
    <row r="5" spans="1:12" s="265" customFormat="1" ht="18" customHeight="1" x14ac:dyDescent="0.2">
      <c r="A5" s="266" t="s">
        <v>69</v>
      </c>
      <c r="B5" s="271">
        <v>242</v>
      </c>
      <c r="C5" s="301">
        <v>307657074</v>
      </c>
      <c r="D5" s="290">
        <v>1993289.6780999999</v>
      </c>
      <c r="E5" s="301">
        <v>129411173</v>
      </c>
      <c r="F5" s="290">
        <v>849930.62390000001</v>
      </c>
      <c r="G5" s="301">
        <v>253165612</v>
      </c>
      <c r="H5" s="290">
        <v>1593210.2424000001</v>
      </c>
      <c r="I5" s="301">
        <v>690233859</v>
      </c>
      <c r="J5" s="290">
        <v>4436430.4301000005</v>
      </c>
      <c r="K5" s="290">
        <v>902208</v>
      </c>
      <c r="L5" s="283">
        <v>5918.9469029800002</v>
      </c>
    </row>
    <row r="6" spans="1:12" s="265" customFormat="1" ht="18" customHeight="1" x14ac:dyDescent="0.2">
      <c r="A6" s="266" t="s">
        <v>70</v>
      </c>
      <c r="B6" s="271">
        <v>243</v>
      </c>
      <c r="C6" s="301">
        <v>456884165</v>
      </c>
      <c r="D6" s="290">
        <v>3206488.5554999998</v>
      </c>
      <c r="E6" s="301">
        <v>241869262</v>
      </c>
      <c r="F6" s="290">
        <v>1719119.8917</v>
      </c>
      <c r="G6" s="301">
        <v>353698730</v>
      </c>
      <c r="H6" s="290">
        <v>2426665.9497000002</v>
      </c>
      <c r="I6" s="329">
        <v>1052452157</v>
      </c>
      <c r="J6" s="290">
        <v>7352274.3969000001</v>
      </c>
      <c r="K6" s="290">
        <v>712162</v>
      </c>
      <c r="L6" s="283">
        <v>4929.4030998600001</v>
      </c>
    </row>
    <row r="7" spans="1:12" s="265" customFormat="1" ht="18" customHeight="1" x14ac:dyDescent="0.2">
      <c r="A7" s="266" t="s">
        <v>156</v>
      </c>
      <c r="B7" s="271">
        <v>19</v>
      </c>
      <c r="C7" s="301">
        <v>30952221</v>
      </c>
      <c r="D7" s="290">
        <v>204764.53839999999</v>
      </c>
      <c r="E7" s="301">
        <v>18771032</v>
      </c>
      <c r="F7" s="290">
        <v>125269.7264</v>
      </c>
      <c r="G7" s="301">
        <v>27736861</v>
      </c>
      <c r="H7" s="290">
        <v>179927.3094</v>
      </c>
      <c r="I7" s="301">
        <v>77460114</v>
      </c>
      <c r="J7" s="290">
        <v>509961.57419999997</v>
      </c>
      <c r="K7" s="290">
        <v>1201971</v>
      </c>
      <c r="L7" s="283">
        <v>8074.2157547899997</v>
      </c>
    </row>
    <row r="8" spans="1:12" s="265" customFormat="1" ht="18" customHeight="1" x14ac:dyDescent="0.2">
      <c r="A8" s="266" t="s">
        <v>157</v>
      </c>
      <c r="B8" s="271">
        <v>22</v>
      </c>
      <c r="C8" s="301">
        <v>42674267</v>
      </c>
      <c r="D8" s="290">
        <v>289561.41609999997</v>
      </c>
      <c r="E8" s="301">
        <v>28817134</v>
      </c>
      <c r="F8" s="290">
        <v>198632.12479999999</v>
      </c>
      <c r="G8" s="301">
        <v>36317492</v>
      </c>
      <c r="H8" s="290">
        <v>240274.9235</v>
      </c>
      <c r="I8" s="301">
        <v>107808893</v>
      </c>
      <c r="J8" s="290">
        <v>728468.46440000006</v>
      </c>
      <c r="K8" s="290">
        <v>1380015</v>
      </c>
      <c r="L8" s="283">
        <v>9320.8138547399994</v>
      </c>
    </row>
    <row r="9" spans="1:12" s="265" customFormat="1" ht="18" customHeight="1" x14ac:dyDescent="0.2">
      <c r="A9" s="266" t="s">
        <v>158</v>
      </c>
      <c r="B9" s="271">
        <v>21</v>
      </c>
      <c r="C9" s="301">
        <v>45978940</v>
      </c>
      <c r="D9" s="290">
        <v>312995.4816</v>
      </c>
      <c r="E9" s="301">
        <v>25069692</v>
      </c>
      <c r="F9" s="290">
        <v>173561.3646</v>
      </c>
      <c r="G9" s="301">
        <v>34044225</v>
      </c>
      <c r="H9" s="290">
        <v>227128.2806</v>
      </c>
      <c r="I9" s="301">
        <v>105092857</v>
      </c>
      <c r="J9" s="290">
        <v>713685.12679999997</v>
      </c>
      <c r="K9" s="290">
        <v>1287083</v>
      </c>
      <c r="L9" s="283">
        <v>8836.3755063299996</v>
      </c>
    </row>
    <row r="10" spans="1:12" s="265" customFormat="1" ht="18" customHeight="1" x14ac:dyDescent="0.2">
      <c r="A10" s="266" t="s">
        <v>159</v>
      </c>
      <c r="B10" s="271">
        <v>22</v>
      </c>
      <c r="C10" s="301">
        <v>37207835</v>
      </c>
      <c r="D10" s="290">
        <v>256366.2022</v>
      </c>
      <c r="E10" s="301">
        <v>17349707</v>
      </c>
      <c r="F10" s="290">
        <v>121756.0546</v>
      </c>
      <c r="G10" s="301">
        <v>39749432</v>
      </c>
      <c r="H10" s="290">
        <v>267057.88140000001</v>
      </c>
      <c r="I10" s="301">
        <v>94306974</v>
      </c>
      <c r="J10" s="290">
        <v>645180.13820000004</v>
      </c>
      <c r="K10" s="290">
        <v>924938</v>
      </c>
      <c r="L10" s="283">
        <v>6356.2836894299999</v>
      </c>
    </row>
    <row r="11" spans="1:12" s="265" customFormat="1" ht="18" customHeight="1" x14ac:dyDescent="0.2">
      <c r="A11" s="266" t="s">
        <v>160</v>
      </c>
      <c r="B11" s="271">
        <v>20</v>
      </c>
      <c r="C11" s="301">
        <v>41814396</v>
      </c>
      <c r="D11" s="290">
        <v>291775.95640000002</v>
      </c>
      <c r="E11" s="301">
        <v>24071134</v>
      </c>
      <c r="F11" s="290">
        <v>170569.8769</v>
      </c>
      <c r="G11" s="301">
        <v>35916282</v>
      </c>
      <c r="H11" s="290">
        <v>245811.59700000001</v>
      </c>
      <c r="I11" s="301">
        <v>101801812</v>
      </c>
      <c r="J11" s="290">
        <v>708157.43030000001</v>
      </c>
      <c r="K11" s="290">
        <v>1378737</v>
      </c>
      <c r="L11" s="283">
        <v>9792.1349066099992</v>
      </c>
    </row>
    <row r="12" spans="1:12" s="265" customFormat="1" ht="18" customHeight="1" x14ac:dyDescent="0.2">
      <c r="A12" s="266" t="s">
        <v>161</v>
      </c>
      <c r="B12" s="271">
        <v>18</v>
      </c>
      <c r="C12" s="301">
        <v>45790152</v>
      </c>
      <c r="D12" s="290">
        <v>331536.24050000001</v>
      </c>
      <c r="E12" s="290">
        <v>8111593</v>
      </c>
      <c r="F12" s="283">
        <v>59602.894500000002</v>
      </c>
      <c r="G12" s="301">
        <v>40847488</v>
      </c>
      <c r="H12" s="290">
        <v>288910.4399</v>
      </c>
      <c r="I12" s="301">
        <v>94749233</v>
      </c>
      <c r="J12" s="290">
        <v>680049.57490000001</v>
      </c>
      <c r="K12" s="290">
        <v>1030557</v>
      </c>
      <c r="L12" s="283">
        <v>7491.79218296</v>
      </c>
    </row>
    <row r="13" spans="1:12" s="265" customFormat="1" ht="18" customHeight="1" x14ac:dyDescent="0.2">
      <c r="A13" s="266" t="s">
        <v>162</v>
      </c>
      <c r="B13" s="271">
        <v>21</v>
      </c>
      <c r="C13" s="301">
        <v>41294429</v>
      </c>
      <c r="D13" s="290">
        <v>304896.83350000001</v>
      </c>
      <c r="E13" s="301">
        <v>13882510</v>
      </c>
      <c r="F13" s="290">
        <v>103956.5726</v>
      </c>
      <c r="G13" s="301">
        <v>32048698</v>
      </c>
      <c r="H13" s="290">
        <v>232441.75599999999</v>
      </c>
      <c r="I13" s="301">
        <v>87225637</v>
      </c>
      <c r="J13" s="290">
        <v>641295.16209999996</v>
      </c>
      <c r="K13" s="290">
        <v>894213</v>
      </c>
      <c r="L13" s="283">
        <v>6622.43</v>
      </c>
    </row>
    <row r="14" spans="1:12" s="265" customFormat="1" ht="18" customHeight="1" x14ac:dyDescent="0.2">
      <c r="A14" s="266" t="s">
        <v>163</v>
      </c>
      <c r="B14" s="271">
        <v>19</v>
      </c>
      <c r="C14" s="301">
        <v>34950057</v>
      </c>
      <c r="D14" s="290">
        <v>251263.85879999999</v>
      </c>
      <c r="E14" s="301">
        <v>24757257</v>
      </c>
      <c r="F14" s="290">
        <v>182441.90220000001</v>
      </c>
      <c r="G14" s="301">
        <v>19758755</v>
      </c>
      <c r="H14" s="290">
        <v>140040.5086</v>
      </c>
      <c r="I14" s="301">
        <v>79466069</v>
      </c>
      <c r="J14" s="290">
        <v>573746.2696</v>
      </c>
      <c r="K14" s="290">
        <v>795267</v>
      </c>
      <c r="L14" s="283">
        <v>5547.27</v>
      </c>
    </row>
    <row r="15" spans="1:12" s="265" customFormat="1" ht="18" customHeight="1" x14ac:dyDescent="0.2">
      <c r="A15" s="266" t="s">
        <v>164</v>
      </c>
      <c r="B15" s="271">
        <v>20</v>
      </c>
      <c r="C15" s="301">
        <v>38917915</v>
      </c>
      <c r="D15" s="290">
        <v>275968.97759999998</v>
      </c>
      <c r="E15" s="301">
        <v>16496565</v>
      </c>
      <c r="F15" s="290">
        <v>119518.986</v>
      </c>
      <c r="G15" s="301">
        <v>17303077</v>
      </c>
      <c r="H15" s="290">
        <v>120185.1011</v>
      </c>
      <c r="I15" s="301">
        <v>72717557</v>
      </c>
      <c r="J15" s="290">
        <v>515673.06469999999</v>
      </c>
      <c r="K15" s="290">
        <v>830342</v>
      </c>
      <c r="L15" s="283">
        <v>5797.04</v>
      </c>
    </row>
    <row r="16" spans="1:12" s="265" customFormat="1" ht="18" customHeight="1" x14ac:dyDescent="0.2">
      <c r="A16" s="266" t="s">
        <v>165</v>
      </c>
      <c r="B16" s="271">
        <v>23</v>
      </c>
      <c r="C16" s="301">
        <v>34030550</v>
      </c>
      <c r="D16" s="290">
        <v>241184.019</v>
      </c>
      <c r="E16" s="301">
        <v>18699832</v>
      </c>
      <c r="F16" s="290">
        <v>135593.1219</v>
      </c>
      <c r="G16" s="301">
        <v>27704227</v>
      </c>
      <c r="H16" s="290">
        <v>191426.0257</v>
      </c>
      <c r="I16" s="301">
        <v>80434609</v>
      </c>
      <c r="J16" s="290">
        <v>568203.1666</v>
      </c>
      <c r="K16" s="290">
        <v>740780</v>
      </c>
      <c r="L16" s="283">
        <v>5272.47766202</v>
      </c>
    </row>
    <row r="17" spans="1:12" s="265" customFormat="1" ht="18" customHeight="1" x14ac:dyDescent="0.2">
      <c r="A17" s="266" t="s">
        <v>166</v>
      </c>
      <c r="B17" s="271">
        <v>19</v>
      </c>
      <c r="C17" s="301">
        <v>32106957</v>
      </c>
      <c r="D17" s="290">
        <v>229129.46309999999</v>
      </c>
      <c r="E17" s="301">
        <v>16178058</v>
      </c>
      <c r="F17" s="290">
        <v>117412.158</v>
      </c>
      <c r="G17" s="301">
        <v>23472607</v>
      </c>
      <c r="H17" s="290">
        <v>164293.0895</v>
      </c>
      <c r="I17" s="301">
        <v>71757622</v>
      </c>
      <c r="J17" s="290">
        <v>510834.71059999999</v>
      </c>
      <c r="K17" s="290">
        <v>711999</v>
      </c>
      <c r="L17" s="283">
        <v>5073.9666623599996</v>
      </c>
    </row>
    <row r="18" spans="1:12" s="265" customFormat="1" ht="18" customHeight="1" x14ac:dyDescent="0.2">
      <c r="A18" s="266" t="s">
        <v>167</v>
      </c>
      <c r="B18" s="271">
        <v>19</v>
      </c>
      <c r="C18" s="301">
        <v>31166446</v>
      </c>
      <c r="D18" s="290">
        <v>217045.56830000001</v>
      </c>
      <c r="E18" s="301">
        <v>29664748</v>
      </c>
      <c r="F18" s="290">
        <v>210805.10920000001</v>
      </c>
      <c r="G18" s="301">
        <v>18799586</v>
      </c>
      <c r="H18" s="290">
        <v>129169.037</v>
      </c>
      <c r="I18" s="301">
        <v>79630780</v>
      </c>
      <c r="J18" s="290">
        <v>557019.7145</v>
      </c>
      <c r="K18" s="290">
        <v>712162</v>
      </c>
      <c r="L18" s="283">
        <v>4929.4030998600001</v>
      </c>
    </row>
    <row r="19" spans="1:12" s="265" customFormat="1" ht="15" customHeight="1" x14ac:dyDescent="0.2">
      <c r="A19" s="353" t="s">
        <v>106</v>
      </c>
      <c r="B19" s="353"/>
      <c r="C19" s="353"/>
      <c r="D19" s="353"/>
      <c r="E19" s="353"/>
      <c r="F19" s="353"/>
      <c r="G19" s="353"/>
      <c r="H19" s="353"/>
      <c r="I19" s="353"/>
      <c r="J19" s="353"/>
      <c r="K19" s="353"/>
      <c r="L19" s="353"/>
    </row>
    <row r="20" spans="1:12" s="265" customFormat="1" ht="13.5" customHeight="1" x14ac:dyDescent="0.2">
      <c r="A20" s="353" t="s">
        <v>571</v>
      </c>
      <c r="B20" s="353"/>
      <c r="C20" s="353"/>
      <c r="D20" s="353"/>
      <c r="E20" s="353"/>
      <c r="F20" s="353"/>
      <c r="G20" s="353"/>
      <c r="H20" s="353"/>
      <c r="I20" s="353"/>
      <c r="J20" s="353"/>
      <c r="K20" s="353"/>
      <c r="L20" s="353"/>
    </row>
    <row r="21" spans="1:12" s="265" customFormat="1" ht="26.85" customHeight="1" x14ac:dyDescent="0.2"/>
  </sheetData>
  <mergeCells count="11">
    <mergeCell ref="A19:L19"/>
    <mergeCell ref="A20:L20"/>
    <mergeCell ref="A1:L1"/>
    <mergeCell ref="A2:A4"/>
    <mergeCell ref="B2:B4"/>
    <mergeCell ref="C2:D3"/>
    <mergeCell ref="E2:H2"/>
    <mergeCell ref="I2:J3"/>
    <mergeCell ref="K2:L3"/>
    <mergeCell ref="E3:F3"/>
    <mergeCell ref="G3:H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L22"/>
  <sheetViews>
    <sheetView workbookViewId="0">
      <selection sqref="A1:L1"/>
    </sheetView>
  </sheetViews>
  <sheetFormatPr defaultRowHeight="12.75" x14ac:dyDescent="0.2"/>
  <cols>
    <col min="1" max="1" width="9.42578125" style="262" bestFit="1" customWidth="1"/>
    <col min="2" max="2" width="7.7109375" style="262" bestFit="1" customWidth="1"/>
    <col min="3" max="11" width="12.140625" style="262" bestFit="1" customWidth="1"/>
    <col min="12" max="12" width="10.7109375" style="262" bestFit="1" customWidth="1"/>
    <col min="13" max="13" width="6" style="262" bestFit="1" customWidth="1"/>
    <col min="14" max="256" width="9.140625" style="262"/>
    <col min="257" max="257" width="9.42578125" style="262" bestFit="1" customWidth="1"/>
    <col min="258" max="258" width="7.7109375" style="262" bestFit="1" customWidth="1"/>
    <col min="259" max="267" width="12.140625" style="262" bestFit="1" customWidth="1"/>
    <col min="268" max="268" width="10.7109375" style="262" bestFit="1" customWidth="1"/>
    <col min="269" max="269" width="6" style="262" bestFit="1" customWidth="1"/>
    <col min="270" max="512" width="9.140625" style="262"/>
    <col min="513" max="513" width="9.42578125" style="262" bestFit="1" customWidth="1"/>
    <col min="514" max="514" width="7.7109375" style="262" bestFit="1" customWidth="1"/>
    <col min="515" max="523" width="12.140625" style="262" bestFit="1" customWidth="1"/>
    <col min="524" max="524" width="10.7109375" style="262" bestFit="1" customWidth="1"/>
    <col min="525" max="525" width="6" style="262" bestFit="1" customWidth="1"/>
    <col min="526" max="768" width="9.140625" style="262"/>
    <col min="769" max="769" width="9.42578125" style="262" bestFit="1" customWidth="1"/>
    <col min="770" max="770" width="7.7109375" style="262" bestFit="1" customWidth="1"/>
    <col min="771" max="779" width="12.140625" style="262" bestFit="1" customWidth="1"/>
    <col min="780" max="780" width="10.7109375" style="262" bestFit="1" customWidth="1"/>
    <col min="781" max="781" width="6" style="262" bestFit="1" customWidth="1"/>
    <col min="782" max="1024" width="9.140625" style="262"/>
    <col min="1025" max="1025" width="9.42578125" style="262" bestFit="1" customWidth="1"/>
    <col min="1026" max="1026" width="7.7109375" style="262" bestFit="1" customWidth="1"/>
    <col min="1027" max="1035" width="12.140625" style="262" bestFit="1" customWidth="1"/>
    <col min="1036" max="1036" width="10.7109375" style="262" bestFit="1" customWidth="1"/>
    <col min="1037" max="1037" width="6" style="262" bestFit="1" customWidth="1"/>
    <col min="1038" max="1280" width="9.140625" style="262"/>
    <col min="1281" max="1281" width="9.42578125" style="262" bestFit="1" customWidth="1"/>
    <col min="1282" max="1282" width="7.7109375" style="262" bestFit="1" customWidth="1"/>
    <col min="1283" max="1291" width="12.140625" style="262" bestFit="1" customWidth="1"/>
    <col min="1292" max="1292" width="10.7109375" style="262" bestFit="1" customWidth="1"/>
    <col min="1293" max="1293" width="6" style="262" bestFit="1" customWidth="1"/>
    <col min="1294" max="1536" width="9.140625" style="262"/>
    <col min="1537" max="1537" width="9.42578125" style="262" bestFit="1" customWidth="1"/>
    <col min="1538" max="1538" width="7.7109375" style="262" bestFit="1" customWidth="1"/>
    <col min="1539" max="1547" width="12.140625" style="262" bestFit="1" customWidth="1"/>
    <col min="1548" max="1548" width="10.7109375" style="262" bestFit="1" customWidth="1"/>
    <col min="1549" max="1549" width="6" style="262" bestFit="1" customWidth="1"/>
    <col min="1550" max="1792" width="9.140625" style="262"/>
    <col min="1793" max="1793" width="9.42578125" style="262" bestFit="1" customWidth="1"/>
    <col min="1794" max="1794" width="7.7109375" style="262" bestFit="1" customWidth="1"/>
    <col min="1795" max="1803" width="12.140625" style="262" bestFit="1" customWidth="1"/>
    <col min="1804" max="1804" width="10.7109375" style="262" bestFit="1" customWidth="1"/>
    <col min="1805" max="1805" width="6" style="262" bestFit="1" customWidth="1"/>
    <col min="1806" max="2048" width="9.140625" style="262"/>
    <col min="2049" max="2049" width="9.42578125" style="262" bestFit="1" customWidth="1"/>
    <col min="2050" max="2050" width="7.7109375" style="262" bestFit="1" customWidth="1"/>
    <col min="2051" max="2059" width="12.140625" style="262" bestFit="1" customWidth="1"/>
    <col min="2060" max="2060" width="10.7109375" style="262" bestFit="1" customWidth="1"/>
    <col min="2061" max="2061" width="6" style="262" bestFit="1" customWidth="1"/>
    <col min="2062" max="2304" width="9.140625" style="262"/>
    <col min="2305" max="2305" width="9.42578125" style="262" bestFit="1" customWidth="1"/>
    <col min="2306" max="2306" width="7.7109375" style="262" bestFit="1" customWidth="1"/>
    <col min="2307" max="2315" width="12.140625" style="262" bestFit="1" customWidth="1"/>
    <col min="2316" max="2316" width="10.7109375" style="262" bestFit="1" customWidth="1"/>
    <col min="2317" max="2317" width="6" style="262" bestFit="1" customWidth="1"/>
    <col min="2318" max="2560" width="9.140625" style="262"/>
    <col min="2561" max="2561" width="9.42578125" style="262" bestFit="1" customWidth="1"/>
    <col min="2562" max="2562" width="7.7109375" style="262" bestFit="1" customWidth="1"/>
    <col min="2563" max="2571" width="12.140625" style="262" bestFit="1" customWidth="1"/>
    <col min="2572" max="2572" width="10.7109375" style="262" bestFit="1" customWidth="1"/>
    <col min="2573" max="2573" width="6" style="262" bestFit="1" customWidth="1"/>
    <col min="2574" max="2816" width="9.140625" style="262"/>
    <col min="2817" max="2817" width="9.42578125" style="262" bestFit="1" customWidth="1"/>
    <col min="2818" max="2818" width="7.7109375" style="262" bestFit="1" customWidth="1"/>
    <col min="2819" max="2827" width="12.140625" style="262" bestFit="1" customWidth="1"/>
    <col min="2828" max="2828" width="10.7109375" style="262" bestFit="1" customWidth="1"/>
    <col min="2829" max="2829" width="6" style="262" bestFit="1" customWidth="1"/>
    <col min="2830" max="3072" width="9.140625" style="262"/>
    <col min="3073" max="3073" width="9.42578125" style="262" bestFit="1" customWidth="1"/>
    <col min="3074" max="3074" width="7.7109375" style="262" bestFit="1" customWidth="1"/>
    <col min="3075" max="3083" width="12.140625" style="262" bestFit="1" customWidth="1"/>
    <col min="3084" max="3084" width="10.7109375" style="262" bestFit="1" customWidth="1"/>
    <col min="3085" max="3085" width="6" style="262" bestFit="1" customWidth="1"/>
    <col min="3086" max="3328" width="9.140625" style="262"/>
    <col min="3329" max="3329" width="9.42578125" style="262" bestFit="1" customWidth="1"/>
    <col min="3330" max="3330" width="7.7109375" style="262" bestFit="1" customWidth="1"/>
    <col min="3331" max="3339" width="12.140625" style="262" bestFit="1" customWidth="1"/>
    <col min="3340" max="3340" width="10.7109375" style="262" bestFit="1" customWidth="1"/>
    <col min="3341" max="3341" width="6" style="262" bestFit="1" customWidth="1"/>
    <col min="3342" max="3584" width="9.140625" style="262"/>
    <col min="3585" max="3585" width="9.42578125" style="262" bestFit="1" customWidth="1"/>
    <col min="3586" max="3586" width="7.7109375" style="262" bestFit="1" customWidth="1"/>
    <col min="3587" max="3595" width="12.140625" style="262" bestFit="1" customWidth="1"/>
    <col min="3596" max="3596" width="10.7109375" style="262" bestFit="1" customWidth="1"/>
    <col min="3597" max="3597" width="6" style="262" bestFit="1" customWidth="1"/>
    <col min="3598" max="3840" width="9.140625" style="262"/>
    <col min="3841" max="3841" width="9.42578125" style="262" bestFit="1" customWidth="1"/>
    <col min="3842" max="3842" width="7.7109375" style="262" bestFit="1" customWidth="1"/>
    <col min="3843" max="3851" width="12.140625" style="262" bestFit="1" customWidth="1"/>
    <col min="3852" max="3852" width="10.7109375" style="262" bestFit="1" customWidth="1"/>
    <col min="3853" max="3853" width="6" style="262" bestFit="1" customWidth="1"/>
    <col min="3854" max="4096" width="9.140625" style="262"/>
    <col min="4097" max="4097" width="9.42578125" style="262" bestFit="1" customWidth="1"/>
    <col min="4098" max="4098" width="7.7109375" style="262" bestFit="1" customWidth="1"/>
    <col min="4099" max="4107" width="12.140625" style="262" bestFit="1" customWidth="1"/>
    <col min="4108" max="4108" width="10.7109375" style="262" bestFit="1" customWidth="1"/>
    <col min="4109" max="4109" width="6" style="262" bestFit="1" customWidth="1"/>
    <col min="4110" max="4352" width="9.140625" style="262"/>
    <col min="4353" max="4353" width="9.42578125" style="262" bestFit="1" customWidth="1"/>
    <col min="4354" max="4354" width="7.7109375" style="262" bestFit="1" customWidth="1"/>
    <col min="4355" max="4363" width="12.140625" style="262" bestFit="1" customWidth="1"/>
    <col min="4364" max="4364" width="10.7109375" style="262" bestFit="1" customWidth="1"/>
    <col min="4365" max="4365" width="6" style="262" bestFit="1" customWidth="1"/>
    <col min="4366" max="4608" width="9.140625" style="262"/>
    <col min="4609" max="4609" width="9.42578125" style="262" bestFit="1" customWidth="1"/>
    <col min="4610" max="4610" width="7.7109375" style="262" bestFit="1" customWidth="1"/>
    <col min="4611" max="4619" width="12.140625" style="262" bestFit="1" customWidth="1"/>
    <col min="4620" max="4620" width="10.7109375" style="262" bestFit="1" customWidth="1"/>
    <col min="4621" max="4621" width="6" style="262" bestFit="1" customWidth="1"/>
    <col min="4622" max="4864" width="9.140625" style="262"/>
    <col min="4865" max="4865" width="9.42578125" style="262" bestFit="1" customWidth="1"/>
    <col min="4866" max="4866" width="7.7109375" style="262" bestFit="1" customWidth="1"/>
    <col min="4867" max="4875" width="12.140625" style="262" bestFit="1" customWidth="1"/>
    <col min="4876" max="4876" width="10.7109375" style="262" bestFit="1" customWidth="1"/>
    <col min="4877" max="4877" width="6" style="262" bestFit="1" customWidth="1"/>
    <col min="4878" max="5120" width="9.140625" style="262"/>
    <col min="5121" max="5121" width="9.42578125" style="262" bestFit="1" customWidth="1"/>
    <col min="5122" max="5122" width="7.7109375" style="262" bestFit="1" customWidth="1"/>
    <col min="5123" max="5131" width="12.140625" style="262" bestFit="1" customWidth="1"/>
    <col min="5132" max="5132" width="10.7109375" style="262" bestFit="1" customWidth="1"/>
    <col min="5133" max="5133" width="6" style="262" bestFit="1" customWidth="1"/>
    <col min="5134" max="5376" width="9.140625" style="262"/>
    <col min="5377" max="5377" width="9.42578125" style="262" bestFit="1" customWidth="1"/>
    <col min="5378" max="5378" width="7.7109375" style="262" bestFit="1" customWidth="1"/>
    <col min="5379" max="5387" width="12.140625" style="262" bestFit="1" customWidth="1"/>
    <col min="5388" max="5388" width="10.7109375" style="262" bestFit="1" customWidth="1"/>
    <col min="5389" max="5389" width="6" style="262" bestFit="1" customWidth="1"/>
    <col min="5390" max="5632" width="9.140625" style="262"/>
    <col min="5633" max="5633" width="9.42578125" style="262" bestFit="1" customWidth="1"/>
    <col min="5634" max="5634" width="7.7109375" style="262" bestFit="1" customWidth="1"/>
    <col min="5635" max="5643" width="12.140625" style="262" bestFit="1" customWidth="1"/>
    <col min="5644" max="5644" width="10.7109375" style="262" bestFit="1" customWidth="1"/>
    <col min="5645" max="5645" width="6" style="262" bestFit="1" customWidth="1"/>
    <col min="5646" max="5888" width="9.140625" style="262"/>
    <col min="5889" max="5889" width="9.42578125" style="262" bestFit="1" customWidth="1"/>
    <col min="5890" max="5890" width="7.7109375" style="262" bestFit="1" customWidth="1"/>
    <col min="5891" max="5899" width="12.140625" style="262" bestFit="1" customWidth="1"/>
    <col min="5900" max="5900" width="10.7109375" style="262" bestFit="1" customWidth="1"/>
    <col min="5901" max="5901" width="6" style="262" bestFit="1" customWidth="1"/>
    <col min="5902" max="6144" width="9.140625" style="262"/>
    <col min="6145" max="6145" width="9.42578125" style="262" bestFit="1" customWidth="1"/>
    <col min="6146" max="6146" width="7.7109375" style="262" bestFit="1" customWidth="1"/>
    <col min="6147" max="6155" width="12.140625" style="262" bestFit="1" customWidth="1"/>
    <col min="6156" max="6156" width="10.7109375" style="262" bestFit="1" customWidth="1"/>
    <col min="6157" max="6157" width="6" style="262" bestFit="1" customWidth="1"/>
    <col min="6158" max="6400" width="9.140625" style="262"/>
    <col min="6401" max="6401" width="9.42578125" style="262" bestFit="1" customWidth="1"/>
    <col min="6402" max="6402" width="7.7109375" style="262" bestFit="1" customWidth="1"/>
    <col min="6403" max="6411" width="12.140625" style="262" bestFit="1" customWidth="1"/>
    <col min="6412" max="6412" width="10.7109375" style="262" bestFit="1" customWidth="1"/>
    <col min="6413" max="6413" width="6" style="262" bestFit="1" customWidth="1"/>
    <col min="6414" max="6656" width="9.140625" style="262"/>
    <col min="6657" max="6657" width="9.42578125" style="262" bestFit="1" customWidth="1"/>
    <col min="6658" max="6658" width="7.7109375" style="262" bestFit="1" customWidth="1"/>
    <col min="6659" max="6667" width="12.140625" style="262" bestFit="1" customWidth="1"/>
    <col min="6668" max="6668" width="10.7109375" style="262" bestFit="1" customWidth="1"/>
    <col min="6669" max="6669" width="6" style="262" bestFit="1" customWidth="1"/>
    <col min="6670" max="6912" width="9.140625" style="262"/>
    <col min="6913" max="6913" width="9.42578125" style="262" bestFit="1" customWidth="1"/>
    <col min="6914" max="6914" width="7.7109375" style="262" bestFit="1" customWidth="1"/>
    <col min="6915" max="6923" width="12.140625" style="262" bestFit="1" customWidth="1"/>
    <col min="6924" max="6924" width="10.7109375" style="262" bestFit="1" customWidth="1"/>
    <col min="6925" max="6925" width="6" style="262" bestFit="1" customWidth="1"/>
    <col min="6926" max="7168" width="9.140625" style="262"/>
    <col min="7169" max="7169" width="9.42578125" style="262" bestFit="1" customWidth="1"/>
    <col min="7170" max="7170" width="7.7109375" style="262" bestFit="1" customWidth="1"/>
    <col min="7171" max="7179" width="12.140625" style="262" bestFit="1" customWidth="1"/>
    <col min="7180" max="7180" width="10.7109375" style="262" bestFit="1" customWidth="1"/>
    <col min="7181" max="7181" width="6" style="262" bestFit="1" customWidth="1"/>
    <col min="7182" max="7424" width="9.140625" style="262"/>
    <col min="7425" max="7425" width="9.42578125" style="262" bestFit="1" customWidth="1"/>
    <col min="7426" max="7426" width="7.7109375" style="262" bestFit="1" customWidth="1"/>
    <col min="7427" max="7435" width="12.140625" style="262" bestFit="1" customWidth="1"/>
    <col min="7436" max="7436" width="10.7109375" style="262" bestFit="1" customWidth="1"/>
    <col min="7437" max="7437" width="6" style="262" bestFit="1" customWidth="1"/>
    <col min="7438" max="7680" width="9.140625" style="262"/>
    <col min="7681" max="7681" width="9.42578125" style="262" bestFit="1" customWidth="1"/>
    <col min="7682" max="7682" width="7.7109375" style="262" bestFit="1" customWidth="1"/>
    <col min="7683" max="7691" width="12.140625" style="262" bestFit="1" customWidth="1"/>
    <col min="7692" max="7692" width="10.7109375" style="262" bestFit="1" customWidth="1"/>
    <col min="7693" max="7693" width="6" style="262" bestFit="1" customWidth="1"/>
    <col min="7694" max="7936" width="9.140625" style="262"/>
    <col min="7937" max="7937" width="9.42578125" style="262" bestFit="1" customWidth="1"/>
    <col min="7938" max="7938" width="7.7109375" style="262" bestFit="1" customWidth="1"/>
    <col min="7939" max="7947" width="12.140625" style="262" bestFit="1" customWidth="1"/>
    <col min="7948" max="7948" width="10.7109375" style="262" bestFit="1" customWidth="1"/>
    <col min="7949" max="7949" width="6" style="262" bestFit="1" customWidth="1"/>
    <col min="7950" max="8192" width="9.140625" style="262"/>
    <col min="8193" max="8193" width="9.42578125" style="262" bestFit="1" customWidth="1"/>
    <col min="8194" max="8194" width="7.7109375" style="262" bestFit="1" customWidth="1"/>
    <col min="8195" max="8203" width="12.140625" style="262" bestFit="1" customWidth="1"/>
    <col min="8204" max="8204" width="10.7109375" style="262" bestFit="1" customWidth="1"/>
    <col min="8205" max="8205" width="6" style="262" bestFit="1" customWidth="1"/>
    <col min="8206" max="8448" width="9.140625" style="262"/>
    <col min="8449" max="8449" width="9.42578125" style="262" bestFit="1" customWidth="1"/>
    <col min="8450" max="8450" width="7.7109375" style="262" bestFit="1" customWidth="1"/>
    <col min="8451" max="8459" width="12.140625" style="262" bestFit="1" customWidth="1"/>
    <col min="8460" max="8460" width="10.7109375" style="262" bestFit="1" customWidth="1"/>
    <col min="8461" max="8461" width="6" style="262" bestFit="1" customWidth="1"/>
    <col min="8462" max="8704" width="9.140625" style="262"/>
    <col min="8705" max="8705" width="9.42578125" style="262" bestFit="1" customWidth="1"/>
    <col min="8706" max="8706" width="7.7109375" style="262" bestFit="1" customWidth="1"/>
    <col min="8707" max="8715" width="12.140625" style="262" bestFit="1" customWidth="1"/>
    <col min="8716" max="8716" width="10.7109375" style="262" bestFit="1" customWidth="1"/>
    <col min="8717" max="8717" width="6" style="262" bestFit="1" customWidth="1"/>
    <col min="8718" max="8960" width="9.140625" style="262"/>
    <col min="8961" max="8961" width="9.42578125" style="262" bestFit="1" customWidth="1"/>
    <col min="8962" max="8962" width="7.7109375" style="262" bestFit="1" customWidth="1"/>
    <col min="8963" max="8971" width="12.140625" style="262" bestFit="1" customWidth="1"/>
    <col min="8972" max="8972" width="10.7109375" style="262" bestFit="1" customWidth="1"/>
    <col min="8973" max="8973" width="6" style="262" bestFit="1" customWidth="1"/>
    <col min="8974" max="9216" width="9.140625" style="262"/>
    <col min="9217" max="9217" width="9.42578125" style="262" bestFit="1" customWidth="1"/>
    <col min="9218" max="9218" width="7.7109375" style="262" bestFit="1" customWidth="1"/>
    <col min="9219" max="9227" width="12.140625" style="262" bestFit="1" customWidth="1"/>
    <col min="9228" max="9228" width="10.7109375" style="262" bestFit="1" customWidth="1"/>
    <col min="9229" max="9229" width="6" style="262" bestFit="1" customWidth="1"/>
    <col min="9230" max="9472" width="9.140625" style="262"/>
    <col min="9473" max="9473" width="9.42578125" style="262" bestFit="1" customWidth="1"/>
    <col min="9474" max="9474" width="7.7109375" style="262" bestFit="1" customWidth="1"/>
    <col min="9475" max="9483" width="12.140625" style="262" bestFit="1" customWidth="1"/>
    <col min="9484" max="9484" width="10.7109375" style="262" bestFit="1" customWidth="1"/>
    <col min="9485" max="9485" width="6" style="262" bestFit="1" customWidth="1"/>
    <col min="9486" max="9728" width="9.140625" style="262"/>
    <col min="9729" max="9729" width="9.42578125" style="262" bestFit="1" customWidth="1"/>
    <col min="9730" max="9730" width="7.7109375" style="262" bestFit="1" customWidth="1"/>
    <col min="9731" max="9739" width="12.140625" style="262" bestFit="1" customWidth="1"/>
    <col min="9740" max="9740" width="10.7109375" style="262" bestFit="1" customWidth="1"/>
    <col min="9741" max="9741" width="6" style="262" bestFit="1" customWidth="1"/>
    <col min="9742" max="9984" width="9.140625" style="262"/>
    <col min="9985" max="9985" width="9.42578125" style="262" bestFit="1" customWidth="1"/>
    <col min="9986" max="9986" width="7.7109375" style="262" bestFit="1" customWidth="1"/>
    <col min="9987" max="9995" width="12.140625" style="262" bestFit="1" customWidth="1"/>
    <col min="9996" max="9996" width="10.7109375" style="262" bestFit="1" customWidth="1"/>
    <col min="9997" max="9997" width="6" style="262" bestFit="1" customWidth="1"/>
    <col min="9998" max="10240" width="9.140625" style="262"/>
    <col min="10241" max="10241" width="9.42578125" style="262" bestFit="1" customWidth="1"/>
    <col min="10242" max="10242" width="7.7109375" style="262" bestFit="1" customWidth="1"/>
    <col min="10243" max="10251" width="12.140625" style="262" bestFit="1" customWidth="1"/>
    <col min="10252" max="10252" width="10.7109375" style="262" bestFit="1" customWidth="1"/>
    <col min="10253" max="10253" width="6" style="262" bestFit="1" customWidth="1"/>
    <col min="10254" max="10496" width="9.140625" style="262"/>
    <col min="10497" max="10497" width="9.42578125" style="262" bestFit="1" customWidth="1"/>
    <col min="10498" max="10498" width="7.7109375" style="262" bestFit="1" customWidth="1"/>
    <col min="10499" max="10507" width="12.140625" style="262" bestFit="1" customWidth="1"/>
    <col min="10508" max="10508" width="10.7109375" style="262" bestFit="1" customWidth="1"/>
    <col min="10509" max="10509" width="6" style="262" bestFit="1" customWidth="1"/>
    <col min="10510" max="10752" width="9.140625" style="262"/>
    <col min="10753" max="10753" width="9.42578125" style="262" bestFit="1" customWidth="1"/>
    <col min="10754" max="10754" width="7.7109375" style="262" bestFit="1" customWidth="1"/>
    <col min="10755" max="10763" width="12.140625" style="262" bestFit="1" customWidth="1"/>
    <col min="10764" max="10764" width="10.7109375" style="262" bestFit="1" customWidth="1"/>
    <col min="10765" max="10765" width="6" style="262" bestFit="1" customWidth="1"/>
    <col min="10766" max="11008" width="9.140625" style="262"/>
    <col min="11009" max="11009" width="9.42578125" style="262" bestFit="1" customWidth="1"/>
    <col min="11010" max="11010" width="7.7109375" style="262" bestFit="1" customWidth="1"/>
    <col min="11011" max="11019" width="12.140625" style="262" bestFit="1" customWidth="1"/>
    <col min="11020" max="11020" width="10.7109375" style="262" bestFit="1" customWidth="1"/>
    <col min="11021" max="11021" width="6" style="262" bestFit="1" customWidth="1"/>
    <col min="11022" max="11264" width="9.140625" style="262"/>
    <col min="11265" max="11265" width="9.42578125" style="262" bestFit="1" customWidth="1"/>
    <col min="11266" max="11266" width="7.7109375" style="262" bestFit="1" customWidth="1"/>
    <col min="11267" max="11275" width="12.140625" style="262" bestFit="1" customWidth="1"/>
    <col min="11276" max="11276" width="10.7109375" style="262" bestFit="1" customWidth="1"/>
    <col min="11277" max="11277" width="6" style="262" bestFit="1" customWidth="1"/>
    <col min="11278" max="11520" width="9.140625" style="262"/>
    <col min="11521" max="11521" width="9.42578125" style="262" bestFit="1" customWidth="1"/>
    <col min="11522" max="11522" width="7.7109375" style="262" bestFit="1" customWidth="1"/>
    <col min="11523" max="11531" width="12.140625" style="262" bestFit="1" customWidth="1"/>
    <col min="11532" max="11532" width="10.7109375" style="262" bestFit="1" customWidth="1"/>
    <col min="11533" max="11533" width="6" style="262" bestFit="1" customWidth="1"/>
    <col min="11534" max="11776" width="9.140625" style="262"/>
    <col min="11777" max="11777" width="9.42578125" style="262" bestFit="1" customWidth="1"/>
    <col min="11778" max="11778" width="7.7109375" style="262" bestFit="1" customWidth="1"/>
    <col min="11779" max="11787" width="12.140625" style="262" bestFit="1" customWidth="1"/>
    <col min="11788" max="11788" width="10.7109375" style="262" bestFit="1" customWidth="1"/>
    <col min="11789" max="11789" width="6" style="262" bestFit="1" customWidth="1"/>
    <col min="11790" max="12032" width="9.140625" style="262"/>
    <col min="12033" max="12033" width="9.42578125" style="262" bestFit="1" customWidth="1"/>
    <col min="12034" max="12034" width="7.7109375" style="262" bestFit="1" customWidth="1"/>
    <col min="12035" max="12043" width="12.140625" style="262" bestFit="1" customWidth="1"/>
    <col min="12044" max="12044" width="10.7109375" style="262" bestFit="1" customWidth="1"/>
    <col min="12045" max="12045" width="6" style="262" bestFit="1" customWidth="1"/>
    <col min="12046" max="12288" width="9.140625" style="262"/>
    <col min="12289" max="12289" width="9.42578125" style="262" bestFit="1" customWidth="1"/>
    <col min="12290" max="12290" width="7.7109375" style="262" bestFit="1" customWidth="1"/>
    <col min="12291" max="12299" width="12.140625" style="262" bestFit="1" customWidth="1"/>
    <col min="12300" max="12300" width="10.7109375" style="262" bestFit="1" customWidth="1"/>
    <col min="12301" max="12301" width="6" style="262" bestFit="1" customWidth="1"/>
    <col min="12302" max="12544" width="9.140625" style="262"/>
    <col min="12545" max="12545" width="9.42578125" style="262" bestFit="1" customWidth="1"/>
    <col min="12546" max="12546" width="7.7109375" style="262" bestFit="1" customWidth="1"/>
    <col min="12547" max="12555" width="12.140625" style="262" bestFit="1" customWidth="1"/>
    <col min="12556" max="12556" width="10.7109375" style="262" bestFit="1" customWidth="1"/>
    <col min="12557" max="12557" width="6" style="262" bestFit="1" customWidth="1"/>
    <col min="12558" max="12800" width="9.140625" style="262"/>
    <col min="12801" max="12801" width="9.42578125" style="262" bestFit="1" customWidth="1"/>
    <col min="12802" max="12802" width="7.7109375" style="262" bestFit="1" customWidth="1"/>
    <col min="12803" max="12811" width="12.140625" style="262" bestFit="1" customWidth="1"/>
    <col min="12812" max="12812" width="10.7109375" style="262" bestFit="1" customWidth="1"/>
    <col min="12813" max="12813" width="6" style="262" bestFit="1" customWidth="1"/>
    <col min="12814" max="13056" width="9.140625" style="262"/>
    <col min="13057" max="13057" width="9.42578125" style="262" bestFit="1" customWidth="1"/>
    <col min="13058" max="13058" width="7.7109375" style="262" bestFit="1" customWidth="1"/>
    <col min="13059" max="13067" width="12.140625" style="262" bestFit="1" customWidth="1"/>
    <col min="13068" max="13068" width="10.7109375" style="262" bestFit="1" customWidth="1"/>
    <col min="13069" max="13069" width="6" style="262" bestFit="1" customWidth="1"/>
    <col min="13070" max="13312" width="9.140625" style="262"/>
    <col min="13313" max="13313" width="9.42578125" style="262" bestFit="1" customWidth="1"/>
    <col min="13314" max="13314" width="7.7109375" style="262" bestFit="1" customWidth="1"/>
    <col min="13315" max="13323" width="12.140625" style="262" bestFit="1" customWidth="1"/>
    <col min="13324" max="13324" width="10.7109375" style="262" bestFit="1" customWidth="1"/>
    <col min="13325" max="13325" width="6" style="262" bestFit="1" customWidth="1"/>
    <col min="13326" max="13568" width="9.140625" style="262"/>
    <col min="13569" max="13569" width="9.42578125" style="262" bestFit="1" customWidth="1"/>
    <col min="13570" max="13570" width="7.7109375" style="262" bestFit="1" customWidth="1"/>
    <col min="13571" max="13579" width="12.140625" style="262" bestFit="1" customWidth="1"/>
    <col min="13580" max="13580" width="10.7109375" style="262" bestFit="1" customWidth="1"/>
    <col min="13581" max="13581" width="6" style="262" bestFit="1" customWidth="1"/>
    <col min="13582" max="13824" width="9.140625" style="262"/>
    <col min="13825" max="13825" width="9.42578125" style="262" bestFit="1" customWidth="1"/>
    <col min="13826" max="13826" width="7.7109375" style="262" bestFit="1" customWidth="1"/>
    <col min="13827" max="13835" width="12.140625" style="262" bestFit="1" customWidth="1"/>
    <col min="13836" max="13836" width="10.7109375" style="262" bestFit="1" customWidth="1"/>
    <col min="13837" max="13837" width="6" style="262" bestFit="1" customWidth="1"/>
    <col min="13838" max="14080" width="9.140625" style="262"/>
    <col min="14081" max="14081" width="9.42578125" style="262" bestFit="1" customWidth="1"/>
    <col min="14082" max="14082" width="7.7109375" style="262" bestFit="1" customWidth="1"/>
    <col min="14083" max="14091" width="12.140625" style="262" bestFit="1" customWidth="1"/>
    <col min="14092" max="14092" width="10.7109375" style="262" bestFit="1" customWidth="1"/>
    <col min="14093" max="14093" width="6" style="262" bestFit="1" customWidth="1"/>
    <col min="14094" max="14336" width="9.140625" style="262"/>
    <col min="14337" max="14337" width="9.42578125" style="262" bestFit="1" customWidth="1"/>
    <col min="14338" max="14338" width="7.7109375" style="262" bestFit="1" customWidth="1"/>
    <col min="14339" max="14347" width="12.140625" style="262" bestFit="1" customWidth="1"/>
    <col min="14348" max="14348" width="10.7109375" style="262" bestFit="1" customWidth="1"/>
    <col min="14349" max="14349" width="6" style="262" bestFit="1" customWidth="1"/>
    <col min="14350" max="14592" width="9.140625" style="262"/>
    <col min="14593" max="14593" width="9.42578125" style="262" bestFit="1" customWidth="1"/>
    <col min="14594" max="14594" width="7.7109375" style="262" bestFit="1" customWidth="1"/>
    <col min="14595" max="14603" width="12.140625" style="262" bestFit="1" customWidth="1"/>
    <col min="14604" max="14604" width="10.7109375" style="262" bestFit="1" customWidth="1"/>
    <col min="14605" max="14605" width="6" style="262" bestFit="1" customWidth="1"/>
    <col min="14606" max="14848" width="9.140625" style="262"/>
    <col min="14849" max="14849" width="9.42578125" style="262" bestFit="1" customWidth="1"/>
    <col min="14850" max="14850" width="7.7109375" style="262" bestFit="1" customWidth="1"/>
    <col min="14851" max="14859" width="12.140625" style="262" bestFit="1" customWidth="1"/>
    <col min="14860" max="14860" width="10.7109375" style="262" bestFit="1" customWidth="1"/>
    <col min="14861" max="14861" width="6" style="262" bestFit="1" customWidth="1"/>
    <col min="14862" max="15104" width="9.140625" style="262"/>
    <col min="15105" max="15105" width="9.42578125" style="262" bestFit="1" customWidth="1"/>
    <col min="15106" max="15106" width="7.7109375" style="262" bestFit="1" customWidth="1"/>
    <col min="15107" max="15115" width="12.140625" style="262" bestFit="1" customWidth="1"/>
    <col min="15116" max="15116" width="10.7109375" style="262" bestFit="1" customWidth="1"/>
    <col min="15117" max="15117" width="6" style="262" bestFit="1" customWidth="1"/>
    <col min="15118" max="15360" width="9.140625" style="262"/>
    <col min="15361" max="15361" width="9.42578125" style="262" bestFit="1" customWidth="1"/>
    <col min="15362" max="15362" width="7.7109375" style="262" bestFit="1" customWidth="1"/>
    <col min="15363" max="15371" width="12.140625" style="262" bestFit="1" customWidth="1"/>
    <col min="15372" max="15372" width="10.7109375" style="262" bestFit="1" customWidth="1"/>
    <col min="15373" max="15373" width="6" style="262" bestFit="1" customWidth="1"/>
    <col min="15374" max="15616" width="9.140625" style="262"/>
    <col min="15617" max="15617" width="9.42578125" style="262" bestFit="1" customWidth="1"/>
    <col min="15618" max="15618" width="7.7109375" style="262" bestFit="1" customWidth="1"/>
    <col min="15619" max="15627" width="12.140625" style="262" bestFit="1" customWidth="1"/>
    <col min="15628" max="15628" width="10.7109375" style="262" bestFit="1" customWidth="1"/>
    <col min="15629" max="15629" width="6" style="262" bestFit="1" customWidth="1"/>
    <col min="15630" max="15872" width="9.140625" style="262"/>
    <col min="15873" max="15873" width="9.42578125" style="262" bestFit="1" customWidth="1"/>
    <col min="15874" max="15874" width="7.7109375" style="262" bestFit="1" customWidth="1"/>
    <col min="15875" max="15883" width="12.140625" style="262" bestFit="1" customWidth="1"/>
    <col min="15884" max="15884" width="10.7109375" style="262" bestFit="1" customWidth="1"/>
    <col min="15885" max="15885" width="6" style="262" bestFit="1" customWidth="1"/>
    <col min="15886" max="16128" width="9.140625" style="262"/>
    <col min="16129" max="16129" width="9.42578125" style="262" bestFit="1" customWidth="1"/>
    <col min="16130" max="16130" width="7.7109375" style="262" bestFit="1" customWidth="1"/>
    <col min="16131" max="16139" width="12.140625" style="262" bestFit="1" customWidth="1"/>
    <col min="16140" max="16140" width="10.7109375" style="262" bestFit="1" customWidth="1"/>
    <col min="16141" max="16141" width="6" style="262" bestFit="1" customWidth="1"/>
    <col min="16142" max="16384" width="9.140625" style="262"/>
  </cols>
  <sheetData>
    <row r="1" spans="1:12" ht="15.75" customHeight="1" x14ac:dyDescent="0.2">
      <c r="A1" s="385" t="s">
        <v>45</v>
      </c>
      <c r="B1" s="385"/>
      <c r="C1" s="385"/>
      <c r="D1" s="385"/>
      <c r="E1" s="385"/>
      <c r="F1" s="385"/>
      <c r="G1" s="385"/>
      <c r="H1" s="385"/>
      <c r="I1" s="385"/>
      <c r="J1" s="385"/>
      <c r="K1" s="385"/>
      <c r="L1" s="385"/>
    </row>
    <row r="2" spans="1:12" s="265" customFormat="1" ht="25.5" customHeight="1" x14ac:dyDescent="0.2">
      <c r="A2" s="403" t="s">
        <v>519</v>
      </c>
      <c r="B2" s="403" t="s">
        <v>572</v>
      </c>
      <c r="C2" s="386" t="s">
        <v>565</v>
      </c>
      <c r="D2" s="387"/>
      <c r="E2" s="386" t="s">
        <v>573</v>
      </c>
      <c r="F2" s="445"/>
      <c r="G2" s="445"/>
      <c r="H2" s="387"/>
      <c r="I2" s="386" t="s">
        <v>150</v>
      </c>
      <c r="J2" s="387"/>
      <c r="K2" s="446" t="s">
        <v>574</v>
      </c>
      <c r="L2" s="447"/>
    </row>
    <row r="3" spans="1:12" s="265" customFormat="1" ht="18" customHeight="1" x14ac:dyDescent="0.2">
      <c r="A3" s="444"/>
      <c r="B3" s="444"/>
      <c r="C3" s="440" t="s">
        <v>527</v>
      </c>
      <c r="D3" s="442" t="s">
        <v>528</v>
      </c>
      <c r="E3" s="386" t="s">
        <v>525</v>
      </c>
      <c r="F3" s="387"/>
      <c r="G3" s="386" t="s">
        <v>526</v>
      </c>
      <c r="H3" s="387"/>
      <c r="I3" s="403" t="s">
        <v>569</v>
      </c>
      <c r="J3" s="401" t="s">
        <v>288</v>
      </c>
      <c r="K3" s="440" t="s">
        <v>527</v>
      </c>
      <c r="L3" s="442" t="s">
        <v>575</v>
      </c>
    </row>
    <row r="4" spans="1:12" s="265" customFormat="1" ht="24" customHeight="1" x14ac:dyDescent="0.2">
      <c r="A4" s="404"/>
      <c r="B4" s="404"/>
      <c r="C4" s="441"/>
      <c r="D4" s="443"/>
      <c r="E4" s="333" t="s">
        <v>527</v>
      </c>
      <c r="F4" s="334" t="s">
        <v>528</v>
      </c>
      <c r="G4" s="333" t="s">
        <v>527</v>
      </c>
      <c r="H4" s="334" t="s">
        <v>528</v>
      </c>
      <c r="I4" s="404"/>
      <c r="J4" s="402"/>
      <c r="K4" s="441"/>
      <c r="L4" s="443"/>
    </row>
    <row r="5" spans="1:12" s="265" customFormat="1" ht="18" customHeight="1" x14ac:dyDescent="0.2">
      <c r="A5" s="266" t="s">
        <v>69</v>
      </c>
      <c r="B5" s="271">
        <v>242</v>
      </c>
      <c r="C5" s="301">
        <v>390433137</v>
      </c>
      <c r="D5" s="290">
        <v>2595685.6731090499</v>
      </c>
      <c r="E5" s="301">
        <v>207170787</v>
      </c>
      <c r="F5" s="290">
        <v>1351047.5105578101</v>
      </c>
      <c r="G5" s="301">
        <v>167359805</v>
      </c>
      <c r="H5" s="290">
        <v>1081768.98735573</v>
      </c>
      <c r="I5" s="301">
        <v>764963729</v>
      </c>
      <c r="J5" s="290">
        <v>5028502.17102258</v>
      </c>
      <c r="K5" s="290">
        <v>3847220</v>
      </c>
      <c r="L5" s="283">
        <v>25725.673443110001</v>
      </c>
    </row>
    <row r="6" spans="1:12" s="265" customFormat="1" ht="18" customHeight="1" x14ac:dyDescent="0.2">
      <c r="A6" s="266" t="s">
        <v>70</v>
      </c>
      <c r="B6" s="271">
        <v>243</v>
      </c>
      <c r="C6" s="301">
        <v>650024870</v>
      </c>
      <c r="D6" s="290">
        <v>4654927.074</v>
      </c>
      <c r="E6" s="301">
        <v>275919964</v>
      </c>
      <c r="F6" s="290">
        <v>1956019.6510000001</v>
      </c>
      <c r="G6" s="301">
        <v>272439387</v>
      </c>
      <c r="H6" s="290">
        <v>1907404.517</v>
      </c>
      <c r="I6" s="329">
        <v>1198384221</v>
      </c>
      <c r="J6" s="290">
        <v>8518351.2430000007</v>
      </c>
      <c r="K6" s="290">
        <v>4205566</v>
      </c>
      <c r="L6" s="283">
        <v>29351.446449999999</v>
      </c>
    </row>
    <row r="7" spans="1:12" s="265" customFormat="1" ht="18" customHeight="1" x14ac:dyDescent="0.2">
      <c r="A7" s="266" t="s">
        <v>156</v>
      </c>
      <c r="B7" s="271">
        <v>19</v>
      </c>
      <c r="C7" s="301">
        <v>43614222</v>
      </c>
      <c r="D7" s="290">
        <v>297368.37543852202</v>
      </c>
      <c r="E7" s="301">
        <v>15388108</v>
      </c>
      <c r="F7" s="290">
        <v>102162.382123057</v>
      </c>
      <c r="G7" s="301">
        <v>15704990</v>
      </c>
      <c r="H7" s="290">
        <v>103126.41771968</v>
      </c>
      <c r="I7" s="301">
        <v>74707320</v>
      </c>
      <c r="J7" s="290">
        <v>502657.175281259</v>
      </c>
      <c r="K7" s="290">
        <v>5105855</v>
      </c>
      <c r="L7" s="283">
        <v>34603.988953879998</v>
      </c>
    </row>
    <row r="8" spans="1:12" s="265" customFormat="1" ht="18" customHeight="1" x14ac:dyDescent="0.2">
      <c r="A8" s="266" t="s">
        <v>157</v>
      </c>
      <c r="B8" s="271">
        <v>22</v>
      </c>
      <c r="C8" s="301">
        <v>58034086</v>
      </c>
      <c r="D8" s="290">
        <v>403383.58142762998</v>
      </c>
      <c r="E8" s="301">
        <v>19588790</v>
      </c>
      <c r="F8" s="290">
        <v>133768.59060575001</v>
      </c>
      <c r="G8" s="301">
        <v>22622791</v>
      </c>
      <c r="H8" s="290">
        <v>152299.4111035</v>
      </c>
      <c r="I8" s="301">
        <v>100245667</v>
      </c>
      <c r="J8" s="290">
        <v>689451.58313687996</v>
      </c>
      <c r="K8" s="290">
        <v>4745561</v>
      </c>
      <c r="L8" s="283">
        <v>32363.6804634</v>
      </c>
    </row>
    <row r="9" spans="1:12" s="265" customFormat="1" ht="18" customHeight="1" x14ac:dyDescent="0.2">
      <c r="A9" s="266" t="s">
        <v>158</v>
      </c>
      <c r="B9" s="271">
        <v>21</v>
      </c>
      <c r="C9" s="301">
        <v>51556491</v>
      </c>
      <c r="D9" s="290">
        <v>360161.72843967</v>
      </c>
      <c r="E9" s="301">
        <v>18636606</v>
      </c>
      <c r="F9" s="290">
        <v>127840.40311575</v>
      </c>
      <c r="G9" s="301">
        <v>18373357</v>
      </c>
      <c r="H9" s="290">
        <v>124386.49210425001</v>
      </c>
      <c r="I9" s="301">
        <v>88566454</v>
      </c>
      <c r="J9" s="290">
        <v>612388.62365967</v>
      </c>
      <c r="K9" s="290">
        <v>5201656</v>
      </c>
      <c r="L9" s="283">
        <v>36030.471870380003</v>
      </c>
    </row>
    <row r="10" spans="1:12" s="265" customFormat="1" ht="18" customHeight="1" x14ac:dyDescent="0.2">
      <c r="A10" s="266" t="s">
        <v>159</v>
      </c>
      <c r="B10" s="271">
        <v>22</v>
      </c>
      <c r="C10" s="301">
        <v>45194719</v>
      </c>
      <c r="D10" s="290">
        <v>319727.24220338301</v>
      </c>
      <c r="E10" s="301">
        <v>17383943</v>
      </c>
      <c r="F10" s="290">
        <v>120678.009164</v>
      </c>
      <c r="G10" s="301">
        <v>17278419</v>
      </c>
      <c r="H10" s="290">
        <v>118460.71143775</v>
      </c>
      <c r="I10" s="301">
        <v>79857081</v>
      </c>
      <c r="J10" s="290">
        <v>558865.96280513296</v>
      </c>
      <c r="K10" s="290">
        <v>3932469</v>
      </c>
      <c r="L10" s="283">
        <v>27346.279668399999</v>
      </c>
    </row>
    <row r="11" spans="1:12" s="265" customFormat="1" ht="18" customHeight="1" x14ac:dyDescent="0.2">
      <c r="A11" s="266" t="s">
        <v>160</v>
      </c>
      <c r="B11" s="271">
        <v>20</v>
      </c>
      <c r="C11" s="301">
        <v>56747406</v>
      </c>
      <c r="D11" s="290">
        <v>403910.91019906598</v>
      </c>
      <c r="E11" s="301">
        <v>25304617</v>
      </c>
      <c r="F11" s="290">
        <v>178287.61281774999</v>
      </c>
      <c r="G11" s="301">
        <v>23992540</v>
      </c>
      <c r="H11" s="290">
        <v>166682.9822925</v>
      </c>
      <c r="I11" s="301">
        <v>106044563</v>
      </c>
      <c r="J11" s="290">
        <v>748881.50530931598</v>
      </c>
      <c r="K11" s="290">
        <v>6350909</v>
      </c>
      <c r="L11" s="283">
        <v>45582.842126889998</v>
      </c>
    </row>
    <row r="12" spans="1:12" s="265" customFormat="1" ht="18" customHeight="1" x14ac:dyDescent="0.2">
      <c r="A12" s="266" t="s">
        <v>161</v>
      </c>
      <c r="B12" s="271">
        <v>18</v>
      </c>
      <c r="C12" s="301">
        <v>70515824</v>
      </c>
      <c r="D12" s="290">
        <v>517416.66215844202</v>
      </c>
      <c r="E12" s="301">
        <v>28808093</v>
      </c>
      <c r="F12" s="290">
        <v>210264.07618775</v>
      </c>
      <c r="G12" s="301">
        <v>32382684</v>
      </c>
      <c r="H12" s="290">
        <v>232260.12380299999</v>
      </c>
      <c r="I12" s="301">
        <v>131706601</v>
      </c>
      <c r="J12" s="290">
        <v>959940.86214919202</v>
      </c>
      <c r="K12" s="290">
        <v>5176690</v>
      </c>
      <c r="L12" s="283">
        <v>37923.701467619998</v>
      </c>
    </row>
    <row r="13" spans="1:12" s="265" customFormat="1" ht="18" customHeight="1" x14ac:dyDescent="0.2">
      <c r="A13" s="266" t="s">
        <v>162</v>
      </c>
      <c r="B13" s="271">
        <v>21</v>
      </c>
      <c r="C13" s="301">
        <v>64356584</v>
      </c>
      <c r="D13" s="290">
        <v>481103.67267701199</v>
      </c>
      <c r="E13" s="301">
        <v>18372683</v>
      </c>
      <c r="F13" s="290">
        <v>136852.380795</v>
      </c>
      <c r="G13" s="301">
        <v>21798564</v>
      </c>
      <c r="H13" s="290">
        <v>159572.459722</v>
      </c>
      <c r="I13" s="301">
        <v>104527831</v>
      </c>
      <c r="J13" s="290">
        <v>777528.51319401199</v>
      </c>
      <c r="K13" s="290">
        <v>4165346</v>
      </c>
      <c r="L13" s="283">
        <v>31097.817210329998</v>
      </c>
    </row>
    <row r="14" spans="1:12" s="265" customFormat="1" ht="18" customHeight="1" x14ac:dyDescent="0.2">
      <c r="A14" s="266" t="s">
        <v>163</v>
      </c>
      <c r="B14" s="271">
        <v>19</v>
      </c>
      <c r="C14" s="301">
        <v>47368479</v>
      </c>
      <c r="D14" s="290">
        <v>345891.95840615802</v>
      </c>
      <c r="E14" s="301">
        <v>24396081</v>
      </c>
      <c r="F14" s="290">
        <v>177532.60060199999</v>
      </c>
      <c r="G14" s="301">
        <v>21962805</v>
      </c>
      <c r="H14" s="290">
        <v>158235.7295435</v>
      </c>
      <c r="I14" s="301">
        <v>93727365</v>
      </c>
      <c r="J14" s="290">
        <v>681660.28855165804</v>
      </c>
      <c r="K14" s="290">
        <v>3682475</v>
      </c>
      <c r="L14" s="283">
        <v>25870.621348100001</v>
      </c>
    </row>
    <row r="15" spans="1:12" s="265" customFormat="1" ht="18" customHeight="1" x14ac:dyDescent="0.2">
      <c r="A15" s="266" t="s">
        <v>164</v>
      </c>
      <c r="B15" s="271">
        <v>20</v>
      </c>
      <c r="C15" s="301">
        <v>53424447</v>
      </c>
      <c r="D15" s="290">
        <v>383122.74985111097</v>
      </c>
      <c r="E15" s="301">
        <v>26179268</v>
      </c>
      <c r="F15" s="290">
        <v>187370.057125933</v>
      </c>
      <c r="G15" s="301">
        <v>24262860</v>
      </c>
      <c r="H15" s="290">
        <v>171311.15184725</v>
      </c>
      <c r="I15" s="301">
        <v>103866575</v>
      </c>
      <c r="J15" s="290">
        <v>741803.95882429404</v>
      </c>
      <c r="K15" s="290">
        <v>3750066</v>
      </c>
      <c r="L15" s="283">
        <v>26361.6851026</v>
      </c>
    </row>
    <row r="16" spans="1:12" s="265" customFormat="1" ht="18" customHeight="1" x14ac:dyDescent="0.2">
      <c r="A16" s="266" t="s">
        <v>165</v>
      </c>
      <c r="B16" s="271">
        <v>23</v>
      </c>
      <c r="C16" s="301">
        <v>55668608</v>
      </c>
      <c r="D16" s="290">
        <v>401107.61562967801</v>
      </c>
      <c r="E16" s="301">
        <v>24068286</v>
      </c>
      <c r="F16" s="290">
        <v>171884.9526395</v>
      </c>
      <c r="G16" s="301">
        <v>25036281</v>
      </c>
      <c r="H16" s="290">
        <v>176490.02260575001</v>
      </c>
      <c r="I16" s="301">
        <v>104773175</v>
      </c>
      <c r="J16" s="290">
        <v>749482.59087492898</v>
      </c>
      <c r="K16" s="290">
        <v>3824404</v>
      </c>
      <c r="L16" s="283">
        <v>27499.510348240001</v>
      </c>
    </row>
    <row r="17" spans="1:12" s="265" customFormat="1" ht="18" customHeight="1" x14ac:dyDescent="0.2">
      <c r="A17" s="266" t="s">
        <v>166</v>
      </c>
      <c r="B17" s="271">
        <v>19</v>
      </c>
      <c r="C17" s="301">
        <v>48269214</v>
      </c>
      <c r="D17" s="290">
        <v>350382.51199999999</v>
      </c>
      <c r="E17" s="301">
        <v>24449894</v>
      </c>
      <c r="F17" s="290">
        <v>175538.47510000001</v>
      </c>
      <c r="G17" s="301">
        <v>21708503</v>
      </c>
      <c r="H17" s="290">
        <v>154433.50219999999</v>
      </c>
      <c r="I17" s="301">
        <v>94427611</v>
      </c>
      <c r="J17" s="290">
        <v>680354.48930000002</v>
      </c>
      <c r="K17" s="290">
        <v>4441072</v>
      </c>
      <c r="L17" s="283">
        <v>31909.215889999999</v>
      </c>
    </row>
    <row r="18" spans="1:12" s="265" customFormat="1" ht="18" customHeight="1" x14ac:dyDescent="0.2">
      <c r="A18" s="266" t="s">
        <v>167</v>
      </c>
      <c r="B18" s="271">
        <v>19</v>
      </c>
      <c r="C18" s="301">
        <v>55274790</v>
      </c>
      <c r="D18" s="290">
        <v>391350.06589999999</v>
      </c>
      <c r="E18" s="301">
        <v>33343595</v>
      </c>
      <c r="F18" s="290">
        <v>233840.11050000001</v>
      </c>
      <c r="G18" s="301">
        <v>27315593</v>
      </c>
      <c r="H18" s="290">
        <v>190145.51310000001</v>
      </c>
      <c r="I18" s="301">
        <v>115933978</v>
      </c>
      <c r="J18" s="290">
        <v>815335.68949999998</v>
      </c>
      <c r="K18" s="290">
        <v>4205566</v>
      </c>
      <c r="L18" s="283">
        <v>29351.446449999999</v>
      </c>
    </row>
    <row r="19" spans="1:12" s="265" customFormat="1" ht="15" customHeight="1" x14ac:dyDescent="0.2">
      <c r="A19" s="373" t="s">
        <v>576</v>
      </c>
      <c r="B19" s="373"/>
      <c r="C19" s="373"/>
      <c r="D19" s="373"/>
      <c r="E19" s="373"/>
      <c r="F19" s="373"/>
      <c r="G19" s="373"/>
      <c r="H19" s="373"/>
      <c r="I19" s="373"/>
      <c r="J19" s="373"/>
      <c r="K19" s="373"/>
      <c r="L19" s="373"/>
    </row>
    <row r="20" spans="1:12" s="265" customFormat="1" ht="13.5" customHeight="1" x14ac:dyDescent="0.2">
      <c r="A20" s="373" t="s">
        <v>106</v>
      </c>
      <c r="B20" s="373"/>
      <c r="C20" s="373"/>
      <c r="D20" s="373"/>
      <c r="E20" s="373"/>
      <c r="F20" s="373"/>
      <c r="G20" s="373"/>
      <c r="H20" s="373"/>
      <c r="I20" s="373"/>
      <c r="J20" s="373"/>
      <c r="K20" s="373"/>
      <c r="L20" s="373"/>
    </row>
    <row r="21" spans="1:12" s="265" customFormat="1" ht="13.5" customHeight="1" x14ac:dyDescent="0.2">
      <c r="A21" s="373" t="s">
        <v>450</v>
      </c>
      <c r="B21" s="373"/>
      <c r="C21" s="373"/>
      <c r="D21" s="373"/>
      <c r="E21" s="373"/>
      <c r="F21" s="373"/>
      <c r="G21" s="373"/>
      <c r="H21" s="373"/>
      <c r="I21" s="373"/>
      <c r="J21" s="373"/>
      <c r="K21" s="373"/>
      <c r="L21" s="373"/>
    </row>
    <row r="22" spans="1:12" s="265" customFormat="1" ht="28.35" customHeight="1" x14ac:dyDescent="0.2"/>
  </sheetData>
  <mergeCells count="18">
    <mergeCell ref="A1:L1"/>
    <mergeCell ref="A2:A4"/>
    <mergeCell ref="B2:B4"/>
    <mergeCell ref="C2:D2"/>
    <mergeCell ref="E2:H2"/>
    <mergeCell ref="I2:J2"/>
    <mergeCell ref="K2:L2"/>
    <mergeCell ref="C3:C4"/>
    <mergeCell ref="D3:D4"/>
    <mergeCell ref="E3:F3"/>
    <mergeCell ref="A20:L20"/>
    <mergeCell ref="A21:L21"/>
    <mergeCell ref="G3:H3"/>
    <mergeCell ref="I3:I4"/>
    <mergeCell ref="J3:J4"/>
    <mergeCell ref="K3:K4"/>
    <mergeCell ref="L3:L4"/>
    <mergeCell ref="A19:L19"/>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L21"/>
  <sheetViews>
    <sheetView workbookViewId="0">
      <selection sqref="A1:L1"/>
    </sheetView>
  </sheetViews>
  <sheetFormatPr defaultRowHeight="12.75" x14ac:dyDescent="0.2"/>
  <cols>
    <col min="1" max="1" width="9.42578125" style="262" bestFit="1" customWidth="1"/>
    <col min="2" max="2" width="7.7109375" style="262" bestFit="1" customWidth="1"/>
    <col min="3" max="9" width="12.140625" style="262" bestFit="1" customWidth="1"/>
    <col min="10" max="10" width="10" style="262" bestFit="1" customWidth="1"/>
    <col min="11" max="11" width="14.140625" style="262" bestFit="1" customWidth="1"/>
    <col min="12" max="12" width="9.140625" style="262" bestFit="1" customWidth="1"/>
    <col min="13" max="13" width="7.5703125" style="262" bestFit="1" customWidth="1"/>
    <col min="14" max="256" width="9.140625" style="262"/>
    <col min="257" max="257" width="9.42578125" style="262" bestFit="1" customWidth="1"/>
    <col min="258" max="258" width="7.7109375" style="262" bestFit="1" customWidth="1"/>
    <col min="259" max="265" width="12.140625" style="262" bestFit="1" customWidth="1"/>
    <col min="266" max="266" width="10" style="262" bestFit="1" customWidth="1"/>
    <col min="267" max="267" width="14.140625" style="262" bestFit="1" customWidth="1"/>
    <col min="268" max="268" width="9.140625" style="262" bestFit="1" customWidth="1"/>
    <col min="269" max="269" width="7.5703125" style="262" bestFit="1" customWidth="1"/>
    <col min="270" max="512" width="9.140625" style="262"/>
    <col min="513" max="513" width="9.42578125" style="262" bestFit="1" customWidth="1"/>
    <col min="514" max="514" width="7.7109375" style="262" bestFit="1" customWidth="1"/>
    <col min="515" max="521" width="12.140625" style="262" bestFit="1" customWidth="1"/>
    <col min="522" max="522" width="10" style="262" bestFit="1" customWidth="1"/>
    <col min="523" max="523" width="14.140625" style="262" bestFit="1" customWidth="1"/>
    <col min="524" max="524" width="9.140625" style="262" bestFit="1" customWidth="1"/>
    <col min="525" max="525" width="7.5703125" style="262" bestFit="1" customWidth="1"/>
    <col min="526" max="768" width="9.140625" style="262"/>
    <col min="769" max="769" width="9.42578125" style="262" bestFit="1" customWidth="1"/>
    <col min="770" max="770" width="7.7109375" style="262" bestFit="1" customWidth="1"/>
    <col min="771" max="777" width="12.140625" style="262" bestFit="1" customWidth="1"/>
    <col min="778" max="778" width="10" style="262" bestFit="1" customWidth="1"/>
    <col min="779" max="779" width="14.140625" style="262" bestFit="1" customWidth="1"/>
    <col min="780" max="780" width="9.140625" style="262" bestFit="1" customWidth="1"/>
    <col min="781" max="781" width="7.5703125" style="262" bestFit="1" customWidth="1"/>
    <col min="782" max="1024" width="9.140625" style="262"/>
    <col min="1025" max="1025" width="9.42578125" style="262" bestFit="1" customWidth="1"/>
    <col min="1026" max="1026" width="7.7109375" style="262" bestFit="1" customWidth="1"/>
    <col min="1027" max="1033" width="12.140625" style="262" bestFit="1" customWidth="1"/>
    <col min="1034" max="1034" width="10" style="262" bestFit="1" customWidth="1"/>
    <col min="1035" max="1035" width="14.140625" style="262" bestFit="1" customWidth="1"/>
    <col min="1036" max="1036" width="9.140625" style="262" bestFit="1" customWidth="1"/>
    <col min="1037" max="1037" width="7.5703125" style="262" bestFit="1" customWidth="1"/>
    <col min="1038" max="1280" width="9.140625" style="262"/>
    <col min="1281" max="1281" width="9.42578125" style="262" bestFit="1" customWidth="1"/>
    <col min="1282" max="1282" width="7.7109375" style="262" bestFit="1" customWidth="1"/>
    <col min="1283" max="1289" width="12.140625" style="262" bestFit="1" customWidth="1"/>
    <col min="1290" max="1290" width="10" style="262" bestFit="1" customWidth="1"/>
    <col min="1291" max="1291" width="14.140625" style="262" bestFit="1" customWidth="1"/>
    <col min="1292" max="1292" width="9.140625" style="262" bestFit="1" customWidth="1"/>
    <col min="1293" max="1293" width="7.5703125" style="262" bestFit="1" customWidth="1"/>
    <col min="1294" max="1536" width="9.140625" style="262"/>
    <col min="1537" max="1537" width="9.42578125" style="262" bestFit="1" customWidth="1"/>
    <col min="1538" max="1538" width="7.7109375" style="262" bestFit="1" customWidth="1"/>
    <col min="1539" max="1545" width="12.140625" style="262" bestFit="1" customWidth="1"/>
    <col min="1546" max="1546" width="10" style="262" bestFit="1" customWidth="1"/>
    <col min="1547" max="1547" width="14.140625" style="262" bestFit="1" customWidth="1"/>
    <col min="1548" max="1548" width="9.140625" style="262" bestFit="1" customWidth="1"/>
    <col min="1549" max="1549" width="7.5703125" style="262" bestFit="1" customWidth="1"/>
    <col min="1550" max="1792" width="9.140625" style="262"/>
    <col min="1793" max="1793" width="9.42578125" style="262" bestFit="1" customWidth="1"/>
    <col min="1794" max="1794" width="7.7109375" style="262" bestFit="1" customWidth="1"/>
    <col min="1795" max="1801" width="12.140625" style="262" bestFit="1" customWidth="1"/>
    <col min="1802" max="1802" width="10" style="262" bestFit="1" customWidth="1"/>
    <col min="1803" max="1803" width="14.140625" style="262" bestFit="1" customWidth="1"/>
    <col min="1804" max="1804" width="9.140625" style="262" bestFit="1" customWidth="1"/>
    <col min="1805" max="1805" width="7.5703125" style="262" bestFit="1" customWidth="1"/>
    <col min="1806" max="2048" width="9.140625" style="262"/>
    <col min="2049" max="2049" width="9.42578125" style="262" bestFit="1" customWidth="1"/>
    <col min="2050" max="2050" width="7.7109375" style="262" bestFit="1" customWidth="1"/>
    <col min="2051" max="2057" width="12.140625" style="262" bestFit="1" customWidth="1"/>
    <col min="2058" max="2058" width="10" style="262" bestFit="1" customWidth="1"/>
    <col min="2059" max="2059" width="14.140625" style="262" bestFit="1" customWidth="1"/>
    <col min="2060" max="2060" width="9.140625" style="262" bestFit="1" customWidth="1"/>
    <col min="2061" max="2061" width="7.5703125" style="262" bestFit="1" customWidth="1"/>
    <col min="2062" max="2304" width="9.140625" style="262"/>
    <col min="2305" max="2305" width="9.42578125" style="262" bestFit="1" customWidth="1"/>
    <col min="2306" max="2306" width="7.7109375" style="262" bestFit="1" customWidth="1"/>
    <col min="2307" max="2313" width="12.140625" style="262" bestFit="1" customWidth="1"/>
    <col min="2314" max="2314" width="10" style="262" bestFit="1" customWidth="1"/>
    <col min="2315" max="2315" width="14.140625" style="262" bestFit="1" customWidth="1"/>
    <col min="2316" max="2316" width="9.140625" style="262" bestFit="1" customWidth="1"/>
    <col min="2317" max="2317" width="7.5703125" style="262" bestFit="1" customWidth="1"/>
    <col min="2318" max="2560" width="9.140625" style="262"/>
    <col min="2561" max="2561" width="9.42578125" style="262" bestFit="1" customWidth="1"/>
    <col min="2562" max="2562" width="7.7109375" style="262" bestFit="1" customWidth="1"/>
    <col min="2563" max="2569" width="12.140625" style="262" bestFit="1" customWidth="1"/>
    <col min="2570" max="2570" width="10" style="262" bestFit="1" customWidth="1"/>
    <col min="2571" max="2571" width="14.140625" style="262" bestFit="1" customWidth="1"/>
    <col min="2572" max="2572" width="9.140625" style="262" bestFit="1" customWidth="1"/>
    <col min="2573" max="2573" width="7.5703125" style="262" bestFit="1" customWidth="1"/>
    <col min="2574" max="2816" width="9.140625" style="262"/>
    <col min="2817" max="2817" width="9.42578125" style="262" bestFit="1" customWidth="1"/>
    <col min="2818" max="2818" width="7.7109375" style="262" bestFit="1" customWidth="1"/>
    <col min="2819" max="2825" width="12.140625" style="262" bestFit="1" customWidth="1"/>
    <col min="2826" max="2826" width="10" style="262" bestFit="1" customWidth="1"/>
    <col min="2827" max="2827" width="14.140625" style="262" bestFit="1" customWidth="1"/>
    <col min="2828" max="2828" width="9.140625" style="262" bestFit="1" customWidth="1"/>
    <col min="2829" max="2829" width="7.5703125" style="262" bestFit="1" customWidth="1"/>
    <col min="2830" max="3072" width="9.140625" style="262"/>
    <col min="3073" max="3073" width="9.42578125" style="262" bestFit="1" customWidth="1"/>
    <col min="3074" max="3074" width="7.7109375" style="262" bestFit="1" customWidth="1"/>
    <col min="3075" max="3081" width="12.140625" style="262" bestFit="1" customWidth="1"/>
    <col min="3082" max="3082" width="10" style="262" bestFit="1" customWidth="1"/>
    <col min="3083" max="3083" width="14.140625" style="262" bestFit="1" customWidth="1"/>
    <col min="3084" max="3084" width="9.140625" style="262" bestFit="1" customWidth="1"/>
    <col min="3085" max="3085" width="7.5703125" style="262" bestFit="1" customWidth="1"/>
    <col min="3086" max="3328" width="9.140625" style="262"/>
    <col min="3329" max="3329" width="9.42578125" style="262" bestFit="1" customWidth="1"/>
    <col min="3330" max="3330" width="7.7109375" style="262" bestFit="1" customWidth="1"/>
    <col min="3331" max="3337" width="12.140625" style="262" bestFit="1" customWidth="1"/>
    <col min="3338" max="3338" width="10" style="262" bestFit="1" customWidth="1"/>
    <col min="3339" max="3339" width="14.140625" style="262" bestFit="1" customWidth="1"/>
    <col min="3340" max="3340" width="9.140625" style="262" bestFit="1" customWidth="1"/>
    <col min="3341" max="3341" width="7.5703125" style="262" bestFit="1" customWidth="1"/>
    <col min="3342" max="3584" width="9.140625" style="262"/>
    <col min="3585" max="3585" width="9.42578125" style="262" bestFit="1" customWidth="1"/>
    <col min="3586" max="3586" width="7.7109375" style="262" bestFit="1" customWidth="1"/>
    <col min="3587" max="3593" width="12.140625" style="262" bestFit="1" customWidth="1"/>
    <col min="3594" max="3594" width="10" style="262" bestFit="1" customWidth="1"/>
    <col min="3595" max="3595" width="14.140625" style="262" bestFit="1" customWidth="1"/>
    <col min="3596" max="3596" width="9.140625" style="262" bestFit="1" customWidth="1"/>
    <col min="3597" max="3597" width="7.5703125" style="262" bestFit="1" customWidth="1"/>
    <col min="3598" max="3840" width="9.140625" style="262"/>
    <col min="3841" max="3841" width="9.42578125" style="262" bestFit="1" customWidth="1"/>
    <col min="3842" max="3842" width="7.7109375" style="262" bestFit="1" customWidth="1"/>
    <col min="3843" max="3849" width="12.140625" style="262" bestFit="1" customWidth="1"/>
    <col min="3850" max="3850" width="10" style="262" bestFit="1" customWidth="1"/>
    <col min="3851" max="3851" width="14.140625" style="262" bestFit="1" customWidth="1"/>
    <col min="3852" max="3852" width="9.140625" style="262" bestFit="1" customWidth="1"/>
    <col min="3853" max="3853" width="7.5703125" style="262" bestFit="1" customWidth="1"/>
    <col min="3854" max="4096" width="9.140625" style="262"/>
    <col min="4097" max="4097" width="9.42578125" style="262" bestFit="1" customWidth="1"/>
    <col min="4098" max="4098" width="7.7109375" style="262" bestFit="1" customWidth="1"/>
    <col min="4099" max="4105" width="12.140625" style="262" bestFit="1" customWidth="1"/>
    <col min="4106" max="4106" width="10" style="262" bestFit="1" customWidth="1"/>
    <col min="4107" max="4107" width="14.140625" style="262" bestFit="1" customWidth="1"/>
    <col min="4108" max="4108" width="9.140625" style="262" bestFit="1" customWidth="1"/>
    <col min="4109" max="4109" width="7.5703125" style="262" bestFit="1" customWidth="1"/>
    <col min="4110" max="4352" width="9.140625" style="262"/>
    <col min="4353" max="4353" width="9.42578125" style="262" bestFit="1" customWidth="1"/>
    <col min="4354" max="4354" width="7.7109375" style="262" bestFit="1" customWidth="1"/>
    <col min="4355" max="4361" width="12.140625" style="262" bestFit="1" customWidth="1"/>
    <col min="4362" max="4362" width="10" style="262" bestFit="1" customWidth="1"/>
    <col min="4363" max="4363" width="14.140625" style="262" bestFit="1" customWidth="1"/>
    <col min="4364" max="4364" width="9.140625" style="262" bestFit="1" customWidth="1"/>
    <col min="4365" max="4365" width="7.5703125" style="262" bestFit="1" customWidth="1"/>
    <col min="4366" max="4608" width="9.140625" style="262"/>
    <col min="4609" max="4609" width="9.42578125" style="262" bestFit="1" customWidth="1"/>
    <col min="4610" max="4610" width="7.7109375" style="262" bestFit="1" customWidth="1"/>
    <col min="4611" max="4617" width="12.140625" style="262" bestFit="1" customWidth="1"/>
    <col min="4618" max="4618" width="10" style="262" bestFit="1" customWidth="1"/>
    <col min="4619" max="4619" width="14.140625" style="262" bestFit="1" customWidth="1"/>
    <col min="4620" max="4620" width="9.140625" style="262" bestFit="1" customWidth="1"/>
    <col min="4621" max="4621" width="7.5703125" style="262" bestFit="1" customWidth="1"/>
    <col min="4622" max="4864" width="9.140625" style="262"/>
    <col min="4865" max="4865" width="9.42578125" style="262" bestFit="1" customWidth="1"/>
    <col min="4866" max="4866" width="7.7109375" style="262" bestFit="1" customWidth="1"/>
    <col min="4867" max="4873" width="12.140625" style="262" bestFit="1" customWidth="1"/>
    <col min="4874" max="4874" width="10" style="262" bestFit="1" customWidth="1"/>
    <col min="4875" max="4875" width="14.140625" style="262" bestFit="1" customWidth="1"/>
    <col min="4876" max="4876" width="9.140625" style="262" bestFit="1" customWidth="1"/>
    <col min="4877" max="4877" width="7.5703125" style="262" bestFit="1" customWidth="1"/>
    <col min="4878" max="5120" width="9.140625" style="262"/>
    <col min="5121" max="5121" width="9.42578125" style="262" bestFit="1" customWidth="1"/>
    <col min="5122" max="5122" width="7.7109375" style="262" bestFit="1" customWidth="1"/>
    <col min="5123" max="5129" width="12.140625" style="262" bestFit="1" customWidth="1"/>
    <col min="5130" max="5130" width="10" style="262" bestFit="1" customWidth="1"/>
    <col min="5131" max="5131" width="14.140625" style="262" bestFit="1" customWidth="1"/>
    <col min="5132" max="5132" width="9.140625" style="262" bestFit="1" customWidth="1"/>
    <col min="5133" max="5133" width="7.5703125" style="262" bestFit="1" customWidth="1"/>
    <col min="5134" max="5376" width="9.140625" style="262"/>
    <col min="5377" max="5377" width="9.42578125" style="262" bestFit="1" customWidth="1"/>
    <col min="5378" max="5378" width="7.7109375" style="262" bestFit="1" customWidth="1"/>
    <col min="5379" max="5385" width="12.140625" style="262" bestFit="1" customWidth="1"/>
    <col min="5386" max="5386" width="10" style="262" bestFit="1" customWidth="1"/>
    <col min="5387" max="5387" width="14.140625" style="262" bestFit="1" customWidth="1"/>
    <col min="5388" max="5388" width="9.140625" style="262" bestFit="1" customWidth="1"/>
    <col min="5389" max="5389" width="7.5703125" style="262" bestFit="1" customWidth="1"/>
    <col min="5390" max="5632" width="9.140625" style="262"/>
    <col min="5633" max="5633" width="9.42578125" style="262" bestFit="1" customWidth="1"/>
    <col min="5634" max="5634" width="7.7109375" style="262" bestFit="1" customWidth="1"/>
    <col min="5635" max="5641" width="12.140625" style="262" bestFit="1" customWidth="1"/>
    <col min="5642" max="5642" width="10" style="262" bestFit="1" customWidth="1"/>
    <col min="5643" max="5643" width="14.140625" style="262" bestFit="1" customWidth="1"/>
    <col min="5644" max="5644" width="9.140625" style="262" bestFit="1" customWidth="1"/>
    <col min="5645" max="5645" width="7.5703125" style="262" bestFit="1" customWidth="1"/>
    <col min="5646" max="5888" width="9.140625" style="262"/>
    <col min="5889" max="5889" width="9.42578125" style="262" bestFit="1" customWidth="1"/>
    <col min="5890" max="5890" width="7.7109375" style="262" bestFit="1" customWidth="1"/>
    <col min="5891" max="5897" width="12.140625" style="262" bestFit="1" customWidth="1"/>
    <col min="5898" max="5898" width="10" style="262" bestFit="1" customWidth="1"/>
    <col min="5899" max="5899" width="14.140625" style="262" bestFit="1" customWidth="1"/>
    <col min="5900" max="5900" width="9.140625" style="262" bestFit="1" customWidth="1"/>
    <col min="5901" max="5901" width="7.5703125" style="262" bestFit="1" customWidth="1"/>
    <col min="5902" max="6144" width="9.140625" style="262"/>
    <col min="6145" max="6145" width="9.42578125" style="262" bestFit="1" customWidth="1"/>
    <col min="6146" max="6146" width="7.7109375" style="262" bestFit="1" customWidth="1"/>
    <col min="6147" max="6153" width="12.140625" style="262" bestFit="1" customWidth="1"/>
    <col min="6154" max="6154" width="10" style="262" bestFit="1" customWidth="1"/>
    <col min="6155" max="6155" width="14.140625" style="262" bestFit="1" customWidth="1"/>
    <col min="6156" max="6156" width="9.140625" style="262" bestFit="1" customWidth="1"/>
    <col min="6157" max="6157" width="7.5703125" style="262" bestFit="1" customWidth="1"/>
    <col min="6158" max="6400" width="9.140625" style="262"/>
    <col min="6401" max="6401" width="9.42578125" style="262" bestFit="1" customWidth="1"/>
    <col min="6402" max="6402" width="7.7109375" style="262" bestFit="1" customWidth="1"/>
    <col min="6403" max="6409" width="12.140625" style="262" bestFit="1" customWidth="1"/>
    <col min="6410" max="6410" width="10" style="262" bestFit="1" customWidth="1"/>
    <col min="6411" max="6411" width="14.140625" style="262" bestFit="1" customWidth="1"/>
    <col min="6412" max="6412" width="9.140625" style="262" bestFit="1" customWidth="1"/>
    <col min="6413" max="6413" width="7.5703125" style="262" bestFit="1" customWidth="1"/>
    <col min="6414" max="6656" width="9.140625" style="262"/>
    <col min="6657" max="6657" width="9.42578125" style="262" bestFit="1" customWidth="1"/>
    <col min="6658" max="6658" width="7.7109375" style="262" bestFit="1" customWidth="1"/>
    <col min="6659" max="6665" width="12.140625" style="262" bestFit="1" customWidth="1"/>
    <col min="6666" max="6666" width="10" style="262" bestFit="1" customWidth="1"/>
    <col min="6667" max="6667" width="14.140625" style="262" bestFit="1" customWidth="1"/>
    <col min="6668" max="6668" width="9.140625" style="262" bestFit="1" customWidth="1"/>
    <col min="6669" max="6669" width="7.5703125" style="262" bestFit="1" customWidth="1"/>
    <col min="6670" max="6912" width="9.140625" style="262"/>
    <col min="6913" max="6913" width="9.42578125" style="262" bestFit="1" customWidth="1"/>
    <col min="6914" max="6914" width="7.7109375" style="262" bestFit="1" customWidth="1"/>
    <col min="6915" max="6921" width="12.140625" style="262" bestFit="1" customWidth="1"/>
    <col min="6922" max="6922" width="10" style="262" bestFit="1" customWidth="1"/>
    <col min="6923" max="6923" width="14.140625" style="262" bestFit="1" customWidth="1"/>
    <col min="6924" max="6924" width="9.140625" style="262" bestFit="1" customWidth="1"/>
    <col min="6925" max="6925" width="7.5703125" style="262" bestFit="1" customWidth="1"/>
    <col min="6926" max="7168" width="9.140625" style="262"/>
    <col min="7169" max="7169" width="9.42578125" style="262" bestFit="1" customWidth="1"/>
    <col min="7170" max="7170" width="7.7109375" style="262" bestFit="1" customWidth="1"/>
    <col min="7171" max="7177" width="12.140625" style="262" bestFit="1" customWidth="1"/>
    <col min="7178" max="7178" width="10" style="262" bestFit="1" customWidth="1"/>
    <col min="7179" max="7179" width="14.140625" style="262" bestFit="1" customWidth="1"/>
    <col min="7180" max="7180" width="9.140625" style="262" bestFit="1" customWidth="1"/>
    <col min="7181" max="7181" width="7.5703125" style="262" bestFit="1" customWidth="1"/>
    <col min="7182" max="7424" width="9.140625" style="262"/>
    <col min="7425" max="7425" width="9.42578125" style="262" bestFit="1" customWidth="1"/>
    <col min="7426" max="7426" width="7.7109375" style="262" bestFit="1" customWidth="1"/>
    <col min="7427" max="7433" width="12.140625" style="262" bestFit="1" customWidth="1"/>
    <col min="7434" max="7434" width="10" style="262" bestFit="1" customWidth="1"/>
    <col min="7435" max="7435" width="14.140625" style="262" bestFit="1" customWidth="1"/>
    <col min="7436" max="7436" width="9.140625" style="262" bestFit="1" customWidth="1"/>
    <col min="7437" max="7437" width="7.5703125" style="262" bestFit="1" customWidth="1"/>
    <col min="7438" max="7680" width="9.140625" style="262"/>
    <col min="7681" max="7681" width="9.42578125" style="262" bestFit="1" customWidth="1"/>
    <col min="7682" max="7682" width="7.7109375" style="262" bestFit="1" customWidth="1"/>
    <col min="7683" max="7689" width="12.140625" style="262" bestFit="1" customWidth="1"/>
    <col min="7690" max="7690" width="10" style="262" bestFit="1" customWidth="1"/>
    <col min="7691" max="7691" width="14.140625" style="262" bestFit="1" customWidth="1"/>
    <col min="7692" max="7692" width="9.140625" style="262" bestFit="1" customWidth="1"/>
    <col min="7693" max="7693" width="7.5703125" style="262" bestFit="1" customWidth="1"/>
    <col min="7694" max="7936" width="9.140625" style="262"/>
    <col min="7937" max="7937" width="9.42578125" style="262" bestFit="1" customWidth="1"/>
    <col min="7938" max="7938" width="7.7109375" style="262" bestFit="1" customWidth="1"/>
    <col min="7939" max="7945" width="12.140625" style="262" bestFit="1" customWidth="1"/>
    <col min="7946" max="7946" width="10" style="262" bestFit="1" customWidth="1"/>
    <col min="7947" max="7947" width="14.140625" style="262" bestFit="1" customWidth="1"/>
    <col min="7948" max="7948" width="9.140625" style="262" bestFit="1" customWidth="1"/>
    <col min="7949" max="7949" width="7.5703125" style="262" bestFit="1" customWidth="1"/>
    <col min="7950" max="8192" width="9.140625" style="262"/>
    <col min="8193" max="8193" width="9.42578125" style="262" bestFit="1" customWidth="1"/>
    <col min="8194" max="8194" width="7.7109375" style="262" bestFit="1" customWidth="1"/>
    <col min="8195" max="8201" width="12.140625" style="262" bestFit="1" customWidth="1"/>
    <col min="8202" max="8202" width="10" style="262" bestFit="1" customWidth="1"/>
    <col min="8203" max="8203" width="14.140625" style="262" bestFit="1" customWidth="1"/>
    <col min="8204" max="8204" width="9.140625" style="262" bestFit="1" customWidth="1"/>
    <col min="8205" max="8205" width="7.5703125" style="262" bestFit="1" customWidth="1"/>
    <col min="8206" max="8448" width="9.140625" style="262"/>
    <col min="8449" max="8449" width="9.42578125" style="262" bestFit="1" customWidth="1"/>
    <col min="8450" max="8450" width="7.7109375" style="262" bestFit="1" customWidth="1"/>
    <col min="8451" max="8457" width="12.140625" style="262" bestFit="1" customWidth="1"/>
    <col min="8458" max="8458" width="10" style="262" bestFit="1" customWidth="1"/>
    <col min="8459" max="8459" width="14.140625" style="262" bestFit="1" customWidth="1"/>
    <col min="8460" max="8460" width="9.140625" style="262" bestFit="1" customWidth="1"/>
    <col min="8461" max="8461" width="7.5703125" style="262" bestFit="1" customWidth="1"/>
    <col min="8462" max="8704" width="9.140625" style="262"/>
    <col min="8705" max="8705" width="9.42578125" style="262" bestFit="1" customWidth="1"/>
    <col min="8706" max="8706" width="7.7109375" style="262" bestFit="1" customWidth="1"/>
    <col min="8707" max="8713" width="12.140625" style="262" bestFit="1" customWidth="1"/>
    <col min="8714" max="8714" width="10" style="262" bestFit="1" customWidth="1"/>
    <col min="8715" max="8715" width="14.140625" style="262" bestFit="1" customWidth="1"/>
    <col min="8716" max="8716" width="9.140625" style="262" bestFit="1" customWidth="1"/>
    <col min="8717" max="8717" width="7.5703125" style="262" bestFit="1" customWidth="1"/>
    <col min="8718" max="8960" width="9.140625" style="262"/>
    <col min="8961" max="8961" width="9.42578125" style="262" bestFit="1" customWidth="1"/>
    <col min="8962" max="8962" width="7.7109375" style="262" bestFit="1" customWidth="1"/>
    <col min="8963" max="8969" width="12.140625" style="262" bestFit="1" customWidth="1"/>
    <col min="8970" max="8970" width="10" style="262" bestFit="1" customWidth="1"/>
    <col min="8971" max="8971" width="14.140625" style="262" bestFit="1" customWidth="1"/>
    <col min="8972" max="8972" width="9.140625" style="262" bestFit="1" customWidth="1"/>
    <col min="8973" max="8973" width="7.5703125" style="262" bestFit="1" customWidth="1"/>
    <col min="8974" max="9216" width="9.140625" style="262"/>
    <col min="9217" max="9217" width="9.42578125" style="262" bestFit="1" customWidth="1"/>
    <col min="9218" max="9218" width="7.7109375" style="262" bestFit="1" customWidth="1"/>
    <col min="9219" max="9225" width="12.140625" style="262" bestFit="1" customWidth="1"/>
    <col min="9226" max="9226" width="10" style="262" bestFit="1" customWidth="1"/>
    <col min="9227" max="9227" width="14.140625" style="262" bestFit="1" customWidth="1"/>
    <col min="9228" max="9228" width="9.140625" style="262" bestFit="1" customWidth="1"/>
    <col min="9229" max="9229" width="7.5703125" style="262" bestFit="1" customWidth="1"/>
    <col min="9230" max="9472" width="9.140625" style="262"/>
    <col min="9473" max="9473" width="9.42578125" style="262" bestFit="1" customWidth="1"/>
    <col min="9474" max="9474" width="7.7109375" style="262" bestFit="1" customWidth="1"/>
    <col min="9475" max="9481" width="12.140625" style="262" bestFit="1" customWidth="1"/>
    <col min="9482" max="9482" width="10" style="262" bestFit="1" customWidth="1"/>
    <col min="9483" max="9483" width="14.140625" style="262" bestFit="1" customWidth="1"/>
    <col min="9484" max="9484" width="9.140625" style="262" bestFit="1" customWidth="1"/>
    <col min="9485" max="9485" width="7.5703125" style="262" bestFit="1" customWidth="1"/>
    <col min="9486" max="9728" width="9.140625" style="262"/>
    <col min="9729" max="9729" width="9.42578125" style="262" bestFit="1" customWidth="1"/>
    <col min="9730" max="9730" width="7.7109375" style="262" bestFit="1" customWidth="1"/>
    <col min="9731" max="9737" width="12.140625" style="262" bestFit="1" customWidth="1"/>
    <col min="9738" max="9738" width="10" style="262" bestFit="1" customWidth="1"/>
    <col min="9739" max="9739" width="14.140625" style="262" bestFit="1" customWidth="1"/>
    <col min="9740" max="9740" width="9.140625" style="262" bestFit="1" customWidth="1"/>
    <col min="9741" max="9741" width="7.5703125" style="262" bestFit="1" customWidth="1"/>
    <col min="9742" max="9984" width="9.140625" style="262"/>
    <col min="9985" max="9985" width="9.42578125" style="262" bestFit="1" customWidth="1"/>
    <col min="9986" max="9986" width="7.7109375" style="262" bestFit="1" customWidth="1"/>
    <col min="9987" max="9993" width="12.140625" style="262" bestFit="1" customWidth="1"/>
    <col min="9994" max="9994" width="10" style="262" bestFit="1" customWidth="1"/>
    <col min="9995" max="9995" width="14.140625" style="262" bestFit="1" customWidth="1"/>
    <col min="9996" max="9996" width="9.140625" style="262" bestFit="1" customWidth="1"/>
    <col min="9997" max="9997" width="7.5703125" style="262" bestFit="1" customWidth="1"/>
    <col min="9998" max="10240" width="9.140625" style="262"/>
    <col min="10241" max="10241" width="9.42578125" style="262" bestFit="1" customWidth="1"/>
    <col min="10242" max="10242" width="7.7109375" style="262" bestFit="1" customWidth="1"/>
    <col min="10243" max="10249" width="12.140625" style="262" bestFit="1" customWidth="1"/>
    <col min="10250" max="10250" width="10" style="262" bestFit="1" customWidth="1"/>
    <col min="10251" max="10251" width="14.140625" style="262" bestFit="1" customWidth="1"/>
    <col min="10252" max="10252" width="9.140625" style="262" bestFit="1" customWidth="1"/>
    <col min="10253" max="10253" width="7.5703125" style="262" bestFit="1" customWidth="1"/>
    <col min="10254" max="10496" width="9.140625" style="262"/>
    <col min="10497" max="10497" width="9.42578125" style="262" bestFit="1" customWidth="1"/>
    <col min="10498" max="10498" width="7.7109375" style="262" bestFit="1" customWidth="1"/>
    <col min="10499" max="10505" width="12.140625" style="262" bestFit="1" customWidth="1"/>
    <col min="10506" max="10506" width="10" style="262" bestFit="1" customWidth="1"/>
    <col min="10507" max="10507" width="14.140625" style="262" bestFit="1" customWidth="1"/>
    <col min="10508" max="10508" width="9.140625" style="262" bestFit="1" customWidth="1"/>
    <col min="10509" max="10509" width="7.5703125" style="262" bestFit="1" customWidth="1"/>
    <col min="10510" max="10752" width="9.140625" style="262"/>
    <col min="10753" max="10753" width="9.42578125" style="262" bestFit="1" customWidth="1"/>
    <col min="10754" max="10754" width="7.7109375" style="262" bestFit="1" customWidth="1"/>
    <col min="10755" max="10761" width="12.140625" style="262" bestFit="1" customWidth="1"/>
    <col min="10762" max="10762" width="10" style="262" bestFit="1" customWidth="1"/>
    <col min="10763" max="10763" width="14.140625" style="262" bestFit="1" customWidth="1"/>
    <col min="10764" max="10764" width="9.140625" style="262" bestFit="1" customWidth="1"/>
    <col min="10765" max="10765" width="7.5703125" style="262" bestFit="1" customWidth="1"/>
    <col min="10766" max="11008" width="9.140625" style="262"/>
    <col min="11009" max="11009" width="9.42578125" style="262" bestFit="1" customWidth="1"/>
    <col min="11010" max="11010" width="7.7109375" style="262" bestFit="1" customWidth="1"/>
    <col min="11011" max="11017" width="12.140625" style="262" bestFit="1" customWidth="1"/>
    <col min="11018" max="11018" width="10" style="262" bestFit="1" customWidth="1"/>
    <col min="11019" max="11019" width="14.140625" style="262" bestFit="1" customWidth="1"/>
    <col min="11020" max="11020" width="9.140625" style="262" bestFit="1" customWidth="1"/>
    <col min="11021" max="11021" width="7.5703125" style="262" bestFit="1" customWidth="1"/>
    <col min="11022" max="11264" width="9.140625" style="262"/>
    <col min="11265" max="11265" width="9.42578125" style="262" bestFit="1" customWidth="1"/>
    <col min="11266" max="11266" width="7.7109375" style="262" bestFit="1" customWidth="1"/>
    <col min="11267" max="11273" width="12.140625" style="262" bestFit="1" customWidth="1"/>
    <col min="11274" max="11274" width="10" style="262" bestFit="1" customWidth="1"/>
    <col min="11275" max="11275" width="14.140625" style="262" bestFit="1" customWidth="1"/>
    <col min="11276" max="11276" width="9.140625" style="262" bestFit="1" customWidth="1"/>
    <col min="11277" max="11277" width="7.5703125" style="262" bestFit="1" customWidth="1"/>
    <col min="11278" max="11520" width="9.140625" style="262"/>
    <col min="11521" max="11521" width="9.42578125" style="262" bestFit="1" customWidth="1"/>
    <col min="11522" max="11522" width="7.7109375" style="262" bestFit="1" customWidth="1"/>
    <col min="11523" max="11529" width="12.140625" style="262" bestFit="1" customWidth="1"/>
    <col min="11530" max="11530" width="10" style="262" bestFit="1" customWidth="1"/>
    <col min="11531" max="11531" width="14.140625" style="262" bestFit="1" customWidth="1"/>
    <col min="11532" max="11532" width="9.140625" style="262" bestFit="1" customWidth="1"/>
    <col min="11533" max="11533" width="7.5703125" style="262" bestFit="1" customWidth="1"/>
    <col min="11534" max="11776" width="9.140625" style="262"/>
    <col min="11777" max="11777" width="9.42578125" style="262" bestFit="1" customWidth="1"/>
    <col min="11778" max="11778" width="7.7109375" style="262" bestFit="1" customWidth="1"/>
    <col min="11779" max="11785" width="12.140625" style="262" bestFit="1" customWidth="1"/>
    <col min="11786" max="11786" width="10" style="262" bestFit="1" customWidth="1"/>
    <col min="11787" max="11787" width="14.140625" style="262" bestFit="1" customWidth="1"/>
    <col min="11788" max="11788" width="9.140625" style="262" bestFit="1" customWidth="1"/>
    <col min="11789" max="11789" width="7.5703125" style="262" bestFit="1" customWidth="1"/>
    <col min="11790" max="12032" width="9.140625" style="262"/>
    <col min="12033" max="12033" width="9.42578125" style="262" bestFit="1" customWidth="1"/>
    <col min="12034" max="12034" width="7.7109375" style="262" bestFit="1" customWidth="1"/>
    <col min="12035" max="12041" width="12.140625" style="262" bestFit="1" customWidth="1"/>
    <col min="12042" max="12042" width="10" style="262" bestFit="1" customWidth="1"/>
    <col min="12043" max="12043" width="14.140625" style="262" bestFit="1" customWidth="1"/>
    <col min="12044" max="12044" width="9.140625" style="262" bestFit="1" customWidth="1"/>
    <col min="12045" max="12045" width="7.5703125" style="262" bestFit="1" customWidth="1"/>
    <col min="12046" max="12288" width="9.140625" style="262"/>
    <col min="12289" max="12289" width="9.42578125" style="262" bestFit="1" customWidth="1"/>
    <col min="12290" max="12290" width="7.7109375" style="262" bestFit="1" customWidth="1"/>
    <col min="12291" max="12297" width="12.140625" style="262" bestFit="1" customWidth="1"/>
    <col min="12298" max="12298" width="10" style="262" bestFit="1" customWidth="1"/>
    <col min="12299" max="12299" width="14.140625" style="262" bestFit="1" customWidth="1"/>
    <col min="12300" max="12300" width="9.140625" style="262" bestFit="1" customWidth="1"/>
    <col min="12301" max="12301" width="7.5703125" style="262" bestFit="1" customWidth="1"/>
    <col min="12302" max="12544" width="9.140625" style="262"/>
    <col min="12545" max="12545" width="9.42578125" style="262" bestFit="1" customWidth="1"/>
    <col min="12546" max="12546" width="7.7109375" style="262" bestFit="1" customWidth="1"/>
    <col min="12547" max="12553" width="12.140625" style="262" bestFit="1" customWidth="1"/>
    <col min="12554" max="12554" width="10" style="262" bestFit="1" customWidth="1"/>
    <col min="12555" max="12555" width="14.140625" style="262" bestFit="1" customWidth="1"/>
    <col min="12556" max="12556" width="9.140625" style="262" bestFit="1" customWidth="1"/>
    <col min="12557" max="12557" width="7.5703125" style="262" bestFit="1" customWidth="1"/>
    <col min="12558" max="12800" width="9.140625" style="262"/>
    <col min="12801" max="12801" width="9.42578125" style="262" bestFit="1" customWidth="1"/>
    <col min="12802" max="12802" width="7.7109375" style="262" bestFit="1" customWidth="1"/>
    <col min="12803" max="12809" width="12.140625" style="262" bestFit="1" customWidth="1"/>
    <col min="12810" max="12810" width="10" style="262" bestFit="1" customWidth="1"/>
    <col min="12811" max="12811" width="14.140625" style="262" bestFit="1" customWidth="1"/>
    <col min="12812" max="12812" width="9.140625" style="262" bestFit="1" customWidth="1"/>
    <col min="12813" max="12813" width="7.5703125" style="262" bestFit="1" customWidth="1"/>
    <col min="12814" max="13056" width="9.140625" style="262"/>
    <col min="13057" max="13057" width="9.42578125" style="262" bestFit="1" customWidth="1"/>
    <col min="13058" max="13058" width="7.7109375" style="262" bestFit="1" customWidth="1"/>
    <col min="13059" max="13065" width="12.140625" style="262" bestFit="1" customWidth="1"/>
    <col min="13066" max="13066" width="10" style="262" bestFit="1" customWidth="1"/>
    <col min="13067" max="13067" width="14.140625" style="262" bestFit="1" customWidth="1"/>
    <col min="13068" max="13068" width="9.140625" style="262" bestFit="1" customWidth="1"/>
    <col min="13069" max="13069" width="7.5703125" style="262" bestFit="1" customWidth="1"/>
    <col min="13070" max="13312" width="9.140625" style="262"/>
    <col min="13313" max="13313" width="9.42578125" style="262" bestFit="1" customWidth="1"/>
    <col min="13314" max="13314" width="7.7109375" style="262" bestFit="1" customWidth="1"/>
    <col min="13315" max="13321" width="12.140625" style="262" bestFit="1" customWidth="1"/>
    <col min="13322" max="13322" width="10" style="262" bestFit="1" customWidth="1"/>
    <col min="13323" max="13323" width="14.140625" style="262" bestFit="1" customWidth="1"/>
    <col min="13324" max="13324" width="9.140625" style="262" bestFit="1" customWidth="1"/>
    <col min="13325" max="13325" width="7.5703125" style="262" bestFit="1" customWidth="1"/>
    <col min="13326" max="13568" width="9.140625" style="262"/>
    <col min="13569" max="13569" width="9.42578125" style="262" bestFit="1" customWidth="1"/>
    <col min="13570" max="13570" width="7.7109375" style="262" bestFit="1" customWidth="1"/>
    <col min="13571" max="13577" width="12.140625" style="262" bestFit="1" customWidth="1"/>
    <col min="13578" max="13578" width="10" style="262" bestFit="1" customWidth="1"/>
    <col min="13579" max="13579" width="14.140625" style="262" bestFit="1" customWidth="1"/>
    <col min="13580" max="13580" width="9.140625" style="262" bestFit="1" customWidth="1"/>
    <col min="13581" max="13581" width="7.5703125" style="262" bestFit="1" customWidth="1"/>
    <col min="13582" max="13824" width="9.140625" style="262"/>
    <col min="13825" max="13825" width="9.42578125" style="262" bestFit="1" customWidth="1"/>
    <col min="13826" max="13826" width="7.7109375" style="262" bestFit="1" customWidth="1"/>
    <col min="13827" max="13833" width="12.140625" style="262" bestFit="1" customWidth="1"/>
    <col min="13834" max="13834" width="10" style="262" bestFit="1" customWidth="1"/>
    <col min="13835" max="13835" width="14.140625" style="262" bestFit="1" customWidth="1"/>
    <col min="13836" max="13836" width="9.140625" style="262" bestFit="1" customWidth="1"/>
    <col min="13837" max="13837" width="7.5703125" style="262" bestFit="1" customWidth="1"/>
    <col min="13838" max="14080" width="9.140625" style="262"/>
    <col min="14081" max="14081" width="9.42578125" style="262" bestFit="1" customWidth="1"/>
    <col min="14082" max="14082" width="7.7109375" style="262" bestFit="1" customWidth="1"/>
    <col min="14083" max="14089" width="12.140625" style="262" bestFit="1" customWidth="1"/>
    <col min="14090" max="14090" width="10" style="262" bestFit="1" customWidth="1"/>
    <col min="14091" max="14091" width="14.140625" style="262" bestFit="1" customWidth="1"/>
    <col min="14092" max="14092" width="9.140625" style="262" bestFit="1" customWidth="1"/>
    <col min="14093" max="14093" width="7.5703125" style="262" bestFit="1" customWidth="1"/>
    <col min="14094" max="14336" width="9.140625" style="262"/>
    <col min="14337" max="14337" width="9.42578125" style="262" bestFit="1" customWidth="1"/>
    <col min="14338" max="14338" width="7.7109375" style="262" bestFit="1" customWidth="1"/>
    <col min="14339" max="14345" width="12.140625" style="262" bestFit="1" customWidth="1"/>
    <col min="14346" max="14346" width="10" style="262" bestFit="1" customWidth="1"/>
    <col min="14347" max="14347" width="14.140625" style="262" bestFit="1" customWidth="1"/>
    <col min="14348" max="14348" width="9.140625" style="262" bestFit="1" customWidth="1"/>
    <col min="14349" max="14349" width="7.5703125" style="262" bestFit="1" customWidth="1"/>
    <col min="14350" max="14592" width="9.140625" style="262"/>
    <col min="14593" max="14593" width="9.42578125" style="262" bestFit="1" customWidth="1"/>
    <col min="14594" max="14594" width="7.7109375" style="262" bestFit="1" customWidth="1"/>
    <col min="14595" max="14601" width="12.140625" style="262" bestFit="1" customWidth="1"/>
    <col min="14602" max="14602" width="10" style="262" bestFit="1" customWidth="1"/>
    <col min="14603" max="14603" width="14.140625" style="262" bestFit="1" customWidth="1"/>
    <col min="14604" max="14604" width="9.140625" style="262" bestFit="1" customWidth="1"/>
    <col min="14605" max="14605" width="7.5703125" style="262" bestFit="1" customWidth="1"/>
    <col min="14606" max="14848" width="9.140625" style="262"/>
    <col min="14849" max="14849" width="9.42578125" style="262" bestFit="1" customWidth="1"/>
    <col min="14850" max="14850" width="7.7109375" style="262" bestFit="1" customWidth="1"/>
    <col min="14851" max="14857" width="12.140625" style="262" bestFit="1" customWidth="1"/>
    <col min="14858" max="14858" width="10" style="262" bestFit="1" customWidth="1"/>
    <col min="14859" max="14859" width="14.140625" style="262" bestFit="1" customWidth="1"/>
    <col min="14860" max="14860" width="9.140625" style="262" bestFit="1" customWidth="1"/>
    <col min="14861" max="14861" width="7.5703125" style="262" bestFit="1" customWidth="1"/>
    <col min="14862" max="15104" width="9.140625" style="262"/>
    <col min="15105" max="15105" width="9.42578125" style="262" bestFit="1" customWidth="1"/>
    <col min="15106" max="15106" width="7.7109375" style="262" bestFit="1" customWidth="1"/>
    <col min="15107" max="15113" width="12.140625" style="262" bestFit="1" customWidth="1"/>
    <col min="15114" max="15114" width="10" style="262" bestFit="1" customWidth="1"/>
    <col min="15115" max="15115" width="14.140625" style="262" bestFit="1" customWidth="1"/>
    <col min="15116" max="15116" width="9.140625" style="262" bestFit="1" customWidth="1"/>
    <col min="15117" max="15117" width="7.5703125" style="262" bestFit="1" customWidth="1"/>
    <col min="15118" max="15360" width="9.140625" style="262"/>
    <col min="15361" max="15361" width="9.42578125" style="262" bestFit="1" customWidth="1"/>
    <col min="15362" max="15362" width="7.7109375" style="262" bestFit="1" customWidth="1"/>
    <col min="15363" max="15369" width="12.140625" style="262" bestFit="1" customWidth="1"/>
    <col min="15370" max="15370" width="10" style="262" bestFit="1" customWidth="1"/>
    <col min="15371" max="15371" width="14.140625" style="262" bestFit="1" customWidth="1"/>
    <col min="15372" max="15372" width="9.140625" style="262" bestFit="1" customWidth="1"/>
    <col min="15373" max="15373" width="7.5703125" style="262" bestFit="1" customWidth="1"/>
    <col min="15374" max="15616" width="9.140625" style="262"/>
    <col min="15617" max="15617" width="9.42578125" style="262" bestFit="1" customWidth="1"/>
    <col min="15618" max="15618" width="7.7109375" style="262" bestFit="1" customWidth="1"/>
    <col min="15619" max="15625" width="12.140625" style="262" bestFit="1" customWidth="1"/>
    <col min="15626" max="15626" width="10" style="262" bestFit="1" customWidth="1"/>
    <col min="15627" max="15627" width="14.140625" style="262" bestFit="1" customWidth="1"/>
    <col min="15628" max="15628" width="9.140625" style="262" bestFit="1" customWidth="1"/>
    <col min="15629" max="15629" width="7.5703125" style="262" bestFit="1" customWidth="1"/>
    <col min="15630" max="15872" width="9.140625" style="262"/>
    <col min="15873" max="15873" width="9.42578125" style="262" bestFit="1" customWidth="1"/>
    <col min="15874" max="15874" width="7.7109375" style="262" bestFit="1" customWidth="1"/>
    <col min="15875" max="15881" width="12.140625" style="262" bestFit="1" customWidth="1"/>
    <col min="15882" max="15882" width="10" style="262" bestFit="1" customWidth="1"/>
    <col min="15883" max="15883" width="14.140625" style="262" bestFit="1" customWidth="1"/>
    <col min="15884" max="15884" width="9.140625" style="262" bestFit="1" customWidth="1"/>
    <col min="15885" max="15885" width="7.5703125" style="262" bestFit="1" customWidth="1"/>
    <col min="15886" max="16128" width="9.140625" style="262"/>
    <col min="16129" max="16129" width="9.42578125" style="262" bestFit="1" customWidth="1"/>
    <col min="16130" max="16130" width="7.7109375" style="262" bestFit="1" customWidth="1"/>
    <col min="16131" max="16137" width="12.140625" style="262" bestFit="1" customWidth="1"/>
    <col min="16138" max="16138" width="10" style="262" bestFit="1" customWidth="1"/>
    <col min="16139" max="16139" width="14.140625" style="262" bestFit="1" customWidth="1"/>
    <col min="16140" max="16140" width="9.140625" style="262" bestFit="1" customWidth="1"/>
    <col min="16141" max="16141" width="7.5703125" style="262" bestFit="1" customWidth="1"/>
    <col min="16142" max="16384" width="9.140625" style="262"/>
  </cols>
  <sheetData>
    <row r="1" spans="1:12" ht="15.75" customHeight="1" x14ac:dyDescent="0.2">
      <c r="A1" s="385" t="s">
        <v>46</v>
      </c>
      <c r="B1" s="385"/>
      <c r="C1" s="385"/>
      <c r="D1" s="385"/>
      <c r="E1" s="385"/>
      <c r="F1" s="385"/>
      <c r="G1" s="385"/>
      <c r="H1" s="385"/>
      <c r="I1" s="385"/>
      <c r="J1" s="385"/>
      <c r="K1" s="385"/>
      <c r="L1" s="385"/>
    </row>
    <row r="2" spans="1:12" s="265" customFormat="1" ht="24" customHeight="1" x14ac:dyDescent="0.2">
      <c r="A2" s="403" t="s">
        <v>519</v>
      </c>
      <c r="B2" s="403" t="s">
        <v>572</v>
      </c>
      <c r="C2" s="386" t="s">
        <v>565</v>
      </c>
      <c r="D2" s="387"/>
      <c r="E2" s="449" t="s">
        <v>573</v>
      </c>
      <c r="F2" s="449"/>
      <c r="G2" s="449"/>
      <c r="H2" s="449"/>
      <c r="I2" s="386" t="s">
        <v>150</v>
      </c>
      <c r="J2" s="387"/>
      <c r="K2" s="450" t="s">
        <v>574</v>
      </c>
      <c r="L2" s="451"/>
    </row>
    <row r="3" spans="1:12" s="265" customFormat="1" ht="18" customHeight="1" x14ac:dyDescent="0.2">
      <c r="A3" s="444"/>
      <c r="B3" s="444"/>
      <c r="C3" s="440" t="s">
        <v>527</v>
      </c>
      <c r="D3" s="442" t="s">
        <v>528</v>
      </c>
      <c r="E3" s="386" t="s">
        <v>525</v>
      </c>
      <c r="F3" s="387"/>
      <c r="G3" s="386" t="s">
        <v>526</v>
      </c>
      <c r="H3" s="387"/>
      <c r="I3" s="403" t="s">
        <v>569</v>
      </c>
      <c r="J3" s="448" t="s">
        <v>288</v>
      </c>
      <c r="K3" s="440" t="s">
        <v>527</v>
      </c>
      <c r="L3" s="442" t="s">
        <v>575</v>
      </c>
    </row>
    <row r="4" spans="1:12" s="265" customFormat="1" ht="24" customHeight="1" x14ac:dyDescent="0.2">
      <c r="A4" s="404"/>
      <c r="B4" s="404"/>
      <c r="C4" s="441"/>
      <c r="D4" s="443"/>
      <c r="E4" s="333" t="s">
        <v>527</v>
      </c>
      <c r="F4" s="334" t="s">
        <v>528</v>
      </c>
      <c r="G4" s="333" t="s">
        <v>527</v>
      </c>
      <c r="H4" s="334" t="s">
        <v>528</v>
      </c>
      <c r="I4" s="404"/>
      <c r="J4" s="448"/>
      <c r="K4" s="441"/>
      <c r="L4" s="443"/>
    </row>
    <row r="5" spans="1:12" s="265" customFormat="1" ht="18" customHeight="1" x14ac:dyDescent="0.2">
      <c r="A5" s="266" t="s">
        <v>69</v>
      </c>
      <c r="B5" s="271">
        <v>242</v>
      </c>
      <c r="C5" s="301">
        <v>15393172</v>
      </c>
      <c r="D5" s="283">
        <v>99722.314459999994</v>
      </c>
      <c r="E5" s="290">
        <v>1387661</v>
      </c>
      <c r="F5" s="283">
        <v>9059.1398399999998</v>
      </c>
      <c r="G5" s="290">
        <v>1068854</v>
      </c>
      <c r="H5" s="283">
        <v>6951.3269570000002</v>
      </c>
      <c r="I5" s="301">
        <v>17849687</v>
      </c>
      <c r="J5" s="290">
        <v>115732.7813</v>
      </c>
      <c r="K5" s="283">
        <v>95637</v>
      </c>
      <c r="L5" s="283">
        <v>628.4992125</v>
      </c>
    </row>
    <row r="6" spans="1:12" s="265" customFormat="1" ht="18" customHeight="1" x14ac:dyDescent="0.2">
      <c r="A6" s="266" t="s">
        <v>70</v>
      </c>
      <c r="B6" s="271">
        <v>243</v>
      </c>
      <c r="C6" s="290">
        <v>5499701</v>
      </c>
      <c r="D6" s="283">
        <v>38194.639670046003</v>
      </c>
      <c r="E6" s="290">
        <v>574634</v>
      </c>
      <c r="F6" s="283">
        <v>4082.9040757500002</v>
      </c>
      <c r="G6" s="290">
        <v>697331</v>
      </c>
      <c r="H6" s="283">
        <v>4960.9746944999997</v>
      </c>
      <c r="I6" s="290">
        <v>6771666</v>
      </c>
      <c r="J6" s="283">
        <v>47238.518439995998</v>
      </c>
      <c r="K6" s="283">
        <v>18715</v>
      </c>
      <c r="L6" s="283">
        <v>130.1528615</v>
      </c>
    </row>
    <row r="7" spans="1:12" s="265" customFormat="1" ht="18" customHeight="1" x14ac:dyDescent="0.2">
      <c r="A7" s="266" t="s">
        <v>156</v>
      </c>
      <c r="B7" s="271">
        <v>19</v>
      </c>
      <c r="C7" s="290">
        <v>802159</v>
      </c>
      <c r="D7" s="283">
        <v>5319.2363597499998</v>
      </c>
      <c r="E7" s="290">
        <v>112894</v>
      </c>
      <c r="F7" s="283">
        <v>750.84314300000005</v>
      </c>
      <c r="G7" s="283">
        <v>76747</v>
      </c>
      <c r="H7" s="283">
        <v>500.88061875</v>
      </c>
      <c r="I7" s="290">
        <v>991800</v>
      </c>
      <c r="J7" s="283">
        <v>6570.9601215000002</v>
      </c>
      <c r="K7" s="283">
        <v>82927</v>
      </c>
      <c r="L7" s="283">
        <v>558.39803800000004</v>
      </c>
    </row>
    <row r="8" spans="1:12" s="265" customFormat="1" ht="18" customHeight="1" x14ac:dyDescent="0.2">
      <c r="A8" s="266" t="s">
        <v>157</v>
      </c>
      <c r="B8" s="271">
        <v>22</v>
      </c>
      <c r="C8" s="290">
        <v>969230</v>
      </c>
      <c r="D8" s="283">
        <v>6574.3142939999998</v>
      </c>
      <c r="E8" s="283">
        <v>30754</v>
      </c>
      <c r="F8" s="283">
        <v>210.1539123</v>
      </c>
      <c r="G8" s="283">
        <v>66366</v>
      </c>
      <c r="H8" s="283">
        <v>452.52457850000002</v>
      </c>
      <c r="I8" s="290">
        <v>1066350</v>
      </c>
      <c r="J8" s="283">
        <v>7236.9927850000004</v>
      </c>
      <c r="K8" s="283">
        <v>50799</v>
      </c>
      <c r="L8" s="283">
        <v>345.68943130000002</v>
      </c>
    </row>
    <row r="9" spans="1:12" s="265" customFormat="1" ht="18" customHeight="1" x14ac:dyDescent="0.2">
      <c r="A9" s="266" t="s">
        <v>158</v>
      </c>
      <c r="B9" s="271">
        <v>21</v>
      </c>
      <c r="C9" s="290">
        <v>703647</v>
      </c>
      <c r="D9" s="283">
        <v>4843.3185249999997</v>
      </c>
      <c r="E9" s="283">
        <v>12526</v>
      </c>
      <c r="F9" s="283">
        <v>85.718977249999995</v>
      </c>
      <c r="G9" s="283">
        <v>47953</v>
      </c>
      <c r="H9" s="283">
        <v>328.12731280000003</v>
      </c>
      <c r="I9" s="290">
        <v>764126</v>
      </c>
      <c r="J9" s="283">
        <v>5257.1648150000001</v>
      </c>
      <c r="K9" s="283">
        <v>35923</v>
      </c>
      <c r="L9" s="283">
        <v>248.57172729999999</v>
      </c>
    </row>
    <row r="10" spans="1:12" s="265" customFormat="1" ht="18" customHeight="1" x14ac:dyDescent="0.2">
      <c r="A10" s="266" t="s">
        <v>159</v>
      </c>
      <c r="B10" s="271">
        <v>22</v>
      </c>
      <c r="C10" s="290">
        <v>1143174</v>
      </c>
      <c r="D10" s="283">
        <v>7905.8324919999995</v>
      </c>
      <c r="E10" s="283">
        <v>32206</v>
      </c>
      <c r="F10" s="283">
        <v>223.1214803</v>
      </c>
      <c r="G10" s="283">
        <v>38039</v>
      </c>
      <c r="H10" s="283">
        <v>265.31956350000002</v>
      </c>
      <c r="I10" s="290">
        <v>1213419</v>
      </c>
      <c r="J10" s="283">
        <v>8394.2735350000003</v>
      </c>
      <c r="K10" s="283">
        <v>31871</v>
      </c>
      <c r="L10" s="283">
        <v>221.3151833</v>
      </c>
    </row>
    <row r="11" spans="1:12" s="265" customFormat="1" ht="18" customHeight="1" x14ac:dyDescent="0.2">
      <c r="A11" s="266" t="s">
        <v>160</v>
      </c>
      <c r="B11" s="271">
        <v>20</v>
      </c>
      <c r="C11" s="290">
        <v>475217</v>
      </c>
      <c r="D11" s="283">
        <v>3342.13</v>
      </c>
      <c r="E11" s="283">
        <v>19391</v>
      </c>
      <c r="F11" s="283">
        <v>135.68</v>
      </c>
      <c r="G11" s="283">
        <v>40930</v>
      </c>
      <c r="H11" s="283">
        <v>288.95999999999998</v>
      </c>
      <c r="I11" s="290">
        <v>535538</v>
      </c>
      <c r="J11" s="283">
        <v>3766.77</v>
      </c>
      <c r="K11" s="283">
        <v>36644</v>
      </c>
      <c r="L11" s="283">
        <v>261.88</v>
      </c>
    </row>
    <row r="12" spans="1:12" s="265" customFormat="1" ht="18" customHeight="1" x14ac:dyDescent="0.2">
      <c r="A12" s="266" t="s">
        <v>161</v>
      </c>
      <c r="B12" s="271">
        <v>18</v>
      </c>
      <c r="C12" s="290">
        <v>450547</v>
      </c>
      <c r="D12" s="283">
        <v>3283.8225109999998</v>
      </c>
      <c r="E12" s="283">
        <v>21706</v>
      </c>
      <c r="F12" s="283">
        <v>157.37262799999999</v>
      </c>
      <c r="G12" s="283">
        <v>74689</v>
      </c>
      <c r="H12" s="283">
        <v>550.16742799999997</v>
      </c>
      <c r="I12" s="290">
        <v>546942</v>
      </c>
      <c r="J12" s="283">
        <v>3991.3625670000001</v>
      </c>
      <c r="K12" s="283">
        <v>17023</v>
      </c>
      <c r="L12" s="283">
        <v>124.86731325</v>
      </c>
    </row>
    <row r="13" spans="1:12" s="265" customFormat="1" ht="18" customHeight="1" x14ac:dyDescent="0.2">
      <c r="A13" s="266" t="s">
        <v>162</v>
      </c>
      <c r="B13" s="271">
        <v>21</v>
      </c>
      <c r="C13" s="290">
        <v>214773</v>
      </c>
      <c r="D13" s="283">
        <v>1614.4936955000001</v>
      </c>
      <c r="E13" s="283">
        <v>63597</v>
      </c>
      <c r="F13" s="283">
        <v>472.22848675</v>
      </c>
      <c r="G13" s="290">
        <v>110119</v>
      </c>
      <c r="H13" s="283">
        <v>813.67052850000005</v>
      </c>
      <c r="I13" s="290">
        <v>388489</v>
      </c>
      <c r="J13" s="283">
        <v>2900.3927107499999</v>
      </c>
      <c r="K13" s="283">
        <v>17476</v>
      </c>
      <c r="L13" s="283">
        <v>132.1304705</v>
      </c>
    </row>
    <row r="14" spans="1:12" s="265" customFormat="1" ht="18" customHeight="1" x14ac:dyDescent="0.2">
      <c r="A14" s="266" t="s">
        <v>163</v>
      </c>
      <c r="B14" s="271">
        <v>19</v>
      </c>
      <c r="C14" s="290">
        <v>128066</v>
      </c>
      <c r="D14" s="283">
        <v>945.62910850000003</v>
      </c>
      <c r="E14" s="283">
        <v>84580</v>
      </c>
      <c r="F14" s="283">
        <v>611.50264249999998</v>
      </c>
      <c r="G14" s="283">
        <v>68624</v>
      </c>
      <c r="H14" s="283">
        <v>493.64338674999999</v>
      </c>
      <c r="I14" s="290">
        <v>281270</v>
      </c>
      <c r="J14" s="283">
        <v>2050.7751377499999</v>
      </c>
      <c r="K14" s="283">
        <v>11906</v>
      </c>
      <c r="L14" s="283">
        <v>83.630160000000004</v>
      </c>
    </row>
    <row r="15" spans="1:12" s="265" customFormat="1" ht="18" customHeight="1" x14ac:dyDescent="0.2">
      <c r="A15" s="266" t="s">
        <v>164</v>
      </c>
      <c r="B15" s="271">
        <v>20</v>
      </c>
      <c r="C15" s="283">
        <v>93021</v>
      </c>
      <c r="D15" s="283">
        <v>667.22273724599995</v>
      </c>
      <c r="E15" s="283">
        <v>51448</v>
      </c>
      <c r="F15" s="283">
        <v>374.43916875000002</v>
      </c>
      <c r="G15" s="283">
        <v>34706</v>
      </c>
      <c r="H15" s="283">
        <v>249.20524449999999</v>
      </c>
      <c r="I15" s="290">
        <v>179175</v>
      </c>
      <c r="J15" s="283">
        <v>1290.867150496</v>
      </c>
      <c r="K15" s="283">
        <v>13970</v>
      </c>
      <c r="L15" s="283">
        <v>99.166469000000006</v>
      </c>
    </row>
    <row r="16" spans="1:12" s="265" customFormat="1" ht="18" customHeight="1" x14ac:dyDescent="0.2">
      <c r="A16" s="266" t="s">
        <v>165</v>
      </c>
      <c r="B16" s="271">
        <v>23</v>
      </c>
      <c r="C16" s="283">
        <v>94303</v>
      </c>
      <c r="D16" s="283">
        <v>678.81170899999995</v>
      </c>
      <c r="E16" s="283">
        <v>73571</v>
      </c>
      <c r="F16" s="283">
        <v>529.01256100000001</v>
      </c>
      <c r="G16" s="283">
        <v>48926</v>
      </c>
      <c r="H16" s="283">
        <v>349.017427</v>
      </c>
      <c r="I16" s="290">
        <v>216800</v>
      </c>
      <c r="J16" s="283">
        <v>1556.8416970000001</v>
      </c>
      <c r="K16" s="283">
        <v>13546</v>
      </c>
      <c r="L16" s="283">
        <v>99.17216775</v>
      </c>
    </row>
    <row r="17" spans="1:12" s="265" customFormat="1" ht="18" customHeight="1" x14ac:dyDescent="0.2">
      <c r="A17" s="266" t="s">
        <v>166</v>
      </c>
      <c r="B17" s="271">
        <v>19</v>
      </c>
      <c r="C17" s="290">
        <v>123591</v>
      </c>
      <c r="D17" s="283">
        <v>893.94901979999997</v>
      </c>
      <c r="E17" s="283">
        <v>23637</v>
      </c>
      <c r="F17" s="283">
        <v>176.729355</v>
      </c>
      <c r="G17" s="283">
        <v>62208</v>
      </c>
      <c r="H17" s="283">
        <v>450.63537550000001</v>
      </c>
      <c r="I17" s="290">
        <v>209436</v>
      </c>
      <c r="J17" s="283">
        <v>1521.31375</v>
      </c>
      <c r="K17" s="283">
        <v>17038</v>
      </c>
      <c r="L17" s="283">
        <v>125.58598925</v>
      </c>
    </row>
    <row r="18" spans="1:12" s="265" customFormat="1" ht="18" customHeight="1" x14ac:dyDescent="0.2">
      <c r="A18" s="266" t="s">
        <v>167</v>
      </c>
      <c r="B18" s="271">
        <v>19</v>
      </c>
      <c r="C18" s="290">
        <v>301973</v>
      </c>
      <c r="D18" s="283">
        <v>2125.8829627499999</v>
      </c>
      <c r="E18" s="283">
        <v>48324</v>
      </c>
      <c r="F18" s="283">
        <v>356.09676374999998</v>
      </c>
      <c r="G18" s="283">
        <v>28024</v>
      </c>
      <c r="H18" s="283">
        <v>218.82171650000001</v>
      </c>
      <c r="I18" s="290">
        <v>378321</v>
      </c>
      <c r="J18" s="283">
        <v>2700.8014429999998</v>
      </c>
      <c r="K18" s="283">
        <v>18715</v>
      </c>
      <c r="L18" s="283">
        <v>130.1528615</v>
      </c>
    </row>
    <row r="19" spans="1:12" s="265" customFormat="1" ht="14.25" customHeight="1" x14ac:dyDescent="0.2">
      <c r="A19" s="373" t="s">
        <v>106</v>
      </c>
      <c r="B19" s="373"/>
      <c r="C19" s="373"/>
      <c r="D19" s="373"/>
      <c r="E19" s="373"/>
      <c r="F19" s="373"/>
      <c r="G19" s="373"/>
      <c r="H19" s="373"/>
      <c r="I19" s="373"/>
      <c r="J19" s="373"/>
    </row>
    <row r="20" spans="1:12" s="265" customFormat="1" ht="13.5" customHeight="1" x14ac:dyDescent="0.2">
      <c r="A20" s="373" t="s">
        <v>311</v>
      </c>
      <c r="B20" s="373"/>
      <c r="C20" s="373"/>
      <c r="D20" s="373"/>
      <c r="E20" s="373"/>
      <c r="F20" s="373"/>
      <c r="G20" s="373"/>
      <c r="H20" s="373"/>
      <c r="I20" s="373"/>
      <c r="J20" s="373"/>
    </row>
    <row r="21" spans="1:12" s="265" customFormat="1" ht="27.6" customHeight="1" x14ac:dyDescent="0.2"/>
  </sheetData>
  <mergeCells count="17">
    <mergeCell ref="L3:L4"/>
    <mergeCell ref="A19:J19"/>
    <mergeCell ref="A1:L1"/>
    <mergeCell ref="A2:A4"/>
    <mergeCell ref="B2:B4"/>
    <mergeCell ref="C2:D2"/>
    <mergeCell ref="E2:H2"/>
    <mergeCell ref="I2:J2"/>
    <mergeCell ref="K2:L2"/>
    <mergeCell ref="C3:C4"/>
    <mergeCell ref="D3:D4"/>
    <mergeCell ref="E3:F3"/>
    <mergeCell ref="A20:J20"/>
    <mergeCell ref="G3:H3"/>
    <mergeCell ref="I3:I4"/>
    <mergeCell ref="J3:J4"/>
    <mergeCell ref="K3:K4"/>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P21"/>
  <sheetViews>
    <sheetView workbookViewId="0">
      <selection sqref="A1:O1"/>
    </sheetView>
  </sheetViews>
  <sheetFormatPr defaultRowHeight="12.75" x14ac:dyDescent="0.2"/>
  <cols>
    <col min="1" max="1" width="13.5703125" style="262" bestFit="1" customWidth="1"/>
    <col min="2" max="5" width="12.140625" style="262" bestFit="1" customWidth="1"/>
    <col min="6" max="6" width="9.28515625" style="262" bestFit="1" customWidth="1"/>
    <col min="7" max="10" width="12.140625" style="262" bestFit="1" customWidth="1"/>
    <col min="11" max="11" width="14.7109375" style="262" bestFit="1" customWidth="1"/>
    <col min="12" max="15" width="12.140625" style="262" bestFit="1" customWidth="1"/>
    <col min="16" max="16" width="9.28515625" style="262" bestFit="1" customWidth="1"/>
    <col min="17" max="17" width="4.7109375" style="262" bestFit="1" customWidth="1"/>
    <col min="18" max="256" width="9.140625" style="262"/>
    <col min="257" max="257" width="13.5703125" style="262" bestFit="1" customWidth="1"/>
    <col min="258" max="261" width="12.140625" style="262" bestFit="1" customWidth="1"/>
    <col min="262" max="262" width="9.28515625" style="262" bestFit="1" customWidth="1"/>
    <col min="263" max="266" width="12.140625" style="262" bestFit="1" customWidth="1"/>
    <col min="267" max="267" width="14.7109375" style="262" bestFit="1" customWidth="1"/>
    <col min="268" max="271" width="12.140625" style="262" bestFit="1" customWidth="1"/>
    <col min="272" max="272" width="9.28515625" style="262" bestFit="1" customWidth="1"/>
    <col min="273" max="273" width="4.7109375" style="262" bestFit="1" customWidth="1"/>
    <col min="274" max="512" width="9.140625" style="262"/>
    <col min="513" max="513" width="13.5703125" style="262" bestFit="1" customWidth="1"/>
    <col min="514" max="517" width="12.140625" style="262" bestFit="1" customWidth="1"/>
    <col min="518" max="518" width="9.28515625" style="262" bestFit="1" customWidth="1"/>
    <col min="519" max="522" width="12.140625" style="262" bestFit="1" customWidth="1"/>
    <col min="523" max="523" width="14.7109375" style="262" bestFit="1" customWidth="1"/>
    <col min="524" max="527" width="12.140625" style="262" bestFit="1" customWidth="1"/>
    <col min="528" max="528" width="9.28515625" style="262" bestFit="1" customWidth="1"/>
    <col min="529" max="529" width="4.7109375" style="262" bestFit="1" customWidth="1"/>
    <col min="530" max="768" width="9.140625" style="262"/>
    <col min="769" max="769" width="13.5703125" style="262" bestFit="1" customWidth="1"/>
    <col min="770" max="773" width="12.140625" style="262" bestFit="1" customWidth="1"/>
    <col min="774" max="774" width="9.28515625" style="262" bestFit="1" customWidth="1"/>
    <col min="775" max="778" width="12.140625" style="262" bestFit="1" customWidth="1"/>
    <col min="779" max="779" width="14.7109375" style="262" bestFit="1" customWidth="1"/>
    <col min="780" max="783" width="12.140625" style="262" bestFit="1" customWidth="1"/>
    <col min="784" max="784" width="9.28515625" style="262" bestFit="1" customWidth="1"/>
    <col min="785" max="785" width="4.7109375" style="262" bestFit="1" customWidth="1"/>
    <col min="786" max="1024" width="9.140625" style="262"/>
    <col min="1025" max="1025" width="13.5703125" style="262" bestFit="1" customWidth="1"/>
    <col min="1026" max="1029" width="12.140625" style="262" bestFit="1" customWidth="1"/>
    <col min="1030" max="1030" width="9.28515625" style="262" bestFit="1" customWidth="1"/>
    <col min="1031" max="1034" width="12.140625" style="262" bestFit="1" customWidth="1"/>
    <col min="1035" max="1035" width="14.7109375" style="262" bestFit="1" customWidth="1"/>
    <col min="1036" max="1039" width="12.140625" style="262" bestFit="1" customWidth="1"/>
    <col min="1040" max="1040" width="9.28515625" style="262" bestFit="1" customWidth="1"/>
    <col min="1041" max="1041" width="4.7109375" style="262" bestFit="1" customWidth="1"/>
    <col min="1042" max="1280" width="9.140625" style="262"/>
    <col min="1281" max="1281" width="13.5703125" style="262" bestFit="1" customWidth="1"/>
    <col min="1282" max="1285" width="12.140625" style="262" bestFit="1" customWidth="1"/>
    <col min="1286" max="1286" width="9.28515625" style="262" bestFit="1" customWidth="1"/>
    <col min="1287" max="1290" width="12.140625" style="262" bestFit="1" customWidth="1"/>
    <col min="1291" max="1291" width="14.7109375" style="262" bestFit="1" customWidth="1"/>
    <col min="1292" max="1295" width="12.140625" style="262" bestFit="1" customWidth="1"/>
    <col min="1296" max="1296" width="9.28515625" style="262" bestFit="1" customWidth="1"/>
    <col min="1297" max="1297" width="4.7109375" style="262" bestFit="1" customWidth="1"/>
    <col min="1298" max="1536" width="9.140625" style="262"/>
    <col min="1537" max="1537" width="13.5703125" style="262" bestFit="1" customWidth="1"/>
    <col min="1538" max="1541" width="12.140625" style="262" bestFit="1" customWidth="1"/>
    <col min="1542" max="1542" width="9.28515625" style="262" bestFit="1" customWidth="1"/>
    <col min="1543" max="1546" width="12.140625" style="262" bestFit="1" customWidth="1"/>
    <col min="1547" max="1547" width="14.7109375" style="262" bestFit="1" customWidth="1"/>
    <col min="1548" max="1551" width="12.140625" style="262" bestFit="1" customWidth="1"/>
    <col min="1552" max="1552" width="9.28515625" style="262" bestFit="1" customWidth="1"/>
    <col min="1553" max="1553" width="4.7109375" style="262" bestFit="1" customWidth="1"/>
    <col min="1554" max="1792" width="9.140625" style="262"/>
    <col min="1793" max="1793" width="13.5703125" style="262" bestFit="1" customWidth="1"/>
    <col min="1794" max="1797" width="12.140625" style="262" bestFit="1" customWidth="1"/>
    <col min="1798" max="1798" width="9.28515625" style="262" bestFit="1" customWidth="1"/>
    <col min="1799" max="1802" width="12.140625" style="262" bestFit="1" customWidth="1"/>
    <col min="1803" max="1803" width="14.7109375" style="262" bestFit="1" customWidth="1"/>
    <col min="1804" max="1807" width="12.140625" style="262" bestFit="1" customWidth="1"/>
    <col min="1808" max="1808" width="9.28515625" style="262" bestFit="1" customWidth="1"/>
    <col min="1809" max="1809" width="4.7109375" style="262" bestFit="1" customWidth="1"/>
    <col min="1810" max="2048" width="9.140625" style="262"/>
    <col min="2049" max="2049" width="13.5703125" style="262" bestFit="1" customWidth="1"/>
    <col min="2050" max="2053" width="12.140625" style="262" bestFit="1" customWidth="1"/>
    <col min="2054" max="2054" width="9.28515625" style="262" bestFit="1" customWidth="1"/>
    <col min="2055" max="2058" width="12.140625" style="262" bestFit="1" customWidth="1"/>
    <col min="2059" max="2059" width="14.7109375" style="262" bestFit="1" customWidth="1"/>
    <col min="2060" max="2063" width="12.140625" style="262" bestFit="1" customWidth="1"/>
    <col min="2064" max="2064" width="9.28515625" style="262" bestFit="1" customWidth="1"/>
    <col min="2065" max="2065" width="4.7109375" style="262" bestFit="1" customWidth="1"/>
    <col min="2066" max="2304" width="9.140625" style="262"/>
    <col min="2305" max="2305" width="13.5703125" style="262" bestFit="1" customWidth="1"/>
    <col min="2306" max="2309" width="12.140625" style="262" bestFit="1" customWidth="1"/>
    <col min="2310" max="2310" width="9.28515625" style="262" bestFit="1" customWidth="1"/>
    <col min="2311" max="2314" width="12.140625" style="262" bestFit="1" customWidth="1"/>
    <col min="2315" max="2315" width="14.7109375" style="262" bestFit="1" customWidth="1"/>
    <col min="2316" max="2319" width="12.140625" style="262" bestFit="1" customWidth="1"/>
    <col min="2320" max="2320" width="9.28515625" style="262" bestFit="1" customWidth="1"/>
    <col min="2321" max="2321" width="4.7109375" style="262" bestFit="1" customWidth="1"/>
    <col min="2322" max="2560" width="9.140625" style="262"/>
    <col min="2561" max="2561" width="13.5703125" style="262" bestFit="1" customWidth="1"/>
    <col min="2562" max="2565" width="12.140625" style="262" bestFit="1" customWidth="1"/>
    <col min="2566" max="2566" width="9.28515625" style="262" bestFit="1" customWidth="1"/>
    <col min="2567" max="2570" width="12.140625" style="262" bestFit="1" customWidth="1"/>
    <col min="2571" max="2571" width="14.7109375" style="262" bestFit="1" customWidth="1"/>
    <col min="2572" max="2575" width="12.140625" style="262" bestFit="1" customWidth="1"/>
    <col min="2576" max="2576" width="9.28515625" style="262" bestFit="1" customWidth="1"/>
    <col min="2577" max="2577" width="4.7109375" style="262" bestFit="1" customWidth="1"/>
    <col min="2578" max="2816" width="9.140625" style="262"/>
    <col min="2817" max="2817" width="13.5703125" style="262" bestFit="1" customWidth="1"/>
    <col min="2818" max="2821" width="12.140625" style="262" bestFit="1" customWidth="1"/>
    <col min="2822" max="2822" width="9.28515625" style="262" bestFit="1" customWidth="1"/>
    <col min="2823" max="2826" width="12.140625" style="262" bestFit="1" customWidth="1"/>
    <col min="2827" max="2827" width="14.7109375" style="262" bestFit="1" customWidth="1"/>
    <col min="2828" max="2831" width="12.140625" style="262" bestFit="1" customWidth="1"/>
    <col min="2832" max="2832" width="9.28515625" style="262" bestFit="1" customWidth="1"/>
    <col min="2833" max="2833" width="4.7109375" style="262" bestFit="1" customWidth="1"/>
    <col min="2834" max="3072" width="9.140625" style="262"/>
    <col min="3073" max="3073" width="13.5703125" style="262" bestFit="1" customWidth="1"/>
    <col min="3074" max="3077" width="12.140625" style="262" bestFit="1" customWidth="1"/>
    <col min="3078" max="3078" width="9.28515625" style="262" bestFit="1" customWidth="1"/>
    <col min="3079" max="3082" width="12.140625" style="262" bestFit="1" customWidth="1"/>
    <col min="3083" max="3083" width="14.7109375" style="262" bestFit="1" customWidth="1"/>
    <col min="3084" max="3087" width="12.140625" style="262" bestFit="1" customWidth="1"/>
    <col min="3088" max="3088" width="9.28515625" style="262" bestFit="1" customWidth="1"/>
    <col min="3089" max="3089" width="4.7109375" style="262" bestFit="1" customWidth="1"/>
    <col min="3090" max="3328" width="9.140625" style="262"/>
    <col min="3329" max="3329" width="13.5703125" style="262" bestFit="1" customWidth="1"/>
    <col min="3330" max="3333" width="12.140625" style="262" bestFit="1" customWidth="1"/>
    <col min="3334" max="3334" width="9.28515625" style="262" bestFit="1" customWidth="1"/>
    <col min="3335" max="3338" width="12.140625" style="262" bestFit="1" customWidth="1"/>
    <col min="3339" max="3339" width="14.7109375" style="262" bestFit="1" customWidth="1"/>
    <col min="3340" max="3343" width="12.140625" style="262" bestFit="1" customWidth="1"/>
    <col min="3344" max="3344" width="9.28515625" style="262" bestFit="1" customWidth="1"/>
    <col min="3345" max="3345" width="4.7109375" style="262" bestFit="1" customWidth="1"/>
    <col min="3346" max="3584" width="9.140625" style="262"/>
    <col min="3585" max="3585" width="13.5703125" style="262" bestFit="1" customWidth="1"/>
    <col min="3586" max="3589" width="12.140625" style="262" bestFit="1" customWidth="1"/>
    <col min="3590" max="3590" width="9.28515625" style="262" bestFit="1" customWidth="1"/>
    <col min="3591" max="3594" width="12.140625" style="262" bestFit="1" customWidth="1"/>
    <col min="3595" max="3595" width="14.7109375" style="262" bestFit="1" customWidth="1"/>
    <col min="3596" max="3599" width="12.140625" style="262" bestFit="1" customWidth="1"/>
    <col min="3600" max="3600" width="9.28515625" style="262" bestFit="1" customWidth="1"/>
    <col min="3601" max="3601" width="4.7109375" style="262" bestFit="1" customWidth="1"/>
    <col min="3602" max="3840" width="9.140625" style="262"/>
    <col min="3841" max="3841" width="13.5703125" style="262" bestFit="1" customWidth="1"/>
    <col min="3842" max="3845" width="12.140625" style="262" bestFit="1" customWidth="1"/>
    <col min="3846" max="3846" width="9.28515625" style="262" bestFit="1" customWidth="1"/>
    <col min="3847" max="3850" width="12.140625" style="262" bestFit="1" customWidth="1"/>
    <col min="3851" max="3851" width="14.7109375" style="262" bestFit="1" customWidth="1"/>
    <col min="3852" max="3855" width="12.140625" style="262" bestFit="1" customWidth="1"/>
    <col min="3856" max="3856" width="9.28515625" style="262" bestFit="1" customWidth="1"/>
    <col min="3857" max="3857" width="4.7109375" style="262" bestFit="1" customWidth="1"/>
    <col min="3858" max="4096" width="9.140625" style="262"/>
    <col min="4097" max="4097" width="13.5703125" style="262" bestFit="1" customWidth="1"/>
    <col min="4098" max="4101" width="12.140625" style="262" bestFit="1" customWidth="1"/>
    <col min="4102" max="4102" width="9.28515625" style="262" bestFit="1" customWidth="1"/>
    <col min="4103" max="4106" width="12.140625" style="262" bestFit="1" customWidth="1"/>
    <col min="4107" max="4107" width="14.7109375" style="262" bestFit="1" customWidth="1"/>
    <col min="4108" max="4111" width="12.140625" style="262" bestFit="1" customWidth="1"/>
    <col min="4112" max="4112" width="9.28515625" style="262" bestFit="1" customWidth="1"/>
    <col min="4113" max="4113" width="4.7109375" style="262" bestFit="1" customWidth="1"/>
    <col min="4114" max="4352" width="9.140625" style="262"/>
    <col min="4353" max="4353" width="13.5703125" style="262" bestFit="1" customWidth="1"/>
    <col min="4354" max="4357" width="12.140625" style="262" bestFit="1" customWidth="1"/>
    <col min="4358" max="4358" width="9.28515625" style="262" bestFit="1" customWidth="1"/>
    <col min="4359" max="4362" width="12.140625" style="262" bestFit="1" customWidth="1"/>
    <col min="4363" max="4363" width="14.7109375" style="262" bestFit="1" customWidth="1"/>
    <col min="4364" max="4367" width="12.140625" style="262" bestFit="1" customWidth="1"/>
    <col min="4368" max="4368" width="9.28515625" style="262" bestFit="1" customWidth="1"/>
    <col min="4369" max="4369" width="4.7109375" style="262" bestFit="1" customWidth="1"/>
    <col min="4370" max="4608" width="9.140625" style="262"/>
    <col min="4609" max="4609" width="13.5703125" style="262" bestFit="1" customWidth="1"/>
    <col min="4610" max="4613" width="12.140625" style="262" bestFit="1" customWidth="1"/>
    <col min="4614" max="4614" width="9.28515625" style="262" bestFit="1" customWidth="1"/>
    <col min="4615" max="4618" width="12.140625" style="262" bestFit="1" customWidth="1"/>
    <col min="4619" max="4619" width="14.7109375" style="262" bestFit="1" customWidth="1"/>
    <col min="4620" max="4623" width="12.140625" style="262" bestFit="1" customWidth="1"/>
    <col min="4624" max="4624" width="9.28515625" style="262" bestFit="1" customWidth="1"/>
    <col min="4625" max="4625" width="4.7109375" style="262" bestFit="1" customWidth="1"/>
    <col min="4626" max="4864" width="9.140625" style="262"/>
    <col min="4865" max="4865" width="13.5703125" style="262" bestFit="1" customWidth="1"/>
    <col min="4866" max="4869" width="12.140625" style="262" bestFit="1" customWidth="1"/>
    <col min="4870" max="4870" width="9.28515625" style="262" bestFit="1" customWidth="1"/>
    <col min="4871" max="4874" width="12.140625" style="262" bestFit="1" customWidth="1"/>
    <col min="4875" max="4875" width="14.7109375" style="262" bestFit="1" customWidth="1"/>
    <col min="4876" max="4879" width="12.140625" style="262" bestFit="1" customWidth="1"/>
    <col min="4880" max="4880" width="9.28515625" style="262" bestFit="1" customWidth="1"/>
    <col min="4881" max="4881" width="4.7109375" style="262" bestFit="1" customWidth="1"/>
    <col min="4882" max="5120" width="9.140625" style="262"/>
    <col min="5121" max="5121" width="13.5703125" style="262" bestFit="1" customWidth="1"/>
    <col min="5122" max="5125" width="12.140625" style="262" bestFit="1" customWidth="1"/>
    <col min="5126" max="5126" width="9.28515625" style="262" bestFit="1" customWidth="1"/>
    <col min="5127" max="5130" width="12.140625" style="262" bestFit="1" customWidth="1"/>
    <col min="5131" max="5131" width="14.7109375" style="262" bestFit="1" customWidth="1"/>
    <col min="5132" max="5135" width="12.140625" style="262" bestFit="1" customWidth="1"/>
    <col min="5136" max="5136" width="9.28515625" style="262" bestFit="1" customWidth="1"/>
    <col min="5137" max="5137" width="4.7109375" style="262" bestFit="1" customWidth="1"/>
    <col min="5138" max="5376" width="9.140625" style="262"/>
    <col min="5377" max="5377" width="13.5703125" style="262" bestFit="1" customWidth="1"/>
    <col min="5378" max="5381" width="12.140625" style="262" bestFit="1" customWidth="1"/>
    <col min="5382" max="5382" width="9.28515625" style="262" bestFit="1" customWidth="1"/>
    <col min="5383" max="5386" width="12.140625" style="262" bestFit="1" customWidth="1"/>
    <col min="5387" max="5387" width="14.7109375" style="262" bestFit="1" customWidth="1"/>
    <col min="5388" max="5391" width="12.140625" style="262" bestFit="1" customWidth="1"/>
    <col min="5392" max="5392" width="9.28515625" style="262" bestFit="1" customWidth="1"/>
    <col min="5393" max="5393" width="4.7109375" style="262" bestFit="1" customWidth="1"/>
    <col min="5394" max="5632" width="9.140625" style="262"/>
    <col min="5633" max="5633" width="13.5703125" style="262" bestFit="1" customWidth="1"/>
    <col min="5634" max="5637" width="12.140625" style="262" bestFit="1" customWidth="1"/>
    <col min="5638" max="5638" width="9.28515625" style="262" bestFit="1" customWidth="1"/>
    <col min="5639" max="5642" width="12.140625" style="262" bestFit="1" customWidth="1"/>
    <col min="5643" max="5643" width="14.7109375" style="262" bestFit="1" customWidth="1"/>
    <col min="5644" max="5647" width="12.140625" style="262" bestFit="1" customWidth="1"/>
    <col min="5648" max="5648" width="9.28515625" style="262" bestFit="1" customWidth="1"/>
    <col min="5649" max="5649" width="4.7109375" style="262" bestFit="1" customWidth="1"/>
    <col min="5650" max="5888" width="9.140625" style="262"/>
    <col min="5889" max="5889" width="13.5703125" style="262" bestFit="1" customWidth="1"/>
    <col min="5890" max="5893" width="12.140625" style="262" bestFit="1" customWidth="1"/>
    <col min="5894" max="5894" width="9.28515625" style="262" bestFit="1" customWidth="1"/>
    <col min="5895" max="5898" width="12.140625" style="262" bestFit="1" customWidth="1"/>
    <col min="5899" max="5899" width="14.7109375" style="262" bestFit="1" customWidth="1"/>
    <col min="5900" max="5903" width="12.140625" style="262" bestFit="1" customWidth="1"/>
    <col min="5904" max="5904" width="9.28515625" style="262" bestFit="1" customWidth="1"/>
    <col min="5905" max="5905" width="4.7109375" style="262" bestFit="1" customWidth="1"/>
    <col min="5906" max="6144" width="9.140625" style="262"/>
    <col min="6145" max="6145" width="13.5703125" style="262" bestFit="1" customWidth="1"/>
    <col min="6146" max="6149" width="12.140625" style="262" bestFit="1" customWidth="1"/>
    <col min="6150" max="6150" width="9.28515625" style="262" bestFit="1" customWidth="1"/>
    <col min="6151" max="6154" width="12.140625" style="262" bestFit="1" customWidth="1"/>
    <col min="6155" max="6155" width="14.7109375" style="262" bestFit="1" customWidth="1"/>
    <col min="6156" max="6159" width="12.140625" style="262" bestFit="1" customWidth="1"/>
    <col min="6160" max="6160" width="9.28515625" style="262" bestFit="1" customWidth="1"/>
    <col min="6161" max="6161" width="4.7109375" style="262" bestFit="1" customWidth="1"/>
    <col min="6162" max="6400" width="9.140625" style="262"/>
    <col min="6401" max="6401" width="13.5703125" style="262" bestFit="1" customWidth="1"/>
    <col min="6402" max="6405" width="12.140625" style="262" bestFit="1" customWidth="1"/>
    <col min="6406" max="6406" width="9.28515625" style="262" bestFit="1" customWidth="1"/>
    <col min="6407" max="6410" width="12.140625" style="262" bestFit="1" customWidth="1"/>
    <col min="6411" max="6411" width="14.7109375" style="262" bestFit="1" customWidth="1"/>
    <col min="6412" max="6415" width="12.140625" style="262" bestFit="1" customWidth="1"/>
    <col min="6416" max="6416" width="9.28515625" style="262" bestFit="1" customWidth="1"/>
    <col min="6417" max="6417" width="4.7109375" style="262" bestFit="1" customWidth="1"/>
    <col min="6418" max="6656" width="9.140625" style="262"/>
    <col min="6657" max="6657" width="13.5703125" style="262" bestFit="1" customWidth="1"/>
    <col min="6658" max="6661" width="12.140625" style="262" bestFit="1" customWidth="1"/>
    <col min="6662" max="6662" width="9.28515625" style="262" bestFit="1" customWidth="1"/>
    <col min="6663" max="6666" width="12.140625" style="262" bestFit="1" customWidth="1"/>
    <col min="6667" max="6667" width="14.7109375" style="262" bestFit="1" customWidth="1"/>
    <col min="6668" max="6671" width="12.140625" style="262" bestFit="1" customWidth="1"/>
    <col min="6672" max="6672" width="9.28515625" style="262" bestFit="1" customWidth="1"/>
    <col min="6673" max="6673" width="4.7109375" style="262" bestFit="1" customWidth="1"/>
    <col min="6674" max="6912" width="9.140625" style="262"/>
    <col min="6913" max="6913" width="13.5703125" style="262" bestFit="1" customWidth="1"/>
    <col min="6914" max="6917" width="12.140625" style="262" bestFit="1" customWidth="1"/>
    <col min="6918" max="6918" width="9.28515625" style="262" bestFit="1" customWidth="1"/>
    <col min="6919" max="6922" width="12.140625" style="262" bestFit="1" customWidth="1"/>
    <col min="6923" max="6923" width="14.7109375" style="262" bestFit="1" customWidth="1"/>
    <col min="6924" max="6927" width="12.140625" style="262" bestFit="1" customWidth="1"/>
    <col min="6928" max="6928" width="9.28515625" style="262" bestFit="1" customWidth="1"/>
    <col min="6929" max="6929" width="4.7109375" style="262" bestFit="1" customWidth="1"/>
    <col min="6930" max="7168" width="9.140625" style="262"/>
    <col min="7169" max="7169" width="13.5703125" style="262" bestFit="1" customWidth="1"/>
    <col min="7170" max="7173" width="12.140625" style="262" bestFit="1" customWidth="1"/>
    <col min="7174" max="7174" width="9.28515625" style="262" bestFit="1" customWidth="1"/>
    <col min="7175" max="7178" width="12.140625" style="262" bestFit="1" customWidth="1"/>
    <col min="7179" max="7179" width="14.7109375" style="262" bestFit="1" customWidth="1"/>
    <col min="7180" max="7183" width="12.140625" style="262" bestFit="1" customWidth="1"/>
    <col min="7184" max="7184" width="9.28515625" style="262" bestFit="1" customWidth="1"/>
    <col min="7185" max="7185" width="4.7109375" style="262" bestFit="1" customWidth="1"/>
    <col min="7186" max="7424" width="9.140625" style="262"/>
    <col min="7425" max="7425" width="13.5703125" style="262" bestFit="1" customWidth="1"/>
    <col min="7426" max="7429" width="12.140625" style="262" bestFit="1" customWidth="1"/>
    <col min="7430" max="7430" width="9.28515625" style="262" bestFit="1" customWidth="1"/>
    <col min="7431" max="7434" width="12.140625" style="262" bestFit="1" customWidth="1"/>
    <col min="7435" max="7435" width="14.7109375" style="262" bestFit="1" customWidth="1"/>
    <col min="7436" max="7439" width="12.140625" style="262" bestFit="1" customWidth="1"/>
    <col min="7440" max="7440" width="9.28515625" style="262" bestFit="1" customWidth="1"/>
    <col min="7441" max="7441" width="4.7109375" style="262" bestFit="1" customWidth="1"/>
    <col min="7442" max="7680" width="9.140625" style="262"/>
    <col min="7681" max="7681" width="13.5703125" style="262" bestFit="1" customWidth="1"/>
    <col min="7682" max="7685" width="12.140625" style="262" bestFit="1" customWidth="1"/>
    <col min="7686" max="7686" width="9.28515625" style="262" bestFit="1" customWidth="1"/>
    <col min="7687" max="7690" width="12.140625" style="262" bestFit="1" customWidth="1"/>
    <col min="7691" max="7691" width="14.7109375" style="262" bestFit="1" customWidth="1"/>
    <col min="7692" max="7695" width="12.140625" style="262" bestFit="1" customWidth="1"/>
    <col min="7696" max="7696" width="9.28515625" style="262" bestFit="1" customWidth="1"/>
    <col min="7697" max="7697" width="4.7109375" style="262" bestFit="1" customWidth="1"/>
    <col min="7698" max="7936" width="9.140625" style="262"/>
    <col min="7937" max="7937" width="13.5703125" style="262" bestFit="1" customWidth="1"/>
    <col min="7938" max="7941" width="12.140625" style="262" bestFit="1" customWidth="1"/>
    <col min="7942" max="7942" width="9.28515625" style="262" bestFit="1" customWidth="1"/>
    <col min="7943" max="7946" width="12.140625" style="262" bestFit="1" customWidth="1"/>
    <col min="7947" max="7947" width="14.7109375" style="262" bestFit="1" customWidth="1"/>
    <col min="7948" max="7951" width="12.140625" style="262" bestFit="1" customWidth="1"/>
    <col min="7952" max="7952" width="9.28515625" style="262" bestFit="1" customWidth="1"/>
    <col min="7953" max="7953" width="4.7109375" style="262" bestFit="1" customWidth="1"/>
    <col min="7954" max="8192" width="9.140625" style="262"/>
    <col min="8193" max="8193" width="13.5703125" style="262" bestFit="1" customWidth="1"/>
    <col min="8194" max="8197" width="12.140625" style="262" bestFit="1" customWidth="1"/>
    <col min="8198" max="8198" width="9.28515625" style="262" bestFit="1" customWidth="1"/>
    <col min="8199" max="8202" width="12.140625" style="262" bestFit="1" customWidth="1"/>
    <col min="8203" max="8203" width="14.7109375" style="262" bestFit="1" customWidth="1"/>
    <col min="8204" max="8207" width="12.140625" style="262" bestFit="1" customWidth="1"/>
    <col min="8208" max="8208" width="9.28515625" style="262" bestFit="1" customWidth="1"/>
    <col min="8209" max="8209" width="4.7109375" style="262" bestFit="1" customWidth="1"/>
    <col min="8210" max="8448" width="9.140625" style="262"/>
    <col min="8449" max="8449" width="13.5703125" style="262" bestFit="1" customWidth="1"/>
    <col min="8450" max="8453" width="12.140625" style="262" bestFit="1" customWidth="1"/>
    <col min="8454" max="8454" width="9.28515625" style="262" bestFit="1" customWidth="1"/>
    <col min="8455" max="8458" width="12.140625" style="262" bestFit="1" customWidth="1"/>
    <col min="8459" max="8459" width="14.7109375" style="262" bestFit="1" customWidth="1"/>
    <col min="8460" max="8463" width="12.140625" style="262" bestFit="1" customWidth="1"/>
    <col min="8464" max="8464" width="9.28515625" style="262" bestFit="1" customWidth="1"/>
    <col min="8465" max="8465" width="4.7109375" style="262" bestFit="1" customWidth="1"/>
    <col min="8466" max="8704" width="9.140625" style="262"/>
    <col min="8705" max="8705" width="13.5703125" style="262" bestFit="1" customWidth="1"/>
    <col min="8706" max="8709" width="12.140625" style="262" bestFit="1" customWidth="1"/>
    <col min="8710" max="8710" width="9.28515625" style="262" bestFit="1" customWidth="1"/>
    <col min="8711" max="8714" width="12.140625" style="262" bestFit="1" customWidth="1"/>
    <col min="8715" max="8715" width="14.7109375" style="262" bestFit="1" customWidth="1"/>
    <col min="8716" max="8719" width="12.140625" style="262" bestFit="1" customWidth="1"/>
    <col min="8720" max="8720" width="9.28515625" style="262" bestFit="1" customWidth="1"/>
    <col min="8721" max="8721" width="4.7109375" style="262" bestFit="1" customWidth="1"/>
    <col min="8722" max="8960" width="9.140625" style="262"/>
    <col min="8961" max="8961" width="13.5703125" style="262" bestFit="1" customWidth="1"/>
    <col min="8962" max="8965" width="12.140625" style="262" bestFit="1" customWidth="1"/>
    <col min="8966" max="8966" width="9.28515625" style="262" bestFit="1" customWidth="1"/>
    <col min="8967" max="8970" width="12.140625" style="262" bestFit="1" customWidth="1"/>
    <col min="8971" max="8971" width="14.7109375" style="262" bestFit="1" customWidth="1"/>
    <col min="8972" max="8975" width="12.140625" style="262" bestFit="1" customWidth="1"/>
    <col min="8976" max="8976" width="9.28515625" style="262" bestFit="1" customWidth="1"/>
    <col min="8977" max="8977" width="4.7109375" style="262" bestFit="1" customWidth="1"/>
    <col min="8978" max="9216" width="9.140625" style="262"/>
    <col min="9217" max="9217" width="13.5703125" style="262" bestFit="1" customWidth="1"/>
    <col min="9218" max="9221" width="12.140625" style="262" bestFit="1" customWidth="1"/>
    <col min="9222" max="9222" width="9.28515625" style="262" bestFit="1" customWidth="1"/>
    <col min="9223" max="9226" width="12.140625" style="262" bestFit="1" customWidth="1"/>
    <col min="9227" max="9227" width="14.7109375" style="262" bestFit="1" customWidth="1"/>
    <col min="9228" max="9231" width="12.140625" style="262" bestFit="1" customWidth="1"/>
    <col min="9232" max="9232" width="9.28515625" style="262" bestFit="1" customWidth="1"/>
    <col min="9233" max="9233" width="4.7109375" style="262" bestFit="1" customWidth="1"/>
    <col min="9234" max="9472" width="9.140625" style="262"/>
    <col min="9473" max="9473" width="13.5703125" style="262" bestFit="1" customWidth="1"/>
    <col min="9474" max="9477" width="12.140625" style="262" bestFit="1" customWidth="1"/>
    <col min="9478" max="9478" width="9.28515625" style="262" bestFit="1" customWidth="1"/>
    <col min="9479" max="9482" width="12.140625" style="262" bestFit="1" customWidth="1"/>
    <col min="9483" max="9483" width="14.7109375" style="262" bestFit="1" customWidth="1"/>
    <col min="9484" max="9487" width="12.140625" style="262" bestFit="1" customWidth="1"/>
    <col min="9488" max="9488" width="9.28515625" style="262" bestFit="1" customWidth="1"/>
    <col min="9489" max="9489" width="4.7109375" style="262" bestFit="1" customWidth="1"/>
    <col min="9490" max="9728" width="9.140625" style="262"/>
    <col min="9729" max="9729" width="13.5703125" style="262" bestFit="1" customWidth="1"/>
    <col min="9730" max="9733" width="12.140625" style="262" bestFit="1" customWidth="1"/>
    <col min="9734" max="9734" width="9.28515625" style="262" bestFit="1" customWidth="1"/>
    <col min="9735" max="9738" width="12.140625" style="262" bestFit="1" customWidth="1"/>
    <col min="9739" max="9739" width="14.7109375" style="262" bestFit="1" customWidth="1"/>
    <col min="9740" max="9743" width="12.140625" style="262" bestFit="1" customWidth="1"/>
    <col min="9744" max="9744" width="9.28515625" style="262" bestFit="1" customWidth="1"/>
    <col min="9745" max="9745" width="4.7109375" style="262" bestFit="1" customWidth="1"/>
    <col min="9746" max="9984" width="9.140625" style="262"/>
    <col min="9985" max="9985" width="13.5703125" style="262" bestFit="1" customWidth="1"/>
    <col min="9986" max="9989" width="12.140625" style="262" bestFit="1" customWidth="1"/>
    <col min="9990" max="9990" width="9.28515625" style="262" bestFit="1" customWidth="1"/>
    <col min="9991" max="9994" width="12.140625" style="262" bestFit="1" customWidth="1"/>
    <col min="9995" max="9995" width="14.7109375" style="262" bestFit="1" customWidth="1"/>
    <col min="9996" max="9999" width="12.140625" style="262" bestFit="1" customWidth="1"/>
    <col min="10000" max="10000" width="9.28515625" style="262" bestFit="1" customWidth="1"/>
    <col min="10001" max="10001" width="4.7109375" style="262" bestFit="1" customWidth="1"/>
    <col min="10002" max="10240" width="9.140625" style="262"/>
    <col min="10241" max="10241" width="13.5703125" style="262" bestFit="1" customWidth="1"/>
    <col min="10242" max="10245" width="12.140625" style="262" bestFit="1" customWidth="1"/>
    <col min="10246" max="10246" width="9.28515625" style="262" bestFit="1" customWidth="1"/>
    <col min="10247" max="10250" width="12.140625" style="262" bestFit="1" customWidth="1"/>
    <col min="10251" max="10251" width="14.7109375" style="262" bestFit="1" customWidth="1"/>
    <col min="10252" max="10255" width="12.140625" style="262" bestFit="1" customWidth="1"/>
    <col min="10256" max="10256" width="9.28515625" style="262" bestFit="1" customWidth="1"/>
    <col min="10257" max="10257" width="4.7109375" style="262" bestFit="1" customWidth="1"/>
    <col min="10258" max="10496" width="9.140625" style="262"/>
    <col min="10497" max="10497" width="13.5703125" style="262" bestFit="1" customWidth="1"/>
    <col min="10498" max="10501" width="12.140625" style="262" bestFit="1" customWidth="1"/>
    <col min="10502" max="10502" width="9.28515625" style="262" bestFit="1" customWidth="1"/>
    <col min="10503" max="10506" width="12.140625" style="262" bestFit="1" customWidth="1"/>
    <col min="10507" max="10507" width="14.7109375" style="262" bestFit="1" customWidth="1"/>
    <col min="10508" max="10511" width="12.140625" style="262" bestFit="1" customWidth="1"/>
    <col min="10512" max="10512" width="9.28515625" style="262" bestFit="1" customWidth="1"/>
    <col min="10513" max="10513" width="4.7109375" style="262" bestFit="1" customWidth="1"/>
    <col min="10514" max="10752" width="9.140625" style="262"/>
    <col min="10753" max="10753" width="13.5703125" style="262" bestFit="1" customWidth="1"/>
    <col min="10754" max="10757" width="12.140625" style="262" bestFit="1" customWidth="1"/>
    <col min="10758" max="10758" width="9.28515625" style="262" bestFit="1" customWidth="1"/>
    <col min="10759" max="10762" width="12.140625" style="262" bestFit="1" customWidth="1"/>
    <col min="10763" max="10763" width="14.7109375" style="262" bestFit="1" customWidth="1"/>
    <col min="10764" max="10767" width="12.140625" style="262" bestFit="1" customWidth="1"/>
    <col min="10768" max="10768" width="9.28515625" style="262" bestFit="1" customWidth="1"/>
    <col min="10769" max="10769" width="4.7109375" style="262" bestFit="1" customWidth="1"/>
    <col min="10770" max="11008" width="9.140625" style="262"/>
    <col min="11009" max="11009" width="13.5703125" style="262" bestFit="1" customWidth="1"/>
    <col min="11010" max="11013" width="12.140625" style="262" bestFit="1" customWidth="1"/>
    <col min="11014" max="11014" width="9.28515625" style="262" bestFit="1" customWidth="1"/>
    <col min="11015" max="11018" width="12.140625" style="262" bestFit="1" customWidth="1"/>
    <col min="11019" max="11019" width="14.7109375" style="262" bestFit="1" customWidth="1"/>
    <col min="11020" max="11023" width="12.140625" style="262" bestFit="1" customWidth="1"/>
    <col min="11024" max="11024" width="9.28515625" style="262" bestFit="1" customWidth="1"/>
    <col min="11025" max="11025" width="4.7109375" style="262" bestFit="1" customWidth="1"/>
    <col min="11026" max="11264" width="9.140625" style="262"/>
    <col min="11265" max="11265" width="13.5703125" style="262" bestFit="1" customWidth="1"/>
    <col min="11266" max="11269" width="12.140625" style="262" bestFit="1" customWidth="1"/>
    <col min="11270" max="11270" width="9.28515625" style="262" bestFit="1" customWidth="1"/>
    <col min="11271" max="11274" width="12.140625" style="262" bestFit="1" customWidth="1"/>
    <col min="11275" max="11275" width="14.7109375" style="262" bestFit="1" customWidth="1"/>
    <col min="11276" max="11279" width="12.140625" style="262" bestFit="1" customWidth="1"/>
    <col min="11280" max="11280" width="9.28515625" style="262" bestFit="1" customWidth="1"/>
    <col min="11281" max="11281" width="4.7109375" style="262" bestFit="1" customWidth="1"/>
    <col min="11282" max="11520" width="9.140625" style="262"/>
    <col min="11521" max="11521" width="13.5703125" style="262" bestFit="1" customWidth="1"/>
    <col min="11522" max="11525" width="12.140625" style="262" bestFit="1" customWidth="1"/>
    <col min="11526" max="11526" width="9.28515625" style="262" bestFit="1" customWidth="1"/>
    <col min="11527" max="11530" width="12.140625" style="262" bestFit="1" customWidth="1"/>
    <col min="11531" max="11531" width="14.7109375" style="262" bestFit="1" customWidth="1"/>
    <col min="11532" max="11535" width="12.140625" style="262" bestFit="1" customWidth="1"/>
    <col min="11536" max="11536" width="9.28515625" style="262" bestFit="1" customWidth="1"/>
    <col min="11537" max="11537" width="4.7109375" style="262" bestFit="1" customWidth="1"/>
    <col min="11538" max="11776" width="9.140625" style="262"/>
    <col min="11777" max="11777" width="13.5703125" style="262" bestFit="1" customWidth="1"/>
    <col min="11778" max="11781" width="12.140625" style="262" bestFit="1" customWidth="1"/>
    <col min="11782" max="11782" width="9.28515625" style="262" bestFit="1" customWidth="1"/>
    <col min="11783" max="11786" width="12.140625" style="262" bestFit="1" customWidth="1"/>
    <col min="11787" max="11787" width="14.7109375" style="262" bestFit="1" customWidth="1"/>
    <col min="11788" max="11791" width="12.140625" style="262" bestFit="1" customWidth="1"/>
    <col min="11792" max="11792" width="9.28515625" style="262" bestFit="1" customWidth="1"/>
    <col min="11793" max="11793" width="4.7109375" style="262" bestFit="1" customWidth="1"/>
    <col min="11794" max="12032" width="9.140625" style="262"/>
    <col min="12033" max="12033" width="13.5703125" style="262" bestFit="1" customWidth="1"/>
    <col min="12034" max="12037" width="12.140625" style="262" bestFit="1" customWidth="1"/>
    <col min="12038" max="12038" width="9.28515625" style="262" bestFit="1" customWidth="1"/>
    <col min="12039" max="12042" width="12.140625" style="262" bestFit="1" customWidth="1"/>
    <col min="12043" max="12043" width="14.7109375" style="262" bestFit="1" customWidth="1"/>
    <col min="12044" max="12047" width="12.140625" style="262" bestFit="1" customWidth="1"/>
    <col min="12048" max="12048" width="9.28515625" style="262" bestFit="1" customWidth="1"/>
    <col min="12049" max="12049" width="4.7109375" style="262" bestFit="1" customWidth="1"/>
    <col min="12050" max="12288" width="9.140625" style="262"/>
    <col min="12289" max="12289" width="13.5703125" style="262" bestFit="1" customWidth="1"/>
    <col min="12290" max="12293" width="12.140625" style="262" bestFit="1" customWidth="1"/>
    <col min="12294" max="12294" width="9.28515625" style="262" bestFit="1" customWidth="1"/>
    <col min="12295" max="12298" width="12.140625" style="262" bestFit="1" customWidth="1"/>
    <col min="12299" max="12299" width="14.7109375" style="262" bestFit="1" customWidth="1"/>
    <col min="12300" max="12303" width="12.140625" style="262" bestFit="1" customWidth="1"/>
    <col min="12304" max="12304" width="9.28515625" style="262" bestFit="1" customWidth="1"/>
    <col min="12305" max="12305" width="4.7109375" style="262" bestFit="1" customWidth="1"/>
    <col min="12306" max="12544" width="9.140625" style="262"/>
    <col min="12545" max="12545" width="13.5703125" style="262" bestFit="1" customWidth="1"/>
    <col min="12546" max="12549" width="12.140625" style="262" bestFit="1" customWidth="1"/>
    <col min="12550" max="12550" width="9.28515625" style="262" bestFit="1" customWidth="1"/>
    <col min="12551" max="12554" width="12.140625" style="262" bestFit="1" customWidth="1"/>
    <col min="12555" max="12555" width="14.7109375" style="262" bestFit="1" customWidth="1"/>
    <col min="12556" max="12559" width="12.140625" style="262" bestFit="1" customWidth="1"/>
    <col min="12560" max="12560" width="9.28515625" style="262" bestFit="1" customWidth="1"/>
    <col min="12561" max="12561" width="4.7109375" style="262" bestFit="1" customWidth="1"/>
    <col min="12562" max="12800" width="9.140625" style="262"/>
    <col min="12801" max="12801" width="13.5703125" style="262" bestFit="1" customWidth="1"/>
    <col min="12802" max="12805" width="12.140625" style="262" bestFit="1" customWidth="1"/>
    <col min="12806" max="12806" width="9.28515625" style="262" bestFit="1" customWidth="1"/>
    <col min="12807" max="12810" width="12.140625" style="262" bestFit="1" customWidth="1"/>
    <col min="12811" max="12811" width="14.7109375" style="262" bestFit="1" customWidth="1"/>
    <col min="12812" max="12815" width="12.140625" style="262" bestFit="1" customWidth="1"/>
    <col min="12816" max="12816" width="9.28515625" style="262" bestFit="1" customWidth="1"/>
    <col min="12817" max="12817" width="4.7109375" style="262" bestFit="1" customWidth="1"/>
    <col min="12818" max="13056" width="9.140625" style="262"/>
    <col min="13057" max="13057" width="13.5703125" style="262" bestFit="1" customWidth="1"/>
    <col min="13058" max="13061" width="12.140625" style="262" bestFit="1" customWidth="1"/>
    <col min="13062" max="13062" width="9.28515625" style="262" bestFit="1" customWidth="1"/>
    <col min="13063" max="13066" width="12.140625" style="262" bestFit="1" customWidth="1"/>
    <col min="13067" max="13067" width="14.7109375" style="262" bestFit="1" customWidth="1"/>
    <col min="13068" max="13071" width="12.140625" style="262" bestFit="1" customWidth="1"/>
    <col min="13072" max="13072" width="9.28515625" style="262" bestFit="1" customWidth="1"/>
    <col min="13073" max="13073" width="4.7109375" style="262" bestFit="1" customWidth="1"/>
    <col min="13074" max="13312" width="9.140625" style="262"/>
    <col min="13313" max="13313" width="13.5703125" style="262" bestFit="1" customWidth="1"/>
    <col min="13314" max="13317" width="12.140625" style="262" bestFit="1" customWidth="1"/>
    <col min="13318" max="13318" width="9.28515625" style="262" bestFit="1" customWidth="1"/>
    <col min="13319" max="13322" width="12.140625" style="262" bestFit="1" customWidth="1"/>
    <col min="13323" max="13323" width="14.7109375" style="262" bestFit="1" customWidth="1"/>
    <col min="13324" max="13327" width="12.140625" style="262" bestFit="1" customWidth="1"/>
    <col min="13328" max="13328" width="9.28515625" style="262" bestFit="1" customWidth="1"/>
    <col min="13329" max="13329" width="4.7109375" style="262" bestFit="1" customWidth="1"/>
    <col min="13330" max="13568" width="9.140625" style="262"/>
    <col min="13569" max="13569" width="13.5703125" style="262" bestFit="1" customWidth="1"/>
    <col min="13570" max="13573" width="12.140625" style="262" bestFit="1" customWidth="1"/>
    <col min="13574" max="13574" width="9.28515625" style="262" bestFit="1" customWidth="1"/>
    <col min="13575" max="13578" width="12.140625" style="262" bestFit="1" customWidth="1"/>
    <col min="13579" max="13579" width="14.7109375" style="262" bestFit="1" customWidth="1"/>
    <col min="13580" max="13583" width="12.140625" style="262" bestFit="1" customWidth="1"/>
    <col min="13584" max="13584" width="9.28515625" style="262" bestFit="1" customWidth="1"/>
    <col min="13585" max="13585" width="4.7109375" style="262" bestFit="1" customWidth="1"/>
    <col min="13586" max="13824" width="9.140625" style="262"/>
    <col min="13825" max="13825" width="13.5703125" style="262" bestFit="1" customWidth="1"/>
    <col min="13826" max="13829" width="12.140625" style="262" bestFit="1" customWidth="1"/>
    <col min="13830" max="13830" width="9.28515625" style="262" bestFit="1" customWidth="1"/>
    <col min="13831" max="13834" width="12.140625" style="262" bestFit="1" customWidth="1"/>
    <col min="13835" max="13835" width="14.7109375" style="262" bestFit="1" customWidth="1"/>
    <col min="13836" max="13839" width="12.140625" style="262" bestFit="1" customWidth="1"/>
    <col min="13840" max="13840" width="9.28515625" style="262" bestFit="1" customWidth="1"/>
    <col min="13841" max="13841" width="4.7109375" style="262" bestFit="1" customWidth="1"/>
    <col min="13842" max="14080" width="9.140625" style="262"/>
    <col min="14081" max="14081" width="13.5703125" style="262" bestFit="1" customWidth="1"/>
    <col min="14082" max="14085" width="12.140625" style="262" bestFit="1" customWidth="1"/>
    <col min="14086" max="14086" width="9.28515625" style="262" bestFit="1" customWidth="1"/>
    <col min="14087" max="14090" width="12.140625" style="262" bestFit="1" customWidth="1"/>
    <col min="14091" max="14091" width="14.7109375" style="262" bestFit="1" customWidth="1"/>
    <col min="14092" max="14095" width="12.140625" style="262" bestFit="1" customWidth="1"/>
    <col min="14096" max="14096" width="9.28515625" style="262" bestFit="1" customWidth="1"/>
    <col min="14097" max="14097" width="4.7109375" style="262" bestFit="1" customWidth="1"/>
    <col min="14098" max="14336" width="9.140625" style="262"/>
    <col min="14337" max="14337" width="13.5703125" style="262" bestFit="1" customWidth="1"/>
    <col min="14338" max="14341" width="12.140625" style="262" bestFit="1" customWidth="1"/>
    <col min="14342" max="14342" width="9.28515625" style="262" bestFit="1" customWidth="1"/>
    <col min="14343" max="14346" width="12.140625" style="262" bestFit="1" customWidth="1"/>
    <col min="14347" max="14347" width="14.7109375" style="262" bestFit="1" customWidth="1"/>
    <col min="14348" max="14351" width="12.140625" style="262" bestFit="1" customWidth="1"/>
    <col min="14352" max="14352" width="9.28515625" style="262" bestFit="1" customWidth="1"/>
    <col min="14353" max="14353" width="4.7109375" style="262" bestFit="1" customWidth="1"/>
    <col min="14354" max="14592" width="9.140625" style="262"/>
    <col min="14593" max="14593" width="13.5703125" style="262" bestFit="1" customWidth="1"/>
    <col min="14594" max="14597" width="12.140625" style="262" bestFit="1" customWidth="1"/>
    <col min="14598" max="14598" width="9.28515625" style="262" bestFit="1" customWidth="1"/>
    <col min="14599" max="14602" width="12.140625" style="262" bestFit="1" customWidth="1"/>
    <col min="14603" max="14603" width="14.7109375" style="262" bestFit="1" customWidth="1"/>
    <col min="14604" max="14607" width="12.140625" style="262" bestFit="1" customWidth="1"/>
    <col min="14608" max="14608" width="9.28515625" style="262" bestFit="1" customWidth="1"/>
    <col min="14609" max="14609" width="4.7109375" style="262" bestFit="1" customWidth="1"/>
    <col min="14610" max="14848" width="9.140625" style="262"/>
    <col min="14849" max="14849" width="13.5703125" style="262" bestFit="1" customWidth="1"/>
    <col min="14850" max="14853" width="12.140625" style="262" bestFit="1" customWidth="1"/>
    <col min="14854" max="14854" width="9.28515625" style="262" bestFit="1" customWidth="1"/>
    <col min="14855" max="14858" width="12.140625" style="262" bestFit="1" customWidth="1"/>
    <col min="14859" max="14859" width="14.7109375" style="262" bestFit="1" customWidth="1"/>
    <col min="14860" max="14863" width="12.140625" style="262" bestFit="1" customWidth="1"/>
    <col min="14864" max="14864" width="9.28515625" style="262" bestFit="1" customWidth="1"/>
    <col min="14865" max="14865" width="4.7109375" style="262" bestFit="1" customWidth="1"/>
    <col min="14866" max="15104" width="9.140625" style="262"/>
    <col min="15105" max="15105" width="13.5703125" style="262" bestFit="1" customWidth="1"/>
    <col min="15106" max="15109" width="12.140625" style="262" bestFit="1" customWidth="1"/>
    <col min="15110" max="15110" width="9.28515625" style="262" bestFit="1" customWidth="1"/>
    <col min="15111" max="15114" width="12.140625" style="262" bestFit="1" customWidth="1"/>
    <col min="15115" max="15115" width="14.7109375" style="262" bestFit="1" customWidth="1"/>
    <col min="15116" max="15119" width="12.140625" style="262" bestFit="1" customWidth="1"/>
    <col min="15120" max="15120" width="9.28515625" style="262" bestFit="1" customWidth="1"/>
    <col min="15121" max="15121" width="4.7109375" style="262" bestFit="1" customWidth="1"/>
    <col min="15122" max="15360" width="9.140625" style="262"/>
    <col min="15361" max="15361" width="13.5703125" style="262" bestFit="1" customWidth="1"/>
    <col min="15362" max="15365" width="12.140625" style="262" bestFit="1" customWidth="1"/>
    <col min="15366" max="15366" width="9.28515625" style="262" bestFit="1" customWidth="1"/>
    <col min="15367" max="15370" width="12.140625" style="262" bestFit="1" customWidth="1"/>
    <col min="15371" max="15371" width="14.7109375" style="262" bestFit="1" customWidth="1"/>
    <col min="15372" max="15375" width="12.140625" style="262" bestFit="1" customWidth="1"/>
    <col min="15376" max="15376" width="9.28515625" style="262" bestFit="1" customWidth="1"/>
    <col min="15377" max="15377" width="4.7109375" style="262" bestFit="1" customWidth="1"/>
    <col min="15378" max="15616" width="9.140625" style="262"/>
    <col min="15617" max="15617" width="13.5703125" style="262" bestFit="1" customWidth="1"/>
    <col min="15618" max="15621" width="12.140625" style="262" bestFit="1" customWidth="1"/>
    <col min="15622" max="15622" width="9.28515625" style="262" bestFit="1" customWidth="1"/>
    <col min="15623" max="15626" width="12.140625" style="262" bestFit="1" customWidth="1"/>
    <col min="15627" max="15627" width="14.7109375" style="262" bestFit="1" customWidth="1"/>
    <col min="15628" max="15631" width="12.140625" style="262" bestFit="1" customWidth="1"/>
    <col min="15632" max="15632" width="9.28515625" style="262" bestFit="1" customWidth="1"/>
    <col min="15633" max="15633" width="4.7109375" style="262" bestFit="1" customWidth="1"/>
    <col min="15634" max="15872" width="9.140625" style="262"/>
    <col min="15873" max="15873" width="13.5703125" style="262" bestFit="1" customWidth="1"/>
    <col min="15874" max="15877" width="12.140625" style="262" bestFit="1" customWidth="1"/>
    <col min="15878" max="15878" width="9.28515625" style="262" bestFit="1" customWidth="1"/>
    <col min="15879" max="15882" width="12.140625" style="262" bestFit="1" customWidth="1"/>
    <col min="15883" max="15883" width="14.7109375" style="262" bestFit="1" customWidth="1"/>
    <col min="15884" max="15887" width="12.140625" style="262" bestFit="1" customWidth="1"/>
    <col min="15888" max="15888" width="9.28515625" style="262" bestFit="1" customWidth="1"/>
    <col min="15889" max="15889" width="4.7109375" style="262" bestFit="1" customWidth="1"/>
    <col min="15890" max="16128" width="9.140625" style="262"/>
    <col min="16129" max="16129" width="13.5703125" style="262" bestFit="1" customWidth="1"/>
    <col min="16130" max="16133" width="12.140625" style="262" bestFit="1" customWidth="1"/>
    <col min="16134" max="16134" width="9.28515625" style="262" bestFit="1" customWidth="1"/>
    <col min="16135" max="16138" width="12.140625" style="262" bestFit="1" customWidth="1"/>
    <col min="16139" max="16139" width="14.7109375" style="262" bestFit="1" customWidth="1"/>
    <col min="16140" max="16143" width="12.140625" style="262" bestFit="1" customWidth="1"/>
    <col min="16144" max="16144" width="9.28515625" style="262" bestFit="1" customWidth="1"/>
    <col min="16145" max="16145" width="4.7109375" style="262" bestFit="1" customWidth="1"/>
    <col min="16146" max="16384" width="9.140625" style="262"/>
  </cols>
  <sheetData>
    <row r="1" spans="1:16" ht="15.75" customHeight="1" x14ac:dyDescent="0.2">
      <c r="A1" s="430" t="s">
        <v>577</v>
      </c>
      <c r="B1" s="430"/>
      <c r="C1" s="430"/>
      <c r="D1" s="430"/>
      <c r="E1" s="430"/>
      <c r="F1" s="430"/>
      <c r="G1" s="430"/>
      <c r="H1" s="430"/>
      <c r="I1" s="430"/>
      <c r="J1" s="430"/>
      <c r="K1" s="430"/>
      <c r="L1" s="430"/>
      <c r="M1" s="430"/>
      <c r="N1" s="430"/>
      <c r="O1" s="430"/>
    </row>
    <row r="2" spans="1:16" s="265" customFormat="1" ht="18" customHeight="1" x14ac:dyDescent="0.2">
      <c r="A2" s="355" t="s">
        <v>519</v>
      </c>
      <c r="B2" s="375" t="s">
        <v>257</v>
      </c>
      <c r="C2" s="376"/>
      <c r="D2" s="376"/>
      <c r="E2" s="377"/>
      <c r="F2" s="363" t="s">
        <v>150</v>
      </c>
      <c r="G2" s="375" t="s">
        <v>258</v>
      </c>
      <c r="H2" s="376"/>
      <c r="I2" s="376"/>
      <c r="J2" s="377"/>
      <c r="K2" s="355" t="s">
        <v>150</v>
      </c>
      <c r="L2" s="375" t="s">
        <v>259</v>
      </c>
      <c r="M2" s="376"/>
      <c r="N2" s="376"/>
      <c r="O2" s="377"/>
      <c r="P2" s="363" t="s">
        <v>150</v>
      </c>
    </row>
    <row r="3" spans="1:16" s="265" customFormat="1" ht="27" customHeight="1" x14ac:dyDescent="0.2">
      <c r="A3" s="423"/>
      <c r="B3" s="371" t="s">
        <v>578</v>
      </c>
      <c r="C3" s="372"/>
      <c r="D3" s="375" t="s">
        <v>573</v>
      </c>
      <c r="E3" s="377"/>
      <c r="F3" s="364"/>
      <c r="G3" s="371" t="s">
        <v>578</v>
      </c>
      <c r="H3" s="372"/>
      <c r="I3" s="375" t="s">
        <v>573</v>
      </c>
      <c r="J3" s="377"/>
      <c r="K3" s="423"/>
      <c r="L3" s="371" t="s">
        <v>578</v>
      </c>
      <c r="M3" s="372"/>
      <c r="N3" s="375" t="s">
        <v>573</v>
      </c>
      <c r="O3" s="377"/>
      <c r="P3" s="364"/>
    </row>
    <row r="4" spans="1:16" s="265" customFormat="1" ht="27" customHeight="1" x14ac:dyDescent="0.2">
      <c r="A4" s="356"/>
      <c r="B4" s="276" t="s">
        <v>536</v>
      </c>
      <c r="C4" s="276" t="s">
        <v>537</v>
      </c>
      <c r="D4" s="276" t="s">
        <v>538</v>
      </c>
      <c r="E4" s="276" t="s">
        <v>539</v>
      </c>
      <c r="F4" s="365"/>
      <c r="G4" s="276" t="s">
        <v>536</v>
      </c>
      <c r="H4" s="276" t="s">
        <v>537</v>
      </c>
      <c r="I4" s="276" t="s">
        <v>538</v>
      </c>
      <c r="J4" s="276" t="s">
        <v>539</v>
      </c>
      <c r="K4" s="356"/>
      <c r="L4" s="276" t="s">
        <v>536</v>
      </c>
      <c r="M4" s="276" t="s">
        <v>537</v>
      </c>
      <c r="N4" s="276" t="s">
        <v>538</v>
      </c>
      <c r="O4" s="276" t="s">
        <v>539</v>
      </c>
      <c r="P4" s="365"/>
    </row>
    <row r="5" spans="1:16" s="265" customFormat="1" ht="18" customHeight="1" x14ac:dyDescent="0.2">
      <c r="A5" s="266" t="s">
        <v>69</v>
      </c>
      <c r="B5" s="335">
        <v>3227.51</v>
      </c>
      <c r="C5" s="335">
        <v>104.85</v>
      </c>
      <c r="D5" s="335">
        <v>2681.5</v>
      </c>
      <c r="E5" s="335">
        <v>174.81</v>
      </c>
      <c r="F5" s="283">
        <v>6188.67</v>
      </c>
      <c r="G5" s="335">
        <v>3570.074719102</v>
      </c>
      <c r="H5" s="335">
        <v>118.59464106</v>
      </c>
      <c r="I5" s="335">
        <v>948.73254832999999</v>
      </c>
      <c r="J5" s="335">
        <v>391.98226332000002</v>
      </c>
      <c r="K5" s="283">
        <v>5029.3841718120002</v>
      </c>
      <c r="L5" s="335">
        <v>321.64</v>
      </c>
      <c r="M5" s="335">
        <v>13.38</v>
      </c>
      <c r="N5" s="335">
        <v>21.25</v>
      </c>
      <c r="O5" s="335">
        <v>16.260000000000002</v>
      </c>
      <c r="P5" s="283">
        <v>372.53</v>
      </c>
    </row>
    <row r="6" spans="1:16" s="265" customFormat="1" ht="18" customHeight="1" x14ac:dyDescent="0.2">
      <c r="A6" s="266" t="s">
        <v>70</v>
      </c>
      <c r="B6" s="335">
        <v>5970.05</v>
      </c>
      <c r="C6" s="335">
        <v>191.46</v>
      </c>
      <c r="D6" s="335">
        <v>3565.27</v>
      </c>
      <c r="E6" s="335">
        <v>154.97</v>
      </c>
      <c r="F6" s="283">
        <v>9881.75</v>
      </c>
      <c r="G6" s="335">
        <v>8260.4640170000002</v>
      </c>
      <c r="H6" s="335">
        <v>292.40324870000001</v>
      </c>
      <c r="I6" s="335">
        <v>1286.897823</v>
      </c>
      <c r="J6" s="335">
        <v>643.41508050000004</v>
      </c>
      <c r="K6" s="283">
        <v>10483.18017</v>
      </c>
      <c r="L6" s="335">
        <v>125.37568575</v>
      </c>
      <c r="M6" s="335">
        <v>6.8401983</v>
      </c>
      <c r="N6" s="335">
        <v>0.55596900000000005</v>
      </c>
      <c r="O6" s="335">
        <v>0.68199743999999995</v>
      </c>
      <c r="P6" s="283">
        <v>133.45385049000001</v>
      </c>
    </row>
    <row r="7" spans="1:16" s="265" customFormat="1" ht="18" customHeight="1" x14ac:dyDescent="0.2">
      <c r="A7" s="266" t="s">
        <v>156</v>
      </c>
      <c r="B7" s="335">
        <v>322.23</v>
      </c>
      <c r="C7" s="335">
        <v>29.06</v>
      </c>
      <c r="D7" s="335">
        <v>199.52</v>
      </c>
      <c r="E7" s="335">
        <v>11.89</v>
      </c>
      <c r="F7" s="283">
        <v>562.70000000000005</v>
      </c>
      <c r="G7" s="335">
        <v>404.78531040000001</v>
      </c>
      <c r="H7" s="335">
        <v>59.002072920000003</v>
      </c>
      <c r="I7" s="335">
        <v>69.35556339</v>
      </c>
      <c r="J7" s="335">
        <v>40.14963152</v>
      </c>
      <c r="K7" s="283">
        <v>573.29257829999995</v>
      </c>
      <c r="L7" s="335">
        <v>20.03</v>
      </c>
      <c r="M7" s="335">
        <v>1.98</v>
      </c>
      <c r="N7" s="335">
        <v>0.11</v>
      </c>
      <c r="O7" s="335">
        <v>0.31</v>
      </c>
      <c r="P7" s="283">
        <v>22.43</v>
      </c>
    </row>
    <row r="8" spans="1:16" s="265" customFormat="1" ht="18" customHeight="1" x14ac:dyDescent="0.2">
      <c r="A8" s="266" t="s">
        <v>157</v>
      </c>
      <c r="B8" s="335">
        <v>800.07</v>
      </c>
      <c r="C8" s="335">
        <v>55.96</v>
      </c>
      <c r="D8" s="335">
        <v>305.45</v>
      </c>
      <c r="E8" s="335">
        <v>10.63</v>
      </c>
      <c r="F8" s="283">
        <v>1172.1099999999999</v>
      </c>
      <c r="G8" s="335">
        <v>997.53042700000003</v>
      </c>
      <c r="H8" s="335">
        <v>89.251836449999999</v>
      </c>
      <c r="I8" s="335">
        <v>88.31534825</v>
      </c>
      <c r="J8" s="335">
        <v>62.568464200000001</v>
      </c>
      <c r="K8" s="283">
        <v>1237.666076</v>
      </c>
      <c r="L8" s="335">
        <v>32.93</v>
      </c>
      <c r="M8" s="335">
        <v>2.64</v>
      </c>
      <c r="N8" s="335">
        <v>7.0000000000000007E-2</v>
      </c>
      <c r="O8" s="335">
        <v>0.13</v>
      </c>
      <c r="P8" s="283">
        <v>35.770000000000003</v>
      </c>
    </row>
    <row r="9" spans="1:16" s="265" customFormat="1" ht="18" customHeight="1" x14ac:dyDescent="0.2">
      <c r="A9" s="266" t="s">
        <v>158</v>
      </c>
      <c r="B9" s="335">
        <v>508.38</v>
      </c>
      <c r="C9" s="335">
        <v>23.82</v>
      </c>
      <c r="D9" s="335">
        <v>321</v>
      </c>
      <c r="E9" s="335">
        <v>11.58</v>
      </c>
      <c r="F9" s="283">
        <v>864.78</v>
      </c>
      <c r="G9" s="335">
        <v>754.42386080000006</v>
      </c>
      <c r="H9" s="335">
        <v>49.760339530000003</v>
      </c>
      <c r="I9" s="335">
        <v>80.044044</v>
      </c>
      <c r="J9" s="335">
        <v>57.17314124</v>
      </c>
      <c r="K9" s="283">
        <v>941.40138549999995</v>
      </c>
      <c r="L9" s="335">
        <v>10.84</v>
      </c>
      <c r="M9" s="335">
        <v>0.46</v>
      </c>
      <c r="N9" s="335">
        <v>0.04</v>
      </c>
      <c r="O9" s="335">
        <v>0.03</v>
      </c>
      <c r="P9" s="283">
        <v>11.37</v>
      </c>
    </row>
    <row r="10" spans="1:16" s="265" customFormat="1" ht="18" customHeight="1" x14ac:dyDescent="0.2">
      <c r="A10" s="266" t="s">
        <v>159</v>
      </c>
      <c r="B10" s="335">
        <v>345.71</v>
      </c>
      <c r="C10" s="335">
        <v>5.05</v>
      </c>
      <c r="D10" s="335">
        <v>221.87</v>
      </c>
      <c r="E10" s="335">
        <v>4.21</v>
      </c>
      <c r="F10" s="283">
        <v>576.84</v>
      </c>
      <c r="G10" s="335">
        <v>498.96861109999998</v>
      </c>
      <c r="H10" s="335">
        <v>4.3749745400000002</v>
      </c>
      <c r="I10" s="335">
        <v>78.874697749999996</v>
      </c>
      <c r="J10" s="335">
        <v>22.692805929999999</v>
      </c>
      <c r="K10" s="283">
        <v>604.91108929999996</v>
      </c>
      <c r="L10" s="335">
        <v>8.86</v>
      </c>
      <c r="M10" s="335">
        <v>0.25</v>
      </c>
      <c r="N10" s="335">
        <v>0.06</v>
      </c>
      <c r="O10" s="335">
        <v>0</v>
      </c>
      <c r="P10" s="283">
        <v>9.17</v>
      </c>
    </row>
    <row r="11" spans="1:16" s="265" customFormat="1" ht="18" customHeight="1" x14ac:dyDescent="0.2">
      <c r="A11" s="266" t="s">
        <v>160</v>
      </c>
      <c r="B11" s="335">
        <v>966.56</v>
      </c>
      <c r="C11" s="335">
        <v>61.88</v>
      </c>
      <c r="D11" s="335">
        <v>562.24</v>
      </c>
      <c r="E11" s="335">
        <v>48.08</v>
      </c>
      <c r="F11" s="283">
        <v>1638.76</v>
      </c>
      <c r="G11" s="335">
        <v>634.87093600000003</v>
      </c>
      <c r="H11" s="335">
        <v>47.43282</v>
      </c>
      <c r="I11" s="335">
        <v>110.757142</v>
      </c>
      <c r="J11" s="335">
        <v>56.791505999999998</v>
      </c>
      <c r="K11" s="283">
        <v>849.85240299999998</v>
      </c>
      <c r="L11" s="335">
        <v>7.57</v>
      </c>
      <c r="M11" s="335">
        <v>1.07</v>
      </c>
      <c r="N11" s="335">
        <v>0.1</v>
      </c>
      <c r="O11" s="335">
        <v>0.08</v>
      </c>
      <c r="P11" s="283">
        <v>8.82</v>
      </c>
    </row>
    <row r="12" spans="1:16" s="265" customFormat="1" ht="18" customHeight="1" x14ac:dyDescent="0.2">
      <c r="A12" s="266" t="s">
        <v>161</v>
      </c>
      <c r="B12" s="335">
        <v>685.57</v>
      </c>
      <c r="C12" s="335">
        <v>5.76</v>
      </c>
      <c r="D12" s="335">
        <v>365.8</v>
      </c>
      <c r="E12" s="335">
        <v>24.17</v>
      </c>
      <c r="F12" s="283">
        <v>1081.3</v>
      </c>
      <c r="G12" s="335">
        <v>1416.98416883</v>
      </c>
      <c r="H12" s="335">
        <v>5.1058309099999999</v>
      </c>
      <c r="I12" s="335">
        <v>150.55131424999999</v>
      </c>
      <c r="J12" s="335">
        <v>82.973716539999998</v>
      </c>
      <c r="K12" s="283">
        <v>1655.61503053</v>
      </c>
      <c r="L12" s="335">
        <v>15.02</v>
      </c>
      <c r="M12" s="335">
        <v>0.04</v>
      </c>
      <c r="N12" s="335">
        <v>0.05</v>
      </c>
      <c r="O12" s="335">
        <v>0.09</v>
      </c>
      <c r="P12" s="283">
        <v>15.2</v>
      </c>
    </row>
    <row r="13" spans="1:16" s="265" customFormat="1" ht="18" customHeight="1" x14ac:dyDescent="0.2">
      <c r="A13" s="266" t="s">
        <v>162</v>
      </c>
      <c r="B13" s="335">
        <v>606.39</v>
      </c>
      <c r="C13" s="335">
        <v>5.78</v>
      </c>
      <c r="D13" s="335">
        <v>414.76</v>
      </c>
      <c r="E13" s="335">
        <v>9.93</v>
      </c>
      <c r="F13" s="283">
        <v>1036.8599999999999</v>
      </c>
      <c r="G13" s="335">
        <v>1106.06899649</v>
      </c>
      <c r="H13" s="335">
        <v>4.1425155299999998</v>
      </c>
      <c r="I13" s="335">
        <v>123.00491125000001</v>
      </c>
      <c r="J13" s="335">
        <v>41.500147849999998</v>
      </c>
      <c r="K13" s="283">
        <v>1274.71657112</v>
      </c>
      <c r="L13" s="335">
        <v>5.69</v>
      </c>
      <c r="M13" s="335">
        <v>0.01</v>
      </c>
      <c r="N13" s="335">
        <v>4.7453000000000002E-2</v>
      </c>
      <c r="O13" s="335">
        <v>0.01</v>
      </c>
      <c r="P13" s="283">
        <v>5.7574529999999999</v>
      </c>
    </row>
    <row r="14" spans="1:16" s="265" customFormat="1" ht="18" customHeight="1" x14ac:dyDescent="0.2">
      <c r="A14" s="266" t="s">
        <v>163</v>
      </c>
      <c r="B14" s="335">
        <v>571.70000000000005</v>
      </c>
      <c r="C14" s="335">
        <v>7.21</v>
      </c>
      <c r="D14" s="335">
        <v>377.34</v>
      </c>
      <c r="E14" s="335">
        <v>27.38</v>
      </c>
      <c r="F14" s="283">
        <v>983.63</v>
      </c>
      <c r="G14" s="335">
        <v>638.17381203000002</v>
      </c>
      <c r="H14" s="335">
        <v>4.8196269100000002</v>
      </c>
      <c r="I14" s="335">
        <v>149.75747475</v>
      </c>
      <c r="J14" s="335">
        <v>136.15357677</v>
      </c>
      <c r="K14" s="283">
        <v>928.90449046000003</v>
      </c>
      <c r="L14" s="335">
        <v>7.4</v>
      </c>
      <c r="M14" s="335">
        <v>2.3E-2</v>
      </c>
      <c r="N14" s="335">
        <v>3.1558000000000003E-2</v>
      </c>
      <c r="O14" s="335">
        <v>2.8400000000000002E-2</v>
      </c>
      <c r="P14" s="283">
        <v>7.482958</v>
      </c>
    </row>
    <row r="15" spans="1:16" s="265" customFormat="1" ht="18" customHeight="1" x14ac:dyDescent="0.2">
      <c r="A15" s="266" t="s">
        <v>164</v>
      </c>
      <c r="B15" s="335">
        <v>580.16999999999996</v>
      </c>
      <c r="C15" s="335">
        <v>18.47</v>
      </c>
      <c r="D15" s="335">
        <v>313.82</v>
      </c>
      <c r="E15" s="335">
        <v>12.31</v>
      </c>
      <c r="F15" s="283">
        <v>924.77</v>
      </c>
      <c r="G15" s="335">
        <v>572.06860173999996</v>
      </c>
      <c r="H15" s="335">
        <v>14.20136215</v>
      </c>
      <c r="I15" s="335">
        <v>137.38566700000001</v>
      </c>
      <c r="J15" s="335">
        <v>30.047444779999999</v>
      </c>
      <c r="K15" s="283">
        <v>753.70307566999998</v>
      </c>
      <c r="L15" s="335">
        <v>6.28</v>
      </c>
      <c r="M15" s="335">
        <v>0.19656000000000001</v>
      </c>
      <c r="N15" s="335">
        <v>4.1999999999999997E-3</v>
      </c>
      <c r="O15" s="335">
        <v>0</v>
      </c>
      <c r="P15" s="283">
        <v>6.4807600000000001</v>
      </c>
    </row>
    <row r="16" spans="1:16" s="265" customFormat="1" ht="18" customHeight="1" x14ac:dyDescent="0.2">
      <c r="A16" s="266" t="s">
        <v>165</v>
      </c>
      <c r="B16" s="335">
        <v>407.44</v>
      </c>
      <c r="C16" s="335">
        <v>2.8</v>
      </c>
      <c r="D16" s="335">
        <v>298.94</v>
      </c>
      <c r="E16" s="335">
        <v>6.1</v>
      </c>
      <c r="F16" s="283">
        <v>715.28</v>
      </c>
      <c r="G16" s="335">
        <v>439.43686322999997</v>
      </c>
      <c r="H16" s="335">
        <v>1.70201508</v>
      </c>
      <c r="I16" s="335">
        <v>103.57586474999999</v>
      </c>
      <c r="J16" s="335">
        <v>31.3864138</v>
      </c>
      <c r="K16" s="283">
        <v>576.10115685999995</v>
      </c>
      <c r="L16" s="335">
        <v>3.74</v>
      </c>
      <c r="M16" s="335">
        <v>0.02</v>
      </c>
      <c r="N16" s="335">
        <v>0.04</v>
      </c>
      <c r="O16" s="335">
        <v>3.0000000000000001E-3</v>
      </c>
      <c r="P16" s="283">
        <v>3.8029999999999999</v>
      </c>
    </row>
    <row r="17" spans="1:16" s="265" customFormat="1" ht="18" customHeight="1" x14ac:dyDescent="0.2">
      <c r="A17" s="266" t="s">
        <v>166</v>
      </c>
      <c r="B17" s="335">
        <v>312.73</v>
      </c>
      <c r="C17" s="335">
        <v>4.71</v>
      </c>
      <c r="D17" s="335">
        <v>228.34</v>
      </c>
      <c r="E17" s="335">
        <v>3.19</v>
      </c>
      <c r="F17" s="283">
        <v>548.97</v>
      </c>
      <c r="G17" s="335">
        <v>426.79421910000002</v>
      </c>
      <c r="H17" s="335">
        <v>9.3841434400000008</v>
      </c>
      <c r="I17" s="335">
        <v>74.669616750000003</v>
      </c>
      <c r="J17" s="335">
        <v>22.639409440000001</v>
      </c>
      <c r="K17" s="283">
        <v>533.4873887</v>
      </c>
      <c r="L17" s="335">
        <v>2.9249999999999998</v>
      </c>
      <c r="M17" s="335">
        <v>6.9800000000000001E-2</v>
      </c>
      <c r="N17" s="335">
        <v>1.5072499999999999E-3</v>
      </c>
      <c r="O17" s="335">
        <v>5.9743999999999997E-4</v>
      </c>
      <c r="P17" s="283">
        <v>2.99690469</v>
      </c>
    </row>
    <row r="18" spans="1:16" s="265" customFormat="1" ht="18" customHeight="1" x14ac:dyDescent="0.2">
      <c r="A18" s="266" t="s">
        <v>167</v>
      </c>
      <c r="B18" s="335">
        <v>346.38</v>
      </c>
      <c r="C18" s="335">
        <v>1.9</v>
      </c>
      <c r="D18" s="335">
        <v>237.31</v>
      </c>
      <c r="E18" s="335">
        <v>9.5399999999999991</v>
      </c>
      <c r="F18" s="283">
        <v>595.13</v>
      </c>
      <c r="G18" s="335">
        <v>370.35820960000001</v>
      </c>
      <c r="H18" s="335">
        <v>3.2257117000000002</v>
      </c>
      <c r="I18" s="335">
        <v>120.60617980000001</v>
      </c>
      <c r="J18" s="335">
        <v>59.33882243</v>
      </c>
      <c r="K18" s="283">
        <v>553.52892350000002</v>
      </c>
      <c r="L18" s="335">
        <v>4.0929357499999997</v>
      </c>
      <c r="M18" s="335">
        <v>8.0838300000000002E-2</v>
      </c>
      <c r="N18" s="335">
        <v>2.5075E-4</v>
      </c>
      <c r="O18" s="335">
        <v>0</v>
      </c>
      <c r="P18" s="283">
        <v>4.1740247999999998</v>
      </c>
    </row>
    <row r="19" spans="1:16" s="265" customFormat="1" ht="15" customHeight="1" x14ac:dyDescent="0.2">
      <c r="A19" s="373" t="s">
        <v>106</v>
      </c>
      <c r="B19" s="373"/>
      <c r="C19" s="373"/>
      <c r="D19" s="373"/>
      <c r="E19" s="373"/>
      <c r="F19" s="373"/>
      <c r="G19" s="373"/>
      <c r="H19" s="373"/>
      <c r="I19" s="373"/>
      <c r="J19" s="373"/>
      <c r="K19" s="373"/>
      <c r="L19" s="373"/>
      <c r="M19" s="373"/>
      <c r="N19" s="373"/>
      <c r="O19" s="373"/>
    </row>
    <row r="20" spans="1:16" s="265" customFormat="1" ht="13.5" customHeight="1" x14ac:dyDescent="0.2">
      <c r="A20" s="373" t="s">
        <v>249</v>
      </c>
      <c r="B20" s="373"/>
      <c r="C20" s="373"/>
      <c r="D20" s="373"/>
      <c r="E20" s="373"/>
      <c r="F20" s="373"/>
      <c r="G20" s="373"/>
      <c r="H20" s="373"/>
      <c r="I20" s="373"/>
      <c r="J20" s="373"/>
      <c r="K20" s="373"/>
      <c r="L20" s="373"/>
      <c r="M20" s="373"/>
      <c r="N20" s="373"/>
      <c r="O20" s="373"/>
    </row>
    <row r="21" spans="1:16" s="265" customFormat="1" ht="27.6" customHeight="1" x14ac:dyDescent="0.2"/>
  </sheetData>
  <mergeCells count="16">
    <mergeCell ref="A1:O1"/>
    <mergeCell ref="A2:A4"/>
    <mergeCell ref="B2:E2"/>
    <mergeCell ref="F2:F4"/>
    <mergeCell ref="G2:J2"/>
    <mergeCell ref="K2:K4"/>
    <mergeCell ref="L2:O2"/>
    <mergeCell ref="A19:O19"/>
    <mergeCell ref="A20:O20"/>
    <mergeCell ref="P2:P4"/>
    <mergeCell ref="B3:C3"/>
    <mergeCell ref="D3:E3"/>
    <mergeCell ref="G3:H3"/>
    <mergeCell ref="I3:J3"/>
    <mergeCell ref="L3:M3"/>
    <mergeCell ref="N3:O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O23"/>
  <sheetViews>
    <sheetView workbookViewId="0">
      <selection sqref="A1:I1"/>
    </sheetView>
  </sheetViews>
  <sheetFormatPr defaultRowHeight="12.75" x14ac:dyDescent="0.2"/>
  <cols>
    <col min="1" max="15" width="12.140625" style="262" bestFit="1" customWidth="1"/>
    <col min="16" max="16" width="4.7109375" style="262" bestFit="1" customWidth="1"/>
    <col min="17" max="256" width="9.140625" style="262"/>
    <col min="257" max="271" width="12.140625" style="262" bestFit="1" customWidth="1"/>
    <col min="272" max="272" width="4.7109375" style="262" bestFit="1" customWidth="1"/>
    <col min="273" max="512" width="9.140625" style="262"/>
    <col min="513" max="527" width="12.140625" style="262" bestFit="1" customWidth="1"/>
    <col min="528" max="528" width="4.7109375" style="262" bestFit="1" customWidth="1"/>
    <col min="529" max="768" width="9.140625" style="262"/>
    <col min="769" max="783" width="12.140625" style="262" bestFit="1" customWidth="1"/>
    <col min="784" max="784" width="4.7109375" style="262" bestFit="1" customWidth="1"/>
    <col min="785" max="1024" width="9.140625" style="262"/>
    <col min="1025" max="1039" width="12.140625" style="262" bestFit="1" customWidth="1"/>
    <col min="1040" max="1040" width="4.7109375" style="262" bestFit="1" customWidth="1"/>
    <col min="1041" max="1280" width="9.140625" style="262"/>
    <col min="1281" max="1295" width="12.140625" style="262" bestFit="1" customWidth="1"/>
    <col min="1296" max="1296" width="4.7109375" style="262" bestFit="1" customWidth="1"/>
    <col min="1297" max="1536" width="9.140625" style="262"/>
    <col min="1537" max="1551" width="12.140625" style="262" bestFit="1" customWidth="1"/>
    <col min="1552" max="1552" width="4.7109375" style="262" bestFit="1" customWidth="1"/>
    <col min="1553" max="1792" width="9.140625" style="262"/>
    <col min="1793" max="1807" width="12.140625" style="262" bestFit="1" customWidth="1"/>
    <col min="1808" max="1808" width="4.7109375" style="262" bestFit="1" customWidth="1"/>
    <col min="1809" max="2048" width="9.140625" style="262"/>
    <col min="2049" max="2063" width="12.140625" style="262" bestFit="1" customWidth="1"/>
    <col min="2064" max="2064" width="4.7109375" style="262" bestFit="1" customWidth="1"/>
    <col min="2065" max="2304" width="9.140625" style="262"/>
    <col min="2305" max="2319" width="12.140625" style="262" bestFit="1" customWidth="1"/>
    <col min="2320" max="2320" width="4.7109375" style="262" bestFit="1" customWidth="1"/>
    <col min="2321" max="2560" width="9.140625" style="262"/>
    <col min="2561" max="2575" width="12.140625" style="262" bestFit="1" customWidth="1"/>
    <col min="2576" max="2576" width="4.7109375" style="262" bestFit="1" customWidth="1"/>
    <col min="2577" max="2816" width="9.140625" style="262"/>
    <col min="2817" max="2831" width="12.140625" style="262" bestFit="1" customWidth="1"/>
    <col min="2832" max="2832" width="4.7109375" style="262" bestFit="1" customWidth="1"/>
    <col min="2833" max="3072" width="9.140625" style="262"/>
    <col min="3073" max="3087" width="12.140625" style="262" bestFit="1" customWidth="1"/>
    <col min="3088" max="3088" width="4.7109375" style="262" bestFit="1" customWidth="1"/>
    <col min="3089" max="3328" width="9.140625" style="262"/>
    <col min="3329" max="3343" width="12.140625" style="262" bestFit="1" customWidth="1"/>
    <col min="3344" max="3344" width="4.7109375" style="262" bestFit="1" customWidth="1"/>
    <col min="3345" max="3584" width="9.140625" style="262"/>
    <col min="3585" max="3599" width="12.140625" style="262" bestFit="1" customWidth="1"/>
    <col min="3600" max="3600" width="4.7109375" style="262" bestFit="1" customWidth="1"/>
    <col min="3601" max="3840" width="9.140625" style="262"/>
    <col min="3841" max="3855" width="12.140625" style="262" bestFit="1" customWidth="1"/>
    <col min="3856" max="3856" width="4.7109375" style="262" bestFit="1" customWidth="1"/>
    <col min="3857" max="4096" width="9.140625" style="262"/>
    <col min="4097" max="4111" width="12.140625" style="262" bestFit="1" customWidth="1"/>
    <col min="4112" max="4112" width="4.7109375" style="262" bestFit="1" customWidth="1"/>
    <col min="4113" max="4352" width="9.140625" style="262"/>
    <col min="4353" max="4367" width="12.140625" style="262" bestFit="1" customWidth="1"/>
    <col min="4368" max="4368" width="4.7109375" style="262" bestFit="1" customWidth="1"/>
    <col min="4369" max="4608" width="9.140625" style="262"/>
    <col min="4609" max="4623" width="12.140625" style="262" bestFit="1" customWidth="1"/>
    <col min="4624" max="4624" width="4.7109375" style="262" bestFit="1" customWidth="1"/>
    <col min="4625" max="4864" width="9.140625" style="262"/>
    <col min="4865" max="4879" width="12.140625" style="262" bestFit="1" customWidth="1"/>
    <col min="4880" max="4880" width="4.7109375" style="262" bestFit="1" customWidth="1"/>
    <col min="4881" max="5120" width="9.140625" style="262"/>
    <col min="5121" max="5135" width="12.140625" style="262" bestFit="1" customWidth="1"/>
    <col min="5136" max="5136" width="4.7109375" style="262" bestFit="1" customWidth="1"/>
    <col min="5137" max="5376" width="9.140625" style="262"/>
    <col min="5377" max="5391" width="12.140625" style="262" bestFit="1" customWidth="1"/>
    <col min="5392" max="5392" width="4.7109375" style="262" bestFit="1" customWidth="1"/>
    <col min="5393" max="5632" width="9.140625" style="262"/>
    <col min="5633" max="5647" width="12.140625" style="262" bestFit="1" customWidth="1"/>
    <col min="5648" max="5648" width="4.7109375" style="262" bestFit="1" customWidth="1"/>
    <col min="5649" max="5888" width="9.140625" style="262"/>
    <col min="5889" max="5903" width="12.140625" style="262" bestFit="1" customWidth="1"/>
    <col min="5904" max="5904" width="4.7109375" style="262" bestFit="1" customWidth="1"/>
    <col min="5905" max="6144" width="9.140625" style="262"/>
    <col min="6145" max="6159" width="12.140625" style="262" bestFit="1" customWidth="1"/>
    <col min="6160" max="6160" width="4.7109375" style="262" bestFit="1" customWidth="1"/>
    <col min="6161" max="6400" width="9.140625" style="262"/>
    <col min="6401" max="6415" width="12.140625" style="262" bestFit="1" customWidth="1"/>
    <col min="6416" max="6416" width="4.7109375" style="262" bestFit="1" customWidth="1"/>
    <col min="6417" max="6656" width="9.140625" style="262"/>
    <col min="6657" max="6671" width="12.140625" style="262" bestFit="1" customWidth="1"/>
    <col min="6672" max="6672" width="4.7109375" style="262" bestFit="1" customWidth="1"/>
    <col min="6673" max="6912" width="9.140625" style="262"/>
    <col min="6913" max="6927" width="12.140625" style="262" bestFit="1" customWidth="1"/>
    <col min="6928" max="6928" width="4.7109375" style="262" bestFit="1" customWidth="1"/>
    <col min="6929" max="7168" width="9.140625" style="262"/>
    <col min="7169" max="7183" width="12.140625" style="262" bestFit="1" customWidth="1"/>
    <col min="7184" max="7184" width="4.7109375" style="262" bestFit="1" customWidth="1"/>
    <col min="7185" max="7424" width="9.140625" style="262"/>
    <col min="7425" max="7439" width="12.140625" style="262" bestFit="1" customWidth="1"/>
    <col min="7440" max="7440" width="4.7109375" style="262" bestFit="1" customWidth="1"/>
    <col min="7441" max="7680" width="9.140625" style="262"/>
    <col min="7681" max="7695" width="12.140625" style="262" bestFit="1" customWidth="1"/>
    <col min="7696" max="7696" width="4.7109375" style="262" bestFit="1" customWidth="1"/>
    <col min="7697" max="7936" width="9.140625" style="262"/>
    <col min="7937" max="7951" width="12.140625" style="262" bestFit="1" customWidth="1"/>
    <col min="7952" max="7952" width="4.7109375" style="262" bestFit="1" customWidth="1"/>
    <col min="7953" max="8192" width="9.140625" style="262"/>
    <col min="8193" max="8207" width="12.140625" style="262" bestFit="1" customWidth="1"/>
    <col min="8208" max="8208" width="4.7109375" style="262" bestFit="1" customWidth="1"/>
    <col min="8209" max="8448" width="9.140625" style="262"/>
    <col min="8449" max="8463" width="12.140625" style="262" bestFit="1" customWidth="1"/>
    <col min="8464" max="8464" width="4.7109375" style="262" bestFit="1" customWidth="1"/>
    <col min="8465" max="8704" width="9.140625" style="262"/>
    <col min="8705" max="8719" width="12.140625" style="262" bestFit="1" customWidth="1"/>
    <col min="8720" max="8720" width="4.7109375" style="262" bestFit="1" customWidth="1"/>
    <col min="8721" max="8960" width="9.140625" style="262"/>
    <col min="8961" max="8975" width="12.140625" style="262" bestFit="1" customWidth="1"/>
    <col min="8976" max="8976" width="4.7109375" style="262" bestFit="1" customWidth="1"/>
    <col min="8977" max="9216" width="9.140625" style="262"/>
    <col min="9217" max="9231" width="12.140625" style="262" bestFit="1" customWidth="1"/>
    <col min="9232" max="9232" width="4.7109375" style="262" bestFit="1" customWidth="1"/>
    <col min="9233" max="9472" width="9.140625" style="262"/>
    <col min="9473" max="9487" width="12.140625" style="262" bestFit="1" customWidth="1"/>
    <col min="9488" max="9488" width="4.7109375" style="262" bestFit="1" customWidth="1"/>
    <col min="9489" max="9728" width="9.140625" style="262"/>
    <col min="9729" max="9743" width="12.140625" style="262" bestFit="1" customWidth="1"/>
    <col min="9744" max="9744" width="4.7109375" style="262" bestFit="1" customWidth="1"/>
    <col min="9745" max="9984" width="9.140625" style="262"/>
    <col min="9985" max="9999" width="12.140625" style="262" bestFit="1" customWidth="1"/>
    <col min="10000" max="10000" width="4.7109375" style="262" bestFit="1" customWidth="1"/>
    <col min="10001" max="10240" width="9.140625" style="262"/>
    <col min="10241" max="10255" width="12.140625" style="262" bestFit="1" customWidth="1"/>
    <col min="10256" max="10256" width="4.7109375" style="262" bestFit="1" customWidth="1"/>
    <col min="10257" max="10496" width="9.140625" style="262"/>
    <col min="10497" max="10511" width="12.140625" style="262" bestFit="1" customWidth="1"/>
    <col min="10512" max="10512" width="4.7109375" style="262" bestFit="1" customWidth="1"/>
    <col min="10513" max="10752" width="9.140625" style="262"/>
    <col min="10753" max="10767" width="12.140625" style="262" bestFit="1" customWidth="1"/>
    <col min="10768" max="10768" width="4.7109375" style="262" bestFit="1" customWidth="1"/>
    <col min="10769" max="11008" width="9.140625" style="262"/>
    <col min="11009" max="11023" width="12.140625" style="262" bestFit="1" customWidth="1"/>
    <col min="11024" max="11024" width="4.7109375" style="262" bestFit="1" customWidth="1"/>
    <col min="11025" max="11264" width="9.140625" style="262"/>
    <col min="11265" max="11279" width="12.140625" style="262" bestFit="1" customWidth="1"/>
    <col min="11280" max="11280" width="4.7109375" style="262" bestFit="1" customWidth="1"/>
    <col min="11281" max="11520" width="9.140625" style="262"/>
    <col min="11521" max="11535" width="12.140625" style="262" bestFit="1" customWidth="1"/>
    <col min="11536" max="11536" width="4.7109375" style="262" bestFit="1" customWidth="1"/>
    <col min="11537" max="11776" width="9.140625" style="262"/>
    <col min="11777" max="11791" width="12.140625" style="262" bestFit="1" customWidth="1"/>
    <col min="11792" max="11792" width="4.7109375" style="262" bestFit="1" customWidth="1"/>
    <col min="11793" max="12032" width="9.140625" style="262"/>
    <col min="12033" max="12047" width="12.140625" style="262" bestFit="1" customWidth="1"/>
    <col min="12048" max="12048" width="4.7109375" style="262" bestFit="1" customWidth="1"/>
    <col min="12049" max="12288" width="9.140625" style="262"/>
    <col min="12289" max="12303" width="12.140625" style="262" bestFit="1" customWidth="1"/>
    <col min="12304" max="12304" width="4.7109375" style="262" bestFit="1" customWidth="1"/>
    <col min="12305" max="12544" width="9.140625" style="262"/>
    <col min="12545" max="12559" width="12.140625" style="262" bestFit="1" customWidth="1"/>
    <col min="12560" max="12560" width="4.7109375" style="262" bestFit="1" customWidth="1"/>
    <col min="12561" max="12800" width="9.140625" style="262"/>
    <col min="12801" max="12815" width="12.140625" style="262" bestFit="1" customWidth="1"/>
    <col min="12816" max="12816" width="4.7109375" style="262" bestFit="1" customWidth="1"/>
    <col min="12817" max="13056" width="9.140625" style="262"/>
    <col min="13057" max="13071" width="12.140625" style="262" bestFit="1" customWidth="1"/>
    <col min="13072" max="13072" width="4.7109375" style="262" bestFit="1" customWidth="1"/>
    <col min="13073" max="13312" width="9.140625" style="262"/>
    <col min="13313" max="13327" width="12.140625" style="262" bestFit="1" customWidth="1"/>
    <col min="13328" max="13328" width="4.7109375" style="262" bestFit="1" customWidth="1"/>
    <col min="13329" max="13568" width="9.140625" style="262"/>
    <col min="13569" max="13583" width="12.140625" style="262" bestFit="1" customWidth="1"/>
    <col min="13584" max="13584" width="4.7109375" style="262" bestFit="1" customWidth="1"/>
    <col min="13585" max="13824" width="9.140625" style="262"/>
    <col min="13825" max="13839" width="12.140625" style="262" bestFit="1" customWidth="1"/>
    <col min="13840" max="13840" width="4.7109375" style="262" bestFit="1" customWidth="1"/>
    <col min="13841" max="14080" width="9.140625" style="262"/>
    <col min="14081" max="14095" width="12.140625" style="262" bestFit="1" customWidth="1"/>
    <col min="14096" max="14096" width="4.7109375" style="262" bestFit="1" customWidth="1"/>
    <col min="14097" max="14336" width="9.140625" style="262"/>
    <col min="14337" max="14351" width="12.140625" style="262" bestFit="1" customWidth="1"/>
    <col min="14352" max="14352" width="4.7109375" style="262" bestFit="1" customWidth="1"/>
    <col min="14353" max="14592" width="9.140625" style="262"/>
    <col min="14593" max="14607" width="12.140625" style="262" bestFit="1" customWidth="1"/>
    <col min="14608" max="14608" width="4.7109375" style="262" bestFit="1" customWidth="1"/>
    <col min="14609" max="14848" width="9.140625" style="262"/>
    <col min="14849" max="14863" width="12.140625" style="262" bestFit="1" customWidth="1"/>
    <col min="14864" max="14864" width="4.7109375" style="262" bestFit="1" customWidth="1"/>
    <col min="14865" max="15104" width="9.140625" style="262"/>
    <col min="15105" max="15119" width="12.140625" style="262" bestFit="1" customWidth="1"/>
    <col min="15120" max="15120" width="4.7109375" style="262" bestFit="1" customWidth="1"/>
    <col min="15121" max="15360" width="9.140625" style="262"/>
    <col min="15361" max="15375" width="12.140625" style="262" bestFit="1" customWidth="1"/>
    <col min="15376" max="15376" width="4.7109375" style="262" bestFit="1" customWidth="1"/>
    <col min="15377" max="15616" width="9.140625" style="262"/>
    <col min="15617" max="15631" width="12.140625" style="262" bestFit="1" customWidth="1"/>
    <col min="15632" max="15632" width="4.7109375" style="262" bestFit="1" customWidth="1"/>
    <col min="15633" max="15872" width="9.140625" style="262"/>
    <col min="15873" max="15887" width="12.140625" style="262" bestFit="1" customWidth="1"/>
    <col min="15888" max="15888" width="4.7109375" style="262" bestFit="1" customWidth="1"/>
    <col min="15889" max="16128" width="9.140625" style="262"/>
    <col min="16129" max="16143" width="12.140625" style="262" bestFit="1" customWidth="1"/>
    <col min="16144" max="16144" width="4.7109375" style="262" bestFit="1" customWidth="1"/>
    <col min="16145" max="16384" width="9.140625" style="262"/>
  </cols>
  <sheetData>
    <row r="1" spans="1:15" ht="15" customHeight="1" x14ac:dyDescent="0.2">
      <c r="A1" s="385" t="s">
        <v>48</v>
      </c>
      <c r="B1" s="385"/>
      <c r="C1" s="385"/>
      <c r="D1" s="385"/>
      <c r="E1" s="385"/>
      <c r="F1" s="385"/>
      <c r="G1" s="385"/>
      <c r="H1" s="385"/>
      <c r="I1" s="385"/>
    </row>
    <row r="2" spans="1:15" s="265" customFormat="1" ht="18" customHeight="1" x14ac:dyDescent="0.2">
      <c r="A2" s="363" t="s">
        <v>250</v>
      </c>
      <c r="B2" s="452" t="s">
        <v>288</v>
      </c>
      <c r="C2" s="453"/>
      <c r="D2" s="453"/>
      <c r="E2" s="453"/>
      <c r="F2" s="453"/>
      <c r="G2" s="453"/>
      <c r="H2" s="454"/>
      <c r="I2" s="369" t="s">
        <v>579</v>
      </c>
      <c r="J2" s="395"/>
      <c r="K2" s="395"/>
      <c r="L2" s="395"/>
      <c r="M2" s="395"/>
      <c r="N2" s="395"/>
      <c r="O2" s="370"/>
    </row>
    <row r="3" spans="1:15" s="265" customFormat="1" ht="18" customHeight="1" x14ac:dyDescent="0.2">
      <c r="A3" s="365"/>
      <c r="B3" s="299" t="s">
        <v>580</v>
      </c>
      <c r="C3" s="299" t="s">
        <v>581</v>
      </c>
      <c r="D3" s="299" t="s">
        <v>582</v>
      </c>
      <c r="E3" s="299" t="s">
        <v>583</v>
      </c>
      <c r="F3" s="299" t="s">
        <v>584</v>
      </c>
      <c r="G3" s="299" t="s">
        <v>585</v>
      </c>
      <c r="H3" s="299" t="s">
        <v>586</v>
      </c>
      <c r="I3" s="299" t="s">
        <v>580</v>
      </c>
      <c r="J3" s="299" t="s">
        <v>581</v>
      </c>
      <c r="K3" s="299" t="s">
        <v>582</v>
      </c>
      <c r="L3" s="299" t="s">
        <v>583</v>
      </c>
      <c r="M3" s="299" t="s">
        <v>584</v>
      </c>
      <c r="N3" s="299" t="s">
        <v>585</v>
      </c>
      <c r="O3" s="299" t="s">
        <v>586</v>
      </c>
    </row>
    <row r="4" spans="1:15" s="265" customFormat="1" ht="18" customHeight="1" x14ac:dyDescent="0.2">
      <c r="A4" s="266" t="s">
        <v>587</v>
      </c>
      <c r="B4" s="290">
        <v>4403388.1399999997</v>
      </c>
      <c r="C4" s="283">
        <v>10491.21</v>
      </c>
      <c r="D4" s="283">
        <v>10781.62</v>
      </c>
      <c r="E4" s="283">
        <v>1726.47</v>
      </c>
      <c r="F4" s="283">
        <v>5148.12</v>
      </c>
      <c r="G4" s="283">
        <v>4719.51</v>
      </c>
      <c r="H4" s="283">
        <v>175.36</v>
      </c>
      <c r="I4" s="290">
        <v>871702</v>
      </c>
      <c r="J4" s="283">
        <v>22950</v>
      </c>
      <c r="K4" s="283">
        <v>5696</v>
      </c>
      <c r="L4" s="283">
        <v>1860</v>
      </c>
      <c r="M4" s="271">
        <v>1994</v>
      </c>
      <c r="N4" s="271">
        <v>3967</v>
      </c>
      <c r="O4" s="271">
        <v>3</v>
      </c>
    </row>
    <row r="5" spans="1:15" s="265" customFormat="1" ht="18" customHeight="1" x14ac:dyDescent="0.2">
      <c r="A5" s="266" t="s">
        <v>70</v>
      </c>
      <c r="B5" s="290">
        <v>7336635.8687610002</v>
      </c>
      <c r="C5" s="283">
        <v>5354.2229065000001</v>
      </c>
      <c r="D5" s="283">
        <v>4940.5533779999996</v>
      </c>
      <c r="E5" s="283">
        <v>1322.2592179999999</v>
      </c>
      <c r="F5" s="283">
        <v>2712.996169771</v>
      </c>
      <c r="G5" s="283">
        <v>1275.3716501609999</v>
      </c>
      <c r="H5" s="283">
        <v>33.114100000000001</v>
      </c>
      <c r="I5" s="290">
        <v>709594</v>
      </c>
      <c r="J5" s="283">
        <v>873</v>
      </c>
      <c r="K5" s="283">
        <v>1332</v>
      </c>
      <c r="L5" s="283">
        <v>354</v>
      </c>
      <c r="M5" s="271">
        <v>0</v>
      </c>
      <c r="N5" s="271">
        <v>9</v>
      </c>
      <c r="O5" s="271">
        <v>0</v>
      </c>
    </row>
    <row r="6" spans="1:15" s="265" customFormat="1" ht="18" customHeight="1" x14ac:dyDescent="0.2">
      <c r="A6" s="266" t="s">
        <v>156</v>
      </c>
      <c r="B6" s="290">
        <v>505815.14030000003</v>
      </c>
      <c r="C6" s="283">
        <v>1723.5059000000001</v>
      </c>
      <c r="D6" s="283">
        <v>667.5933</v>
      </c>
      <c r="E6" s="283">
        <v>65.550899999999999</v>
      </c>
      <c r="F6" s="283">
        <v>836.76940000000002</v>
      </c>
      <c r="G6" s="283">
        <v>826.84130000000005</v>
      </c>
      <c r="H6" s="283">
        <v>26.173100000000002</v>
      </c>
      <c r="I6" s="290">
        <v>1172762</v>
      </c>
      <c r="J6" s="283">
        <v>21756</v>
      </c>
      <c r="K6" s="283">
        <v>6699</v>
      </c>
      <c r="L6" s="283">
        <v>754</v>
      </c>
      <c r="M6" s="271">
        <v>2334</v>
      </c>
      <c r="N6" s="271">
        <v>3325</v>
      </c>
      <c r="O6" s="271">
        <v>429</v>
      </c>
    </row>
    <row r="7" spans="1:15" s="265" customFormat="1" ht="18" customHeight="1" x14ac:dyDescent="0.2">
      <c r="A7" s="266" t="s">
        <v>157</v>
      </c>
      <c r="B7" s="290">
        <v>724688.08</v>
      </c>
      <c r="C7" s="283">
        <v>1181.77</v>
      </c>
      <c r="D7" s="283">
        <v>765.13</v>
      </c>
      <c r="E7" s="283">
        <v>67.180000000000007</v>
      </c>
      <c r="F7" s="283">
        <v>1517.89</v>
      </c>
      <c r="G7" s="283">
        <v>241.74</v>
      </c>
      <c r="H7" s="283">
        <v>6.69</v>
      </c>
      <c r="I7" s="290">
        <v>1372211</v>
      </c>
      <c r="J7" s="283">
        <v>2938</v>
      </c>
      <c r="K7" s="283">
        <v>4164</v>
      </c>
      <c r="L7" s="283">
        <v>702</v>
      </c>
      <c r="M7" s="271">
        <v>3231</v>
      </c>
      <c r="N7" s="271">
        <v>450</v>
      </c>
      <c r="O7" s="271">
        <v>24</v>
      </c>
    </row>
    <row r="8" spans="1:15" s="265" customFormat="1" ht="18" customHeight="1" x14ac:dyDescent="0.2">
      <c r="A8" s="266" t="s">
        <v>158</v>
      </c>
      <c r="B8" s="290">
        <v>712251.33</v>
      </c>
      <c r="C8" s="283">
        <v>453.5</v>
      </c>
      <c r="D8" s="283">
        <v>440.13</v>
      </c>
      <c r="E8" s="283">
        <v>93.45</v>
      </c>
      <c r="F8" s="283">
        <v>312.31</v>
      </c>
      <c r="G8" s="283">
        <v>134.15</v>
      </c>
      <c r="H8" s="283">
        <v>0.26</v>
      </c>
      <c r="I8" s="290">
        <v>1280120</v>
      </c>
      <c r="J8" s="283">
        <v>2299</v>
      </c>
      <c r="K8" s="283">
        <v>3809</v>
      </c>
      <c r="L8" s="283">
        <v>855</v>
      </c>
      <c r="M8" s="271">
        <v>60</v>
      </c>
      <c r="N8" s="271">
        <v>10</v>
      </c>
      <c r="O8" s="271">
        <v>0</v>
      </c>
    </row>
    <row r="9" spans="1:15" s="265" customFormat="1" ht="18" customHeight="1" x14ac:dyDescent="0.2">
      <c r="A9" s="266" t="s">
        <v>159</v>
      </c>
      <c r="B9" s="290">
        <v>644204.79</v>
      </c>
      <c r="C9" s="283">
        <v>341.21</v>
      </c>
      <c r="D9" s="283">
        <v>452.14</v>
      </c>
      <c r="E9" s="283">
        <v>72.7</v>
      </c>
      <c r="F9" s="283">
        <v>40.98</v>
      </c>
      <c r="G9" s="283">
        <v>68.319999999999993</v>
      </c>
      <c r="H9" s="283">
        <v>0</v>
      </c>
      <c r="I9" s="290">
        <v>917659</v>
      </c>
      <c r="J9" s="283">
        <v>2825</v>
      </c>
      <c r="K9" s="283">
        <v>3713</v>
      </c>
      <c r="L9" s="283">
        <v>707</v>
      </c>
      <c r="M9" s="271">
        <v>12</v>
      </c>
      <c r="N9" s="271">
        <v>22</v>
      </c>
      <c r="O9" s="271"/>
    </row>
    <row r="10" spans="1:15" s="265" customFormat="1" ht="18" customHeight="1" x14ac:dyDescent="0.2">
      <c r="A10" s="266" t="s">
        <v>160</v>
      </c>
      <c r="B10" s="290">
        <v>707320.92</v>
      </c>
      <c r="C10" s="283">
        <v>313.56</v>
      </c>
      <c r="D10" s="283">
        <v>266.27999999999997</v>
      </c>
      <c r="E10" s="283">
        <v>248.9</v>
      </c>
      <c r="F10" s="283">
        <v>4.29</v>
      </c>
      <c r="G10" s="283">
        <v>3.48</v>
      </c>
      <c r="H10" s="283">
        <v>0</v>
      </c>
      <c r="I10" s="290">
        <v>1362719</v>
      </c>
      <c r="J10" s="283">
        <v>6386</v>
      </c>
      <c r="K10" s="283">
        <v>4502</v>
      </c>
      <c r="L10" s="283">
        <v>5085</v>
      </c>
      <c r="M10" s="271">
        <v>15</v>
      </c>
      <c r="N10" s="271">
        <v>30</v>
      </c>
      <c r="O10" s="271">
        <v>0</v>
      </c>
    </row>
    <row r="11" spans="1:15" s="265" customFormat="1" ht="18" customHeight="1" x14ac:dyDescent="0.2">
      <c r="A11" s="266" t="s">
        <v>161</v>
      </c>
      <c r="B11" s="290">
        <v>679315.29104725004</v>
      </c>
      <c r="C11" s="283">
        <v>244.81914649999999</v>
      </c>
      <c r="D11" s="283">
        <v>426.20257075000001</v>
      </c>
      <c r="E11" s="283">
        <v>62.056102500000001</v>
      </c>
      <c r="F11" s="283">
        <v>0.52337671600000002</v>
      </c>
      <c r="G11" s="283">
        <v>0.682726948</v>
      </c>
      <c r="H11" s="283">
        <v>0</v>
      </c>
      <c r="I11" s="290">
        <v>1021346</v>
      </c>
      <c r="J11" s="283">
        <v>4466</v>
      </c>
      <c r="K11" s="283">
        <v>4611</v>
      </c>
      <c r="L11" s="283">
        <v>112</v>
      </c>
      <c r="M11" s="271">
        <v>20</v>
      </c>
      <c r="N11" s="271">
        <v>2</v>
      </c>
      <c r="O11" s="271">
        <v>0</v>
      </c>
    </row>
    <row r="12" spans="1:15" s="265" customFormat="1" ht="18" customHeight="1" x14ac:dyDescent="0.2">
      <c r="A12" s="266" t="s">
        <v>162</v>
      </c>
      <c r="B12" s="290">
        <v>640681.91249999998</v>
      </c>
      <c r="C12" s="283">
        <v>182.63486230000001</v>
      </c>
      <c r="D12" s="283">
        <v>384.02174630000002</v>
      </c>
      <c r="E12" s="283">
        <v>46.35950175</v>
      </c>
      <c r="F12" s="283">
        <v>0.211893055</v>
      </c>
      <c r="G12" s="283">
        <v>1.9413911999999998E-2</v>
      </c>
      <c r="H12" s="283">
        <v>0</v>
      </c>
      <c r="I12" s="290">
        <v>889470</v>
      </c>
      <c r="J12" s="283">
        <v>2039</v>
      </c>
      <c r="K12" s="283">
        <v>2134</v>
      </c>
      <c r="L12" s="283">
        <v>570</v>
      </c>
      <c r="M12" s="271">
        <v>0</v>
      </c>
      <c r="N12" s="271">
        <v>0</v>
      </c>
      <c r="O12" s="271">
        <v>0</v>
      </c>
    </row>
    <row r="13" spans="1:15" s="265" customFormat="1" ht="18" customHeight="1" x14ac:dyDescent="0.2">
      <c r="A13" s="266" t="s">
        <v>163</v>
      </c>
      <c r="B13" s="290">
        <v>572947.75471625</v>
      </c>
      <c r="C13" s="283">
        <v>234.66967249999999</v>
      </c>
      <c r="D13" s="283">
        <v>469.50796600000001</v>
      </c>
      <c r="E13" s="283">
        <v>94.335503000000003</v>
      </c>
      <c r="F13" s="283">
        <v>0</v>
      </c>
      <c r="G13" s="283">
        <v>0</v>
      </c>
      <c r="H13" s="283">
        <v>0</v>
      </c>
      <c r="I13" s="290">
        <v>787973</v>
      </c>
      <c r="J13" s="283">
        <v>5500</v>
      </c>
      <c r="K13" s="283">
        <v>1370</v>
      </c>
      <c r="L13" s="283">
        <v>424</v>
      </c>
      <c r="M13" s="271">
        <v>0</v>
      </c>
      <c r="N13" s="271">
        <v>0</v>
      </c>
      <c r="O13" s="271">
        <v>0</v>
      </c>
    </row>
    <row r="14" spans="1:15" s="265" customFormat="1" ht="18" customHeight="1" x14ac:dyDescent="0.2">
      <c r="A14" s="266" t="s">
        <v>164</v>
      </c>
      <c r="B14" s="290">
        <v>515111.71</v>
      </c>
      <c r="C14" s="283">
        <v>143.72999999999999</v>
      </c>
      <c r="D14" s="283">
        <v>307.86</v>
      </c>
      <c r="E14" s="283">
        <v>109.77</v>
      </c>
      <c r="F14" s="283">
        <v>0</v>
      </c>
      <c r="G14" s="283">
        <v>0</v>
      </c>
      <c r="H14" s="283">
        <v>0</v>
      </c>
      <c r="I14" s="290">
        <v>827968</v>
      </c>
      <c r="J14" s="283">
        <v>947</v>
      </c>
      <c r="K14" s="283">
        <v>743</v>
      </c>
      <c r="L14" s="283">
        <v>684</v>
      </c>
      <c r="M14" s="271">
        <v>0</v>
      </c>
      <c r="N14" s="271">
        <v>0</v>
      </c>
      <c r="O14" s="271">
        <v>0</v>
      </c>
    </row>
    <row r="15" spans="1:15" s="265" customFormat="1" ht="18" customHeight="1" x14ac:dyDescent="0.2">
      <c r="A15" s="266" t="s">
        <v>165</v>
      </c>
      <c r="B15" s="290">
        <v>567264.73959999997</v>
      </c>
      <c r="C15" s="283">
        <v>290.87729999999999</v>
      </c>
      <c r="D15" s="283">
        <v>275.4545</v>
      </c>
      <c r="E15" s="283">
        <v>372.05149999999998</v>
      </c>
      <c r="F15" s="283">
        <v>1.61E-2</v>
      </c>
      <c r="G15" s="283">
        <v>2.76E-2</v>
      </c>
      <c r="H15" s="283">
        <v>0</v>
      </c>
      <c r="I15" s="290">
        <v>726324</v>
      </c>
      <c r="J15" s="283">
        <v>9299</v>
      </c>
      <c r="K15" s="283">
        <v>1262</v>
      </c>
      <c r="L15" s="283">
        <v>3895</v>
      </c>
      <c r="M15" s="271">
        <v>0</v>
      </c>
      <c r="N15" s="271">
        <v>0</v>
      </c>
      <c r="O15" s="271">
        <v>0</v>
      </c>
    </row>
    <row r="16" spans="1:15" s="265" customFormat="1" ht="18" customHeight="1" x14ac:dyDescent="0.2">
      <c r="A16" s="266" t="s">
        <v>166</v>
      </c>
      <c r="B16" s="290">
        <v>510438.92289450002</v>
      </c>
      <c r="C16" s="283">
        <v>142.56074325</v>
      </c>
      <c r="D16" s="283">
        <v>209.91797249999999</v>
      </c>
      <c r="E16" s="283">
        <v>43.307551250000003</v>
      </c>
      <c r="F16" s="283">
        <v>0</v>
      </c>
      <c r="G16" s="283">
        <v>0</v>
      </c>
      <c r="H16" s="283">
        <v>0</v>
      </c>
      <c r="I16" s="290">
        <v>708430</v>
      </c>
      <c r="J16" s="283">
        <v>1032</v>
      </c>
      <c r="K16" s="283">
        <v>1846</v>
      </c>
      <c r="L16" s="283">
        <v>691</v>
      </c>
      <c r="M16" s="271">
        <v>0</v>
      </c>
      <c r="N16" s="271">
        <v>0</v>
      </c>
      <c r="O16" s="271">
        <v>0</v>
      </c>
    </row>
    <row r="17" spans="1:15" s="265" customFormat="1" ht="18" customHeight="1" x14ac:dyDescent="0.2">
      <c r="A17" s="266" t="s">
        <v>167</v>
      </c>
      <c r="B17" s="290">
        <v>556595.28</v>
      </c>
      <c r="C17" s="283">
        <v>101.391682</v>
      </c>
      <c r="D17" s="283">
        <v>276.31402250000002</v>
      </c>
      <c r="E17" s="283">
        <v>46.600559500000003</v>
      </c>
      <c r="F17" s="283">
        <v>0</v>
      </c>
      <c r="G17" s="283">
        <v>0.117509301</v>
      </c>
      <c r="H17" s="283">
        <v>0</v>
      </c>
      <c r="I17" s="290">
        <v>709594</v>
      </c>
      <c r="J17" s="283">
        <v>873</v>
      </c>
      <c r="K17" s="283">
        <v>1332</v>
      </c>
      <c r="L17" s="283">
        <v>354</v>
      </c>
      <c r="M17" s="271">
        <v>0</v>
      </c>
      <c r="N17" s="271">
        <v>9</v>
      </c>
      <c r="O17" s="271">
        <v>0</v>
      </c>
    </row>
    <row r="18" spans="1:15" s="265" customFormat="1" ht="14.25" customHeight="1" x14ac:dyDescent="0.2">
      <c r="A18" s="373" t="s">
        <v>588</v>
      </c>
      <c r="B18" s="373"/>
      <c r="C18" s="373"/>
      <c r="D18" s="373"/>
      <c r="E18" s="373"/>
      <c r="F18" s="373"/>
      <c r="G18" s="373"/>
      <c r="H18" s="373"/>
      <c r="I18" s="373"/>
    </row>
    <row r="19" spans="1:15" s="265" customFormat="1" ht="13.5" customHeight="1" x14ac:dyDescent="0.2">
      <c r="A19" s="373" t="s">
        <v>589</v>
      </c>
      <c r="B19" s="373"/>
      <c r="C19" s="373"/>
      <c r="D19" s="373"/>
      <c r="E19" s="373"/>
      <c r="F19" s="373"/>
      <c r="G19" s="373"/>
      <c r="H19" s="373"/>
      <c r="I19" s="373"/>
    </row>
    <row r="20" spans="1:15" s="265" customFormat="1" ht="13.5" customHeight="1" x14ac:dyDescent="0.2">
      <c r="A20" s="373" t="s">
        <v>590</v>
      </c>
      <c r="B20" s="373"/>
      <c r="C20" s="373"/>
      <c r="D20" s="373"/>
      <c r="E20" s="373"/>
      <c r="F20" s="373"/>
      <c r="G20" s="373"/>
      <c r="H20" s="373"/>
      <c r="I20" s="373"/>
    </row>
    <row r="21" spans="1:15" s="265" customFormat="1" ht="13.5" customHeight="1" x14ac:dyDescent="0.2">
      <c r="A21" s="373" t="s">
        <v>106</v>
      </c>
      <c r="B21" s="373"/>
      <c r="C21" s="373"/>
      <c r="D21" s="373"/>
      <c r="E21" s="373"/>
      <c r="F21" s="373"/>
      <c r="G21" s="373"/>
      <c r="H21" s="373"/>
      <c r="I21" s="373"/>
    </row>
    <row r="22" spans="1:15" s="265" customFormat="1" ht="13.5" customHeight="1" x14ac:dyDescent="0.2">
      <c r="A22" s="373" t="s">
        <v>571</v>
      </c>
      <c r="B22" s="373"/>
      <c r="C22" s="373"/>
      <c r="D22" s="373"/>
      <c r="E22" s="373"/>
      <c r="F22" s="373"/>
      <c r="G22" s="373"/>
      <c r="H22" s="373"/>
      <c r="I22" s="373"/>
    </row>
    <row r="23" spans="1:15" s="265" customFormat="1" ht="28.35" customHeight="1" x14ac:dyDescent="0.2"/>
  </sheetData>
  <mergeCells count="9">
    <mergeCell ref="A20:I20"/>
    <mergeCell ref="A21:I21"/>
    <mergeCell ref="A22:I22"/>
    <mergeCell ref="A1:I1"/>
    <mergeCell ref="A2:A3"/>
    <mergeCell ref="B2:H2"/>
    <mergeCell ref="I2:O2"/>
    <mergeCell ref="A18:I18"/>
    <mergeCell ref="A19:I19"/>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O22"/>
  <sheetViews>
    <sheetView workbookViewId="0">
      <selection sqref="A1:G1"/>
    </sheetView>
  </sheetViews>
  <sheetFormatPr defaultRowHeight="12.75" x14ac:dyDescent="0.2"/>
  <cols>
    <col min="1" max="15" width="14.7109375" style="262" bestFit="1" customWidth="1"/>
    <col min="16" max="16" width="4.7109375" style="262" bestFit="1" customWidth="1"/>
    <col min="17" max="256" width="9.140625" style="262"/>
    <col min="257" max="271" width="14.7109375" style="262" bestFit="1" customWidth="1"/>
    <col min="272" max="272" width="4.7109375" style="262" bestFit="1" customWidth="1"/>
    <col min="273" max="512" width="9.140625" style="262"/>
    <col min="513" max="527" width="14.7109375" style="262" bestFit="1" customWidth="1"/>
    <col min="528" max="528" width="4.7109375" style="262" bestFit="1" customWidth="1"/>
    <col min="529" max="768" width="9.140625" style="262"/>
    <col min="769" max="783" width="14.7109375" style="262" bestFit="1" customWidth="1"/>
    <col min="784" max="784" width="4.7109375" style="262" bestFit="1" customWidth="1"/>
    <col min="785" max="1024" width="9.140625" style="262"/>
    <col min="1025" max="1039" width="14.7109375" style="262" bestFit="1" customWidth="1"/>
    <col min="1040" max="1040" width="4.7109375" style="262" bestFit="1" customWidth="1"/>
    <col min="1041" max="1280" width="9.140625" style="262"/>
    <col min="1281" max="1295" width="14.7109375" style="262" bestFit="1" customWidth="1"/>
    <col min="1296" max="1296" width="4.7109375" style="262" bestFit="1" customWidth="1"/>
    <col min="1297" max="1536" width="9.140625" style="262"/>
    <col min="1537" max="1551" width="14.7109375" style="262" bestFit="1" customWidth="1"/>
    <col min="1552" max="1552" width="4.7109375" style="262" bestFit="1" customWidth="1"/>
    <col min="1553" max="1792" width="9.140625" style="262"/>
    <col min="1793" max="1807" width="14.7109375" style="262" bestFit="1" customWidth="1"/>
    <col min="1808" max="1808" width="4.7109375" style="262" bestFit="1" customWidth="1"/>
    <col min="1809" max="2048" width="9.140625" style="262"/>
    <col min="2049" max="2063" width="14.7109375" style="262" bestFit="1" customWidth="1"/>
    <col min="2064" max="2064" width="4.7109375" style="262" bestFit="1" customWidth="1"/>
    <col min="2065" max="2304" width="9.140625" style="262"/>
    <col min="2305" max="2319" width="14.7109375" style="262" bestFit="1" customWidth="1"/>
    <col min="2320" max="2320" width="4.7109375" style="262" bestFit="1" customWidth="1"/>
    <col min="2321" max="2560" width="9.140625" style="262"/>
    <col min="2561" max="2575" width="14.7109375" style="262" bestFit="1" customWidth="1"/>
    <col min="2576" max="2576" width="4.7109375" style="262" bestFit="1" customWidth="1"/>
    <col min="2577" max="2816" width="9.140625" style="262"/>
    <col min="2817" max="2831" width="14.7109375" style="262" bestFit="1" customWidth="1"/>
    <col min="2832" max="2832" width="4.7109375" style="262" bestFit="1" customWidth="1"/>
    <col min="2833" max="3072" width="9.140625" style="262"/>
    <col min="3073" max="3087" width="14.7109375" style="262" bestFit="1" customWidth="1"/>
    <col min="3088" max="3088" width="4.7109375" style="262" bestFit="1" customWidth="1"/>
    <col min="3089" max="3328" width="9.140625" style="262"/>
    <col min="3329" max="3343" width="14.7109375" style="262" bestFit="1" customWidth="1"/>
    <col min="3344" max="3344" width="4.7109375" style="262" bestFit="1" customWidth="1"/>
    <col min="3345" max="3584" width="9.140625" style="262"/>
    <col min="3585" max="3599" width="14.7109375" style="262" bestFit="1" customWidth="1"/>
    <col min="3600" max="3600" width="4.7109375" style="262" bestFit="1" customWidth="1"/>
    <col min="3601" max="3840" width="9.140625" style="262"/>
    <col min="3841" max="3855" width="14.7109375" style="262" bestFit="1" customWidth="1"/>
    <col min="3856" max="3856" width="4.7109375" style="262" bestFit="1" customWidth="1"/>
    <col min="3857" max="4096" width="9.140625" style="262"/>
    <col min="4097" max="4111" width="14.7109375" style="262" bestFit="1" customWidth="1"/>
    <col min="4112" max="4112" width="4.7109375" style="262" bestFit="1" customWidth="1"/>
    <col min="4113" max="4352" width="9.140625" style="262"/>
    <col min="4353" max="4367" width="14.7109375" style="262" bestFit="1" customWidth="1"/>
    <col min="4368" max="4368" width="4.7109375" style="262" bestFit="1" customWidth="1"/>
    <col min="4369" max="4608" width="9.140625" style="262"/>
    <col min="4609" max="4623" width="14.7109375" style="262" bestFit="1" customWidth="1"/>
    <col min="4624" max="4624" width="4.7109375" style="262" bestFit="1" customWidth="1"/>
    <col min="4625" max="4864" width="9.140625" style="262"/>
    <col min="4865" max="4879" width="14.7109375" style="262" bestFit="1" customWidth="1"/>
    <col min="4880" max="4880" width="4.7109375" style="262" bestFit="1" customWidth="1"/>
    <col min="4881" max="5120" width="9.140625" style="262"/>
    <col min="5121" max="5135" width="14.7109375" style="262" bestFit="1" customWidth="1"/>
    <col min="5136" max="5136" width="4.7109375" style="262" bestFit="1" customWidth="1"/>
    <col min="5137" max="5376" width="9.140625" style="262"/>
    <col min="5377" max="5391" width="14.7109375" style="262" bestFit="1" customWidth="1"/>
    <col min="5392" max="5392" width="4.7109375" style="262" bestFit="1" customWidth="1"/>
    <col min="5393" max="5632" width="9.140625" style="262"/>
    <col min="5633" max="5647" width="14.7109375" style="262" bestFit="1" customWidth="1"/>
    <col min="5648" max="5648" width="4.7109375" style="262" bestFit="1" customWidth="1"/>
    <col min="5649" max="5888" width="9.140625" style="262"/>
    <col min="5889" max="5903" width="14.7109375" style="262" bestFit="1" customWidth="1"/>
    <col min="5904" max="5904" width="4.7109375" style="262" bestFit="1" customWidth="1"/>
    <col min="5905" max="6144" width="9.140625" style="262"/>
    <col min="6145" max="6159" width="14.7109375" style="262" bestFit="1" customWidth="1"/>
    <col min="6160" max="6160" width="4.7109375" style="262" bestFit="1" customWidth="1"/>
    <col min="6161" max="6400" width="9.140625" style="262"/>
    <col min="6401" max="6415" width="14.7109375" style="262" bestFit="1" customWidth="1"/>
    <col min="6416" max="6416" width="4.7109375" style="262" bestFit="1" customWidth="1"/>
    <col min="6417" max="6656" width="9.140625" style="262"/>
    <col min="6657" max="6671" width="14.7109375" style="262" bestFit="1" customWidth="1"/>
    <col min="6672" max="6672" width="4.7109375" style="262" bestFit="1" customWidth="1"/>
    <col min="6673" max="6912" width="9.140625" style="262"/>
    <col min="6913" max="6927" width="14.7109375" style="262" bestFit="1" customWidth="1"/>
    <col min="6928" max="6928" width="4.7109375" style="262" bestFit="1" customWidth="1"/>
    <col min="6929" max="7168" width="9.140625" style="262"/>
    <col min="7169" max="7183" width="14.7109375" style="262" bestFit="1" customWidth="1"/>
    <col min="7184" max="7184" width="4.7109375" style="262" bestFit="1" customWidth="1"/>
    <col min="7185" max="7424" width="9.140625" style="262"/>
    <col min="7425" max="7439" width="14.7109375" style="262" bestFit="1" customWidth="1"/>
    <col min="7440" max="7440" width="4.7109375" style="262" bestFit="1" customWidth="1"/>
    <col min="7441" max="7680" width="9.140625" style="262"/>
    <col min="7681" max="7695" width="14.7109375" style="262" bestFit="1" customWidth="1"/>
    <col min="7696" max="7696" width="4.7109375" style="262" bestFit="1" customWidth="1"/>
    <col min="7697" max="7936" width="9.140625" style="262"/>
    <col min="7937" max="7951" width="14.7109375" style="262" bestFit="1" customWidth="1"/>
    <col min="7952" max="7952" width="4.7109375" style="262" bestFit="1" customWidth="1"/>
    <col min="7953" max="8192" width="9.140625" style="262"/>
    <col min="8193" max="8207" width="14.7109375" style="262" bestFit="1" customWidth="1"/>
    <col min="8208" max="8208" width="4.7109375" style="262" bestFit="1" customWidth="1"/>
    <col min="8209" max="8448" width="9.140625" style="262"/>
    <col min="8449" max="8463" width="14.7109375" style="262" bestFit="1" customWidth="1"/>
    <col min="8464" max="8464" width="4.7109375" style="262" bestFit="1" customWidth="1"/>
    <col min="8465" max="8704" width="9.140625" style="262"/>
    <col min="8705" max="8719" width="14.7109375" style="262" bestFit="1" customWidth="1"/>
    <col min="8720" max="8720" width="4.7109375" style="262" bestFit="1" customWidth="1"/>
    <col min="8721" max="8960" width="9.140625" style="262"/>
    <col min="8961" max="8975" width="14.7109375" style="262" bestFit="1" customWidth="1"/>
    <col min="8976" max="8976" width="4.7109375" style="262" bestFit="1" customWidth="1"/>
    <col min="8977" max="9216" width="9.140625" style="262"/>
    <col min="9217" max="9231" width="14.7109375" style="262" bestFit="1" customWidth="1"/>
    <col min="9232" max="9232" width="4.7109375" style="262" bestFit="1" customWidth="1"/>
    <col min="9233" max="9472" width="9.140625" style="262"/>
    <col min="9473" max="9487" width="14.7109375" style="262" bestFit="1" customWidth="1"/>
    <col min="9488" max="9488" width="4.7109375" style="262" bestFit="1" customWidth="1"/>
    <col min="9489" max="9728" width="9.140625" style="262"/>
    <col min="9729" max="9743" width="14.7109375" style="262" bestFit="1" customWidth="1"/>
    <col min="9744" max="9744" width="4.7109375" style="262" bestFit="1" customWidth="1"/>
    <col min="9745" max="9984" width="9.140625" style="262"/>
    <col min="9985" max="9999" width="14.7109375" style="262" bestFit="1" customWidth="1"/>
    <col min="10000" max="10000" width="4.7109375" style="262" bestFit="1" customWidth="1"/>
    <col min="10001" max="10240" width="9.140625" style="262"/>
    <col min="10241" max="10255" width="14.7109375" style="262" bestFit="1" customWidth="1"/>
    <col min="10256" max="10256" width="4.7109375" style="262" bestFit="1" customWidth="1"/>
    <col min="10257" max="10496" width="9.140625" style="262"/>
    <col min="10497" max="10511" width="14.7109375" style="262" bestFit="1" customWidth="1"/>
    <col min="10512" max="10512" width="4.7109375" style="262" bestFit="1" customWidth="1"/>
    <col min="10513" max="10752" width="9.140625" style="262"/>
    <col min="10753" max="10767" width="14.7109375" style="262" bestFit="1" customWidth="1"/>
    <col min="10768" max="10768" width="4.7109375" style="262" bestFit="1" customWidth="1"/>
    <col min="10769" max="11008" width="9.140625" style="262"/>
    <col min="11009" max="11023" width="14.7109375" style="262" bestFit="1" customWidth="1"/>
    <col min="11024" max="11024" width="4.7109375" style="262" bestFit="1" customWidth="1"/>
    <col min="11025" max="11264" width="9.140625" style="262"/>
    <col min="11265" max="11279" width="14.7109375" style="262" bestFit="1" customWidth="1"/>
    <col min="11280" max="11280" width="4.7109375" style="262" bestFit="1" customWidth="1"/>
    <col min="11281" max="11520" width="9.140625" style="262"/>
    <col min="11521" max="11535" width="14.7109375" style="262" bestFit="1" customWidth="1"/>
    <col min="11536" max="11536" width="4.7109375" style="262" bestFit="1" customWidth="1"/>
    <col min="11537" max="11776" width="9.140625" style="262"/>
    <col min="11777" max="11791" width="14.7109375" style="262" bestFit="1" customWidth="1"/>
    <col min="11792" max="11792" width="4.7109375" style="262" bestFit="1" customWidth="1"/>
    <col min="11793" max="12032" width="9.140625" style="262"/>
    <col min="12033" max="12047" width="14.7109375" style="262" bestFit="1" customWidth="1"/>
    <col min="12048" max="12048" width="4.7109375" style="262" bestFit="1" customWidth="1"/>
    <col min="12049" max="12288" width="9.140625" style="262"/>
    <col min="12289" max="12303" width="14.7109375" style="262" bestFit="1" customWidth="1"/>
    <col min="12304" max="12304" width="4.7109375" style="262" bestFit="1" customWidth="1"/>
    <col min="12305" max="12544" width="9.140625" style="262"/>
    <col min="12545" max="12559" width="14.7109375" style="262" bestFit="1" customWidth="1"/>
    <col min="12560" max="12560" width="4.7109375" style="262" bestFit="1" customWidth="1"/>
    <col min="12561" max="12800" width="9.140625" style="262"/>
    <col min="12801" max="12815" width="14.7109375" style="262" bestFit="1" customWidth="1"/>
    <col min="12816" max="12816" width="4.7109375" style="262" bestFit="1" customWidth="1"/>
    <col min="12817" max="13056" width="9.140625" style="262"/>
    <col min="13057" max="13071" width="14.7109375" style="262" bestFit="1" customWidth="1"/>
    <col min="13072" max="13072" width="4.7109375" style="262" bestFit="1" customWidth="1"/>
    <col min="13073" max="13312" width="9.140625" style="262"/>
    <col min="13313" max="13327" width="14.7109375" style="262" bestFit="1" customWidth="1"/>
    <col min="13328" max="13328" width="4.7109375" style="262" bestFit="1" customWidth="1"/>
    <col min="13329" max="13568" width="9.140625" style="262"/>
    <col min="13569" max="13583" width="14.7109375" style="262" bestFit="1" customWidth="1"/>
    <col min="13584" max="13584" width="4.7109375" style="262" bestFit="1" customWidth="1"/>
    <col min="13585" max="13824" width="9.140625" style="262"/>
    <col min="13825" max="13839" width="14.7109375" style="262" bestFit="1" customWidth="1"/>
    <col min="13840" max="13840" width="4.7109375" style="262" bestFit="1" customWidth="1"/>
    <col min="13841" max="14080" width="9.140625" style="262"/>
    <col min="14081" max="14095" width="14.7109375" style="262" bestFit="1" customWidth="1"/>
    <col min="14096" max="14096" width="4.7109375" style="262" bestFit="1" customWidth="1"/>
    <col min="14097" max="14336" width="9.140625" style="262"/>
    <col min="14337" max="14351" width="14.7109375" style="262" bestFit="1" customWidth="1"/>
    <col min="14352" max="14352" width="4.7109375" style="262" bestFit="1" customWidth="1"/>
    <col min="14353" max="14592" width="9.140625" style="262"/>
    <col min="14593" max="14607" width="14.7109375" style="262" bestFit="1" customWidth="1"/>
    <col min="14608" max="14608" width="4.7109375" style="262" bestFit="1" customWidth="1"/>
    <col min="14609" max="14848" width="9.140625" style="262"/>
    <col min="14849" max="14863" width="14.7109375" style="262" bestFit="1" customWidth="1"/>
    <col min="14864" max="14864" width="4.7109375" style="262" bestFit="1" customWidth="1"/>
    <col min="14865" max="15104" width="9.140625" style="262"/>
    <col min="15105" max="15119" width="14.7109375" style="262" bestFit="1" customWidth="1"/>
    <col min="15120" max="15120" width="4.7109375" style="262" bestFit="1" customWidth="1"/>
    <col min="15121" max="15360" width="9.140625" style="262"/>
    <col min="15361" max="15375" width="14.7109375" style="262" bestFit="1" customWidth="1"/>
    <col min="15376" max="15376" width="4.7109375" style="262" bestFit="1" customWidth="1"/>
    <col min="15377" max="15616" width="9.140625" style="262"/>
    <col min="15617" max="15631" width="14.7109375" style="262" bestFit="1" customWidth="1"/>
    <col min="15632" max="15632" width="4.7109375" style="262" bestFit="1" customWidth="1"/>
    <col min="15633" max="15872" width="9.140625" style="262"/>
    <col min="15873" max="15887" width="14.7109375" style="262" bestFit="1" customWidth="1"/>
    <col min="15888" max="15888" width="4.7109375" style="262" bestFit="1" customWidth="1"/>
    <col min="15889" max="16128" width="9.140625" style="262"/>
    <col min="16129" max="16143" width="14.7109375" style="262" bestFit="1" customWidth="1"/>
    <col min="16144" max="16144" width="4.7109375" style="262" bestFit="1" customWidth="1"/>
    <col min="16145" max="16384" width="9.140625" style="262"/>
  </cols>
  <sheetData>
    <row r="1" spans="1:15" ht="18.75" customHeight="1" x14ac:dyDescent="0.2">
      <c r="A1" s="385" t="s">
        <v>49</v>
      </c>
      <c r="B1" s="385"/>
      <c r="C1" s="385"/>
      <c r="D1" s="385"/>
      <c r="E1" s="385"/>
      <c r="F1" s="385"/>
      <c r="G1" s="385"/>
    </row>
    <row r="2" spans="1:15" s="265" customFormat="1" ht="18" customHeight="1" x14ac:dyDescent="0.2">
      <c r="A2" s="363" t="s">
        <v>250</v>
      </c>
      <c r="B2" s="452" t="s">
        <v>591</v>
      </c>
      <c r="C2" s="453"/>
      <c r="D2" s="453"/>
      <c r="E2" s="453"/>
      <c r="F2" s="453"/>
      <c r="G2" s="453"/>
      <c r="H2" s="454"/>
      <c r="I2" s="369" t="s">
        <v>592</v>
      </c>
      <c r="J2" s="395"/>
      <c r="K2" s="395"/>
      <c r="L2" s="395"/>
      <c r="M2" s="395"/>
      <c r="N2" s="395"/>
      <c r="O2" s="370"/>
    </row>
    <row r="3" spans="1:15" s="265" customFormat="1" ht="18" customHeight="1" x14ac:dyDescent="0.2">
      <c r="A3" s="365"/>
      <c r="B3" s="299" t="s">
        <v>580</v>
      </c>
      <c r="C3" s="299" t="s">
        <v>581</v>
      </c>
      <c r="D3" s="299" t="s">
        <v>582</v>
      </c>
      <c r="E3" s="299" t="s">
        <v>583</v>
      </c>
      <c r="F3" s="299" t="s">
        <v>584</v>
      </c>
      <c r="G3" s="299" t="s">
        <v>585</v>
      </c>
      <c r="H3" s="299" t="s">
        <v>586</v>
      </c>
      <c r="I3" s="299" t="s">
        <v>580</v>
      </c>
      <c r="J3" s="299" t="s">
        <v>581</v>
      </c>
      <c r="K3" s="299" t="s">
        <v>582</v>
      </c>
      <c r="L3" s="299" t="s">
        <v>583</v>
      </c>
      <c r="M3" s="299" t="s">
        <v>584</v>
      </c>
      <c r="N3" s="299" t="s">
        <v>585</v>
      </c>
      <c r="O3" s="299" t="s">
        <v>586</v>
      </c>
    </row>
    <row r="4" spans="1:15" s="265" customFormat="1" ht="18" customHeight="1" x14ac:dyDescent="0.2">
      <c r="A4" s="266" t="s">
        <v>69</v>
      </c>
      <c r="B4" s="290">
        <v>4612668.1821522499</v>
      </c>
      <c r="C4" s="290">
        <v>161598.72605999999</v>
      </c>
      <c r="D4" s="290">
        <v>194484.71142375001</v>
      </c>
      <c r="E4" s="283">
        <v>46310.029735750002</v>
      </c>
      <c r="F4" s="283">
        <v>43775.688298683999</v>
      </c>
      <c r="G4" s="283">
        <v>42495.631678256002</v>
      </c>
      <c r="H4" s="283">
        <v>36992.214257560001</v>
      </c>
      <c r="I4" s="290">
        <v>3503144</v>
      </c>
      <c r="J4" s="290">
        <v>182368</v>
      </c>
      <c r="K4" s="283">
        <v>98106</v>
      </c>
      <c r="L4" s="283">
        <v>34923</v>
      </c>
      <c r="M4" s="271">
        <v>15886</v>
      </c>
      <c r="N4" s="271">
        <v>11570</v>
      </c>
      <c r="O4" s="271">
        <v>1223</v>
      </c>
    </row>
    <row r="5" spans="1:15" s="265" customFormat="1" ht="18" customHeight="1" x14ac:dyDescent="0.2">
      <c r="A5" s="266" t="s">
        <v>70</v>
      </c>
      <c r="B5" s="290">
        <v>7978933.7980000004</v>
      </c>
      <c r="C5" s="290">
        <v>176061.2689</v>
      </c>
      <c r="D5" s="290">
        <v>226751.72229999999</v>
      </c>
      <c r="E5" s="283">
        <v>59106.090649999998</v>
      </c>
      <c r="F5" s="283">
        <v>42661.716330000003</v>
      </c>
      <c r="G5" s="283">
        <v>33643.821510000002</v>
      </c>
      <c r="H5" s="283">
        <v>1192.8246280000001</v>
      </c>
      <c r="I5" s="290">
        <v>4059718</v>
      </c>
      <c r="J5" s="283">
        <v>50501</v>
      </c>
      <c r="K5" s="283">
        <v>37698</v>
      </c>
      <c r="L5" s="283">
        <v>21801</v>
      </c>
      <c r="M5" s="271">
        <v>33796</v>
      </c>
      <c r="N5" s="271">
        <v>1978</v>
      </c>
      <c r="O5" s="271">
        <v>74</v>
      </c>
    </row>
    <row r="6" spans="1:15" s="265" customFormat="1" ht="18" customHeight="1" x14ac:dyDescent="0.2">
      <c r="A6" s="266" t="s">
        <v>156</v>
      </c>
      <c r="B6" s="290">
        <v>457294.47819724999</v>
      </c>
      <c r="C6" s="283">
        <v>14873.312382</v>
      </c>
      <c r="D6" s="283">
        <v>20143.856600250001</v>
      </c>
      <c r="E6" s="283">
        <v>3936.2091435000002</v>
      </c>
      <c r="F6" s="283">
        <v>2960.4150354399999</v>
      </c>
      <c r="G6" s="283">
        <v>3203.1246109889998</v>
      </c>
      <c r="H6" s="283">
        <v>245.77931183000001</v>
      </c>
      <c r="I6" s="290">
        <v>4824550</v>
      </c>
      <c r="J6" s="290">
        <v>147077</v>
      </c>
      <c r="K6" s="283">
        <v>81673</v>
      </c>
      <c r="L6" s="283">
        <v>27074</v>
      </c>
      <c r="M6" s="271">
        <v>15759</v>
      </c>
      <c r="N6" s="271">
        <v>7322</v>
      </c>
      <c r="O6" s="271">
        <v>2400</v>
      </c>
    </row>
    <row r="7" spans="1:15" s="265" customFormat="1" ht="18" customHeight="1" x14ac:dyDescent="0.2">
      <c r="A7" s="266" t="s">
        <v>157</v>
      </c>
      <c r="B7" s="290">
        <v>631556.09740974999</v>
      </c>
      <c r="C7" s="283">
        <v>18960.307547749999</v>
      </c>
      <c r="D7" s="283">
        <v>20211.804471250001</v>
      </c>
      <c r="E7" s="283">
        <v>4062.5619297500002</v>
      </c>
      <c r="F7" s="283">
        <v>10942.007594872</v>
      </c>
      <c r="G7" s="283">
        <v>3511.383525316</v>
      </c>
      <c r="H7" s="283">
        <v>207.42065819300001</v>
      </c>
      <c r="I7" s="290">
        <v>4522147</v>
      </c>
      <c r="J7" s="290">
        <v>105700</v>
      </c>
      <c r="K7" s="283">
        <v>50420</v>
      </c>
      <c r="L7" s="283">
        <v>31384</v>
      </c>
      <c r="M7" s="271">
        <v>31172</v>
      </c>
      <c r="N7" s="271">
        <v>2990</v>
      </c>
      <c r="O7" s="271">
        <v>1748</v>
      </c>
    </row>
    <row r="8" spans="1:15" s="265" customFormat="1" ht="18" customHeight="1" x14ac:dyDescent="0.2">
      <c r="A8" s="266" t="s">
        <v>158</v>
      </c>
      <c r="B8" s="290">
        <v>556743.34508999996</v>
      </c>
      <c r="C8" s="283">
        <v>17893.9860085</v>
      </c>
      <c r="D8" s="283">
        <v>20172.906346749998</v>
      </c>
      <c r="E8" s="283">
        <v>5562.1592377500001</v>
      </c>
      <c r="F8" s="283">
        <v>7859.9329062320003</v>
      </c>
      <c r="G8" s="283">
        <v>3968.2222009659999</v>
      </c>
      <c r="H8" s="283">
        <v>188.071869472</v>
      </c>
      <c r="I8" s="290">
        <v>4961108</v>
      </c>
      <c r="J8" s="290">
        <v>112949</v>
      </c>
      <c r="K8" s="283">
        <v>47584</v>
      </c>
      <c r="L8" s="283">
        <v>37332</v>
      </c>
      <c r="M8" s="271">
        <v>33279</v>
      </c>
      <c r="N8" s="271">
        <v>8026</v>
      </c>
      <c r="O8" s="271">
        <v>1378</v>
      </c>
    </row>
    <row r="9" spans="1:15" s="265" customFormat="1" ht="18" customHeight="1" x14ac:dyDescent="0.2">
      <c r="A9" s="266" t="s">
        <v>159</v>
      </c>
      <c r="B9" s="290">
        <v>506418.69414124999</v>
      </c>
      <c r="C9" s="283">
        <v>16841.309392499999</v>
      </c>
      <c r="D9" s="283">
        <v>21026.966543250001</v>
      </c>
      <c r="E9" s="283">
        <v>5716.1880380000002</v>
      </c>
      <c r="F9" s="283">
        <v>4185.4096109290003</v>
      </c>
      <c r="G9" s="283">
        <v>4490.1344000070003</v>
      </c>
      <c r="H9" s="283">
        <v>187.260679197</v>
      </c>
      <c r="I9" s="290">
        <v>3684852</v>
      </c>
      <c r="J9" s="290">
        <v>125558</v>
      </c>
      <c r="K9" s="283">
        <v>53196</v>
      </c>
      <c r="L9" s="283">
        <v>35667</v>
      </c>
      <c r="M9" s="271">
        <v>27068</v>
      </c>
      <c r="N9" s="271">
        <v>4482</v>
      </c>
      <c r="O9" s="271">
        <v>1646</v>
      </c>
    </row>
    <row r="10" spans="1:15" s="265" customFormat="1" ht="18" customHeight="1" x14ac:dyDescent="0.2">
      <c r="A10" s="266" t="s">
        <v>160</v>
      </c>
      <c r="B10" s="290">
        <v>698841.78047949995</v>
      </c>
      <c r="C10" s="283">
        <v>17925.436463999999</v>
      </c>
      <c r="D10" s="283">
        <v>18041.729179999998</v>
      </c>
      <c r="E10" s="283">
        <v>6485.2389107500003</v>
      </c>
      <c r="F10" s="283">
        <v>3868.4749710199999</v>
      </c>
      <c r="G10" s="283">
        <v>3593.2577051190001</v>
      </c>
      <c r="H10" s="283">
        <v>125.587598927</v>
      </c>
      <c r="I10" s="290">
        <v>5996455</v>
      </c>
      <c r="J10" s="290">
        <v>174436</v>
      </c>
      <c r="K10" s="283">
        <v>71402</v>
      </c>
      <c r="L10" s="283">
        <v>64390</v>
      </c>
      <c r="M10" s="271">
        <v>25465</v>
      </c>
      <c r="N10" s="271">
        <v>17659</v>
      </c>
      <c r="O10" s="271">
        <v>1102</v>
      </c>
    </row>
    <row r="11" spans="1:15" s="265" customFormat="1" ht="18" customHeight="1" x14ac:dyDescent="0.2">
      <c r="A11" s="266" t="s">
        <v>161</v>
      </c>
      <c r="B11" s="290">
        <v>915275.39201475005</v>
      </c>
      <c r="C11" s="283">
        <v>16015.35233075</v>
      </c>
      <c r="D11" s="283">
        <v>16408.70458075</v>
      </c>
      <c r="E11" s="283">
        <v>5677.0603807500001</v>
      </c>
      <c r="F11" s="283">
        <v>3216.0991029840002</v>
      </c>
      <c r="G11" s="283">
        <v>3297.9759621389999</v>
      </c>
      <c r="H11" s="283">
        <v>50.277777069000003</v>
      </c>
      <c r="I11" s="290">
        <v>4954025</v>
      </c>
      <c r="J11" s="290">
        <v>113994</v>
      </c>
      <c r="K11" s="283">
        <v>46874</v>
      </c>
      <c r="L11" s="283">
        <v>32357</v>
      </c>
      <c r="M11" s="271">
        <v>25039</v>
      </c>
      <c r="N11" s="271">
        <v>4034</v>
      </c>
      <c r="O11" s="271">
        <v>367</v>
      </c>
    </row>
    <row r="12" spans="1:15" s="265" customFormat="1" ht="18" customHeight="1" x14ac:dyDescent="0.2">
      <c r="A12" s="266" t="s">
        <v>162</v>
      </c>
      <c r="B12" s="290">
        <v>735417.74379924999</v>
      </c>
      <c r="C12" s="283">
        <v>15625.98363375</v>
      </c>
      <c r="D12" s="283">
        <v>15992.890299000001</v>
      </c>
      <c r="E12" s="283">
        <v>4962.0828339999998</v>
      </c>
      <c r="F12" s="283">
        <v>3104.9459237330002</v>
      </c>
      <c r="G12" s="283">
        <v>2397.7050626700002</v>
      </c>
      <c r="H12" s="283">
        <v>27.161641609</v>
      </c>
      <c r="I12" s="290">
        <v>3962595</v>
      </c>
      <c r="J12" s="283">
        <v>98443</v>
      </c>
      <c r="K12" s="283">
        <v>38857</v>
      </c>
      <c r="L12" s="283">
        <v>34164</v>
      </c>
      <c r="M12" s="271">
        <v>27433</v>
      </c>
      <c r="N12" s="271">
        <v>3649</v>
      </c>
      <c r="O12" s="271">
        <v>205</v>
      </c>
    </row>
    <row r="13" spans="1:15" s="265" customFormat="1" ht="18" customHeight="1" x14ac:dyDescent="0.2">
      <c r="A13" s="266" t="s">
        <v>163</v>
      </c>
      <c r="B13" s="290">
        <v>645879.39445400005</v>
      </c>
      <c r="C13" s="283">
        <v>11666.892054</v>
      </c>
      <c r="D13" s="283">
        <v>16958.367923000002</v>
      </c>
      <c r="E13" s="283">
        <v>3521.1616852500001</v>
      </c>
      <c r="F13" s="283">
        <v>1463.859419225</v>
      </c>
      <c r="G13" s="283">
        <v>2140.7140491159998</v>
      </c>
      <c r="H13" s="283">
        <v>29.898967068000001</v>
      </c>
      <c r="I13" s="290">
        <v>3513292</v>
      </c>
      <c r="J13" s="283">
        <v>73612</v>
      </c>
      <c r="K13" s="283">
        <v>35961</v>
      </c>
      <c r="L13" s="283">
        <v>25794</v>
      </c>
      <c r="M13" s="271">
        <v>28894</v>
      </c>
      <c r="N13" s="271">
        <v>4643</v>
      </c>
      <c r="O13" s="271">
        <v>279</v>
      </c>
    </row>
    <row r="14" spans="1:15" s="265" customFormat="1" ht="18" customHeight="1" x14ac:dyDescent="0.2">
      <c r="A14" s="266" t="s">
        <v>164</v>
      </c>
      <c r="B14" s="290">
        <v>708035.38184475002</v>
      </c>
      <c r="C14" s="283">
        <v>11525.2604775</v>
      </c>
      <c r="D14" s="283">
        <v>15287.874512</v>
      </c>
      <c r="E14" s="283">
        <v>4107.5236514999997</v>
      </c>
      <c r="F14" s="283">
        <v>1416.8349206079999</v>
      </c>
      <c r="G14" s="283">
        <v>1392.594420597</v>
      </c>
      <c r="H14" s="283">
        <v>38.488997339999997</v>
      </c>
      <c r="I14" s="290">
        <v>3602162</v>
      </c>
      <c r="J14" s="283">
        <v>57285</v>
      </c>
      <c r="K14" s="283">
        <v>27736</v>
      </c>
      <c r="L14" s="283">
        <v>30879</v>
      </c>
      <c r="M14" s="271">
        <v>28086</v>
      </c>
      <c r="N14" s="271">
        <v>3166</v>
      </c>
      <c r="O14" s="271">
        <v>752</v>
      </c>
    </row>
    <row r="15" spans="1:15" s="265" customFormat="1" ht="18" customHeight="1" x14ac:dyDescent="0.2">
      <c r="A15" s="266" t="s">
        <v>165</v>
      </c>
      <c r="B15" s="290">
        <v>703691.18967624998</v>
      </c>
      <c r="C15" s="283">
        <v>14038.62786325</v>
      </c>
      <c r="D15" s="283">
        <v>21351.362720500001</v>
      </c>
      <c r="E15" s="283">
        <v>6912.2316394999998</v>
      </c>
      <c r="F15" s="283">
        <v>1481.3517704010001</v>
      </c>
      <c r="G15" s="283">
        <v>1949.000506092</v>
      </c>
      <c r="H15" s="283">
        <v>58.826698935000003</v>
      </c>
      <c r="I15" s="290">
        <v>3588739</v>
      </c>
      <c r="J15" s="283">
        <v>86410</v>
      </c>
      <c r="K15" s="283">
        <v>59962</v>
      </c>
      <c r="L15" s="283">
        <v>53047</v>
      </c>
      <c r="M15" s="271">
        <v>31097</v>
      </c>
      <c r="N15" s="271">
        <v>4485</v>
      </c>
      <c r="O15" s="271">
        <v>664</v>
      </c>
    </row>
    <row r="16" spans="1:15" s="265" customFormat="1" ht="18" customHeight="1" x14ac:dyDescent="0.2">
      <c r="A16" s="266" t="s">
        <v>166</v>
      </c>
      <c r="B16" s="290">
        <v>643593.70770000003</v>
      </c>
      <c r="C16" s="283">
        <v>10208.6952</v>
      </c>
      <c r="D16" s="283">
        <v>19552.514520000001</v>
      </c>
      <c r="E16" s="283">
        <v>4223.4136390000003</v>
      </c>
      <c r="F16" s="283">
        <v>1027.2845159999999</v>
      </c>
      <c r="G16" s="283">
        <v>1721.880146</v>
      </c>
      <c r="H16" s="283">
        <v>26.993582549999999</v>
      </c>
      <c r="I16" s="290">
        <v>4220790</v>
      </c>
      <c r="J16" s="283">
        <v>63485</v>
      </c>
      <c r="K16" s="283">
        <v>85230</v>
      </c>
      <c r="L16" s="283">
        <v>36283</v>
      </c>
      <c r="M16" s="271">
        <v>31233</v>
      </c>
      <c r="N16" s="271">
        <v>3826</v>
      </c>
      <c r="O16" s="271">
        <v>225</v>
      </c>
    </row>
    <row r="17" spans="1:15" s="265" customFormat="1" ht="18" customHeight="1" x14ac:dyDescent="0.2">
      <c r="A17" s="266" t="s">
        <v>167</v>
      </c>
      <c r="B17" s="290">
        <v>776186.59349999996</v>
      </c>
      <c r="C17" s="283">
        <v>10486.105519999999</v>
      </c>
      <c r="D17" s="283">
        <v>21602.744620000001</v>
      </c>
      <c r="E17" s="283">
        <v>3940.25956</v>
      </c>
      <c r="F17" s="283">
        <v>1135.1005580000001</v>
      </c>
      <c r="G17" s="283">
        <v>1977.8289239999999</v>
      </c>
      <c r="H17" s="283">
        <v>7.0568461559999998</v>
      </c>
      <c r="I17" s="290">
        <v>4059718</v>
      </c>
      <c r="J17" s="283">
        <v>50501</v>
      </c>
      <c r="K17" s="283">
        <v>37698</v>
      </c>
      <c r="L17" s="283">
        <v>21801</v>
      </c>
      <c r="M17" s="271">
        <v>33796</v>
      </c>
      <c r="N17" s="271">
        <v>1978</v>
      </c>
      <c r="O17" s="271">
        <v>74</v>
      </c>
    </row>
    <row r="18" spans="1:15" s="265" customFormat="1" ht="14.25" customHeight="1" x14ac:dyDescent="0.2">
      <c r="A18" s="353" t="s">
        <v>593</v>
      </c>
      <c r="B18" s="353"/>
      <c r="C18" s="353"/>
      <c r="D18" s="353"/>
      <c r="E18" s="353"/>
      <c r="F18" s="353"/>
      <c r="G18" s="353"/>
      <c r="H18" s="353"/>
      <c r="I18" s="353"/>
    </row>
    <row r="19" spans="1:15" s="265" customFormat="1" ht="13.5" customHeight="1" x14ac:dyDescent="0.2">
      <c r="A19" s="353" t="s">
        <v>594</v>
      </c>
      <c r="B19" s="353"/>
      <c r="C19" s="353"/>
      <c r="D19" s="353"/>
      <c r="E19" s="353"/>
      <c r="F19" s="353"/>
      <c r="G19" s="353"/>
      <c r="H19" s="353"/>
      <c r="I19" s="353"/>
    </row>
    <row r="20" spans="1:15" s="265" customFormat="1" ht="13.5" customHeight="1" x14ac:dyDescent="0.2">
      <c r="A20" s="353" t="s">
        <v>106</v>
      </c>
      <c r="B20" s="353"/>
      <c r="C20" s="353"/>
      <c r="D20" s="353"/>
      <c r="E20" s="353"/>
      <c r="F20" s="353"/>
      <c r="G20" s="353"/>
      <c r="H20" s="353"/>
      <c r="I20" s="353"/>
    </row>
    <row r="21" spans="1:15" s="265" customFormat="1" ht="13.5" customHeight="1" x14ac:dyDescent="0.2">
      <c r="A21" s="353" t="s">
        <v>450</v>
      </c>
      <c r="B21" s="353"/>
      <c r="C21" s="353"/>
      <c r="D21" s="353"/>
      <c r="E21" s="353"/>
      <c r="F21" s="353"/>
      <c r="G21" s="353"/>
      <c r="H21" s="353"/>
      <c r="I21" s="353"/>
    </row>
    <row r="22" spans="1:15" s="265" customFormat="1" ht="24.6" customHeight="1" x14ac:dyDescent="0.2"/>
  </sheetData>
  <mergeCells count="8">
    <mergeCell ref="A20:I20"/>
    <mergeCell ref="A21:I21"/>
    <mergeCell ref="A1:G1"/>
    <mergeCell ref="A2:A3"/>
    <mergeCell ref="B2:H2"/>
    <mergeCell ref="I2:O2"/>
    <mergeCell ref="A18:I18"/>
    <mergeCell ref="A19:I19"/>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I22"/>
  <sheetViews>
    <sheetView workbookViewId="0">
      <selection sqref="A1:G1"/>
    </sheetView>
  </sheetViews>
  <sheetFormatPr defaultRowHeight="12.75" x14ac:dyDescent="0.2"/>
  <cols>
    <col min="1" max="9" width="14.7109375" style="262" bestFit="1" customWidth="1"/>
    <col min="10" max="10" width="5" style="262" bestFit="1" customWidth="1"/>
    <col min="11" max="256" width="9.140625" style="262"/>
    <col min="257" max="265" width="14.7109375" style="262" bestFit="1" customWidth="1"/>
    <col min="266" max="266" width="5" style="262" bestFit="1" customWidth="1"/>
    <col min="267" max="512" width="9.140625" style="262"/>
    <col min="513" max="521" width="14.7109375" style="262" bestFit="1" customWidth="1"/>
    <col min="522" max="522" width="5" style="262" bestFit="1" customWidth="1"/>
    <col min="523" max="768" width="9.140625" style="262"/>
    <col min="769" max="777" width="14.7109375" style="262" bestFit="1" customWidth="1"/>
    <col min="778" max="778" width="5" style="262" bestFit="1" customWidth="1"/>
    <col min="779" max="1024" width="9.140625" style="262"/>
    <col min="1025" max="1033" width="14.7109375" style="262" bestFit="1" customWidth="1"/>
    <col min="1034" max="1034" width="5" style="262" bestFit="1" customWidth="1"/>
    <col min="1035" max="1280" width="9.140625" style="262"/>
    <col min="1281" max="1289" width="14.7109375" style="262" bestFit="1" customWidth="1"/>
    <col min="1290" max="1290" width="5" style="262" bestFit="1" customWidth="1"/>
    <col min="1291" max="1536" width="9.140625" style="262"/>
    <col min="1537" max="1545" width="14.7109375" style="262" bestFit="1" customWidth="1"/>
    <col min="1546" max="1546" width="5" style="262" bestFit="1" customWidth="1"/>
    <col min="1547" max="1792" width="9.140625" style="262"/>
    <col min="1793" max="1801" width="14.7109375" style="262" bestFit="1" customWidth="1"/>
    <col min="1802" max="1802" width="5" style="262" bestFit="1" customWidth="1"/>
    <col min="1803" max="2048" width="9.140625" style="262"/>
    <col min="2049" max="2057" width="14.7109375" style="262" bestFit="1" customWidth="1"/>
    <col min="2058" max="2058" width="5" style="262" bestFit="1" customWidth="1"/>
    <col min="2059" max="2304" width="9.140625" style="262"/>
    <col min="2305" max="2313" width="14.7109375" style="262" bestFit="1" customWidth="1"/>
    <col min="2314" max="2314" width="5" style="262" bestFit="1" customWidth="1"/>
    <col min="2315" max="2560" width="9.140625" style="262"/>
    <col min="2561" max="2569" width="14.7109375" style="262" bestFit="1" customWidth="1"/>
    <col min="2570" max="2570" width="5" style="262" bestFit="1" customWidth="1"/>
    <col min="2571" max="2816" width="9.140625" style="262"/>
    <col min="2817" max="2825" width="14.7109375" style="262" bestFit="1" customWidth="1"/>
    <col min="2826" max="2826" width="5" style="262" bestFit="1" customWidth="1"/>
    <col min="2827" max="3072" width="9.140625" style="262"/>
    <col min="3073" max="3081" width="14.7109375" style="262" bestFit="1" customWidth="1"/>
    <col min="3082" max="3082" width="5" style="262" bestFit="1" customWidth="1"/>
    <col min="3083" max="3328" width="9.140625" style="262"/>
    <col min="3329" max="3337" width="14.7109375" style="262" bestFit="1" customWidth="1"/>
    <col min="3338" max="3338" width="5" style="262" bestFit="1" customWidth="1"/>
    <col min="3339" max="3584" width="9.140625" style="262"/>
    <col min="3585" max="3593" width="14.7109375" style="262" bestFit="1" customWidth="1"/>
    <col min="3594" max="3594" width="5" style="262" bestFit="1" customWidth="1"/>
    <col min="3595" max="3840" width="9.140625" style="262"/>
    <col min="3841" max="3849" width="14.7109375" style="262" bestFit="1" customWidth="1"/>
    <col min="3850" max="3850" width="5" style="262" bestFit="1" customWidth="1"/>
    <col min="3851" max="4096" width="9.140625" style="262"/>
    <col min="4097" max="4105" width="14.7109375" style="262" bestFit="1" customWidth="1"/>
    <col min="4106" max="4106" width="5" style="262" bestFit="1" customWidth="1"/>
    <col min="4107" max="4352" width="9.140625" style="262"/>
    <col min="4353" max="4361" width="14.7109375" style="262" bestFit="1" customWidth="1"/>
    <col min="4362" max="4362" width="5" style="262" bestFit="1" customWidth="1"/>
    <col min="4363" max="4608" width="9.140625" style="262"/>
    <col min="4609" max="4617" width="14.7109375" style="262" bestFit="1" customWidth="1"/>
    <col min="4618" max="4618" width="5" style="262" bestFit="1" customWidth="1"/>
    <col min="4619" max="4864" width="9.140625" style="262"/>
    <col min="4865" max="4873" width="14.7109375" style="262" bestFit="1" customWidth="1"/>
    <col min="4874" max="4874" width="5" style="262" bestFit="1" customWidth="1"/>
    <col min="4875" max="5120" width="9.140625" style="262"/>
    <col min="5121" max="5129" width="14.7109375" style="262" bestFit="1" customWidth="1"/>
    <col min="5130" max="5130" width="5" style="262" bestFit="1" customWidth="1"/>
    <col min="5131" max="5376" width="9.140625" style="262"/>
    <col min="5377" max="5385" width="14.7109375" style="262" bestFit="1" customWidth="1"/>
    <col min="5386" max="5386" width="5" style="262" bestFit="1" customWidth="1"/>
    <col min="5387" max="5632" width="9.140625" style="262"/>
    <col min="5633" max="5641" width="14.7109375" style="262" bestFit="1" customWidth="1"/>
    <col min="5642" max="5642" width="5" style="262" bestFit="1" customWidth="1"/>
    <col min="5643" max="5888" width="9.140625" style="262"/>
    <col min="5889" max="5897" width="14.7109375" style="262" bestFit="1" customWidth="1"/>
    <col min="5898" max="5898" width="5" style="262" bestFit="1" customWidth="1"/>
    <col min="5899" max="6144" width="9.140625" style="262"/>
    <col min="6145" max="6153" width="14.7109375" style="262" bestFit="1" customWidth="1"/>
    <col min="6154" max="6154" width="5" style="262" bestFit="1" customWidth="1"/>
    <col min="6155" max="6400" width="9.140625" style="262"/>
    <col min="6401" max="6409" width="14.7109375" style="262" bestFit="1" customWidth="1"/>
    <col min="6410" max="6410" width="5" style="262" bestFit="1" customWidth="1"/>
    <col min="6411" max="6656" width="9.140625" style="262"/>
    <col min="6657" max="6665" width="14.7109375" style="262" bestFit="1" customWidth="1"/>
    <col min="6666" max="6666" width="5" style="262" bestFit="1" customWidth="1"/>
    <col min="6667" max="6912" width="9.140625" style="262"/>
    <col min="6913" max="6921" width="14.7109375" style="262" bestFit="1" customWidth="1"/>
    <col min="6922" max="6922" width="5" style="262" bestFit="1" customWidth="1"/>
    <col min="6923" max="7168" width="9.140625" style="262"/>
    <col min="7169" max="7177" width="14.7109375" style="262" bestFit="1" customWidth="1"/>
    <col min="7178" max="7178" width="5" style="262" bestFit="1" customWidth="1"/>
    <col min="7179" max="7424" width="9.140625" style="262"/>
    <col min="7425" max="7433" width="14.7109375" style="262" bestFit="1" customWidth="1"/>
    <col min="7434" max="7434" width="5" style="262" bestFit="1" customWidth="1"/>
    <col min="7435" max="7680" width="9.140625" style="262"/>
    <col min="7681" max="7689" width="14.7109375" style="262" bestFit="1" customWidth="1"/>
    <col min="7690" max="7690" width="5" style="262" bestFit="1" customWidth="1"/>
    <col min="7691" max="7936" width="9.140625" style="262"/>
    <col min="7937" max="7945" width="14.7109375" style="262" bestFit="1" customWidth="1"/>
    <col min="7946" max="7946" width="5" style="262" bestFit="1" customWidth="1"/>
    <col min="7947" max="8192" width="9.140625" style="262"/>
    <col min="8193" max="8201" width="14.7109375" style="262" bestFit="1" customWidth="1"/>
    <col min="8202" max="8202" width="5" style="262" bestFit="1" customWidth="1"/>
    <col min="8203" max="8448" width="9.140625" style="262"/>
    <col min="8449" max="8457" width="14.7109375" style="262" bestFit="1" customWidth="1"/>
    <col min="8458" max="8458" width="5" style="262" bestFit="1" customWidth="1"/>
    <col min="8459" max="8704" width="9.140625" style="262"/>
    <col min="8705" max="8713" width="14.7109375" style="262" bestFit="1" customWidth="1"/>
    <col min="8714" max="8714" width="5" style="262" bestFit="1" customWidth="1"/>
    <col min="8715" max="8960" width="9.140625" style="262"/>
    <col min="8961" max="8969" width="14.7109375" style="262" bestFit="1" customWidth="1"/>
    <col min="8970" max="8970" width="5" style="262" bestFit="1" customWidth="1"/>
    <col min="8971" max="9216" width="9.140625" style="262"/>
    <col min="9217" max="9225" width="14.7109375" style="262" bestFit="1" customWidth="1"/>
    <col min="9226" max="9226" width="5" style="262" bestFit="1" customWidth="1"/>
    <col min="9227" max="9472" width="9.140625" style="262"/>
    <col min="9473" max="9481" width="14.7109375" style="262" bestFit="1" customWidth="1"/>
    <col min="9482" max="9482" width="5" style="262" bestFit="1" customWidth="1"/>
    <col min="9483" max="9728" width="9.140625" style="262"/>
    <col min="9729" max="9737" width="14.7109375" style="262" bestFit="1" customWidth="1"/>
    <col min="9738" max="9738" width="5" style="262" bestFit="1" customWidth="1"/>
    <col min="9739" max="9984" width="9.140625" style="262"/>
    <col min="9985" max="9993" width="14.7109375" style="262" bestFit="1" customWidth="1"/>
    <col min="9994" max="9994" width="5" style="262" bestFit="1" customWidth="1"/>
    <col min="9995" max="10240" width="9.140625" style="262"/>
    <col min="10241" max="10249" width="14.7109375" style="262" bestFit="1" customWidth="1"/>
    <col min="10250" max="10250" width="5" style="262" bestFit="1" customWidth="1"/>
    <col min="10251" max="10496" width="9.140625" style="262"/>
    <col min="10497" max="10505" width="14.7109375" style="262" bestFit="1" customWidth="1"/>
    <col min="10506" max="10506" width="5" style="262" bestFit="1" customWidth="1"/>
    <col min="10507" max="10752" width="9.140625" style="262"/>
    <col min="10753" max="10761" width="14.7109375" style="262" bestFit="1" customWidth="1"/>
    <col min="10762" max="10762" width="5" style="262" bestFit="1" customWidth="1"/>
    <col min="10763" max="11008" width="9.140625" style="262"/>
    <col min="11009" max="11017" width="14.7109375" style="262" bestFit="1" customWidth="1"/>
    <col min="11018" max="11018" width="5" style="262" bestFit="1" customWidth="1"/>
    <col min="11019" max="11264" width="9.140625" style="262"/>
    <col min="11265" max="11273" width="14.7109375" style="262" bestFit="1" customWidth="1"/>
    <col min="11274" max="11274" width="5" style="262" bestFit="1" customWidth="1"/>
    <col min="11275" max="11520" width="9.140625" style="262"/>
    <col min="11521" max="11529" width="14.7109375" style="262" bestFit="1" customWidth="1"/>
    <col min="11530" max="11530" width="5" style="262" bestFit="1" customWidth="1"/>
    <col min="11531" max="11776" width="9.140625" style="262"/>
    <col min="11777" max="11785" width="14.7109375" style="262" bestFit="1" customWidth="1"/>
    <col min="11786" max="11786" width="5" style="262" bestFit="1" customWidth="1"/>
    <col min="11787" max="12032" width="9.140625" style="262"/>
    <col min="12033" max="12041" width="14.7109375" style="262" bestFit="1" customWidth="1"/>
    <col min="12042" max="12042" width="5" style="262" bestFit="1" customWidth="1"/>
    <col min="12043" max="12288" width="9.140625" style="262"/>
    <col min="12289" max="12297" width="14.7109375" style="262" bestFit="1" customWidth="1"/>
    <col min="12298" max="12298" width="5" style="262" bestFit="1" customWidth="1"/>
    <col min="12299" max="12544" width="9.140625" style="262"/>
    <col min="12545" max="12553" width="14.7109375" style="262" bestFit="1" customWidth="1"/>
    <col min="12554" max="12554" width="5" style="262" bestFit="1" customWidth="1"/>
    <col min="12555" max="12800" width="9.140625" style="262"/>
    <col min="12801" max="12809" width="14.7109375" style="262" bestFit="1" customWidth="1"/>
    <col min="12810" max="12810" width="5" style="262" bestFit="1" customWidth="1"/>
    <col min="12811" max="13056" width="9.140625" style="262"/>
    <col min="13057" max="13065" width="14.7109375" style="262" bestFit="1" customWidth="1"/>
    <col min="13066" max="13066" width="5" style="262" bestFit="1" customWidth="1"/>
    <col min="13067" max="13312" width="9.140625" style="262"/>
    <col min="13313" max="13321" width="14.7109375" style="262" bestFit="1" customWidth="1"/>
    <col min="13322" max="13322" width="5" style="262" bestFit="1" customWidth="1"/>
    <col min="13323" max="13568" width="9.140625" style="262"/>
    <col min="13569" max="13577" width="14.7109375" style="262" bestFit="1" customWidth="1"/>
    <col min="13578" max="13578" width="5" style="262" bestFit="1" customWidth="1"/>
    <col min="13579" max="13824" width="9.140625" style="262"/>
    <col min="13825" max="13833" width="14.7109375" style="262" bestFit="1" customWidth="1"/>
    <col min="13834" max="13834" width="5" style="262" bestFit="1" customWidth="1"/>
    <col min="13835" max="14080" width="9.140625" style="262"/>
    <col min="14081" max="14089" width="14.7109375" style="262" bestFit="1" customWidth="1"/>
    <col min="14090" max="14090" width="5" style="262" bestFit="1" customWidth="1"/>
    <col min="14091" max="14336" width="9.140625" style="262"/>
    <col min="14337" max="14345" width="14.7109375" style="262" bestFit="1" customWidth="1"/>
    <col min="14346" max="14346" width="5" style="262" bestFit="1" customWidth="1"/>
    <col min="14347" max="14592" width="9.140625" style="262"/>
    <col min="14593" max="14601" width="14.7109375" style="262" bestFit="1" customWidth="1"/>
    <col min="14602" max="14602" width="5" style="262" bestFit="1" customWidth="1"/>
    <col min="14603" max="14848" width="9.140625" style="262"/>
    <col min="14849" max="14857" width="14.7109375" style="262" bestFit="1" customWidth="1"/>
    <col min="14858" max="14858" width="5" style="262" bestFit="1" customWidth="1"/>
    <col min="14859" max="15104" width="9.140625" style="262"/>
    <col min="15105" max="15113" width="14.7109375" style="262" bestFit="1" customWidth="1"/>
    <col min="15114" max="15114" width="5" style="262" bestFit="1" customWidth="1"/>
    <col min="15115" max="15360" width="9.140625" style="262"/>
    <col min="15361" max="15369" width="14.7109375" style="262" bestFit="1" customWidth="1"/>
    <col min="15370" max="15370" width="5" style="262" bestFit="1" customWidth="1"/>
    <col min="15371" max="15616" width="9.140625" style="262"/>
    <col min="15617" max="15625" width="14.7109375" style="262" bestFit="1" customWidth="1"/>
    <col min="15626" max="15626" width="5" style="262" bestFit="1" customWidth="1"/>
    <col min="15627" max="15872" width="9.140625" style="262"/>
    <col min="15873" max="15881" width="14.7109375" style="262" bestFit="1" customWidth="1"/>
    <col min="15882" max="15882" width="5" style="262" bestFit="1" customWidth="1"/>
    <col min="15883" max="16128" width="9.140625" style="262"/>
    <col min="16129" max="16137" width="14.7109375" style="262" bestFit="1" customWidth="1"/>
    <col min="16138" max="16138" width="5" style="262" bestFit="1" customWidth="1"/>
    <col min="16139" max="16384" width="9.140625" style="262"/>
  </cols>
  <sheetData>
    <row r="1" spans="1:9" ht="18.75" customHeight="1" x14ac:dyDescent="0.2">
      <c r="A1" s="385" t="s">
        <v>595</v>
      </c>
      <c r="B1" s="385"/>
      <c r="C1" s="385"/>
      <c r="D1" s="385"/>
      <c r="E1" s="385"/>
      <c r="F1" s="385"/>
      <c r="G1" s="385"/>
    </row>
    <row r="2" spans="1:9" s="265" customFormat="1" ht="27" customHeight="1" x14ac:dyDescent="0.2">
      <c r="A2" s="363" t="s">
        <v>250</v>
      </c>
      <c r="B2" s="452" t="s">
        <v>288</v>
      </c>
      <c r="C2" s="453"/>
      <c r="D2" s="453"/>
      <c r="E2" s="454"/>
      <c r="F2" s="455" t="s">
        <v>596</v>
      </c>
      <c r="G2" s="456"/>
      <c r="H2" s="456"/>
      <c r="I2" s="457"/>
    </row>
    <row r="3" spans="1:9" s="265" customFormat="1" ht="18" customHeight="1" x14ac:dyDescent="0.2">
      <c r="A3" s="365"/>
      <c r="B3" s="299" t="s">
        <v>580</v>
      </c>
      <c r="C3" s="299" t="s">
        <v>581</v>
      </c>
      <c r="D3" s="299" t="s">
        <v>582</v>
      </c>
      <c r="E3" s="299" t="s">
        <v>583</v>
      </c>
      <c r="F3" s="299" t="s">
        <v>580</v>
      </c>
      <c r="G3" s="299" t="s">
        <v>581</v>
      </c>
      <c r="H3" s="299" t="s">
        <v>582</v>
      </c>
      <c r="I3" s="299" t="s">
        <v>583</v>
      </c>
    </row>
    <row r="4" spans="1:9" s="265" customFormat="1" ht="18" customHeight="1" x14ac:dyDescent="0.2">
      <c r="A4" s="266" t="s">
        <v>69</v>
      </c>
      <c r="B4" s="290">
        <v>113894.65919999999</v>
      </c>
      <c r="C4" s="283">
        <v>709.25929974999997</v>
      </c>
      <c r="D4" s="283">
        <v>942.47781725000004</v>
      </c>
      <c r="E4" s="283">
        <v>186.38497475</v>
      </c>
      <c r="F4" s="283">
        <v>93395</v>
      </c>
      <c r="G4" s="283">
        <v>1292</v>
      </c>
      <c r="H4" s="283">
        <v>906</v>
      </c>
      <c r="I4" s="283">
        <v>44</v>
      </c>
    </row>
    <row r="5" spans="1:9" s="265" customFormat="1" ht="18" customHeight="1" x14ac:dyDescent="0.2">
      <c r="A5" s="266" t="s">
        <v>70</v>
      </c>
      <c r="B5" s="283">
        <v>45388.394359999998</v>
      </c>
      <c r="C5" s="283">
        <v>682.56191230000002</v>
      </c>
      <c r="D5" s="283">
        <v>1144.123063</v>
      </c>
      <c r="E5" s="283">
        <v>21.812767000000001</v>
      </c>
      <c r="F5" s="283">
        <v>18649</v>
      </c>
      <c r="G5" s="283">
        <v>53</v>
      </c>
      <c r="H5" s="283">
        <v>7</v>
      </c>
      <c r="I5" s="283">
        <v>6</v>
      </c>
    </row>
    <row r="6" spans="1:9" s="265" customFormat="1" ht="18" customHeight="1" x14ac:dyDescent="0.2">
      <c r="A6" s="266" t="s">
        <v>156</v>
      </c>
      <c r="B6" s="283">
        <v>6474.7276442499997</v>
      </c>
      <c r="C6" s="283">
        <v>30.44703775</v>
      </c>
      <c r="D6" s="283">
        <v>63.302846250000002</v>
      </c>
      <c r="E6" s="283">
        <v>2.4825932499999999</v>
      </c>
      <c r="F6" s="283">
        <v>81339</v>
      </c>
      <c r="G6" s="283">
        <v>666</v>
      </c>
      <c r="H6" s="283">
        <v>869</v>
      </c>
      <c r="I6" s="283">
        <v>53</v>
      </c>
    </row>
    <row r="7" spans="1:9" s="265" customFormat="1" ht="18" customHeight="1" x14ac:dyDescent="0.2">
      <c r="A7" s="266" t="s">
        <v>157</v>
      </c>
      <c r="B7" s="283">
        <v>7131.3881149999997</v>
      </c>
      <c r="C7" s="283">
        <v>58.711927250000002</v>
      </c>
      <c r="D7" s="283">
        <v>44.624410500000003</v>
      </c>
      <c r="E7" s="283">
        <v>2.268332</v>
      </c>
      <c r="F7" s="283">
        <v>49725</v>
      </c>
      <c r="G7" s="283">
        <v>309</v>
      </c>
      <c r="H7" s="283">
        <v>716</v>
      </c>
      <c r="I7" s="283">
        <v>49</v>
      </c>
    </row>
    <row r="8" spans="1:9" s="265" customFormat="1" ht="18" customHeight="1" x14ac:dyDescent="0.2">
      <c r="A8" s="266" t="s">
        <v>158</v>
      </c>
      <c r="B8" s="283">
        <v>5023.193209</v>
      </c>
      <c r="C8" s="283">
        <v>96.384553499999996</v>
      </c>
      <c r="D8" s="283">
        <v>132.78991629999999</v>
      </c>
      <c r="E8" s="283">
        <v>4.7971367499999999</v>
      </c>
      <c r="F8" s="283">
        <v>35087</v>
      </c>
      <c r="G8" s="283">
        <v>164</v>
      </c>
      <c r="H8" s="283">
        <v>642</v>
      </c>
      <c r="I8" s="283">
        <v>30</v>
      </c>
    </row>
    <row r="9" spans="1:9" s="265" customFormat="1" ht="18" customHeight="1" x14ac:dyDescent="0.2">
      <c r="A9" s="266" t="s">
        <v>159</v>
      </c>
      <c r="B9" s="283">
        <v>8204.5265629999994</v>
      </c>
      <c r="C9" s="283">
        <v>68.979590000000002</v>
      </c>
      <c r="D9" s="283">
        <v>119.30727</v>
      </c>
      <c r="E9" s="283">
        <v>1.4601122499999999</v>
      </c>
      <c r="F9" s="283">
        <v>30990</v>
      </c>
      <c r="G9" s="283">
        <v>196</v>
      </c>
      <c r="H9" s="283">
        <v>666</v>
      </c>
      <c r="I9" s="283">
        <v>19</v>
      </c>
    </row>
    <row r="10" spans="1:9" s="265" customFormat="1" ht="18" customHeight="1" x14ac:dyDescent="0.2">
      <c r="A10" s="266" t="s">
        <v>160</v>
      </c>
      <c r="B10" s="283">
        <v>3611.54</v>
      </c>
      <c r="C10" s="283">
        <v>58.7</v>
      </c>
      <c r="D10" s="283">
        <v>95.17</v>
      </c>
      <c r="E10" s="283">
        <v>1.37</v>
      </c>
      <c r="F10" s="283">
        <v>35992</v>
      </c>
      <c r="G10" s="283">
        <v>420</v>
      </c>
      <c r="H10" s="283">
        <v>207</v>
      </c>
      <c r="I10" s="283">
        <v>25</v>
      </c>
    </row>
    <row r="11" spans="1:9" s="265" customFormat="1" ht="18" customHeight="1" x14ac:dyDescent="0.2">
      <c r="A11" s="266" t="s">
        <v>161</v>
      </c>
      <c r="B11" s="283">
        <v>3875.51629125</v>
      </c>
      <c r="C11" s="283">
        <v>58.985829250000002</v>
      </c>
      <c r="D11" s="283">
        <v>55.511549000000002</v>
      </c>
      <c r="E11" s="283">
        <v>1.3488975000000001</v>
      </c>
      <c r="F11" s="283">
        <v>16479</v>
      </c>
      <c r="G11" s="283">
        <v>262</v>
      </c>
      <c r="H11" s="283">
        <v>274</v>
      </c>
      <c r="I11" s="283">
        <v>8</v>
      </c>
    </row>
    <row r="12" spans="1:9" s="265" customFormat="1" ht="18" customHeight="1" x14ac:dyDescent="0.2">
      <c r="A12" s="266" t="s">
        <v>162</v>
      </c>
      <c r="B12" s="283">
        <v>2751.6784229999998</v>
      </c>
      <c r="C12" s="283">
        <v>38.819264750000002</v>
      </c>
      <c r="D12" s="283">
        <v>108.25012150000001</v>
      </c>
      <c r="E12" s="283">
        <v>1.6449015</v>
      </c>
      <c r="F12" s="283">
        <v>16232</v>
      </c>
      <c r="G12" s="283">
        <v>123</v>
      </c>
      <c r="H12" s="283">
        <v>1117</v>
      </c>
      <c r="I12" s="283">
        <v>4</v>
      </c>
    </row>
    <row r="13" spans="1:9" s="265" customFormat="1" ht="18" customHeight="1" x14ac:dyDescent="0.2">
      <c r="A13" s="266" t="s">
        <v>163</v>
      </c>
      <c r="B13" s="283">
        <v>1924.4182197499999</v>
      </c>
      <c r="C13" s="283">
        <v>32.599251000000002</v>
      </c>
      <c r="D13" s="283">
        <v>92.644182999999998</v>
      </c>
      <c r="E13" s="283">
        <v>1.1134839999999999</v>
      </c>
      <c r="F13" s="283">
        <v>11648</v>
      </c>
      <c r="G13" s="283">
        <v>61</v>
      </c>
      <c r="H13" s="283">
        <v>182</v>
      </c>
      <c r="I13" s="283">
        <v>15</v>
      </c>
    </row>
    <row r="14" spans="1:9" s="265" customFormat="1" ht="18" customHeight="1" x14ac:dyDescent="0.2">
      <c r="A14" s="266" t="s">
        <v>164</v>
      </c>
      <c r="B14" s="283">
        <v>1175.2570270000001</v>
      </c>
      <c r="C14" s="283">
        <v>44.353554750000001</v>
      </c>
      <c r="D14" s="283">
        <v>68.599884750000001</v>
      </c>
      <c r="E14" s="283">
        <v>1.0303450000000001</v>
      </c>
      <c r="F14" s="283">
        <v>13142</v>
      </c>
      <c r="G14" s="283">
        <v>306</v>
      </c>
      <c r="H14" s="283">
        <v>500</v>
      </c>
      <c r="I14" s="283">
        <v>22</v>
      </c>
    </row>
    <row r="15" spans="1:9" s="265" customFormat="1" ht="18" customHeight="1" x14ac:dyDescent="0.2">
      <c r="A15" s="266" t="s">
        <v>165</v>
      </c>
      <c r="B15" s="283">
        <v>1478.7378247500001</v>
      </c>
      <c r="C15" s="283">
        <v>17.332912</v>
      </c>
      <c r="D15" s="283">
        <v>58.909115749999998</v>
      </c>
      <c r="E15" s="283">
        <v>1.8618444999999999</v>
      </c>
      <c r="F15" s="283">
        <v>12304</v>
      </c>
      <c r="G15" s="283">
        <v>85</v>
      </c>
      <c r="H15" s="283">
        <v>1100</v>
      </c>
      <c r="I15" s="283">
        <v>57</v>
      </c>
    </row>
    <row r="16" spans="1:9" s="265" customFormat="1" ht="18" customHeight="1" x14ac:dyDescent="0.2">
      <c r="A16" s="266" t="s">
        <v>166</v>
      </c>
      <c r="B16" s="283">
        <v>1383.7721972500001</v>
      </c>
      <c r="C16" s="283">
        <v>42.554454</v>
      </c>
      <c r="D16" s="283">
        <v>93.570769749999997</v>
      </c>
      <c r="E16" s="283">
        <v>1.41632925</v>
      </c>
      <c r="F16" s="283">
        <v>15098</v>
      </c>
      <c r="G16" s="283">
        <v>58</v>
      </c>
      <c r="H16" s="283">
        <v>1866</v>
      </c>
      <c r="I16" s="283">
        <v>16</v>
      </c>
    </row>
    <row r="17" spans="1:9" s="265" customFormat="1" ht="18" customHeight="1" x14ac:dyDescent="0.2">
      <c r="A17" s="266" t="s">
        <v>167</v>
      </c>
      <c r="B17" s="283">
        <v>2353.6422659999998</v>
      </c>
      <c r="C17" s="283">
        <v>134.6973648</v>
      </c>
      <c r="D17" s="283">
        <v>211.44497530000001</v>
      </c>
      <c r="E17" s="283">
        <v>1.01683675</v>
      </c>
      <c r="F17" s="283">
        <v>18649</v>
      </c>
      <c r="G17" s="283">
        <v>53</v>
      </c>
      <c r="H17" s="283">
        <v>7</v>
      </c>
      <c r="I17" s="283">
        <v>6</v>
      </c>
    </row>
    <row r="18" spans="1:9" s="265" customFormat="1" ht="14.25" customHeight="1" x14ac:dyDescent="0.2">
      <c r="A18" s="353" t="s">
        <v>106</v>
      </c>
      <c r="B18" s="353"/>
      <c r="C18" s="353"/>
      <c r="D18" s="353"/>
      <c r="E18" s="353"/>
      <c r="F18" s="353"/>
      <c r="G18" s="353"/>
      <c r="H18" s="353"/>
      <c r="I18" s="353"/>
    </row>
    <row r="19" spans="1:9" s="265" customFormat="1" ht="13.5" customHeight="1" x14ac:dyDescent="0.2">
      <c r="A19" s="353" t="s">
        <v>597</v>
      </c>
      <c r="B19" s="353"/>
      <c r="C19" s="353"/>
      <c r="D19" s="353"/>
      <c r="E19" s="353"/>
      <c r="F19" s="353"/>
      <c r="G19" s="353"/>
      <c r="H19" s="353"/>
      <c r="I19" s="353"/>
    </row>
    <row r="20" spans="1:9" s="265" customFormat="1" ht="13.5" customHeight="1" x14ac:dyDescent="0.2">
      <c r="A20" s="353" t="s">
        <v>598</v>
      </c>
      <c r="B20" s="353"/>
      <c r="C20" s="353"/>
      <c r="D20" s="353"/>
      <c r="E20" s="353"/>
      <c r="F20" s="353"/>
      <c r="G20" s="353"/>
      <c r="H20" s="353"/>
      <c r="I20" s="353"/>
    </row>
    <row r="21" spans="1:9" s="265" customFormat="1" ht="13.5" customHeight="1" x14ac:dyDescent="0.2">
      <c r="A21" s="353" t="s">
        <v>311</v>
      </c>
      <c r="B21" s="353"/>
      <c r="C21" s="353"/>
      <c r="D21" s="353"/>
      <c r="E21" s="353"/>
      <c r="F21" s="353"/>
      <c r="G21" s="353"/>
      <c r="H21" s="353"/>
      <c r="I21" s="353"/>
    </row>
    <row r="22" spans="1:9" s="265" customFormat="1" ht="24.6" customHeight="1" x14ac:dyDescent="0.2"/>
  </sheetData>
  <mergeCells count="8">
    <mergeCell ref="A20:I20"/>
    <mergeCell ref="A21:I21"/>
    <mergeCell ref="A1:G1"/>
    <mergeCell ref="A2:A3"/>
    <mergeCell ref="B2:E2"/>
    <mergeCell ref="F2:I2"/>
    <mergeCell ref="A18:I18"/>
    <mergeCell ref="A19:I19"/>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A1:J20"/>
  <sheetViews>
    <sheetView workbookViewId="0">
      <selection sqref="A1:J1"/>
    </sheetView>
  </sheetViews>
  <sheetFormatPr defaultRowHeight="12.75" x14ac:dyDescent="0.2"/>
  <cols>
    <col min="1" max="9" width="12.140625" style="262" bestFit="1" customWidth="1"/>
    <col min="10" max="10" width="22.42578125" style="262" bestFit="1" customWidth="1"/>
    <col min="11" max="11" width="4.7109375" style="262" bestFit="1" customWidth="1"/>
    <col min="12" max="256" width="9.140625" style="262"/>
    <col min="257" max="265" width="12.140625" style="262" bestFit="1" customWidth="1"/>
    <col min="266" max="266" width="22.42578125" style="262" bestFit="1" customWidth="1"/>
    <col min="267" max="267" width="4.7109375" style="262" bestFit="1" customWidth="1"/>
    <col min="268" max="512" width="9.140625" style="262"/>
    <col min="513" max="521" width="12.140625" style="262" bestFit="1" customWidth="1"/>
    <col min="522" max="522" width="22.42578125" style="262" bestFit="1" customWidth="1"/>
    <col min="523" max="523" width="4.7109375" style="262" bestFit="1" customWidth="1"/>
    <col min="524" max="768" width="9.140625" style="262"/>
    <col min="769" max="777" width="12.140625" style="262" bestFit="1" customWidth="1"/>
    <col min="778" max="778" width="22.42578125" style="262" bestFit="1" customWidth="1"/>
    <col min="779" max="779" width="4.7109375" style="262" bestFit="1" customWidth="1"/>
    <col min="780" max="1024" width="9.140625" style="262"/>
    <col min="1025" max="1033" width="12.140625" style="262" bestFit="1" customWidth="1"/>
    <col min="1034" max="1034" width="22.42578125" style="262" bestFit="1" customWidth="1"/>
    <col min="1035" max="1035" width="4.7109375" style="262" bestFit="1" customWidth="1"/>
    <col min="1036" max="1280" width="9.140625" style="262"/>
    <col min="1281" max="1289" width="12.140625" style="262" bestFit="1" customWidth="1"/>
    <col min="1290" max="1290" width="22.42578125" style="262" bestFit="1" customWidth="1"/>
    <col min="1291" max="1291" width="4.7109375" style="262" bestFit="1" customWidth="1"/>
    <col min="1292" max="1536" width="9.140625" style="262"/>
    <col min="1537" max="1545" width="12.140625" style="262" bestFit="1" customWidth="1"/>
    <col min="1546" max="1546" width="22.42578125" style="262" bestFit="1" customWidth="1"/>
    <col min="1547" max="1547" width="4.7109375" style="262" bestFit="1" customWidth="1"/>
    <col min="1548" max="1792" width="9.140625" style="262"/>
    <col min="1793" max="1801" width="12.140625" style="262" bestFit="1" customWidth="1"/>
    <col min="1802" max="1802" width="22.42578125" style="262" bestFit="1" customWidth="1"/>
    <col min="1803" max="1803" width="4.7109375" style="262" bestFit="1" customWidth="1"/>
    <col min="1804" max="2048" width="9.140625" style="262"/>
    <col min="2049" max="2057" width="12.140625" style="262" bestFit="1" customWidth="1"/>
    <col min="2058" max="2058" width="22.42578125" style="262" bestFit="1" customWidth="1"/>
    <col min="2059" max="2059" width="4.7109375" style="262" bestFit="1" customWidth="1"/>
    <col min="2060" max="2304" width="9.140625" style="262"/>
    <col min="2305" max="2313" width="12.140625" style="262" bestFit="1" customWidth="1"/>
    <col min="2314" max="2314" width="22.42578125" style="262" bestFit="1" customWidth="1"/>
    <col min="2315" max="2315" width="4.7109375" style="262" bestFit="1" customWidth="1"/>
    <col min="2316" max="2560" width="9.140625" style="262"/>
    <col min="2561" max="2569" width="12.140625" style="262" bestFit="1" customWidth="1"/>
    <col min="2570" max="2570" width="22.42578125" style="262" bestFit="1" customWidth="1"/>
    <col min="2571" max="2571" width="4.7109375" style="262" bestFit="1" customWidth="1"/>
    <col min="2572" max="2816" width="9.140625" style="262"/>
    <col min="2817" max="2825" width="12.140625" style="262" bestFit="1" customWidth="1"/>
    <col min="2826" max="2826" width="22.42578125" style="262" bestFit="1" customWidth="1"/>
    <col min="2827" max="2827" width="4.7109375" style="262" bestFit="1" customWidth="1"/>
    <col min="2828" max="3072" width="9.140625" style="262"/>
    <col min="3073" max="3081" width="12.140625" style="262" bestFit="1" customWidth="1"/>
    <col min="3082" max="3082" width="22.42578125" style="262" bestFit="1" customWidth="1"/>
    <col min="3083" max="3083" width="4.7109375" style="262" bestFit="1" customWidth="1"/>
    <col min="3084" max="3328" width="9.140625" style="262"/>
    <col min="3329" max="3337" width="12.140625" style="262" bestFit="1" customWidth="1"/>
    <col min="3338" max="3338" width="22.42578125" style="262" bestFit="1" customWidth="1"/>
    <col min="3339" max="3339" width="4.7109375" style="262" bestFit="1" customWidth="1"/>
    <col min="3340" max="3584" width="9.140625" style="262"/>
    <col min="3585" max="3593" width="12.140625" style="262" bestFit="1" customWidth="1"/>
    <col min="3594" max="3594" width="22.42578125" style="262" bestFit="1" customWidth="1"/>
    <col min="3595" max="3595" width="4.7109375" style="262" bestFit="1" customWidth="1"/>
    <col min="3596" max="3840" width="9.140625" style="262"/>
    <col min="3841" max="3849" width="12.140625" style="262" bestFit="1" customWidth="1"/>
    <col min="3850" max="3850" width="22.42578125" style="262" bestFit="1" customWidth="1"/>
    <col min="3851" max="3851" width="4.7109375" style="262" bestFit="1" customWidth="1"/>
    <col min="3852" max="4096" width="9.140625" style="262"/>
    <col min="4097" max="4105" width="12.140625" style="262" bestFit="1" customWidth="1"/>
    <col min="4106" max="4106" width="22.42578125" style="262" bestFit="1" customWidth="1"/>
    <col min="4107" max="4107" width="4.7109375" style="262" bestFit="1" customWidth="1"/>
    <col min="4108" max="4352" width="9.140625" style="262"/>
    <col min="4353" max="4361" width="12.140625" style="262" bestFit="1" customWidth="1"/>
    <col min="4362" max="4362" width="22.42578125" style="262" bestFit="1" customWidth="1"/>
    <col min="4363" max="4363" width="4.7109375" style="262" bestFit="1" customWidth="1"/>
    <col min="4364" max="4608" width="9.140625" style="262"/>
    <col min="4609" max="4617" width="12.140625" style="262" bestFit="1" customWidth="1"/>
    <col min="4618" max="4618" width="22.42578125" style="262" bestFit="1" customWidth="1"/>
    <col min="4619" max="4619" width="4.7109375" style="262" bestFit="1" customWidth="1"/>
    <col min="4620" max="4864" width="9.140625" style="262"/>
    <col min="4865" max="4873" width="12.140625" style="262" bestFit="1" customWidth="1"/>
    <col min="4874" max="4874" width="22.42578125" style="262" bestFit="1" customWidth="1"/>
    <col min="4875" max="4875" width="4.7109375" style="262" bestFit="1" customWidth="1"/>
    <col min="4876" max="5120" width="9.140625" style="262"/>
    <col min="5121" max="5129" width="12.140625" style="262" bestFit="1" customWidth="1"/>
    <col min="5130" max="5130" width="22.42578125" style="262" bestFit="1" customWidth="1"/>
    <col min="5131" max="5131" width="4.7109375" style="262" bestFit="1" customWidth="1"/>
    <col min="5132" max="5376" width="9.140625" style="262"/>
    <col min="5377" max="5385" width="12.140625" style="262" bestFit="1" customWidth="1"/>
    <col min="5386" max="5386" width="22.42578125" style="262" bestFit="1" customWidth="1"/>
    <col min="5387" max="5387" width="4.7109375" style="262" bestFit="1" customWidth="1"/>
    <col min="5388" max="5632" width="9.140625" style="262"/>
    <col min="5633" max="5641" width="12.140625" style="262" bestFit="1" customWidth="1"/>
    <col min="5642" max="5642" width="22.42578125" style="262" bestFit="1" customWidth="1"/>
    <col min="5643" max="5643" width="4.7109375" style="262" bestFit="1" customWidth="1"/>
    <col min="5644" max="5888" width="9.140625" style="262"/>
    <col min="5889" max="5897" width="12.140625" style="262" bestFit="1" customWidth="1"/>
    <col min="5898" max="5898" width="22.42578125" style="262" bestFit="1" customWidth="1"/>
    <col min="5899" max="5899" width="4.7109375" style="262" bestFit="1" customWidth="1"/>
    <col min="5900" max="6144" width="9.140625" style="262"/>
    <col min="6145" max="6153" width="12.140625" style="262" bestFit="1" customWidth="1"/>
    <col min="6154" max="6154" width="22.42578125" style="262" bestFit="1" customWidth="1"/>
    <col min="6155" max="6155" width="4.7109375" style="262" bestFit="1" customWidth="1"/>
    <col min="6156" max="6400" width="9.140625" style="262"/>
    <col min="6401" max="6409" width="12.140625" style="262" bestFit="1" customWidth="1"/>
    <col min="6410" max="6410" width="22.42578125" style="262" bestFit="1" customWidth="1"/>
    <col min="6411" max="6411" width="4.7109375" style="262" bestFit="1" customWidth="1"/>
    <col min="6412" max="6656" width="9.140625" style="262"/>
    <col min="6657" max="6665" width="12.140625" style="262" bestFit="1" customWidth="1"/>
    <col min="6666" max="6666" width="22.42578125" style="262" bestFit="1" customWidth="1"/>
    <col min="6667" max="6667" width="4.7109375" style="262" bestFit="1" customWidth="1"/>
    <col min="6668" max="6912" width="9.140625" style="262"/>
    <col min="6913" max="6921" width="12.140625" style="262" bestFit="1" customWidth="1"/>
    <col min="6922" max="6922" width="22.42578125" style="262" bestFit="1" customWidth="1"/>
    <col min="6923" max="6923" width="4.7109375" style="262" bestFit="1" customWidth="1"/>
    <col min="6924" max="7168" width="9.140625" style="262"/>
    <col min="7169" max="7177" width="12.140625" style="262" bestFit="1" customWidth="1"/>
    <col min="7178" max="7178" width="22.42578125" style="262" bestFit="1" customWidth="1"/>
    <col min="7179" max="7179" width="4.7109375" style="262" bestFit="1" customWidth="1"/>
    <col min="7180" max="7424" width="9.140625" style="262"/>
    <col min="7425" max="7433" width="12.140625" style="262" bestFit="1" customWidth="1"/>
    <col min="7434" max="7434" width="22.42578125" style="262" bestFit="1" customWidth="1"/>
    <col min="7435" max="7435" width="4.7109375" style="262" bestFit="1" customWidth="1"/>
    <col min="7436" max="7680" width="9.140625" style="262"/>
    <col min="7681" max="7689" width="12.140625" style="262" bestFit="1" customWidth="1"/>
    <col min="7690" max="7690" width="22.42578125" style="262" bestFit="1" customWidth="1"/>
    <col min="7691" max="7691" width="4.7109375" style="262" bestFit="1" customWidth="1"/>
    <col min="7692" max="7936" width="9.140625" style="262"/>
    <col min="7937" max="7945" width="12.140625" style="262" bestFit="1" customWidth="1"/>
    <col min="7946" max="7946" width="22.42578125" style="262" bestFit="1" customWidth="1"/>
    <col min="7947" max="7947" width="4.7109375" style="262" bestFit="1" customWidth="1"/>
    <col min="7948" max="8192" width="9.140625" style="262"/>
    <col min="8193" max="8201" width="12.140625" style="262" bestFit="1" customWidth="1"/>
    <col min="8202" max="8202" width="22.42578125" style="262" bestFit="1" customWidth="1"/>
    <col min="8203" max="8203" width="4.7109375" style="262" bestFit="1" customWidth="1"/>
    <col min="8204" max="8448" width="9.140625" style="262"/>
    <col min="8449" max="8457" width="12.140625" style="262" bestFit="1" customWidth="1"/>
    <col min="8458" max="8458" width="22.42578125" style="262" bestFit="1" customWidth="1"/>
    <col min="8459" max="8459" width="4.7109375" style="262" bestFit="1" customWidth="1"/>
    <col min="8460" max="8704" width="9.140625" style="262"/>
    <col min="8705" max="8713" width="12.140625" style="262" bestFit="1" customWidth="1"/>
    <col min="8714" max="8714" width="22.42578125" style="262" bestFit="1" customWidth="1"/>
    <col min="8715" max="8715" width="4.7109375" style="262" bestFit="1" customWidth="1"/>
    <col min="8716" max="8960" width="9.140625" style="262"/>
    <col min="8961" max="8969" width="12.140625" style="262" bestFit="1" customWidth="1"/>
    <col min="8970" max="8970" width="22.42578125" style="262" bestFit="1" customWidth="1"/>
    <col min="8971" max="8971" width="4.7109375" style="262" bestFit="1" customWidth="1"/>
    <col min="8972" max="9216" width="9.140625" style="262"/>
    <col min="9217" max="9225" width="12.140625" style="262" bestFit="1" customWidth="1"/>
    <col min="9226" max="9226" width="22.42578125" style="262" bestFit="1" customWidth="1"/>
    <col min="9227" max="9227" width="4.7109375" style="262" bestFit="1" customWidth="1"/>
    <col min="9228" max="9472" width="9.140625" style="262"/>
    <col min="9473" max="9481" width="12.140625" style="262" bestFit="1" customWidth="1"/>
    <col min="9482" max="9482" width="22.42578125" style="262" bestFit="1" customWidth="1"/>
    <col min="9483" max="9483" width="4.7109375" style="262" bestFit="1" customWidth="1"/>
    <col min="9484" max="9728" width="9.140625" style="262"/>
    <col min="9729" max="9737" width="12.140625" style="262" bestFit="1" customWidth="1"/>
    <col min="9738" max="9738" width="22.42578125" style="262" bestFit="1" customWidth="1"/>
    <col min="9739" max="9739" width="4.7109375" style="262" bestFit="1" customWidth="1"/>
    <col min="9740" max="9984" width="9.140625" style="262"/>
    <col min="9985" max="9993" width="12.140625" style="262" bestFit="1" customWidth="1"/>
    <col min="9994" max="9994" width="22.42578125" style="262" bestFit="1" customWidth="1"/>
    <col min="9995" max="9995" width="4.7109375" style="262" bestFit="1" customWidth="1"/>
    <col min="9996" max="10240" width="9.140625" style="262"/>
    <col min="10241" max="10249" width="12.140625" style="262" bestFit="1" customWidth="1"/>
    <col min="10250" max="10250" width="22.42578125" style="262" bestFit="1" customWidth="1"/>
    <col min="10251" max="10251" width="4.7109375" style="262" bestFit="1" customWidth="1"/>
    <col min="10252" max="10496" width="9.140625" style="262"/>
    <col min="10497" max="10505" width="12.140625" style="262" bestFit="1" customWidth="1"/>
    <col min="10506" max="10506" width="22.42578125" style="262" bestFit="1" customWidth="1"/>
    <col min="10507" max="10507" width="4.7109375" style="262" bestFit="1" customWidth="1"/>
    <col min="10508" max="10752" width="9.140625" style="262"/>
    <col min="10753" max="10761" width="12.140625" style="262" bestFit="1" customWidth="1"/>
    <col min="10762" max="10762" width="22.42578125" style="262" bestFit="1" customWidth="1"/>
    <col min="10763" max="10763" width="4.7109375" style="262" bestFit="1" customWidth="1"/>
    <col min="10764" max="11008" width="9.140625" style="262"/>
    <col min="11009" max="11017" width="12.140625" style="262" bestFit="1" customWidth="1"/>
    <col min="11018" max="11018" width="22.42578125" style="262" bestFit="1" customWidth="1"/>
    <col min="11019" max="11019" width="4.7109375" style="262" bestFit="1" customWidth="1"/>
    <col min="11020" max="11264" width="9.140625" style="262"/>
    <col min="11265" max="11273" width="12.140625" style="262" bestFit="1" customWidth="1"/>
    <col min="11274" max="11274" width="22.42578125" style="262" bestFit="1" customWidth="1"/>
    <col min="11275" max="11275" width="4.7109375" style="262" bestFit="1" customWidth="1"/>
    <col min="11276" max="11520" width="9.140625" style="262"/>
    <col min="11521" max="11529" width="12.140625" style="262" bestFit="1" customWidth="1"/>
    <col min="11530" max="11530" width="22.42578125" style="262" bestFit="1" customWidth="1"/>
    <col min="11531" max="11531" width="4.7109375" style="262" bestFit="1" customWidth="1"/>
    <col min="11532" max="11776" width="9.140625" style="262"/>
    <col min="11777" max="11785" width="12.140625" style="262" bestFit="1" customWidth="1"/>
    <col min="11786" max="11786" width="22.42578125" style="262" bestFit="1" customWidth="1"/>
    <col min="11787" max="11787" width="4.7109375" style="262" bestFit="1" customWidth="1"/>
    <col min="11788" max="12032" width="9.140625" style="262"/>
    <col min="12033" max="12041" width="12.140625" style="262" bestFit="1" customWidth="1"/>
    <col min="12042" max="12042" width="22.42578125" style="262" bestFit="1" customWidth="1"/>
    <col min="12043" max="12043" width="4.7109375" style="262" bestFit="1" customWidth="1"/>
    <col min="12044" max="12288" width="9.140625" style="262"/>
    <col min="12289" max="12297" width="12.140625" style="262" bestFit="1" customWidth="1"/>
    <col min="12298" max="12298" width="22.42578125" style="262" bestFit="1" customWidth="1"/>
    <col min="12299" max="12299" width="4.7109375" style="262" bestFit="1" customWidth="1"/>
    <col min="12300" max="12544" width="9.140625" style="262"/>
    <col min="12545" max="12553" width="12.140625" style="262" bestFit="1" customWidth="1"/>
    <col min="12554" max="12554" width="22.42578125" style="262" bestFit="1" customWidth="1"/>
    <col min="12555" max="12555" width="4.7109375" style="262" bestFit="1" customWidth="1"/>
    <col min="12556" max="12800" width="9.140625" style="262"/>
    <col min="12801" max="12809" width="12.140625" style="262" bestFit="1" customWidth="1"/>
    <col min="12810" max="12810" width="22.42578125" style="262" bestFit="1" customWidth="1"/>
    <col min="12811" max="12811" width="4.7109375" style="262" bestFit="1" customWidth="1"/>
    <col min="12812" max="13056" width="9.140625" style="262"/>
    <col min="13057" max="13065" width="12.140625" style="262" bestFit="1" customWidth="1"/>
    <col min="13066" max="13066" width="22.42578125" style="262" bestFit="1" customWidth="1"/>
    <col min="13067" max="13067" width="4.7109375" style="262" bestFit="1" customWidth="1"/>
    <col min="13068" max="13312" width="9.140625" style="262"/>
    <col min="13313" max="13321" width="12.140625" style="262" bestFit="1" customWidth="1"/>
    <col min="13322" max="13322" width="22.42578125" style="262" bestFit="1" customWidth="1"/>
    <col min="13323" max="13323" width="4.7109375" style="262" bestFit="1" customWidth="1"/>
    <col min="13324" max="13568" width="9.140625" style="262"/>
    <col min="13569" max="13577" width="12.140625" style="262" bestFit="1" customWidth="1"/>
    <col min="13578" max="13578" width="22.42578125" style="262" bestFit="1" customWidth="1"/>
    <col min="13579" max="13579" width="4.7109375" style="262" bestFit="1" customWidth="1"/>
    <col min="13580" max="13824" width="9.140625" style="262"/>
    <col min="13825" max="13833" width="12.140625" style="262" bestFit="1" customWidth="1"/>
    <col min="13834" max="13834" width="22.42578125" style="262" bestFit="1" customWidth="1"/>
    <col min="13835" max="13835" width="4.7109375" style="262" bestFit="1" customWidth="1"/>
    <col min="13836" max="14080" width="9.140625" style="262"/>
    <col min="14081" max="14089" width="12.140625" style="262" bestFit="1" customWidth="1"/>
    <col min="14090" max="14090" width="22.42578125" style="262" bestFit="1" customWidth="1"/>
    <col min="14091" max="14091" width="4.7109375" style="262" bestFit="1" customWidth="1"/>
    <col min="14092" max="14336" width="9.140625" style="262"/>
    <col min="14337" max="14345" width="12.140625" style="262" bestFit="1" customWidth="1"/>
    <col min="14346" max="14346" width="22.42578125" style="262" bestFit="1" customWidth="1"/>
    <col min="14347" max="14347" width="4.7109375" style="262" bestFit="1" customWidth="1"/>
    <col min="14348" max="14592" width="9.140625" style="262"/>
    <col min="14593" max="14601" width="12.140625" style="262" bestFit="1" customWidth="1"/>
    <col min="14602" max="14602" width="22.42578125" style="262" bestFit="1" customWidth="1"/>
    <col min="14603" max="14603" width="4.7109375" style="262" bestFit="1" customWidth="1"/>
    <col min="14604" max="14848" width="9.140625" style="262"/>
    <col min="14849" max="14857" width="12.140625" style="262" bestFit="1" customWidth="1"/>
    <col min="14858" max="14858" width="22.42578125" style="262" bestFit="1" customWidth="1"/>
    <col min="14859" max="14859" width="4.7109375" style="262" bestFit="1" customWidth="1"/>
    <col min="14860" max="15104" width="9.140625" style="262"/>
    <col min="15105" max="15113" width="12.140625" style="262" bestFit="1" customWidth="1"/>
    <col min="15114" max="15114" width="22.42578125" style="262" bestFit="1" customWidth="1"/>
    <col min="15115" max="15115" width="4.7109375" style="262" bestFit="1" customWidth="1"/>
    <col min="15116" max="15360" width="9.140625" style="262"/>
    <col min="15361" max="15369" width="12.140625" style="262" bestFit="1" customWidth="1"/>
    <col min="15370" max="15370" width="22.42578125" style="262" bestFit="1" customWidth="1"/>
    <col min="15371" max="15371" width="4.7109375" style="262" bestFit="1" customWidth="1"/>
    <col min="15372" max="15616" width="9.140625" style="262"/>
    <col min="15617" max="15625" width="12.140625" style="262" bestFit="1" customWidth="1"/>
    <col min="15626" max="15626" width="22.42578125" style="262" bestFit="1" customWidth="1"/>
    <col min="15627" max="15627" width="4.7109375" style="262" bestFit="1" customWidth="1"/>
    <col min="15628" max="15872" width="9.140625" style="262"/>
    <col min="15873" max="15881" width="12.140625" style="262" bestFit="1" customWidth="1"/>
    <col min="15882" max="15882" width="22.42578125" style="262" bestFit="1" customWidth="1"/>
    <col min="15883" max="15883" width="4.7109375" style="262" bestFit="1" customWidth="1"/>
    <col min="15884" max="16128" width="9.140625" style="262"/>
    <col min="16129" max="16137" width="12.140625" style="262" bestFit="1" customWidth="1"/>
    <col min="16138" max="16138" width="22.42578125" style="262" bestFit="1" customWidth="1"/>
    <col min="16139" max="16139" width="4.7109375" style="262" bestFit="1" customWidth="1"/>
    <col min="16140" max="16384" width="9.140625" style="262"/>
  </cols>
  <sheetData>
    <row r="1" spans="1:10" ht="13.5" customHeight="1" x14ac:dyDescent="0.2">
      <c r="A1" s="430" t="s">
        <v>599</v>
      </c>
      <c r="B1" s="430"/>
      <c r="C1" s="430"/>
      <c r="D1" s="430"/>
      <c r="E1" s="430"/>
      <c r="F1" s="430"/>
      <c r="G1" s="430"/>
      <c r="H1" s="430"/>
      <c r="I1" s="430"/>
      <c r="J1" s="430"/>
    </row>
    <row r="2" spans="1:10" s="265" customFormat="1" ht="19.5" customHeight="1" x14ac:dyDescent="0.2">
      <c r="A2" s="363" t="s">
        <v>250</v>
      </c>
      <c r="B2" s="369" t="s">
        <v>565</v>
      </c>
      <c r="C2" s="395"/>
      <c r="D2" s="395"/>
      <c r="E2" s="370"/>
      <c r="F2" s="369" t="s">
        <v>573</v>
      </c>
      <c r="G2" s="395"/>
      <c r="H2" s="395"/>
      <c r="I2" s="370"/>
    </row>
    <row r="3" spans="1:10" s="265" customFormat="1" ht="15" customHeight="1" x14ac:dyDescent="0.2">
      <c r="A3" s="365"/>
      <c r="B3" s="299" t="s">
        <v>600</v>
      </c>
      <c r="C3" s="299" t="s">
        <v>601</v>
      </c>
      <c r="D3" s="299" t="s">
        <v>602</v>
      </c>
      <c r="E3" s="299" t="s">
        <v>603</v>
      </c>
      <c r="F3" s="299" t="s">
        <v>600</v>
      </c>
      <c r="G3" s="299" t="s">
        <v>601</v>
      </c>
      <c r="H3" s="299" t="s">
        <v>602</v>
      </c>
      <c r="I3" s="299" t="s">
        <v>603</v>
      </c>
    </row>
    <row r="4" spans="1:10" s="265" customFormat="1" ht="17.25" customHeight="1" x14ac:dyDescent="0.2">
      <c r="A4" s="266" t="s">
        <v>69</v>
      </c>
      <c r="B4" s="290">
        <v>1780792.27</v>
      </c>
      <c r="C4" s="290">
        <v>257394.97700000001</v>
      </c>
      <c r="D4" s="283">
        <v>14923.934600000001</v>
      </c>
      <c r="E4" s="283">
        <v>3215.2645000000002</v>
      </c>
      <c r="F4" s="290">
        <v>2121666.6663000002</v>
      </c>
      <c r="G4" s="290">
        <v>242715.17449999999</v>
      </c>
      <c r="H4" s="283">
        <v>4734.7311</v>
      </c>
      <c r="I4" s="283">
        <v>938.81700000000001</v>
      </c>
    </row>
    <row r="5" spans="1:10" s="265" customFormat="1" ht="17.25" customHeight="1" x14ac:dyDescent="0.2">
      <c r="A5" s="266" t="s">
        <v>70</v>
      </c>
      <c r="B5" s="290">
        <v>2821842.199</v>
      </c>
      <c r="C5" s="290">
        <v>328321.59350000002</v>
      </c>
      <c r="D5" s="283">
        <v>9826.4511000000002</v>
      </c>
      <c r="E5" s="283">
        <v>1918.3598999999999</v>
      </c>
      <c r="F5" s="290">
        <v>3701091.8676</v>
      </c>
      <c r="G5" s="290">
        <v>315307.1482</v>
      </c>
      <c r="H5" s="283">
        <v>1160.0513000000001</v>
      </c>
      <c r="I5" s="283">
        <v>127.16419999999999</v>
      </c>
    </row>
    <row r="6" spans="1:10" s="265" customFormat="1" ht="17.25" customHeight="1" x14ac:dyDescent="0.2">
      <c r="A6" s="266" t="s">
        <v>156</v>
      </c>
      <c r="B6" s="290">
        <v>172464.04949999999</v>
      </c>
      <c r="C6" s="283">
        <v>29834.3334</v>
      </c>
      <c r="D6" s="283">
        <v>737.9049</v>
      </c>
      <c r="E6" s="283">
        <v>38.466799999999999</v>
      </c>
      <c r="F6" s="290">
        <v>268708.33590000001</v>
      </c>
      <c r="G6" s="283">
        <v>36303.749499999998</v>
      </c>
      <c r="H6" s="283">
        <v>178.20410000000001</v>
      </c>
      <c r="I6" s="283">
        <v>6.7462999999999997</v>
      </c>
    </row>
    <row r="7" spans="1:10" s="265" customFormat="1" ht="17.25" customHeight="1" x14ac:dyDescent="0.2">
      <c r="A7" s="266" t="s">
        <v>157</v>
      </c>
      <c r="B7" s="290">
        <v>248017.25320000001</v>
      </c>
      <c r="C7" s="283">
        <v>39004.463300000003</v>
      </c>
      <c r="D7" s="283">
        <v>694.38879999999995</v>
      </c>
      <c r="E7" s="283">
        <v>78.995500000000007</v>
      </c>
      <c r="F7" s="290">
        <v>382200.43640000001</v>
      </c>
      <c r="G7" s="283">
        <v>56483.560799999999</v>
      </c>
      <c r="H7" s="283">
        <v>178.65559999999999</v>
      </c>
      <c r="I7" s="283">
        <v>44.395499999999998</v>
      </c>
    </row>
    <row r="8" spans="1:10" s="265" customFormat="1" ht="17.25" customHeight="1" x14ac:dyDescent="0.2">
      <c r="A8" s="266" t="s">
        <v>158</v>
      </c>
      <c r="B8" s="290">
        <v>266768.28019999998</v>
      </c>
      <c r="C8" s="283">
        <v>44853.971299999997</v>
      </c>
      <c r="D8" s="283">
        <v>922.32140000000004</v>
      </c>
      <c r="E8" s="283">
        <v>53.286999999999999</v>
      </c>
      <c r="F8" s="290">
        <v>335804.79399999999</v>
      </c>
      <c r="G8" s="283">
        <v>64566.970200000003</v>
      </c>
      <c r="H8" s="283">
        <v>257.62</v>
      </c>
      <c r="I8" s="283">
        <v>11.1637</v>
      </c>
    </row>
    <row r="9" spans="1:10" s="265" customFormat="1" ht="17.25" customHeight="1" x14ac:dyDescent="0.2">
      <c r="A9" s="266" t="s">
        <v>159</v>
      </c>
      <c r="B9" s="290">
        <v>229620.3658</v>
      </c>
      <c r="C9" s="283">
        <v>25172.678</v>
      </c>
      <c r="D9" s="283">
        <v>683.77120000000002</v>
      </c>
      <c r="E9" s="283">
        <v>889.38720000000001</v>
      </c>
      <c r="F9" s="290">
        <v>354707.2684</v>
      </c>
      <c r="G9" s="283">
        <v>34055.645400000001</v>
      </c>
      <c r="H9" s="283">
        <v>44.454300000000003</v>
      </c>
      <c r="I9" s="283">
        <v>6.5678999999999998</v>
      </c>
    </row>
    <row r="10" spans="1:10" s="265" customFormat="1" ht="17.25" customHeight="1" x14ac:dyDescent="0.2">
      <c r="A10" s="266" t="s">
        <v>160</v>
      </c>
      <c r="B10" s="290">
        <v>255467.19</v>
      </c>
      <c r="C10" s="283">
        <v>30913.91</v>
      </c>
      <c r="D10" s="283">
        <v>575.41</v>
      </c>
      <c r="E10" s="283">
        <v>72.260000000000005</v>
      </c>
      <c r="F10" s="290">
        <v>360701.72</v>
      </c>
      <c r="G10" s="283">
        <v>27711.85</v>
      </c>
      <c r="H10" s="283">
        <v>98.97</v>
      </c>
      <c r="I10" s="283">
        <v>6.07</v>
      </c>
    </row>
    <row r="11" spans="1:10" s="265" customFormat="1" ht="17.25" customHeight="1" x14ac:dyDescent="0.2">
      <c r="A11" s="266" t="s">
        <v>161</v>
      </c>
      <c r="B11" s="290">
        <v>297641.8</v>
      </c>
      <c r="C11" s="283">
        <v>29632.89</v>
      </c>
      <c r="D11" s="283">
        <v>580.88</v>
      </c>
      <c r="E11" s="283">
        <v>51.27</v>
      </c>
      <c r="F11" s="290">
        <v>328172.59999999998</v>
      </c>
      <c r="G11" s="283">
        <v>12874.15</v>
      </c>
      <c r="H11" s="283">
        <v>303.95999999999998</v>
      </c>
      <c r="I11" s="283">
        <v>46.98</v>
      </c>
    </row>
    <row r="12" spans="1:10" s="265" customFormat="1" ht="17.25" customHeight="1" x14ac:dyDescent="0.2">
      <c r="A12" s="266" t="s">
        <v>162</v>
      </c>
      <c r="B12" s="290">
        <v>273134.18</v>
      </c>
      <c r="C12" s="283">
        <v>27408.23</v>
      </c>
      <c r="D12" s="283">
        <v>894.67</v>
      </c>
      <c r="E12" s="283">
        <v>96.19</v>
      </c>
      <c r="F12" s="290">
        <v>313674.63</v>
      </c>
      <c r="G12" s="283">
        <v>18228.41</v>
      </c>
      <c r="H12" s="283">
        <v>39.549999999999997</v>
      </c>
      <c r="I12" s="283">
        <v>0</v>
      </c>
    </row>
    <row r="13" spans="1:10" s="265" customFormat="1" ht="17.25" customHeight="1" x14ac:dyDescent="0.2">
      <c r="A13" s="266" t="s">
        <v>163</v>
      </c>
      <c r="B13" s="290">
        <v>222269.12659999999</v>
      </c>
      <c r="C13" s="283">
        <v>25297.426599999999</v>
      </c>
      <c r="D13" s="283">
        <v>906.53480000000002</v>
      </c>
      <c r="E13" s="283">
        <v>38.999499999999998</v>
      </c>
      <c r="F13" s="290">
        <v>300532.75839999999</v>
      </c>
      <c r="G13" s="283">
        <v>17649.139299999999</v>
      </c>
      <c r="H13" s="283">
        <v>19.0444</v>
      </c>
      <c r="I13" s="283">
        <v>1.1125</v>
      </c>
    </row>
    <row r="14" spans="1:10" s="265" customFormat="1" ht="17.25" customHeight="1" x14ac:dyDescent="0.2">
      <c r="A14" s="266" t="s">
        <v>164</v>
      </c>
      <c r="B14" s="290">
        <v>249354.2568</v>
      </c>
      <c r="C14" s="283">
        <v>22482.780699999999</v>
      </c>
      <c r="D14" s="283">
        <v>683.59889999999996</v>
      </c>
      <c r="E14" s="283">
        <v>62.962899999999998</v>
      </c>
      <c r="F14" s="290">
        <v>225382.43979999999</v>
      </c>
      <c r="G14" s="283">
        <v>7120.8534</v>
      </c>
      <c r="H14" s="283">
        <v>4.4074999999999998</v>
      </c>
      <c r="I14" s="283">
        <v>4.1231</v>
      </c>
    </row>
    <row r="15" spans="1:10" s="265" customFormat="1" ht="17.25" customHeight="1" x14ac:dyDescent="0.2">
      <c r="A15" s="266" t="s">
        <v>165</v>
      </c>
      <c r="B15" s="290">
        <v>215598.91469999999</v>
      </c>
      <c r="C15" s="283">
        <v>21778.307700000001</v>
      </c>
      <c r="D15" s="283">
        <v>888.28639999999996</v>
      </c>
      <c r="E15" s="283">
        <v>25.941800000000001</v>
      </c>
      <c r="F15" s="290">
        <v>308670.45159999997</v>
      </c>
      <c r="G15" s="283">
        <v>11972.3447</v>
      </c>
      <c r="H15" s="283">
        <v>5.4314999999999998</v>
      </c>
      <c r="I15" s="283">
        <v>0</v>
      </c>
    </row>
    <row r="16" spans="1:10" s="265" customFormat="1" ht="17.25" customHeight="1" x14ac:dyDescent="0.2">
      <c r="A16" s="266" t="s">
        <v>166</v>
      </c>
      <c r="B16" s="290">
        <v>202478.48300000001</v>
      </c>
      <c r="C16" s="283">
        <v>23972.5556</v>
      </c>
      <c r="D16" s="283">
        <v>742.12879999999996</v>
      </c>
      <c r="E16" s="283">
        <v>179.7764</v>
      </c>
      <c r="F16" s="290">
        <v>242921.0632</v>
      </c>
      <c r="G16" s="283">
        <v>14626.152599999999</v>
      </c>
      <c r="H16" s="283">
        <v>1.8241000000000001</v>
      </c>
      <c r="I16" s="283">
        <v>0</v>
      </c>
    </row>
    <row r="17" spans="1:9" s="265" customFormat="1" ht="17.25" customHeight="1" x14ac:dyDescent="0.2">
      <c r="A17" s="266" t="s">
        <v>167</v>
      </c>
      <c r="B17" s="290">
        <v>189028.30720000001</v>
      </c>
      <c r="C17" s="283">
        <v>7970.0510999999997</v>
      </c>
      <c r="D17" s="283">
        <v>1516.5632000000001</v>
      </c>
      <c r="E17" s="283">
        <v>330.82589999999999</v>
      </c>
      <c r="F17" s="290">
        <v>279615.36589999998</v>
      </c>
      <c r="G17" s="283">
        <v>13714.321900000001</v>
      </c>
      <c r="H17" s="283">
        <v>27.927700000000002</v>
      </c>
      <c r="I17" s="283">
        <v>0</v>
      </c>
    </row>
    <row r="18" spans="1:9" s="265" customFormat="1" ht="15" customHeight="1" x14ac:dyDescent="0.2">
      <c r="A18" s="373" t="s">
        <v>106</v>
      </c>
      <c r="B18" s="373"/>
      <c r="C18" s="373"/>
      <c r="D18" s="373"/>
      <c r="E18" s="373"/>
      <c r="F18" s="373"/>
      <c r="G18" s="373"/>
      <c r="H18" s="373"/>
      <c r="I18" s="373"/>
    </row>
    <row r="19" spans="1:9" s="265" customFormat="1" ht="13.5" customHeight="1" x14ac:dyDescent="0.2">
      <c r="A19" s="373" t="s">
        <v>571</v>
      </c>
      <c r="B19" s="373"/>
      <c r="C19" s="373"/>
      <c r="D19" s="373"/>
      <c r="E19" s="373"/>
      <c r="F19" s="373"/>
      <c r="G19" s="373"/>
      <c r="H19" s="373"/>
      <c r="I19" s="373"/>
    </row>
    <row r="20" spans="1:9" s="265" customFormat="1" ht="28.35" customHeight="1" x14ac:dyDescent="0.2"/>
  </sheetData>
  <mergeCells count="6">
    <mergeCell ref="A19:I19"/>
    <mergeCell ref="A1:J1"/>
    <mergeCell ref="A2:A3"/>
    <mergeCell ref="B2:E2"/>
    <mergeCell ref="F2:I2"/>
    <mergeCell ref="A18:I18"/>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A1:I20"/>
  <sheetViews>
    <sheetView workbookViewId="0">
      <selection sqref="A1:I1"/>
    </sheetView>
  </sheetViews>
  <sheetFormatPr defaultRowHeight="12.75" x14ac:dyDescent="0.2"/>
  <cols>
    <col min="1" max="8" width="12.140625" style="262" bestFit="1" customWidth="1"/>
    <col min="9" max="9" width="12.42578125" style="262" bestFit="1" customWidth="1"/>
    <col min="10" max="10" width="4.7109375" style="262" bestFit="1" customWidth="1"/>
    <col min="11" max="256" width="9.140625" style="262"/>
    <col min="257" max="264" width="12.140625" style="262" bestFit="1" customWidth="1"/>
    <col min="265" max="265" width="12.42578125" style="262" bestFit="1" customWidth="1"/>
    <col min="266" max="266" width="4.7109375" style="262" bestFit="1" customWidth="1"/>
    <col min="267" max="512" width="9.140625" style="262"/>
    <col min="513" max="520" width="12.140625" style="262" bestFit="1" customWidth="1"/>
    <col min="521" max="521" width="12.42578125" style="262" bestFit="1" customWidth="1"/>
    <col min="522" max="522" width="4.7109375" style="262" bestFit="1" customWidth="1"/>
    <col min="523" max="768" width="9.140625" style="262"/>
    <col min="769" max="776" width="12.140625" style="262" bestFit="1" customWidth="1"/>
    <col min="777" max="777" width="12.42578125" style="262" bestFit="1" customWidth="1"/>
    <col min="778" max="778" width="4.7109375" style="262" bestFit="1" customWidth="1"/>
    <col min="779" max="1024" width="9.140625" style="262"/>
    <col min="1025" max="1032" width="12.140625" style="262" bestFit="1" customWidth="1"/>
    <col min="1033" max="1033" width="12.42578125" style="262" bestFit="1" customWidth="1"/>
    <col min="1034" max="1034" width="4.7109375" style="262" bestFit="1" customWidth="1"/>
    <col min="1035" max="1280" width="9.140625" style="262"/>
    <col min="1281" max="1288" width="12.140625" style="262" bestFit="1" customWidth="1"/>
    <col min="1289" max="1289" width="12.42578125" style="262" bestFit="1" customWidth="1"/>
    <col min="1290" max="1290" width="4.7109375" style="262" bestFit="1" customWidth="1"/>
    <col min="1291" max="1536" width="9.140625" style="262"/>
    <col min="1537" max="1544" width="12.140625" style="262" bestFit="1" customWidth="1"/>
    <col min="1545" max="1545" width="12.42578125" style="262" bestFit="1" customWidth="1"/>
    <col min="1546" max="1546" width="4.7109375" style="262" bestFit="1" customWidth="1"/>
    <col min="1547" max="1792" width="9.140625" style="262"/>
    <col min="1793" max="1800" width="12.140625" style="262" bestFit="1" customWidth="1"/>
    <col min="1801" max="1801" width="12.42578125" style="262" bestFit="1" customWidth="1"/>
    <col min="1802" max="1802" width="4.7109375" style="262" bestFit="1" customWidth="1"/>
    <col min="1803" max="2048" width="9.140625" style="262"/>
    <col min="2049" max="2056" width="12.140625" style="262" bestFit="1" customWidth="1"/>
    <col min="2057" max="2057" width="12.42578125" style="262" bestFit="1" customWidth="1"/>
    <col min="2058" max="2058" width="4.7109375" style="262" bestFit="1" customWidth="1"/>
    <col min="2059" max="2304" width="9.140625" style="262"/>
    <col min="2305" max="2312" width="12.140625" style="262" bestFit="1" customWidth="1"/>
    <col min="2313" max="2313" width="12.42578125" style="262" bestFit="1" customWidth="1"/>
    <col min="2314" max="2314" width="4.7109375" style="262" bestFit="1" customWidth="1"/>
    <col min="2315" max="2560" width="9.140625" style="262"/>
    <col min="2561" max="2568" width="12.140625" style="262" bestFit="1" customWidth="1"/>
    <col min="2569" max="2569" width="12.42578125" style="262" bestFit="1" customWidth="1"/>
    <col min="2570" max="2570" width="4.7109375" style="262" bestFit="1" customWidth="1"/>
    <col min="2571" max="2816" width="9.140625" style="262"/>
    <col min="2817" max="2824" width="12.140625" style="262" bestFit="1" customWidth="1"/>
    <col min="2825" max="2825" width="12.42578125" style="262" bestFit="1" customWidth="1"/>
    <col min="2826" max="2826" width="4.7109375" style="262" bestFit="1" customWidth="1"/>
    <col min="2827" max="3072" width="9.140625" style="262"/>
    <col min="3073" max="3080" width="12.140625" style="262" bestFit="1" customWidth="1"/>
    <col min="3081" max="3081" width="12.42578125" style="262" bestFit="1" customWidth="1"/>
    <col min="3082" max="3082" width="4.7109375" style="262" bestFit="1" customWidth="1"/>
    <col min="3083" max="3328" width="9.140625" style="262"/>
    <col min="3329" max="3336" width="12.140625" style="262" bestFit="1" customWidth="1"/>
    <col min="3337" max="3337" width="12.42578125" style="262" bestFit="1" customWidth="1"/>
    <col min="3338" max="3338" width="4.7109375" style="262" bestFit="1" customWidth="1"/>
    <col min="3339" max="3584" width="9.140625" style="262"/>
    <col min="3585" max="3592" width="12.140625" style="262" bestFit="1" customWidth="1"/>
    <col min="3593" max="3593" width="12.42578125" style="262" bestFit="1" customWidth="1"/>
    <col min="3594" max="3594" width="4.7109375" style="262" bestFit="1" customWidth="1"/>
    <col min="3595" max="3840" width="9.140625" style="262"/>
    <col min="3841" max="3848" width="12.140625" style="262" bestFit="1" customWidth="1"/>
    <col min="3849" max="3849" width="12.42578125" style="262" bestFit="1" customWidth="1"/>
    <col min="3850" max="3850" width="4.7109375" style="262" bestFit="1" customWidth="1"/>
    <col min="3851" max="4096" width="9.140625" style="262"/>
    <col min="4097" max="4104" width="12.140625" style="262" bestFit="1" customWidth="1"/>
    <col min="4105" max="4105" width="12.42578125" style="262" bestFit="1" customWidth="1"/>
    <col min="4106" max="4106" width="4.7109375" style="262" bestFit="1" customWidth="1"/>
    <col min="4107" max="4352" width="9.140625" style="262"/>
    <col min="4353" max="4360" width="12.140625" style="262" bestFit="1" customWidth="1"/>
    <col min="4361" max="4361" width="12.42578125" style="262" bestFit="1" customWidth="1"/>
    <col min="4362" max="4362" width="4.7109375" style="262" bestFit="1" customWidth="1"/>
    <col min="4363" max="4608" width="9.140625" style="262"/>
    <col min="4609" max="4616" width="12.140625" style="262" bestFit="1" customWidth="1"/>
    <col min="4617" max="4617" width="12.42578125" style="262" bestFit="1" customWidth="1"/>
    <col min="4618" max="4618" width="4.7109375" style="262" bestFit="1" customWidth="1"/>
    <col min="4619" max="4864" width="9.140625" style="262"/>
    <col min="4865" max="4872" width="12.140625" style="262" bestFit="1" customWidth="1"/>
    <col min="4873" max="4873" width="12.42578125" style="262" bestFit="1" customWidth="1"/>
    <col min="4874" max="4874" width="4.7109375" style="262" bestFit="1" customWidth="1"/>
    <col min="4875" max="5120" width="9.140625" style="262"/>
    <col min="5121" max="5128" width="12.140625" style="262" bestFit="1" customWidth="1"/>
    <col min="5129" max="5129" width="12.42578125" style="262" bestFit="1" customWidth="1"/>
    <col min="5130" max="5130" width="4.7109375" style="262" bestFit="1" customWidth="1"/>
    <col min="5131" max="5376" width="9.140625" style="262"/>
    <col min="5377" max="5384" width="12.140625" style="262" bestFit="1" customWidth="1"/>
    <col min="5385" max="5385" width="12.42578125" style="262" bestFit="1" customWidth="1"/>
    <col min="5386" max="5386" width="4.7109375" style="262" bestFit="1" customWidth="1"/>
    <col min="5387" max="5632" width="9.140625" style="262"/>
    <col min="5633" max="5640" width="12.140625" style="262" bestFit="1" customWidth="1"/>
    <col min="5641" max="5641" width="12.42578125" style="262" bestFit="1" customWidth="1"/>
    <col min="5642" max="5642" width="4.7109375" style="262" bestFit="1" customWidth="1"/>
    <col min="5643" max="5888" width="9.140625" style="262"/>
    <col min="5889" max="5896" width="12.140625" style="262" bestFit="1" customWidth="1"/>
    <col min="5897" max="5897" width="12.42578125" style="262" bestFit="1" customWidth="1"/>
    <col min="5898" max="5898" width="4.7109375" style="262" bestFit="1" customWidth="1"/>
    <col min="5899" max="6144" width="9.140625" style="262"/>
    <col min="6145" max="6152" width="12.140625" style="262" bestFit="1" customWidth="1"/>
    <col min="6153" max="6153" width="12.42578125" style="262" bestFit="1" customWidth="1"/>
    <col min="6154" max="6154" width="4.7109375" style="262" bestFit="1" customWidth="1"/>
    <col min="6155" max="6400" width="9.140625" style="262"/>
    <col min="6401" max="6408" width="12.140625" style="262" bestFit="1" customWidth="1"/>
    <col min="6409" max="6409" width="12.42578125" style="262" bestFit="1" customWidth="1"/>
    <col min="6410" max="6410" width="4.7109375" style="262" bestFit="1" customWidth="1"/>
    <col min="6411" max="6656" width="9.140625" style="262"/>
    <col min="6657" max="6664" width="12.140625" style="262" bestFit="1" customWidth="1"/>
    <col min="6665" max="6665" width="12.42578125" style="262" bestFit="1" customWidth="1"/>
    <col min="6666" max="6666" width="4.7109375" style="262" bestFit="1" customWidth="1"/>
    <col min="6667" max="6912" width="9.140625" style="262"/>
    <col min="6913" max="6920" width="12.140625" style="262" bestFit="1" customWidth="1"/>
    <col min="6921" max="6921" width="12.42578125" style="262" bestFit="1" customWidth="1"/>
    <col min="6922" max="6922" width="4.7109375" style="262" bestFit="1" customWidth="1"/>
    <col min="6923" max="7168" width="9.140625" style="262"/>
    <col min="7169" max="7176" width="12.140625" style="262" bestFit="1" customWidth="1"/>
    <col min="7177" max="7177" width="12.42578125" style="262" bestFit="1" customWidth="1"/>
    <col min="7178" max="7178" width="4.7109375" style="262" bestFit="1" customWidth="1"/>
    <col min="7179" max="7424" width="9.140625" style="262"/>
    <col min="7425" max="7432" width="12.140625" style="262" bestFit="1" customWidth="1"/>
    <col min="7433" max="7433" width="12.42578125" style="262" bestFit="1" customWidth="1"/>
    <col min="7434" max="7434" width="4.7109375" style="262" bestFit="1" customWidth="1"/>
    <col min="7435" max="7680" width="9.140625" style="262"/>
    <col min="7681" max="7688" width="12.140625" style="262" bestFit="1" customWidth="1"/>
    <col min="7689" max="7689" width="12.42578125" style="262" bestFit="1" customWidth="1"/>
    <col min="7690" max="7690" width="4.7109375" style="262" bestFit="1" customWidth="1"/>
    <col min="7691" max="7936" width="9.140625" style="262"/>
    <col min="7937" max="7944" width="12.140625" style="262" bestFit="1" customWidth="1"/>
    <col min="7945" max="7945" width="12.42578125" style="262" bestFit="1" customWidth="1"/>
    <col min="7946" max="7946" width="4.7109375" style="262" bestFit="1" customWidth="1"/>
    <col min="7947" max="8192" width="9.140625" style="262"/>
    <col min="8193" max="8200" width="12.140625" style="262" bestFit="1" customWidth="1"/>
    <col min="8201" max="8201" width="12.42578125" style="262" bestFit="1" customWidth="1"/>
    <col min="8202" max="8202" width="4.7109375" style="262" bestFit="1" customWidth="1"/>
    <col min="8203" max="8448" width="9.140625" style="262"/>
    <col min="8449" max="8456" width="12.140625" style="262" bestFit="1" customWidth="1"/>
    <col min="8457" max="8457" width="12.42578125" style="262" bestFit="1" customWidth="1"/>
    <col min="8458" max="8458" width="4.7109375" style="262" bestFit="1" customWidth="1"/>
    <col min="8459" max="8704" width="9.140625" style="262"/>
    <col min="8705" max="8712" width="12.140625" style="262" bestFit="1" customWidth="1"/>
    <col min="8713" max="8713" width="12.42578125" style="262" bestFit="1" customWidth="1"/>
    <col min="8714" max="8714" width="4.7109375" style="262" bestFit="1" customWidth="1"/>
    <col min="8715" max="8960" width="9.140625" style="262"/>
    <col min="8961" max="8968" width="12.140625" style="262" bestFit="1" customWidth="1"/>
    <col min="8969" max="8969" width="12.42578125" style="262" bestFit="1" customWidth="1"/>
    <col min="8970" max="8970" width="4.7109375" style="262" bestFit="1" customWidth="1"/>
    <col min="8971" max="9216" width="9.140625" style="262"/>
    <col min="9217" max="9224" width="12.140625" style="262" bestFit="1" customWidth="1"/>
    <col min="9225" max="9225" width="12.42578125" style="262" bestFit="1" customWidth="1"/>
    <col min="9226" max="9226" width="4.7109375" style="262" bestFit="1" customWidth="1"/>
    <col min="9227" max="9472" width="9.140625" style="262"/>
    <col min="9473" max="9480" width="12.140625" style="262" bestFit="1" customWidth="1"/>
    <col min="9481" max="9481" width="12.42578125" style="262" bestFit="1" customWidth="1"/>
    <col min="9482" max="9482" width="4.7109375" style="262" bestFit="1" customWidth="1"/>
    <col min="9483" max="9728" width="9.140625" style="262"/>
    <col min="9729" max="9736" width="12.140625" style="262" bestFit="1" customWidth="1"/>
    <col min="9737" max="9737" width="12.42578125" style="262" bestFit="1" customWidth="1"/>
    <col min="9738" max="9738" width="4.7109375" style="262" bestFit="1" customWidth="1"/>
    <col min="9739" max="9984" width="9.140625" style="262"/>
    <col min="9985" max="9992" width="12.140625" style="262" bestFit="1" customWidth="1"/>
    <col min="9993" max="9993" width="12.42578125" style="262" bestFit="1" customWidth="1"/>
    <col min="9994" max="9994" width="4.7109375" style="262" bestFit="1" customWidth="1"/>
    <col min="9995" max="10240" width="9.140625" style="262"/>
    <col min="10241" max="10248" width="12.140625" style="262" bestFit="1" customWidth="1"/>
    <col min="10249" max="10249" width="12.42578125" style="262" bestFit="1" customWidth="1"/>
    <col min="10250" max="10250" width="4.7109375" style="262" bestFit="1" customWidth="1"/>
    <col min="10251" max="10496" width="9.140625" style="262"/>
    <col min="10497" max="10504" width="12.140625" style="262" bestFit="1" customWidth="1"/>
    <col min="10505" max="10505" width="12.42578125" style="262" bestFit="1" customWidth="1"/>
    <col min="10506" max="10506" width="4.7109375" style="262" bestFit="1" customWidth="1"/>
    <col min="10507" max="10752" width="9.140625" style="262"/>
    <col min="10753" max="10760" width="12.140625" style="262" bestFit="1" customWidth="1"/>
    <col min="10761" max="10761" width="12.42578125" style="262" bestFit="1" customWidth="1"/>
    <col min="10762" max="10762" width="4.7109375" style="262" bestFit="1" customWidth="1"/>
    <col min="10763" max="11008" width="9.140625" style="262"/>
    <col min="11009" max="11016" width="12.140625" style="262" bestFit="1" customWidth="1"/>
    <col min="11017" max="11017" width="12.42578125" style="262" bestFit="1" customWidth="1"/>
    <col min="11018" max="11018" width="4.7109375" style="262" bestFit="1" customWidth="1"/>
    <col min="11019" max="11264" width="9.140625" style="262"/>
    <col min="11265" max="11272" width="12.140625" style="262" bestFit="1" customWidth="1"/>
    <col min="11273" max="11273" width="12.42578125" style="262" bestFit="1" customWidth="1"/>
    <col min="11274" max="11274" width="4.7109375" style="262" bestFit="1" customWidth="1"/>
    <col min="11275" max="11520" width="9.140625" style="262"/>
    <col min="11521" max="11528" width="12.140625" style="262" bestFit="1" customWidth="1"/>
    <col min="11529" max="11529" width="12.42578125" style="262" bestFit="1" customWidth="1"/>
    <col min="11530" max="11530" width="4.7109375" style="262" bestFit="1" customWidth="1"/>
    <col min="11531" max="11776" width="9.140625" style="262"/>
    <col min="11777" max="11784" width="12.140625" style="262" bestFit="1" customWidth="1"/>
    <col min="11785" max="11785" width="12.42578125" style="262" bestFit="1" customWidth="1"/>
    <col min="11786" max="11786" width="4.7109375" style="262" bestFit="1" customWidth="1"/>
    <col min="11787" max="12032" width="9.140625" style="262"/>
    <col min="12033" max="12040" width="12.140625" style="262" bestFit="1" customWidth="1"/>
    <col min="12041" max="12041" width="12.42578125" style="262" bestFit="1" customWidth="1"/>
    <col min="12042" max="12042" width="4.7109375" style="262" bestFit="1" customWidth="1"/>
    <col min="12043" max="12288" width="9.140625" style="262"/>
    <col min="12289" max="12296" width="12.140625" style="262" bestFit="1" customWidth="1"/>
    <col min="12297" max="12297" width="12.42578125" style="262" bestFit="1" customWidth="1"/>
    <col min="12298" max="12298" width="4.7109375" style="262" bestFit="1" customWidth="1"/>
    <col min="12299" max="12544" width="9.140625" style="262"/>
    <col min="12545" max="12552" width="12.140625" style="262" bestFit="1" customWidth="1"/>
    <col min="12553" max="12553" width="12.42578125" style="262" bestFit="1" customWidth="1"/>
    <col min="12554" max="12554" width="4.7109375" style="262" bestFit="1" customWidth="1"/>
    <col min="12555" max="12800" width="9.140625" style="262"/>
    <col min="12801" max="12808" width="12.140625" style="262" bestFit="1" customWidth="1"/>
    <col min="12809" max="12809" width="12.42578125" style="262" bestFit="1" customWidth="1"/>
    <col min="12810" max="12810" width="4.7109375" style="262" bestFit="1" customWidth="1"/>
    <col min="12811" max="13056" width="9.140625" style="262"/>
    <col min="13057" max="13064" width="12.140625" style="262" bestFit="1" customWidth="1"/>
    <col min="13065" max="13065" width="12.42578125" style="262" bestFit="1" customWidth="1"/>
    <col min="13066" max="13066" width="4.7109375" style="262" bestFit="1" customWidth="1"/>
    <col min="13067" max="13312" width="9.140625" style="262"/>
    <col min="13313" max="13320" width="12.140625" style="262" bestFit="1" customWidth="1"/>
    <col min="13321" max="13321" width="12.42578125" style="262" bestFit="1" customWidth="1"/>
    <col min="13322" max="13322" width="4.7109375" style="262" bestFit="1" customWidth="1"/>
    <col min="13323" max="13568" width="9.140625" style="262"/>
    <col min="13569" max="13576" width="12.140625" style="262" bestFit="1" customWidth="1"/>
    <col min="13577" max="13577" width="12.42578125" style="262" bestFit="1" customWidth="1"/>
    <col min="13578" max="13578" width="4.7109375" style="262" bestFit="1" customWidth="1"/>
    <col min="13579" max="13824" width="9.140625" style="262"/>
    <col min="13825" max="13832" width="12.140625" style="262" bestFit="1" customWidth="1"/>
    <col min="13833" max="13833" width="12.42578125" style="262" bestFit="1" customWidth="1"/>
    <col min="13834" max="13834" width="4.7109375" style="262" bestFit="1" customWidth="1"/>
    <col min="13835" max="14080" width="9.140625" style="262"/>
    <col min="14081" max="14088" width="12.140625" style="262" bestFit="1" customWidth="1"/>
    <col min="14089" max="14089" width="12.42578125" style="262" bestFit="1" customWidth="1"/>
    <col min="14090" max="14090" width="4.7109375" style="262" bestFit="1" customWidth="1"/>
    <col min="14091" max="14336" width="9.140625" style="262"/>
    <col min="14337" max="14344" width="12.140625" style="262" bestFit="1" customWidth="1"/>
    <col min="14345" max="14345" width="12.42578125" style="262" bestFit="1" customWidth="1"/>
    <col min="14346" max="14346" width="4.7109375" style="262" bestFit="1" customWidth="1"/>
    <col min="14347" max="14592" width="9.140625" style="262"/>
    <col min="14593" max="14600" width="12.140625" style="262" bestFit="1" customWidth="1"/>
    <col min="14601" max="14601" width="12.42578125" style="262" bestFit="1" customWidth="1"/>
    <col min="14602" max="14602" width="4.7109375" style="262" bestFit="1" customWidth="1"/>
    <col min="14603" max="14848" width="9.140625" style="262"/>
    <col min="14849" max="14856" width="12.140625" style="262" bestFit="1" customWidth="1"/>
    <col min="14857" max="14857" width="12.42578125" style="262" bestFit="1" customWidth="1"/>
    <col min="14858" max="14858" width="4.7109375" style="262" bestFit="1" customWidth="1"/>
    <col min="14859" max="15104" width="9.140625" style="262"/>
    <col min="15105" max="15112" width="12.140625" style="262" bestFit="1" customWidth="1"/>
    <col min="15113" max="15113" width="12.42578125" style="262" bestFit="1" customWidth="1"/>
    <col min="15114" max="15114" width="4.7109375" style="262" bestFit="1" customWidth="1"/>
    <col min="15115" max="15360" width="9.140625" style="262"/>
    <col min="15361" max="15368" width="12.140625" style="262" bestFit="1" customWidth="1"/>
    <col min="15369" max="15369" width="12.42578125" style="262" bestFit="1" customWidth="1"/>
    <col min="15370" max="15370" width="4.7109375" style="262" bestFit="1" customWidth="1"/>
    <col min="15371" max="15616" width="9.140625" style="262"/>
    <col min="15617" max="15624" width="12.140625" style="262" bestFit="1" customWidth="1"/>
    <col min="15625" max="15625" width="12.42578125" style="262" bestFit="1" customWidth="1"/>
    <col min="15626" max="15626" width="4.7109375" style="262" bestFit="1" customWidth="1"/>
    <col min="15627" max="15872" width="9.140625" style="262"/>
    <col min="15873" max="15880" width="12.140625" style="262" bestFit="1" customWidth="1"/>
    <col min="15881" max="15881" width="12.42578125" style="262" bestFit="1" customWidth="1"/>
    <col min="15882" max="15882" width="4.7109375" style="262" bestFit="1" customWidth="1"/>
    <col min="15883" max="16128" width="9.140625" style="262"/>
    <col min="16129" max="16136" width="12.140625" style="262" bestFit="1" customWidth="1"/>
    <col min="16137" max="16137" width="12.42578125" style="262" bestFit="1" customWidth="1"/>
    <col min="16138" max="16138" width="4.7109375" style="262" bestFit="1" customWidth="1"/>
    <col min="16139" max="16384" width="9.140625" style="262"/>
  </cols>
  <sheetData>
    <row r="1" spans="1:9" ht="17.25" customHeight="1" x14ac:dyDescent="0.2">
      <c r="A1" s="400" t="s">
        <v>604</v>
      </c>
      <c r="B1" s="400"/>
      <c r="C1" s="400"/>
      <c r="D1" s="400"/>
      <c r="E1" s="400"/>
      <c r="F1" s="400"/>
      <c r="G1" s="400"/>
      <c r="H1" s="400"/>
      <c r="I1" s="400"/>
    </row>
    <row r="2" spans="1:9" s="265" customFormat="1" ht="18" customHeight="1" x14ac:dyDescent="0.2">
      <c r="A2" s="391" t="s">
        <v>250</v>
      </c>
      <c r="B2" s="369" t="s">
        <v>605</v>
      </c>
      <c r="C2" s="395"/>
      <c r="D2" s="395"/>
      <c r="E2" s="370"/>
      <c r="F2" s="369" t="s">
        <v>573</v>
      </c>
      <c r="G2" s="395"/>
      <c r="H2" s="395"/>
      <c r="I2" s="370"/>
    </row>
    <row r="3" spans="1:9" s="265" customFormat="1" ht="18" customHeight="1" x14ac:dyDescent="0.2">
      <c r="A3" s="392"/>
      <c r="B3" s="299" t="s">
        <v>600</v>
      </c>
      <c r="C3" s="299" t="s">
        <v>606</v>
      </c>
      <c r="D3" s="299" t="s">
        <v>602</v>
      </c>
      <c r="E3" s="299" t="s">
        <v>603</v>
      </c>
      <c r="F3" s="299" t="s">
        <v>600</v>
      </c>
      <c r="G3" s="299" t="s">
        <v>601</v>
      </c>
      <c r="H3" s="299" t="s">
        <v>602</v>
      </c>
      <c r="I3" s="299" t="s">
        <v>603</v>
      </c>
    </row>
    <row r="4" spans="1:9" s="265" customFormat="1" ht="18" customHeight="1" x14ac:dyDescent="0.2">
      <c r="A4" s="266" t="s">
        <v>69</v>
      </c>
      <c r="B4" s="290">
        <v>2053700.4049875599</v>
      </c>
      <c r="C4" s="290">
        <v>465857.94899617502</v>
      </c>
      <c r="D4" s="283">
        <v>52348.624526066</v>
      </c>
      <c r="E4" s="283">
        <v>23778.69459925</v>
      </c>
      <c r="F4" s="290">
        <v>2029429.0285419701</v>
      </c>
      <c r="G4" s="290">
        <v>379758.38141881197</v>
      </c>
      <c r="H4" s="283">
        <v>19693.137754250001</v>
      </c>
      <c r="I4" s="283">
        <v>3935.9501985000002</v>
      </c>
    </row>
    <row r="5" spans="1:9" s="265" customFormat="1" ht="18" customHeight="1" x14ac:dyDescent="0.2">
      <c r="A5" s="266" t="s">
        <v>70</v>
      </c>
      <c r="B5" s="290">
        <v>3719229.9870000002</v>
      </c>
      <c r="C5" s="290">
        <v>828483.42599999998</v>
      </c>
      <c r="D5" s="283">
        <v>70716.607310000007</v>
      </c>
      <c r="E5" s="283">
        <v>36497.05371</v>
      </c>
      <c r="F5" s="290">
        <v>2646030.736</v>
      </c>
      <c r="G5" s="290">
        <v>578570.96849999996</v>
      </c>
      <c r="H5" s="290">
        <v>242227.87289999999</v>
      </c>
      <c r="I5" s="290">
        <v>396594.59090000001</v>
      </c>
    </row>
    <row r="6" spans="1:9" s="265" customFormat="1" ht="18" customHeight="1" x14ac:dyDescent="0.2">
      <c r="A6" s="266" t="s">
        <v>156</v>
      </c>
      <c r="B6" s="290">
        <v>225500.075384992</v>
      </c>
      <c r="C6" s="283">
        <v>64372.782789028999</v>
      </c>
      <c r="D6" s="283">
        <v>4922.1440204999999</v>
      </c>
      <c r="E6" s="283">
        <v>2573.3732439999999</v>
      </c>
      <c r="F6" s="290">
        <v>163688.509485352</v>
      </c>
      <c r="G6" s="283">
        <v>39873.740589385001</v>
      </c>
      <c r="H6" s="283">
        <v>1705.8362292500001</v>
      </c>
      <c r="I6" s="283">
        <v>20.713538750000001</v>
      </c>
    </row>
    <row r="7" spans="1:9" s="265" customFormat="1" ht="18" customHeight="1" x14ac:dyDescent="0.2">
      <c r="A7" s="266" t="s">
        <v>157</v>
      </c>
      <c r="B7" s="290">
        <v>320285.60643129598</v>
      </c>
      <c r="C7" s="283">
        <v>73421.956251084004</v>
      </c>
      <c r="D7" s="283">
        <v>5731.4389622500003</v>
      </c>
      <c r="E7" s="283">
        <v>3944.5797830000001</v>
      </c>
      <c r="F7" s="290">
        <v>251117.02370200001</v>
      </c>
      <c r="G7" s="283">
        <v>34680.896624749999</v>
      </c>
      <c r="H7" s="283">
        <v>251.28387599999999</v>
      </c>
      <c r="I7" s="283">
        <v>18.797506500000001</v>
      </c>
    </row>
    <row r="8" spans="1:9" s="265" customFormat="1" ht="18" customHeight="1" x14ac:dyDescent="0.2">
      <c r="A8" s="266" t="s">
        <v>158</v>
      </c>
      <c r="B8" s="290">
        <v>278639.82184388803</v>
      </c>
      <c r="C8" s="283">
        <v>73587.922110255997</v>
      </c>
      <c r="D8" s="283">
        <v>5137.1570897760002</v>
      </c>
      <c r="E8" s="283">
        <v>2796.8273957500001</v>
      </c>
      <c r="F8" s="290">
        <v>225437.77204149999</v>
      </c>
      <c r="G8" s="283">
        <v>26213.715892749999</v>
      </c>
      <c r="H8" s="283">
        <v>574.61722275</v>
      </c>
      <c r="I8" s="283">
        <v>0.79006299999999996</v>
      </c>
    </row>
    <row r="9" spans="1:9" s="265" customFormat="1" ht="18" customHeight="1" x14ac:dyDescent="0.2">
      <c r="A9" s="266" t="s">
        <v>159</v>
      </c>
      <c r="B9" s="290">
        <v>257945.98801995101</v>
      </c>
      <c r="C9" s="283">
        <v>55684.415277134998</v>
      </c>
      <c r="D9" s="283">
        <v>3810.9853770469999</v>
      </c>
      <c r="E9" s="283">
        <v>2285.8535292500001</v>
      </c>
      <c r="F9" s="290">
        <v>210792.78404599999</v>
      </c>
      <c r="G9" s="283">
        <v>28330.33791075</v>
      </c>
      <c r="H9" s="283">
        <v>15.598644999999999</v>
      </c>
      <c r="I9" s="283">
        <v>0</v>
      </c>
    </row>
    <row r="10" spans="1:9" s="265" customFormat="1" ht="18" customHeight="1" x14ac:dyDescent="0.2">
      <c r="A10" s="266" t="s">
        <v>160</v>
      </c>
      <c r="B10" s="290">
        <v>314425.96065962402</v>
      </c>
      <c r="C10" s="283">
        <v>79776.329513941004</v>
      </c>
      <c r="D10" s="283">
        <v>6308.03695075</v>
      </c>
      <c r="E10" s="283">
        <v>3400.5830747499999</v>
      </c>
      <c r="F10" s="290">
        <v>310832.45769249997</v>
      </c>
      <c r="G10" s="283">
        <v>34024.753041000004</v>
      </c>
      <c r="H10" s="283">
        <v>113.37046475</v>
      </c>
      <c r="I10" s="283">
        <v>1.3912000000000001E-2</v>
      </c>
    </row>
    <row r="11" spans="1:9" s="265" customFormat="1" ht="18" customHeight="1" x14ac:dyDescent="0.2">
      <c r="A11" s="266" t="s">
        <v>161</v>
      </c>
      <c r="B11" s="290">
        <v>417092.806205781</v>
      </c>
      <c r="C11" s="283">
        <v>89357.549325161002</v>
      </c>
      <c r="D11" s="283">
        <v>6966.1671489999999</v>
      </c>
      <c r="E11" s="283">
        <v>4000.1394785000002</v>
      </c>
      <c r="F11" s="290">
        <v>407356.31252450001</v>
      </c>
      <c r="G11" s="283">
        <v>34894.757375250003</v>
      </c>
      <c r="H11" s="283">
        <v>228.189289</v>
      </c>
      <c r="I11" s="283">
        <v>44.940801999999998</v>
      </c>
    </row>
    <row r="12" spans="1:9" s="265" customFormat="1" ht="18" customHeight="1" x14ac:dyDescent="0.2">
      <c r="A12" s="266" t="s">
        <v>162</v>
      </c>
      <c r="B12" s="290">
        <v>396623.45804211101</v>
      </c>
      <c r="C12" s="283">
        <v>75209.230086401003</v>
      </c>
      <c r="D12" s="283">
        <v>7001.8757232500002</v>
      </c>
      <c r="E12" s="283">
        <v>2269.1088252499999</v>
      </c>
      <c r="F12" s="290">
        <v>269942.09736224997</v>
      </c>
      <c r="G12" s="283">
        <v>25706.178535250001</v>
      </c>
      <c r="H12" s="283">
        <v>773.30519549999997</v>
      </c>
      <c r="I12" s="283">
        <v>3.2594240000000001</v>
      </c>
    </row>
    <row r="13" spans="1:9" s="265" customFormat="1" ht="18" customHeight="1" x14ac:dyDescent="0.2">
      <c r="A13" s="266" t="s">
        <v>163</v>
      </c>
      <c r="B13" s="290">
        <v>284669.85397117003</v>
      </c>
      <c r="C13" s="283">
        <v>54716.973082812998</v>
      </c>
      <c r="D13" s="283">
        <v>4269.4355775000004</v>
      </c>
      <c r="E13" s="283">
        <v>2235.6957746749999</v>
      </c>
      <c r="F13" s="290">
        <v>309703.630496</v>
      </c>
      <c r="G13" s="283">
        <v>26011.232827</v>
      </c>
      <c r="H13" s="283">
        <v>53.466822499999999</v>
      </c>
      <c r="I13" s="283">
        <v>0</v>
      </c>
    </row>
    <row r="14" spans="1:9" s="265" customFormat="1" ht="18" customHeight="1" x14ac:dyDescent="0.2">
      <c r="A14" s="266" t="s">
        <v>164</v>
      </c>
      <c r="B14" s="290">
        <v>313406.07964989298</v>
      </c>
      <c r="C14" s="283">
        <v>61383.135160468002</v>
      </c>
      <c r="D14" s="283">
        <v>4699.90824625</v>
      </c>
      <c r="E14" s="283">
        <v>3633.6267945</v>
      </c>
      <c r="F14" s="283">
        <v>92930.452364519995</v>
      </c>
      <c r="G14" s="290">
        <v>108381.603425913</v>
      </c>
      <c r="H14" s="283">
        <v>66223.710501249996</v>
      </c>
      <c r="I14" s="283">
        <v>91145.442681500004</v>
      </c>
    </row>
    <row r="15" spans="1:9" s="265" customFormat="1" ht="18" customHeight="1" x14ac:dyDescent="0.2">
      <c r="A15" s="266" t="s">
        <v>165</v>
      </c>
      <c r="B15" s="290">
        <v>329735.19322118402</v>
      </c>
      <c r="C15" s="283">
        <v>61921.338417398998</v>
      </c>
      <c r="D15" s="283">
        <v>7341.6404458460001</v>
      </c>
      <c r="E15" s="283">
        <v>2109.4435452500002</v>
      </c>
      <c r="F15" s="290">
        <v>110415.24243575</v>
      </c>
      <c r="G15" s="283">
        <v>63704.536103500002</v>
      </c>
      <c r="H15" s="283">
        <v>55971.795027250002</v>
      </c>
      <c r="I15" s="290">
        <v>118283.40167875</v>
      </c>
    </row>
    <row r="16" spans="1:9" s="265" customFormat="1" ht="18" customHeight="1" x14ac:dyDescent="0.2">
      <c r="A16" s="266" t="s">
        <v>166</v>
      </c>
      <c r="B16" s="290">
        <v>278212.43680000002</v>
      </c>
      <c r="C16" s="283">
        <v>64086.704579999998</v>
      </c>
      <c r="D16" s="283">
        <v>5807.7690579999999</v>
      </c>
      <c r="E16" s="283">
        <v>2275.6015069999999</v>
      </c>
      <c r="F16" s="290">
        <v>124006.0227</v>
      </c>
      <c r="G16" s="283">
        <v>54331.584560000003</v>
      </c>
      <c r="H16" s="283">
        <v>57060.405879999998</v>
      </c>
      <c r="I16" s="283">
        <v>94573.96415</v>
      </c>
    </row>
    <row r="17" spans="1:9" s="265" customFormat="1" ht="18" customHeight="1" x14ac:dyDescent="0.2">
      <c r="A17" s="266" t="s">
        <v>167</v>
      </c>
      <c r="B17" s="290">
        <v>302692.70699999999</v>
      </c>
      <c r="C17" s="283">
        <v>74965.089439999996</v>
      </c>
      <c r="D17" s="283">
        <v>8720.0487090000006</v>
      </c>
      <c r="E17" s="283">
        <v>4972.2207589999998</v>
      </c>
      <c r="F17" s="290">
        <v>169808.43109999999</v>
      </c>
      <c r="G17" s="290">
        <v>102417.6317</v>
      </c>
      <c r="H17" s="283">
        <v>59256.293709999998</v>
      </c>
      <c r="I17" s="283">
        <v>92503.267160000003</v>
      </c>
    </row>
    <row r="18" spans="1:9" s="265" customFormat="1" ht="15" customHeight="1" x14ac:dyDescent="0.2">
      <c r="A18" s="353" t="s">
        <v>106</v>
      </c>
      <c r="B18" s="353"/>
      <c r="C18" s="353"/>
      <c r="D18" s="353"/>
      <c r="E18" s="353"/>
      <c r="F18" s="353"/>
      <c r="G18" s="353"/>
      <c r="H18" s="353"/>
      <c r="I18" s="353"/>
    </row>
    <row r="19" spans="1:9" s="265" customFormat="1" ht="13.5" customHeight="1" x14ac:dyDescent="0.2">
      <c r="A19" s="353" t="s">
        <v>450</v>
      </c>
      <c r="B19" s="353"/>
      <c r="C19" s="353"/>
      <c r="D19" s="353"/>
      <c r="E19" s="353"/>
      <c r="F19" s="353"/>
      <c r="G19" s="353"/>
      <c r="H19" s="353"/>
      <c r="I19" s="353"/>
    </row>
    <row r="20" spans="1:9" s="265" customFormat="1" ht="26.1" customHeight="1" x14ac:dyDescent="0.2"/>
  </sheetData>
  <mergeCells count="6">
    <mergeCell ref="A19:I19"/>
    <mergeCell ref="A1:I1"/>
    <mergeCell ref="A2:A3"/>
    <mergeCell ref="B2:E2"/>
    <mergeCell ref="F2:I2"/>
    <mergeCell ref="A18:I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pageSetUpPr fitToPage="1"/>
  </sheetPr>
  <dimension ref="A1:I20"/>
  <sheetViews>
    <sheetView workbookViewId="0">
      <selection sqref="A1:I1"/>
    </sheetView>
  </sheetViews>
  <sheetFormatPr defaultRowHeight="12.75" x14ac:dyDescent="0.2"/>
  <cols>
    <col min="1" max="9" width="12.140625" style="262" bestFit="1" customWidth="1"/>
    <col min="10" max="10" width="4.7109375" style="262" bestFit="1" customWidth="1"/>
    <col min="11" max="256" width="9.140625" style="262"/>
    <col min="257" max="265" width="12.140625" style="262" bestFit="1" customWidth="1"/>
    <col min="266" max="266" width="4.7109375" style="262" bestFit="1" customWidth="1"/>
    <col min="267" max="512" width="9.140625" style="262"/>
    <col min="513" max="521" width="12.140625" style="262" bestFit="1" customWidth="1"/>
    <col min="522" max="522" width="4.7109375" style="262" bestFit="1" customWidth="1"/>
    <col min="523" max="768" width="9.140625" style="262"/>
    <col min="769" max="777" width="12.140625" style="262" bestFit="1" customWidth="1"/>
    <col min="778" max="778" width="4.7109375" style="262" bestFit="1" customWidth="1"/>
    <col min="779" max="1024" width="9.140625" style="262"/>
    <col min="1025" max="1033" width="12.140625" style="262" bestFit="1" customWidth="1"/>
    <col min="1034" max="1034" width="4.7109375" style="262" bestFit="1" customWidth="1"/>
    <col min="1035" max="1280" width="9.140625" style="262"/>
    <col min="1281" max="1289" width="12.140625" style="262" bestFit="1" customWidth="1"/>
    <col min="1290" max="1290" width="4.7109375" style="262" bestFit="1" customWidth="1"/>
    <col min="1291" max="1536" width="9.140625" style="262"/>
    <col min="1537" max="1545" width="12.140625" style="262" bestFit="1" customWidth="1"/>
    <col min="1546" max="1546" width="4.7109375" style="262" bestFit="1" customWidth="1"/>
    <col min="1547" max="1792" width="9.140625" style="262"/>
    <col min="1793" max="1801" width="12.140625" style="262" bestFit="1" customWidth="1"/>
    <col min="1802" max="1802" width="4.7109375" style="262" bestFit="1" customWidth="1"/>
    <col min="1803" max="2048" width="9.140625" style="262"/>
    <col min="2049" max="2057" width="12.140625" style="262" bestFit="1" customWidth="1"/>
    <col min="2058" max="2058" width="4.7109375" style="262" bestFit="1" customWidth="1"/>
    <col min="2059" max="2304" width="9.140625" style="262"/>
    <col min="2305" max="2313" width="12.140625" style="262" bestFit="1" customWidth="1"/>
    <col min="2314" max="2314" width="4.7109375" style="262" bestFit="1" customWidth="1"/>
    <col min="2315" max="2560" width="9.140625" style="262"/>
    <col min="2561" max="2569" width="12.140625" style="262" bestFit="1" customWidth="1"/>
    <col min="2570" max="2570" width="4.7109375" style="262" bestFit="1" customWidth="1"/>
    <col min="2571" max="2816" width="9.140625" style="262"/>
    <col min="2817" max="2825" width="12.140625" style="262" bestFit="1" customWidth="1"/>
    <col min="2826" max="2826" width="4.7109375" style="262" bestFit="1" customWidth="1"/>
    <col min="2827" max="3072" width="9.140625" style="262"/>
    <col min="3073" max="3081" width="12.140625" style="262" bestFit="1" customWidth="1"/>
    <col min="3082" max="3082" width="4.7109375" style="262" bestFit="1" customWidth="1"/>
    <col min="3083" max="3328" width="9.140625" style="262"/>
    <col min="3329" max="3337" width="12.140625" style="262" bestFit="1" customWidth="1"/>
    <col min="3338" max="3338" width="4.7109375" style="262" bestFit="1" customWidth="1"/>
    <col min="3339" max="3584" width="9.140625" style="262"/>
    <col min="3585" max="3593" width="12.140625" style="262" bestFit="1" customWidth="1"/>
    <col min="3594" max="3594" width="4.7109375" style="262" bestFit="1" customWidth="1"/>
    <col min="3595" max="3840" width="9.140625" style="262"/>
    <col min="3841" max="3849" width="12.140625" style="262" bestFit="1" customWidth="1"/>
    <col min="3850" max="3850" width="4.7109375" style="262" bestFit="1" customWidth="1"/>
    <col min="3851" max="4096" width="9.140625" style="262"/>
    <col min="4097" max="4105" width="12.140625" style="262" bestFit="1" customWidth="1"/>
    <col min="4106" max="4106" width="4.7109375" style="262" bestFit="1" customWidth="1"/>
    <col min="4107" max="4352" width="9.140625" style="262"/>
    <col min="4353" max="4361" width="12.140625" style="262" bestFit="1" customWidth="1"/>
    <col min="4362" max="4362" width="4.7109375" style="262" bestFit="1" customWidth="1"/>
    <col min="4363" max="4608" width="9.140625" style="262"/>
    <col min="4609" max="4617" width="12.140625" style="262" bestFit="1" customWidth="1"/>
    <col min="4618" max="4618" width="4.7109375" style="262" bestFit="1" customWidth="1"/>
    <col min="4619" max="4864" width="9.140625" style="262"/>
    <col min="4865" max="4873" width="12.140625" style="262" bestFit="1" customWidth="1"/>
    <col min="4874" max="4874" width="4.7109375" style="262" bestFit="1" customWidth="1"/>
    <col min="4875" max="5120" width="9.140625" style="262"/>
    <col min="5121" max="5129" width="12.140625" style="262" bestFit="1" customWidth="1"/>
    <col min="5130" max="5130" width="4.7109375" style="262" bestFit="1" customWidth="1"/>
    <col min="5131" max="5376" width="9.140625" style="262"/>
    <col min="5377" max="5385" width="12.140625" style="262" bestFit="1" customWidth="1"/>
    <col min="5386" max="5386" width="4.7109375" style="262" bestFit="1" customWidth="1"/>
    <col min="5387" max="5632" width="9.140625" style="262"/>
    <col min="5633" max="5641" width="12.140625" style="262" bestFit="1" customWidth="1"/>
    <col min="5642" max="5642" width="4.7109375" style="262" bestFit="1" customWidth="1"/>
    <col min="5643" max="5888" width="9.140625" style="262"/>
    <col min="5889" max="5897" width="12.140625" style="262" bestFit="1" customWidth="1"/>
    <col min="5898" max="5898" width="4.7109375" style="262" bestFit="1" customWidth="1"/>
    <col min="5899" max="6144" width="9.140625" style="262"/>
    <col min="6145" max="6153" width="12.140625" style="262" bestFit="1" customWidth="1"/>
    <col min="6154" max="6154" width="4.7109375" style="262" bestFit="1" customWidth="1"/>
    <col min="6155" max="6400" width="9.140625" style="262"/>
    <col min="6401" max="6409" width="12.140625" style="262" bestFit="1" customWidth="1"/>
    <col min="6410" max="6410" width="4.7109375" style="262" bestFit="1" customWidth="1"/>
    <col min="6411" max="6656" width="9.140625" style="262"/>
    <col min="6657" max="6665" width="12.140625" style="262" bestFit="1" customWidth="1"/>
    <col min="6666" max="6666" width="4.7109375" style="262" bestFit="1" customWidth="1"/>
    <col min="6667" max="6912" width="9.140625" style="262"/>
    <col min="6913" max="6921" width="12.140625" style="262" bestFit="1" customWidth="1"/>
    <col min="6922" max="6922" width="4.7109375" style="262" bestFit="1" customWidth="1"/>
    <col min="6923" max="7168" width="9.140625" style="262"/>
    <col min="7169" max="7177" width="12.140625" style="262" bestFit="1" customWidth="1"/>
    <col min="7178" max="7178" width="4.7109375" style="262" bestFit="1" customWidth="1"/>
    <col min="7179" max="7424" width="9.140625" style="262"/>
    <col min="7425" max="7433" width="12.140625" style="262" bestFit="1" customWidth="1"/>
    <col min="7434" max="7434" width="4.7109375" style="262" bestFit="1" customWidth="1"/>
    <col min="7435" max="7680" width="9.140625" style="262"/>
    <col min="7681" max="7689" width="12.140625" style="262" bestFit="1" customWidth="1"/>
    <col min="7690" max="7690" width="4.7109375" style="262" bestFit="1" customWidth="1"/>
    <col min="7691" max="7936" width="9.140625" style="262"/>
    <col min="7937" max="7945" width="12.140625" style="262" bestFit="1" customWidth="1"/>
    <col min="7946" max="7946" width="4.7109375" style="262" bestFit="1" customWidth="1"/>
    <col min="7947" max="8192" width="9.140625" style="262"/>
    <col min="8193" max="8201" width="12.140625" style="262" bestFit="1" customWidth="1"/>
    <col min="8202" max="8202" width="4.7109375" style="262" bestFit="1" customWidth="1"/>
    <col min="8203" max="8448" width="9.140625" style="262"/>
    <col min="8449" max="8457" width="12.140625" style="262" bestFit="1" customWidth="1"/>
    <col min="8458" max="8458" width="4.7109375" style="262" bestFit="1" customWidth="1"/>
    <col min="8459" max="8704" width="9.140625" style="262"/>
    <col min="8705" max="8713" width="12.140625" style="262" bestFit="1" customWidth="1"/>
    <col min="8714" max="8714" width="4.7109375" style="262" bestFit="1" customWidth="1"/>
    <col min="8715" max="8960" width="9.140625" style="262"/>
    <col min="8961" max="8969" width="12.140625" style="262" bestFit="1" customWidth="1"/>
    <col min="8970" max="8970" width="4.7109375" style="262" bestFit="1" customWidth="1"/>
    <col min="8971" max="9216" width="9.140625" style="262"/>
    <col min="9217" max="9225" width="12.140625" style="262" bestFit="1" customWidth="1"/>
    <col min="9226" max="9226" width="4.7109375" style="262" bestFit="1" customWidth="1"/>
    <col min="9227" max="9472" width="9.140625" style="262"/>
    <col min="9473" max="9481" width="12.140625" style="262" bestFit="1" customWidth="1"/>
    <col min="9482" max="9482" width="4.7109375" style="262" bestFit="1" customWidth="1"/>
    <col min="9483" max="9728" width="9.140625" style="262"/>
    <col min="9729" max="9737" width="12.140625" style="262" bestFit="1" customWidth="1"/>
    <col min="9738" max="9738" width="4.7109375" style="262" bestFit="1" customWidth="1"/>
    <col min="9739" max="9984" width="9.140625" style="262"/>
    <col min="9985" max="9993" width="12.140625" style="262" bestFit="1" customWidth="1"/>
    <col min="9994" max="9994" width="4.7109375" style="262" bestFit="1" customWidth="1"/>
    <col min="9995" max="10240" width="9.140625" style="262"/>
    <col min="10241" max="10249" width="12.140625" style="262" bestFit="1" customWidth="1"/>
    <col min="10250" max="10250" width="4.7109375" style="262" bestFit="1" customWidth="1"/>
    <col min="10251" max="10496" width="9.140625" style="262"/>
    <col min="10497" max="10505" width="12.140625" style="262" bestFit="1" customWidth="1"/>
    <col min="10506" max="10506" width="4.7109375" style="262" bestFit="1" customWidth="1"/>
    <col min="10507" max="10752" width="9.140625" style="262"/>
    <col min="10753" max="10761" width="12.140625" style="262" bestFit="1" customWidth="1"/>
    <col min="10762" max="10762" width="4.7109375" style="262" bestFit="1" customWidth="1"/>
    <col min="10763" max="11008" width="9.140625" style="262"/>
    <col min="11009" max="11017" width="12.140625" style="262" bestFit="1" customWidth="1"/>
    <col min="11018" max="11018" width="4.7109375" style="262" bestFit="1" customWidth="1"/>
    <col min="11019" max="11264" width="9.140625" style="262"/>
    <col min="11265" max="11273" width="12.140625" style="262" bestFit="1" customWidth="1"/>
    <col min="11274" max="11274" width="4.7109375" style="262" bestFit="1" customWidth="1"/>
    <col min="11275" max="11520" width="9.140625" style="262"/>
    <col min="11521" max="11529" width="12.140625" style="262" bestFit="1" customWidth="1"/>
    <col min="11530" max="11530" width="4.7109375" style="262" bestFit="1" customWidth="1"/>
    <col min="11531" max="11776" width="9.140625" style="262"/>
    <col min="11777" max="11785" width="12.140625" style="262" bestFit="1" customWidth="1"/>
    <col min="11786" max="11786" width="4.7109375" style="262" bestFit="1" customWidth="1"/>
    <col min="11787" max="12032" width="9.140625" style="262"/>
    <col min="12033" max="12041" width="12.140625" style="262" bestFit="1" customWidth="1"/>
    <col min="12042" max="12042" width="4.7109375" style="262" bestFit="1" customWidth="1"/>
    <col min="12043" max="12288" width="9.140625" style="262"/>
    <col min="12289" max="12297" width="12.140625" style="262" bestFit="1" customWidth="1"/>
    <col min="12298" max="12298" width="4.7109375" style="262" bestFit="1" customWidth="1"/>
    <col min="12299" max="12544" width="9.140625" style="262"/>
    <col min="12545" max="12553" width="12.140625" style="262" bestFit="1" customWidth="1"/>
    <col min="12554" max="12554" width="4.7109375" style="262" bestFit="1" customWidth="1"/>
    <col min="12555" max="12800" width="9.140625" style="262"/>
    <col min="12801" max="12809" width="12.140625" style="262" bestFit="1" customWidth="1"/>
    <col min="12810" max="12810" width="4.7109375" style="262" bestFit="1" customWidth="1"/>
    <col min="12811" max="13056" width="9.140625" style="262"/>
    <col min="13057" max="13065" width="12.140625" style="262" bestFit="1" customWidth="1"/>
    <col min="13066" max="13066" width="4.7109375" style="262" bestFit="1" customWidth="1"/>
    <col min="13067" max="13312" width="9.140625" style="262"/>
    <col min="13313" max="13321" width="12.140625" style="262" bestFit="1" customWidth="1"/>
    <col min="13322" max="13322" width="4.7109375" style="262" bestFit="1" customWidth="1"/>
    <col min="13323" max="13568" width="9.140625" style="262"/>
    <col min="13569" max="13577" width="12.140625" style="262" bestFit="1" customWidth="1"/>
    <col min="13578" max="13578" width="4.7109375" style="262" bestFit="1" customWidth="1"/>
    <col min="13579" max="13824" width="9.140625" style="262"/>
    <col min="13825" max="13833" width="12.140625" style="262" bestFit="1" customWidth="1"/>
    <col min="13834" max="13834" width="4.7109375" style="262" bestFit="1" customWidth="1"/>
    <col min="13835" max="14080" width="9.140625" style="262"/>
    <col min="14081" max="14089" width="12.140625" style="262" bestFit="1" customWidth="1"/>
    <col min="14090" max="14090" width="4.7109375" style="262" bestFit="1" customWidth="1"/>
    <col min="14091" max="14336" width="9.140625" style="262"/>
    <col min="14337" max="14345" width="12.140625" style="262" bestFit="1" customWidth="1"/>
    <col min="14346" max="14346" width="4.7109375" style="262" bestFit="1" customWidth="1"/>
    <col min="14347" max="14592" width="9.140625" style="262"/>
    <col min="14593" max="14601" width="12.140625" style="262" bestFit="1" customWidth="1"/>
    <col min="14602" max="14602" width="4.7109375" style="262" bestFit="1" customWidth="1"/>
    <col min="14603" max="14848" width="9.140625" style="262"/>
    <col min="14849" max="14857" width="12.140625" style="262" bestFit="1" customWidth="1"/>
    <col min="14858" max="14858" width="4.7109375" style="262" bestFit="1" customWidth="1"/>
    <col min="14859" max="15104" width="9.140625" style="262"/>
    <col min="15105" max="15113" width="12.140625" style="262" bestFit="1" customWidth="1"/>
    <col min="15114" max="15114" width="4.7109375" style="262" bestFit="1" customWidth="1"/>
    <col min="15115" max="15360" width="9.140625" style="262"/>
    <col min="15361" max="15369" width="12.140625" style="262" bestFit="1" customWidth="1"/>
    <col min="15370" max="15370" width="4.7109375" style="262" bestFit="1" customWidth="1"/>
    <col min="15371" max="15616" width="9.140625" style="262"/>
    <col min="15617" max="15625" width="12.140625" style="262" bestFit="1" customWidth="1"/>
    <col min="15626" max="15626" width="4.7109375" style="262" bestFit="1" customWidth="1"/>
    <col min="15627" max="15872" width="9.140625" style="262"/>
    <col min="15873" max="15881" width="12.140625" style="262" bestFit="1" customWidth="1"/>
    <col min="15882" max="15882" width="4.7109375" style="262" bestFit="1" customWidth="1"/>
    <col min="15883" max="16128" width="9.140625" style="262"/>
    <col min="16129" max="16137" width="12.140625" style="262" bestFit="1" customWidth="1"/>
    <col min="16138" max="16138" width="4.7109375" style="262" bestFit="1" customWidth="1"/>
    <col min="16139" max="16384" width="9.140625" style="262"/>
  </cols>
  <sheetData>
    <row r="1" spans="1:9" ht="15.75" customHeight="1" x14ac:dyDescent="0.2">
      <c r="A1" s="400" t="s">
        <v>607</v>
      </c>
      <c r="B1" s="400"/>
      <c r="C1" s="400"/>
      <c r="D1" s="400"/>
      <c r="E1" s="400"/>
      <c r="F1" s="400"/>
      <c r="G1" s="400"/>
      <c r="H1" s="400"/>
      <c r="I1" s="400"/>
    </row>
    <row r="2" spans="1:9" s="265" customFormat="1" ht="18" customHeight="1" x14ac:dyDescent="0.2">
      <c r="A2" s="391" t="s">
        <v>250</v>
      </c>
      <c r="B2" s="369" t="s">
        <v>605</v>
      </c>
      <c r="C2" s="395"/>
      <c r="D2" s="395"/>
      <c r="E2" s="370"/>
      <c r="F2" s="369" t="s">
        <v>573</v>
      </c>
      <c r="G2" s="395"/>
      <c r="H2" s="395"/>
      <c r="I2" s="370"/>
    </row>
    <row r="3" spans="1:9" s="265" customFormat="1" ht="18" customHeight="1" x14ac:dyDescent="0.2">
      <c r="A3" s="392"/>
      <c r="B3" s="299" t="s">
        <v>600</v>
      </c>
      <c r="C3" s="299" t="s">
        <v>606</v>
      </c>
      <c r="D3" s="299" t="s">
        <v>602</v>
      </c>
      <c r="E3" s="299" t="s">
        <v>603</v>
      </c>
      <c r="F3" s="299" t="s">
        <v>600</v>
      </c>
      <c r="G3" s="299" t="s">
        <v>601</v>
      </c>
      <c r="H3" s="299" t="s">
        <v>602</v>
      </c>
      <c r="I3" s="299" t="s">
        <v>603</v>
      </c>
    </row>
    <row r="4" spans="1:9" s="265" customFormat="1" ht="17.25" customHeight="1" x14ac:dyDescent="0.2">
      <c r="A4" s="266" t="s">
        <v>69</v>
      </c>
      <c r="B4" s="283">
        <v>79306.760200000004</v>
      </c>
      <c r="C4" s="283">
        <v>18863.522519999999</v>
      </c>
      <c r="D4" s="283">
        <v>1531.632695</v>
      </c>
      <c r="E4" s="283">
        <v>20.399032500000001</v>
      </c>
      <c r="F4" s="283">
        <v>12055.74152</v>
      </c>
      <c r="G4" s="283">
        <v>3071.1730299999999</v>
      </c>
      <c r="H4" s="283">
        <v>582.82600000000002</v>
      </c>
      <c r="I4" s="283">
        <v>300.72624999999999</v>
      </c>
    </row>
    <row r="5" spans="1:9" s="265" customFormat="1" ht="17.25" customHeight="1" x14ac:dyDescent="0.2">
      <c r="A5" s="266" t="s">
        <v>70</v>
      </c>
      <c r="B5" s="283">
        <v>33138.896777745998</v>
      </c>
      <c r="C5" s="283">
        <v>4977.6412007500003</v>
      </c>
      <c r="D5" s="283">
        <v>55.156286999999999</v>
      </c>
      <c r="E5" s="283">
        <v>22.945404499999999</v>
      </c>
      <c r="F5" s="283">
        <v>5702.8547054999999</v>
      </c>
      <c r="G5" s="283">
        <v>3164.63356475</v>
      </c>
      <c r="H5" s="283">
        <v>176.3905</v>
      </c>
      <c r="I5" s="283">
        <v>0</v>
      </c>
    </row>
    <row r="6" spans="1:9" s="265" customFormat="1" ht="17.25" customHeight="1" x14ac:dyDescent="0.2">
      <c r="A6" s="266" t="s">
        <v>156</v>
      </c>
      <c r="B6" s="283">
        <v>4265.5221714999998</v>
      </c>
      <c r="C6" s="283">
        <v>1049.7476637499999</v>
      </c>
      <c r="D6" s="283">
        <v>3.5726244999999999</v>
      </c>
      <c r="E6" s="283">
        <v>0.39389999999999997</v>
      </c>
      <c r="F6" s="283">
        <v>821.24082050000004</v>
      </c>
      <c r="G6" s="283">
        <v>254.09244129999999</v>
      </c>
      <c r="H6" s="283">
        <v>176.3905</v>
      </c>
      <c r="I6" s="283">
        <v>0</v>
      </c>
    </row>
    <row r="7" spans="1:9" s="265" customFormat="1" ht="17.25" customHeight="1" x14ac:dyDescent="0.2">
      <c r="A7" s="266" t="s">
        <v>157</v>
      </c>
      <c r="B7" s="283">
        <v>5520.1395540000003</v>
      </c>
      <c r="C7" s="283">
        <v>1023.722338</v>
      </c>
      <c r="D7" s="283">
        <v>24.312976500000001</v>
      </c>
      <c r="E7" s="283">
        <v>6.1394260000000003</v>
      </c>
      <c r="F7" s="283">
        <v>102.3964445</v>
      </c>
      <c r="G7" s="283">
        <v>560.28204630000005</v>
      </c>
      <c r="H7" s="283">
        <v>0</v>
      </c>
      <c r="I7" s="283">
        <v>0</v>
      </c>
    </row>
    <row r="8" spans="1:9" s="265" customFormat="1" ht="17.25" customHeight="1" x14ac:dyDescent="0.2">
      <c r="A8" s="266" t="s">
        <v>158</v>
      </c>
      <c r="B8" s="283">
        <v>4004.28</v>
      </c>
      <c r="C8" s="283">
        <v>822.23</v>
      </c>
      <c r="D8" s="283">
        <v>12.98</v>
      </c>
      <c r="E8" s="283">
        <v>3.83</v>
      </c>
      <c r="F8" s="283">
        <v>46.87</v>
      </c>
      <c r="G8" s="283">
        <v>366.98</v>
      </c>
      <c r="H8" s="283">
        <v>0</v>
      </c>
      <c r="I8" s="283">
        <v>0</v>
      </c>
    </row>
    <row r="9" spans="1:9" s="265" customFormat="1" ht="17.25" customHeight="1" x14ac:dyDescent="0.2">
      <c r="A9" s="266" t="s">
        <v>159</v>
      </c>
      <c r="B9" s="283">
        <v>7547.3074850000003</v>
      </c>
      <c r="C9" s="283">
        <v>358.47644530000002</v>
      </c>
      <c r="D9" s="283">
        <v>2.079375E-2</v>
      </c>
      <c r="E9" s="283">
        <v>2.7767500000000001E-2</v>
      </c>
      <c r="F9" s="283">
        <v>124.1116725</v>
      </c>
      <c r="G9" s="283">
        <v>364.32937129999999</v>
      </c>
      <c r="H9" s="283">
        <v>0</v>
      </c>
      <c r="I9" s="283">
        <v>0</v>
      </c>
    </row>
    <row r="10" spans="1:9" s="265" customFormat="1" ht="17.25" customHeight="1" x14ac:dyDescent="0.2">
      <c r="A10" s="266" t="s">
        <v>160</v>
      </c>
      <c r="B10" s="283">
        <v>2875.24</v>
      </c>
      <c r="C10" s="283">
        <v>447.76</v>
      </c>
      <c r="D10" s="283">
        <v>8.57</v>
      </c>
      <c r="E10" s="283">
        <v>10.56</v>
      </c>
      <c r="F10" s="283">
        <v>214.28</v>
      </c>
      <c r="G10" s="283">
        <v>210.37</v>
      </c>
      <c r="H10" s="283">
        <v>0</v>
      </c>
      <c r="I10" s="283">
        <v>0</v>
      </c>
    </row>
    <row r="11" spans="1:9" s="265" customFormat="1" ht="17.25" customHeight="1" x14ac:dyDescent="0.2">
      <c r="A11" s="266" t="s">
        <v>161</v>
      </c>
      <c r="B11" s="283">
        <v>3000.8617187499999</v>
      </c>
      <c r="C11" s="283">
        <v>280.18010299999997</v>
      </c>
      <c r="D11" s="283">
        <v>0.81045924999999996</v>
      </c>
      <c r="E11" s="283">
        <v>1.9702299999999999</v>
      </c>
      <c r="F11" s="283">
        <v>394.61845099999999</v>
      </c>
      <c r="G11" s="283">
        <v>312.921605</v>
      </c>
      <c r="H11" s="283">
        <v>0</v>
      </c>
      <c r="I11" s="283">
        <v>0</v>
      </c>
    </row>
    <row r="12" spans="1:9" s="265" customFormat="1" ht="17.25" customHeight="1" x14ac:dyDescent="0.2">
      <c r="A12" s="266" t="s">
        <v>162</v>
      </c>
      <c r="B12" s="283">
        <v>1393.21881975</v>
      </c>
      <c r="C12" s="283">
        <v>220.94703874999999</v>
      </c>
      <c r="D12" s="283">
        <v>0.30547000000000002</v>
      </c>
      <c r="E12" s="283">
        <v>2.2367000000000001E-2</v>
      </c>
      <c r="F12" s="283">
        <v>921.46058925</v>
      </c>
      <c r="G12" s="283">
        <v>364.43842599999999</v>
      </c>
      <c r="H12" s="283">
        <v>0</v>
      </c>
      <c r="I12" s="283">
        <v>0</v>
      </c>
    </row>
    <row r="13" spans="1:9" s="265" customFormat="1" ht="17.25" customHeight="1" x14ac:dyDescent="0.2">
      <c r="A13" s="266" t="s">
        <v>163</v>
      </c>
      <c r="B13" s="283">
        <v>789.65555525000002</v>
      </c>
      <c r="C13" s="283">
        <v>155.61805325</v>
      </c>
      <c r="D13" s="283">
        <v>0.35549999999999998</v>
      </c>
      <c r="E13" s="283">
        <v>0</v>
      </c>
      <c r="F13" s="283">
        <v>789.95192925000003</v>
      </c>
      <c r="G13" s="283">
        <v>315.19409999999999</v>
      </c>
      <c r="H13" s="283">
        <v>0</v>
      </c>
      <c r="I13" s="283">
        <v>0</v>
      </c>
    </row>
    <row r="14" spans="1:9" s="265" customFormat="1" ht="17.25" customHeight="1" x14ac:dyDescent="0.2">
      <c r="A14" s="266" t="s">
        <v>164</v>
      </c>
      <c r="B14" s="283">
        <v>535.36404924600004</v>
      </c>
      <c r="C14" s="283">
        <v>131.55509799999999</v>
      </c>
      <c r="D14" s="283">
        <v>0.30359000000000003</v>
      </c>
      <c r="E14" s="283">
        <v>0</v>
      </c>
      <c r="F14" s="283">
        <v>483.14551325000002</v>
      </c>
      <c r="G14" s="283">
        <v>140.49889999999999</v>
      </c>
      <c r="H14" s="283">
        <v>0</v>
      </c>
      <c r="I14" s="283">
        <v>0</v>
      </c>
    </row>
    <row r="15" spans="1:9" s="265" customFormat="1" ht="17.25" customHeight="1" x14ac:dyDescent="0.2">
      <c r="A15" s="266" t="s">
        <v>165</v>
      </c>
      <c r="B15" s="283">
        <v>526.00668174999998</v>
      </c>
      <c r="C15" s="283">
        <v>152.74103725000001</v>
      </c>
      <c r="D15" s="283">
        <v>6.3990000000000005E-2</v>
      </c>
      <c r="E15" s="283">
        <v>0</v>
      </c>
      <c r="F15" s="283">
        <v>706.18489724999995</v>
      </c>
      <c r="G15" s="283">
        <v>171.84509075</v>
      </c>
      <c r="H15" s="283">
        <v>0</v>
      </c>
      <c r="I15" s="283">
        <v>0</v>
      </c>
    </row>
    <row r="16" spans="1:9" s="265" customFormat="1" ht="17.25" customHeight="1" x14ac:dyDescent="0.2">
      <c r="A16" s="266" t="s">
        <v>166</v>
      </c>
      <c r="B16" s="283">
        <v>790.22067225000001</v>
      </c>
      <c r="C16" s="283">
        <v>103.7067875</v>
      </c>
      <c r="D16" s="283">
        <v>2.1559999999999999E-2</v>
      </c>
      <c r="E16" s="283">
        <v>0</v>
      </c>
      <c r="F16" s="283">
        <v>627.36473049999995</v>
      </c>
      <c r="G16" s="283">
        <v>0</v>
      </c>
      <c r="H16" s="283">
        <v>0</v>
      </c>
      <c r="I16" s="283">
        <v>0</v>
      </c>
    </row>
    <row r="17" spans="1:9" s="265" customFormat="1" ht="17.25" customHeight="1" x14ac:dyDescent="0.2">
      <c r="A17" s="266" t="s">
        <v>167</v>
      </c>
      <c r="B17" s="283">
        <v>1891.0827972500001</v>
      </c>
      <c r="C17" s="283">
        <v>230.95516549999999</v>
      </c>
      <c r="D17" s="283">
        <v>3.8450000000000002</v>
      </c>
      <c r="E17" s="283">
        <v>0</v>
      </c>
      <c r="F17" s="283">
        <v>471.23631024999997</v>
      </c>
      <c r="G17" s="283">
        <v>103.68217</v>
      </c>
      <c r="H17" s="283">
        <v>0</v>
      </c>
      <c r="I17" s="283">
        <v>0</v>
      </c>
    </row>
    <row r="18" spans="1:9" s="265" customFormat="1" ht="15" customHeight="1" x14ac:dyDescent="0.2">
      <c r="A18" s="373" t="s">
        <v>106</v>
      </c>
      <c r="B18" s="373"/>
      <c r="C18" s="373"/>
      <c r="D18" s="373"/>
      <c r="E18" s="373"/>
      <c r="F18" s="373"/>
      <c r="G18" s="373"/>
      <c r="H18" s="373"/>
      <c r="I18" s="373"/>
    </row>
    <row r="19" spans="1:9" s="265" customFormat="1" ht="13.5" customHeight="1" x14ac:dyDescent="0.2">
      <c r="A19" s="373" t="s">
        <v>311</v>
      </c>
      <c r="B19" s="373"/>
      <c r="C19" s="373"/>
      <c r="D19" s="373"/>
      <c r="E19" s="373"/>
      <c r="F19" s="373"/>
      <c r="G19" s="373"/>
      <c r="H19" s="373"/>
      <c r="I19" s="373"/>
    </row>
    <row r="20" spans="1:9" s="265" customFormat="1" ht="27.6" customHeight="1" x14ac:dyDescent="0.2"/>
  </sheetData>
  <mergeCells count="6">
    <mergeCell ref="A19:I19"/>
    <mergeCell ref="A1:I1"/>
    <mergeCell ref="A2:A3"/>
    <mergeCell ref="B2:E2"/>
    <mergeCell ref="F2:I2"/>
    <mergeCell ref="A18:I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N21"/>
  <sheetViews>
    <sheetView workbookViewId="0">
      <selection sqref="A1:M1"/>
    </sheetView>
  </sheetViews>
  <sheetFormatPr defaultRowHeight="12.75" x14ac:dyDescent="0.2"/>
  <cols>
    <col min="1" max="1" width="12.140625" style="262" bestFit="1" customWidth="1"/>
    <col min="2" max="2" width="8.28515625" style="262" bestFit="1" customWidth="1"/>
    <col min="3" max="3" width="11.42578125" style="262" bestFit="1" customWidth="1"/>
    <col min="4" max="4" width="13" style="262" bestFit="1" customWidth="1"/>
    <col min="5" max="5" width="10.140625" style="262" bestFit="1" customWidth="1"/>
    <col min="6" max="6" width="12.7109375" style="262" bestFit="1" customWidth="1"/>
    <col min="7" max="7" width="11.42578125" style="262" bestFit="1" customWidth="1"/>
    <col min="8" max="8" width="12.7109375" style="262" bestFit="1" customWidth="1"/>
    <col min="9" max="9" width="8.28515625" style="262" bestFit="1" customWidth="1"/>
    <col min="10" max="10" width="14.140625" style="262" bestFit="1" customWidth="1"/>
    <col min="11" max="13" width="12.140625" style="262" bestFit="1" customWidth="1"/>
    <col min="14" max="14" width="10.5703125" style="262" bestFit="1" customWidth="1"/>
    <col min="15" max="15" width="6.28515625" style="262" bestFit="1" customWidth="1"/>
    <col min="16" max="256" width="9.140625" style="262"/>
    <col min="257" max="257" width="12.140625" style="262" bestFit="1" customWidth="1"/>
    <col min="258" max="258" width="8.28515625" style="262" bestFit="1" customWidth="1"/>
    <col min="259" max="259" width="11.42578125" style="262" bestFit="1" customWidth="1"/>
    <col min="260" max="260" width="13" style="262" bestFit="1" customWidth="1"/>
    <col min="261" max="261" width="10.140625" style="262" bestFit="1" customWidth="1"/>
    <col min="262" max="262" width="12.7109375" style="262" bestFit="1" customWidth="1"/>
    <col min="263" max="263" width="11.42578125" style="262" bestFit="1" customWidth="1"/>
    <col min="264" max="264" width="12.7109375" style="262" bestFit="1" customWidth="1"/>
    <col min="265" max="265" width="8.28515625" style="262" bestFit="1" customWidth="1"/>
    <col min="266" max="266" width="14.140625" style="262" bestFit="1" customWidth="1"/>
    <col min="267" max="269" width="12.140625" style="262" bestFit="1" customWidth="1"/>
    <col min="270" max="270" width="10.5703125" style="262" bestFit="1" customWidth="1"/>
    <col min="271" max="271" width="6.28515625" style="262" bestFit="1" customWidth="1"/>
    <col min="272" max="512" width="9.140625" style="262"/>
    <col min="513" max="513" width="12.140625" style="262" bestFit="1" customWidth="1"/>
    <col min="514" max="514" width="8.28515625" style="262" bestFit="1" customWidth="1"/>
    <col min="515" max="515" width="11.42578125" style="262" bestFit="1" customWidth="1"/>
    <col min="516" max="516" width="13" style="262" bestFit="1" customWidth="1"/>
    <col min="517" max="517" width="10.140625" style="262" bestFit="1" customWidth="1"/>
    <col min="518" max="518" width="12.7109375" style="262" bestFit="1" customWidth="1"/>
    <col min="519" max="519" width="11.42578125" style="262" bestFit="1" customWidth="1"/>
    <col min="520" max="520" width="12.7109375" style="262" bestFit="1" customWidth="1"/>
    <col min="521" max="521" width="8.28515625" style="262" bestFit="1" customWidth="1"/>
    <col min="522" max="522" width="14.140625" style="262" bestFit="1" customWidth="1"/>
    <col min="523" max="525" width="12.140625" style="262" bestFit="1" customWidth="1"/>
    <col min="526" max="526" width="10.5703125" style="262" bestFit="1" customWidth="1"/>
    <col min="527" max="527" width="6.28515625" style="262" bestFit="1" customWidth="1"/>
    <col min="528" max="768" width="9.140625" style="262"/>
    <col min="769" max="769" width="12.140625" style="262" bestFit="1" customWidth="1"/>
    <col min="770" max="770" width="8.28515625" style="262" bestFit="1" customWidth="1"/>
    <col min="771" max="771" width="11.42578125" style="262" bestFit="1" customWidth="1"/>
    <col min="772" max="772" width="13" style="262" bestFit="1" customWidth="1"/>
    <col min="773" max="773" width="10.140625" style="262" bestFit="1" customWidth="1"/>
    <col min="774" max="774" width="12.7109375" style="262" bestFit="1" customWidth="1"/>
    <col min="775" max="775" width="11.42578125" style="262" bestFit="1" customWidth="1"/>
    <col min="776" max="776" width="12.7109375" style="262" bestFit="1" customWidth="1"/>
    <col min="777" max="777" width="8.28515625" style="262" bestFit="1" customWidth="1"/>
    <col min="778" max="778" width="14.140625" style="262" bestFit="1" customWidth="1"/>
    <col min="779" max="781" width="12.140625" style="262" bestFit="1" customWidth="1"/>
    <col min="782" max="782" width="10.5703125" style="262" bestFit="1" customWidth="1"/>
    <col min="783" max="783" width="6.28515625" style="262" bestFit="1" customWidth="1"/>
    <col min="784" max="1024" width="9.140625" style="262"/>
    <col min="1025" max="1025" width="12.140625" style="262" bestFit="1" customWidth="1"/>
    <col min="1026" max="1026" width="8.28515625" style="262" bestFit="1" customWidth="1"/>
    <col min="1027" max="1027" width="11.42578125" style="262" bestFit="1" customWidth="1"/>
    <col min="1028" max="1028" width="13" style="262" bestFit="1" customWidth="1"/>
    <col min="1029" max="1029" width="10.140625" style="262" bestFit="1" customWidth="1"/>
    <col min="1030" max="1030" width="12.7109375" style="262" bestFit="1" customWidth="1"/>
    <col min="1031" max="1031" width="11.42578125" style="262" bestFit="1" customWidth="1"/>
    <col min="1032" max="1032" width="12.7109375" style="262" bestFit="1" customWidth="1"/>
    <col min="1033" max="1033" width="8.28515625" style="262" bestFit="1" customWidth="1"/>
    <col min="1034" max="1034" width="14.140625" style="262" bestFit="1" customWidth="1"/>
    <col min="1035" max="1037" width="12.140625" style="262" bestFit="1" customWidth="1"/>
    <col min="1038" max="1038" width="10.5703125" style="262" bestFit="1" customWidth="1"/>
    <col min="1039" max="1039" width="6.28515625" style="262" bestFit="1" customWidth="1"/>
    <col min="1040" max="1280" width="9.140625" style="262"/>
    <col min="1281" max="1281" width="12.140625" style="262" bestFit="1" customWidth="1"/>
    <col min="1282" max="1282" width="8.28515625" style="262" bestFit="1" customWidth="1"/>
    <col min="1283" max="1283" width="11.42578125" style="262" bestFit="1" customWidth="1"/>
    <col min="1284" max="1284" width="13" style="262" bestFit="1" customWidth="1"/>
    <col min="1285" max="1285" width="10.140625" style="262" bestFit="1" customWidth="1"/>
    <col min="1286" max="1286" width="12.7109375" style="262" bestFit="1" customWidth="1"/>
    <col min="1287" max="1287" width="11.42578125" style="262" bestFit="1" customWidth="1"/>
    <col min="1288" max="1288" width="12.7109375" style="262" bestFit="1" customWidth="1"/>
    <col min="1289" max="1289" width="8.28515625" style="262" bestFit="1" customWidth="1"/>
    <col min="1290" max="1290" width="14.140625" style="262" bestFit="1" customWidth="1"/>
    <col min="1291" max="1293" width="12.140625" style="262" bestFit="1" customWidth="1"/>
    <col min="1294" max="1294" width="10.5703125" style="262" bestFit="1" customWidth="1"/>
    <col min="1295" max="1295" width="6.28515625" style="262" bestFit="1" customWidth="1"/>
    <col min="1296" max="1536" width="9.140625" style="262"/>
    <col min="1537" max="1537" width="12.140625" style="262" bestFit="1" customWidth="1"/>
    <col min="1538" max="1538" width="8.28515625" style="262" bestFit="1" customWidth="1"/>
    <col min="1539" max="1539" width="11.42578125" style="262" bestFit="1" customWidth="1"/>
    <col min="1540" max="1540" width="13" style="262" bestFit="1" customWidth="1"/>
    <col min="1541" max="1541" width="10.140625" style="262" bestFit="1" customWidth="1"/>
    <col min="1542" max="1542" width="12.7109375" style="262" bestFit="1" customWidth="1"/>
    <col min="1543" max="1543" width="11.42578125" style="262" bestFit="1" customWidth="1"/>
    <col min="1544" max="1544" width="12.7109375" style="262" bestFit="1" customWidth="1"/>
    <col min="1545" max="1545" width="8.28515625" style="262" bestFit="1" customWidth="1"/>
    <col min="1546" max="1546" width="14.140625" style="262" bestFit="1" customWidth="1"/>
    <col min="1547" max="1549" width="12.140625" style="262" bestFit="1" customWidth="1"/>
    <col min="1550" max="1550" width="10.5703125" style="262" bestFit="1" customWidth="1"/>
    <col min="1551" max="1551" width="6.28515625" style="262" bestFit="1" customWidth="1"/>
    <col min="1552" max="1792" width="9.140625" style="262"/>
    <col min="1793" max="1793" width="12.140625" style="262" bestFit="1" customWidth="1"/>
    <col min="1794" max="1794" width="8.28515625" style="262" bestFit="1" customWidth="1"/>
    <col min="1795" max="1795" width="11.42578125" style="262" bestFit="1" customWidth="1"/>
    <col min="1796" max="1796" width="13" style="262" bestFit="1" customWidth="1"/>
    <col min="1797" max="1797" width="10.140625" style="262" bestFit="1" customWidth="1"/>
    <col min="1798" max="1798" width="12.7109375" style="262" bestFit="1" customWidth="1"/>
    <col min="1799" max="1799" width="11.42578125" style="262" bestFit="1" customWidth="1"/>
    <col min="1800" max="1800" width="12.7109375" style="262" bestFit="1" customWidth="1"/>
    <col min="1801" max="1801" width="8.28515625" style="262" bestFit="1" customWidth="1"/>
    <col min="1802" max="1802" width="14.140625" style="262" bestFit="1" customWidth="1"/>
    <col min="1803" max="1805" width="12.140625" style="262" bestFit="1" customWidth="1"/>
    <col min="1806" max="1806" width="10.5703125" style="262" bestFit="1" customWidth="1"/>
    <col min="1807" max="1807" width="6.28515625" style="262" bestFit="1" customWidth="1"/>
    <col min="1808" max="2048" width="9.140625" style="262"/>
    <col min="2049" max="2049" width="12.140625" style="262" bestFit="1" customWidth="1"/>
    <col min="2050" max="2050" width="8.28515625" style="262" bestFit="1" customWidth="1"/>
    <col min="2051" max="2051" width="11.42578125" style="262" bestFit="1" customWidth="1"/>
    <col min="2052" max="2052" width="13" style="262" bestFit="1" customWidth="1"/>
    <col min="2053" max="2053" width="10.140625" style="262" bestFit="1" customWidth="1"/>
    <col min="2054" max="2054" width="12.7109375" style="262" bestFit="1" customWidth="1"/>
    <col min="2055" max="2055" width="11.42578125" style="262" bestFit="1" customWidth="1"/>
    <col min="2056" max="2056" width="12.7109375" style="262" bestFit="1" customWidth="1"/>
    <col min="2057" max="2057" width="8.28515625" style="262" bestFit="1" customWidth="1"/>
    <col min="2058" max="2058" width="14.140625" style="262" bestFit="1" customWidth="1"/>
    <col min="2059" max="2061" width="12.140625" style="262" bestFit="1" customWidth="1"/>
    <col min="2062" max="2062" width="10.5703125" style="262" bestFit="1" customWidth="1"/>
    <col min="2063" max="2063" width="6.28515625" style="262" bestFit="1" customWidth="1"/>
    <col min="2064" max="2304" width="9.140625" style="262"/>
    <col min="2305" max="2305" width="12.140625" style="262" bestFit="1" customWidth="1"/>
    <col min="2306" max="2306" width="8.28515625" style="262" bestFit="1" customWidth="1"/>
    <col min="2307" max="2307" width="11.42578125" style="262" bestFit="1" customWidth="1"/>
    <col min="2308" max="2308" width="13" style="262" bestFit="1" customWidth="1"/>
    <col min="2309" max="2309" width="10.140625" style="262" bestFit="1" customWidth="1"/>
    <col min="2310" max="2310" width="12.7109375" style="262" bestFit="1" customWidth="1"/>
    <col min="2311" max="2311" width="11.42578125" style="262" bestFit="1" customWidth="1"/>
    <col min="2312" max="2312" width="12.7109375" style="262" bestFit="1" customWidth="1"/>
    <col min="2313" max="2313" width="8.28515625" style="262" bestFit="1" customWidth="1"/>
    <col min="2314" max="2314" width="14.140625" style="262" bestFit="1" customWidth="1"/>
    <col min="2315" max="2317" width="12.140625" style="262" bestFit="1" customWidth="1"/>
    <col min="2318" max="2318" width="10.5703125" style="262" bestFit="1" customWidth="1"/>
    <col min="2319" max="2319" width="6.28515625" style="262" bestFit="1" customWidth="1"/>
    <col min="2320" max="2560" width="9.140625" style="262"/>
    <col min="2561" max="2561" width="12.140625" style="262" bestFit="1" customWidth="1"/>
    <col min="2562" max="2562" width="8.28515625" style="262" bestFit="1" customWidth="1"/>
    <col min="2563" max="2563" width="11.42578125" style="262" bestFit="1" customWidth="1"/>
    <col min="2564" max="2564" width="13" style="262" bestFit="1" customWidth="1"/>
    <col min="2565" max="2565" width="10.140625" style="262" bestFit="1" customWidth="1"/>
    <col min="2566" max="2566" width="12.7109375" style="262" bestFit="1" customWidth="1"/>
    <col min="2567" max="2567" width="11.42578125" style="262" bestFit="1" customWidth="1"/>
    <col min="2568" max="2568" width="12.7109375" style="262" bestFit="1" customWidth="1"/>
    <col min="2569" max="2569" width="8.28515625" style="262" bestFit="1" customWidth="1"/>
    <col min="2570" max="2570" width="14.140625" style="262" bestFit="1" customWidth="1"/>
    <col min="2571" max="2573" width="12.140625" style="262" bestFit="1" customWidth="1"/>
    <col min="2574" max="2574" width="10.5703125" style="262" bestFit="1" customWidth="1"/>
    <col min="2575" max="2575" width="6.28515625" style="262" bestFit="1" customWidth="1"/>
    <col min="2576" max="2816" width="9.140625" style="262"/>
    <col min="2817" max="2817" width="12.140625" style="262" bestFit="1" customWidth="1"/>
    <col min="2818" max="2818" width="8.28515625" style="262" bestFit="1" customWidth="1"/>
    <col min="2819" max="2819" width="11.42578125" style="262" bestFit="1" customWidth="1"/>
    <col min="2820" max="2820" width="13" style="262" bestFit="1" customWidth="1"/>
    <col min="2821" max="2821" width="10.140625" style="262" bestFit="1" customWidth="1"/>
    <col min="2822" max="2822" width="12.7109375" style="262" bestFit="1" customWidth="1"/>
    <col min="2823" max="2823" width="11.42578125" style="262" bestFit="1" customWidth="1"/>
    <col min="2824" max="2824" width="12.7109375" style="262" bestFit="1" customWidth="1"/>
    <col min="2825" max="2825" width="8.28515625" style="262" bestFit="1" customWidth="1"/>
    <col min="2826" max="2826" width="14.140625" style="262" bestFit="1" customWidth="1"/>
    <col min="2827" max="2829" width="12.140625" style="262" bestFit="1" customWidth="1"/>
    <col min="2830" max="2830" width="10.5703125" style="262" bestFit="1" customWidth="1"/>
    <col min="2831" max="2831" width="6.28515625" style="262" bestFit="1" customWidth="1"/>
    <col min="2832" max="3072" width="9.140625" style="262"/>
    <col min="3073" max="3073" width="12.140625" style="262" bestFit="1" customWidth="1"/>
    <col min="3074" max="3074" width="8.28515625" style="262" bestFit="1" customWidth="1"/>
    <col min="3075" max="3075" width="11.42578125" style="262" bestFit="1" customWidth="1"/>
    <col min="3076" max="3076" width="13" style="262" bestFit="1" customWidth="1"/>
    <col min="3077" max="3077" width="10.140625" style="262" bestFit="1" customWidth="1"/>
    <col min="3078" max="3078" width="12.7109375" style="262" bestFit="1" customWidth="1"/>
    <col min="3079" max="3079" width="11.42578125" style="262" bestFit="1" customWidth="1"/>
    <col min="3080" max="3080" width="12.7109375" style="262" bestFit="1" customWidth="1"/>
    <col min="3081" max="3081" width="8.28515625" style="262" bestFit="1" customWidth="1"/>
    <col min="3082" max="3082" width="14.140625" style="262" bestFit="1" customWidth="1"/>
    <col min="3083" max="3085" width="12.140625" style="262" bestFit="1" customWidth="1"/>
    <col min="3086" max="3086" width="10.5703125" style="262" bestFit="1" customWidth="1"/>
    <col min="3087" max="3087" width="6.28515625" style="262" bestFit="1" customWidth="1"/>
    <col min="3088" max="3328" width="9.140625" style="262"/>
    <col min="3329" max="3329" width="12.140625" style="262" bestFit="1" customWidth="1"/>
    <col min="3330" max="3330" width="8.28515625" style="262" bestFit="1" customWidth="1"/>
    <col min="3331" max="3331" width="11.42578125" style="262" bestFit="1" customWidth="1"/>
    <col min="3332" max="3332" width="13" style="262" bestFit="1" customWidth="1"/>
    <col min="3333" max="3333" width="10.140625" style="262" bestFit="1" customWidth="1"/>
    <col min="3334" max="3334" width="12.7109375" style="262" bestFit="1" customWidth="1"/>
    <col min="3335" max="3335" width="11.42578125" style="262" bestFit="1" customWidth="1"/>
    <col min="3336" max="3336" width="12.7109375" style="262" bestFit="1" customWidth="1"/>
    <col min="3337" max="3337" width="8.28515625" style="262" bestFit="1" customWidth="1"/>
    <col min="3338" max="3338" width="14.140625" style="262" bestFit="1" customWidth="1"/>
    <col min="3339" max="3341" width="12.140625" style="262" bestFit="1" customWidth="1"/>
    <col min="3342" max="3342" width="10.5703125" style="262" bestFit="1" customWidth="1"/>
    <col min="3343" max="3343" width="6.28515625" style="262" bestFit="1" customWidth="1"/>
    <col min="3344" max="3584" width="9.140625" style="262"/>
    <col min="3585" max="3585" width="12.140625" style="262" bestFit="1" customWidth="1"/>
    <col min="3586" max="3586" width="8.28515625" style="262" bestFit="1" customWidth="1"/>
    <col min="3587" max="3587" width="11.42578125" style="262" bestFit="1" customWidth="1"/>
    <col min="3588" max="3588" width="13" style="262" bestFit="1" customWidth="1"/>
    <col min="3589" max="3589" width="10.140625" style="262" bestFit="1" customWidth="1"/>
    <col min="3590" max="3590" width="12.7109375" style="262" bestFit="1" customWidth="1"/>
    <col min="3591" max="3591" width="11.42578125" style="262" bestFit="1" customWidth="1"/>
    <col min="3592" max="3592" width="12.7109375" style="262" bestFit="1" customWidth="1"/>
    <col min="3593" max="3593" width="8.28515625" style="262" bestFit="1" customWidth="1"/>
    <col min="3594" max="3594" width="14.140625" style="262" bestFit="1" customWidth="1"/>
    <col min="3595" max="3597" width="12.140625" style="262" bestFit="1" customWidth="1"/>
    <col min="3598" max="3598" width="10.5703125" style="262" bestFit="1" customWidth="1"/>
    <col min="3599" max="3599" width="6.28515625" style="262" bestFit="1" customWidth="1"/>
    <col min="3600" max="3840" width="9.140625" style="262"/>
    <col min="3841" max="3841" width="12.140625" style="262" bestFit="1" customWidth="1"/>
    <col min="3842" max="3842" width="8.28515625" style="262" bestFit="1" customWidth="1"/>
    <col min="3843" max="3843" width="11.42578125" style="262" bestFit="1" customWidth="1"/>
    <col min="3844" max="3844" width="13" style="262" bestFit="1" customWidth="1"/>
    <col min="3845" max="3845" width="10.140625" style="262" bestFit="1" customWidth="1"/>
    <col min="3846" max="3846" width="12.7109375" style="262" bestFit="1" customWidth="1"/>
    <col min="3847" max="3847" width="11.42578125" style="262" bestFit="1" customWidth="1"/>
    <col min="3848" max="3848" width="12.7109375" style="262" bestFit="1" customWidth="1"/>
    <col min="3849" max="3849" width="8.28515625" style="262" bestFit="1" customWidth="1"/>
    <col min="3850" max="3850" width="14.140625" style="262" bestFit="1" customWidth="1"/>
    <col min="3851" max="3853" width="12.140625" style="262" bestFit="1" customWidth="1"/>
    <col min="3854" max="3854" width="10.5703125" style="262" bestFit="1" customWidth="1"/>
    <col min="3855" max="3855" width="6.28515625" style="262" bestFit="1" customWidth="1"/>
    <col min="3856" max="4096" width="9.140625" style="262"/>
    <col min="4097" max="4097" width="12.140625" style="262" bestFit="1" customWidth="1"/>
    <col min="4098" max="4098" width="8.28515625" style="262" bestFit="1" customWidth="1"/>
    <col min="4099" max="4099" width="11.42578125" style="262" bestFit="1" customWidth="1"/>
    <col min="4100" max="4100" width="13" style="262" bestFit="1" customWidth="1"/>
    <col min="4101" max="4101" width="10.140625" style="262" bestFit="1" customWidth="1"/>
    <col min="4102" max="4102" width="12.7109375" style="262" bestFit="1" customWidth="1"/>
    <col min="4103" max="4103" width="11.42578125" style="262" bestFit="1" customWidth="1"/>
    <col min="4104" max="4104" width="12.7109375" style="262" bestFit="1" customWidth="1"/>
    <col min="4105" max="4105" width="8.28515625" style="262" bestFit="1" customWidth="1"/>
    <col min="4106" max="4106" width="14.140625" style="262" bestFit="1" customWidth="1"/>
    <col min="4107" max="4109" width="12.140625" style="262" bestFit="1" customWidth="1"/>
    <col min="4110" max="4110" width="10.5703125" style="262" bestFit="1" customWidth="1"/>
    <col min="4111" max="4111" width="6.28515625" style="262" bestFit="1" customWidth="1"/>
    <col min="4112" max="4352" width="9.140625" style="262"/>
    <col min="4353" max="4353" width="12.140625" style="262" bestFit="1" customWidth="1"/>
    <col min="4354" max="4354" width="8.28515625" style="262" bestFit="1" customWidth="1"/>
    <col min="4355" max="4355" width="11.42578125" style="262" bestFit="1" customWidth="1"/>
    <col min="4356" max="4356" width="13" style="262" bestFit="1" customWidth="1"/>
    <col min="4357" max="4357" width="10.140625" style="262" bestFit="1" customWidth="1"/>
    <col min="4358" max="4358" width="12.7109375" style="262" bestFit="1" customWidth="1"/>
    <col min="4359" max="4359" width="11.42578125" style="262" bestFit="1" customWidth="1"/>
    <col min="4360" max="4360" width="12.7109375" style="262" bestFit="1" customWidth="1"/>
    <col min="4361" max="4361" width="8.28515625" style="262" bestFit="1" customWidth="1"/>
    <col min="4362" max="4362" width="14.140625" style="262" bestFit="1" customWidth="1"/>
    <col min="4363" max="4365" width="12.140625" style="262" bestFit="1" customWidth="1"/>
    <col min="4366" max="4366" width="10.5703125" style="262" bestFit="1" customWidth="1"/>
    <col min="4367" max="4367" width="6.28515625" style="262" bestFit="1" customWidth="1"/>
    <col min="4368" max="4608" width="9.140625" style="262"/>
    <col min="4609" max="4609" width="12.140625" style="262" bestFit="1" customWidth="1"/>
    <col min="4610" max="4610" width="8.28515625" style="262" bestFit="1" customWidth="1"/>
    <col min="4611" max="4611" width="11.42578125" style="262" bestFit="1" customWidth="1"/>
    <col min="4612" max="4612" width="13" style="262" bestFit="1" customWidth="1"/>
    <col min="4613" max="4613" width="10.140625" style="262" bestFit="1" customWidth="1"/>
    <col min="4614" max="4614" width="12.7109375" style="262" bestFit="1" customWidth="1"/>
    <col min="4615" max="4615" width="11.42578125" style="262" bestFit="1" customWidth="1"/>
    <col min="4616" max="4616" width="12.7109375" style="262" bestFit="1" customWidth="1"/>
    <col min="4617" max="4617" width="8.28515625" style="262" bestFit="1" customWidth="1"/>
    <col min="4618" max="4618" width="14.140625" style="262" bestFit="1" customWidth="1"/>
    <col min="4619" max="4621" width="12.140625" style="262" bestFit="1" customWidth="1"/>
    <col min="4622" max="4622" width="10.5703125" style="262" bestFit="1" customWidth="1"/>
    <col min="4623" max="4623" width="6.28515625" style="262" bestFit="1" customWidth="1"/>
    <col min="4624" max="4864" width="9.140625" style="262"/>
    <col min="4865" max="4865" width="12.140625" style="262" bestFit="1" customWidth="1"/>
    <col min="4866" max="4866" width="8.28515625" style="262" bestFit="1" customWidth="1"/>
    <col min="4867" max="4867" width="11.42578125" style="262" bestFit="1" customWidth="1"/>
    <col min="4868" max="4868" width="13" style="262" bestFit="1" customWidth="1"/>
    <col min="4869" max="4869" width="10.140625" style="262" bestFit="1" customWidth="1"/>
    <col min="4870" max="4870" width="12.7109375" style="262" bestFit="1" customWidth="1"/>
    <col min="4871" max="4871" width="11.42578125" style="262" bestFit="1" customWidth="1"/>
    <col min="4872" max="4872" width="12.7109375" style="262" bestFit="1" customWidth="1"/>
    <col min="4873" max="4873" width="8.28515625" style="262" bestFit="1" customWidth="1"/>
    <col min="4874" max="4874" width="14.140625" style="262" bestFit="1" customWidth="1"/>
    <col min="4875" max="4877" width="12.140625" style="262" bestFit="1" customWidth="1"/>
    <col min="4878" max="4878" width="10.5703125" style="262" bestFit="1" customWidth="1"/>
    <col min="4879" max="4879" width="6.28515625" style="262" bestFit="1" customWidth="1"/>
    <col min="4880" max="5120" width="9.140625" style="262"/>
    <col min="5121" max="5121" width="12.140625" style="262" bestFit="1" customWidth="1"/>
    <col min="5122" max="5122" width="8.28515625" style="262" bestFit="1" customWidth="1"/>
    <col min="5123" max="5123" width="11.42578125" style="262" bestFit="1" customWidth="1"/>
    <col min="5124" max="5124" width="13" style="262" bestFit="1" customWidth="1"/>
    <col min="5125" max="5125" width="10.140625" style="262" bestFit="1" customWidth="1"/>
    <col min="5126" max="5126" width="12.7109375" style="262" bestFit="1" customWidth="1"/>
    <col min="5127" max="5127" width="11.42578125" style="262" bestFit="1" customWidth="1"/>
    <col min="5128" max="5128" width="12.7109375" style="262" bestFit="1" customWidth="1"/>
    <col min="5129" max="5129" width="8.28515625" style="262" bestFit="1" customWidth="1"/>
    <col min="5130" max="5130" width="14.140625" style="262" bestFit="1" customWidth="1"/>
    <col min="5131" max="5133" width="12.140625" style="262" bestFit="1" customWidth="1"/>
    <col min="5134" max="5134" width="10.5703125" style="262" bestFit="1" customWidth="1"/>
    <col min="5135" max="5135" width="6.28515625" style="262" bestFit="1" customWidth="1"/>
    <col min="5136" max="5376" width="9.140625" style="262"/>
    <col min="5377" max="5377" width="12.140625" style="262" bestFit="1" customWidth="1"/>
    <col min="5378" max="5378" width="8.28515625" style="262" bestFit="1" customWidth="1"/>
    <col min="5379" max="5379" width="11.42578125" style="262" bestFit="1" customWidth="1"/>
    <col min="5380" max="5380" width="13" style="262" bestFit="1" customWidth="1"/>
    <col min="5381" max="5381" width="10.140625" style="262" bestFit="1" customWidth="1"/>
    <col min="5382" max="5382" width="12.7109375" style="262" bestFit="1" customWidth="1"/>
    <col min="5383" max="5383" width="11.42578125" style="262" bestFit="1" customWidth="1"/>
    <col min="5384" max="5384" width="12.7109375" style="262" bestFit="1" customWidth="1"/>
    <col min="5385" max="5385" width="8.28515625" style="262" bestFit="1" customWidth="1"/>
    <col min="5386" max="5386" width="14.140625" style="262" bestFit="1" customWidth="1"/>
    <col min="5387" max="5389" width="12.140625" style="262" bestFit="1" customWidth="1"/>
    <col min="5390" max="5390" width="10.5703125" style="262" bestFit="1" customWidth="1"/>
    <col min="5391" max="5391" width="6.28515625" style="262" bestFit="1" customWidth="1"/>
    <col min="5392" max="5632" width="9.140625" style="262"/>
    <col min="5633" max="5633" width="12.140625" style="262" bestFit="1" customWidth="1"/>
    <col min="5634" max="5634" width="8.28515625" style="262" bestFit="1" customWidth="1"/>
    <col min="5635" max="5635" width="11.42578125" style="262" bestFit="1" customWidth="1"/>
    <col min="5636" max="5636" width="13" style="262" bestFit="1" customWidth="1"/>
    <col min="5637" max="5637" width="10.140625" style="262" bestFit="1" customWidth="1"/>
    <col min="5638" max="5638" width="12.7109375" style="262" bestFit="1" customWidth="1"/>
    <col min="5639" max="5639" width="11.42578125" style="262" bestFit="1" customWidth="1"/>
    <col min="5640" max="5640" width="12.7109375" style="262" bestFit="1" customWidth="1"/>
    <col min="5641" max="5641" width="8.28515625" style="262" bestFit="1" customWidth="1"/>
    <col min="5642" max="5642" width="14.140625" style="262" bestFit="1" customWidth="1"/>
    <col min="5643" max="5645" width="12.140625" style="262" bestFit="1" customWidth="1"/>
    <col min="5646" max="5646" width="10.5703125" style="262" bestFit="1" customWidth="1"/>
    <col min="5647" max="5647" width="6.28515625" style="262" bestFit="1" customWidth="1"/>
    <col min="5648" max="5888" width="9.140625" style="262"/>
    <col min="5889" max="5889" width="12.140625" style="262" bestFit="1" customWidth="1"/>
    <col min="5890" max="5890" width="8.28515625" style="262" bestFit="1" customWidth="1"/>
    <col min="5891" max="5891" width="11.42578125" style="262" bestFit="1" customWidth="1"/>
    <col min="5892" max="5892" width="13" style="262" bestFit="1" customWidth="1"/>
    <col min="5893" max="5893" width="10.140625" style="262" bestFit="1" customWidth="1"/>
    <col min="5894" max="5894" width="12.7109375" style="262" bestFit="1" customWidth="1"/>
    <col min="5895" max="5895" width="11.42578125" style="262" bestFit="1" customWidth="1"/>
    <col min="5896" max="5896" width="12.7109375" style="262" bestFit="1" customWidth="1"/>
    <col min="5897" max="5897" width="8.28515625" style="262" bestFit="1" customWidth="1"/>
    <col min="5898" max="5898" width="14.140625" style="262" bestFit="1" customWidth="1"/>
    <col min="5899" max="5901" width="12.140625" style="262" bestFit="1" customWidth="1"/>
    <col min="5902" max="5902" width="10.5703125" style="262" bestFit="1" customWidth="1"/>
    <col min="5903" max="5903" width="6.28515625" style="262" bestFit="1" customWidth="1"/>
    <col min="5904" max="6144" width="9.140625" style="262"/>
    <col min="6145" max="6145" width="12.140625" style="262" bestFit="1" customWidth="1"/>
    <col min="6146" max="6146" width="8.28515625" style="262" bestFit="1" customWidth="1"/>
    <col min="6147" max="6147" width="11.42578125" style="262" bestFit="1" customWidth="1"/>
    <col min="6148" max="6148" width="13" style="262" bestFit="1" customWidth="1"/>
    <col min="6149" max="6149" width="10.140625" style="262" bestFit="1" customWidth="1"/>
    <col min="6150" max="6150" width="12.7109375" style="262" bestFit="1" customWidth="1"/>
    <col min="6151" max="6151" width="11.42578125" style="262" bestFit="1" customWidth="1"/>
    <col min="6152" max="6152" width="12.7109375" style="262" bestFit="1" customWidth="1"/>
    <col min="6153" max="6153" width="8.28515625" style="262" bestFit="1" customWidth="1"/>
    <col min="6154" max="6154" width="14.140625" style="262" bestFit="1" customWidth="1"/>
    <col min="6155" max="6157" width="12.140625" style="262" bestFit="1" customWidth="1"/>
    <col min="6158" max="6158" width="10.5703125" style="262" bestFit="1" customWidth="1"/>
    <col min="6159" max="6159" width="6.28515625" style="262" bestFit="1" customWidth="1"/>
    <col min="6160" max="6400" width="9.140625" style="262"/>
    <col min="6401" max="6401" width="12.140625" style="262" bestFit="1" customWidth="1"/>
    <col min="6402" max="6402" width="8.28515625" style="262" bestFit="1" customWidth="1"/>
    <col min="6403" max="6403" width="11.42578125" style="262" bestFit="1" customWidth="1"/>
    <col min="6404" max="6404" width="13" style="262" bestFit="1" customWidth="1"/>
    <col min="6405" max="6405" width="10.140625" style="262" bestFit="1" customWidth="1"/>
    <col min="6406" max="6406" width="12.7109375" style="262" bestFit="1" customWidth="1"/>
    <col min="6407" max="6407" width="11.42578125" style="262" bestFit="1" customWidth="1"/>
    <col min="6408" max="6408" width="12.7109375" style="262" bestFit="1" customWidth="1"/>
    <col min="6409" max="6409" width="8.28515625" style="262" bestFit="1" customWidth="1"/>
    <col min="6410" max="6410" width="14.140625" style="262" bestFit="1" customWidth="1"/>
    <col min="6411" max="6413" width="12.140625" style="262" bestFit="1" customWidth="1"/>
    <col min="6414" max="6414" width="10.5703125" style="262" bestFit="1" customWidth="1"/>
    <col min="6415" max="6415" width="6.28515625" style="262" bestFit="1" customWidth="1"/>
    <col min="6416" max="6656" width="9.140625" style="262"/>
    <col min="6657" max="6657" width="12.140625" style="262" bestFit="1" customWidth="1"/>
    <col min="6658" max="6658" width="8.28515625" style="262" bestFit="1" customWidth="1"/>
    <col min="6659" max="6659" width="11.42578125" style="262" bestFit="1" customWidth="1"/>
    <col min="6660" max="6660" width="13" style="262" bestFit="1" customWidth="1"/>
    <col min="6661" max="6661" width="10.140625" style="262" bestFit="1" customWidth="1"/>
    <col min="6662" max="6662" width="12.7109375" style="262" bestFit="1" customWidth="1"/>
    <col min="6663" max="6663" width="11.42578125" style="262" bestFit="1" customWidth="1"/>
    <col min="6664" max="6664" width="12.7109375" style="262" bestFit="1" customWidth="1"/>
    <col min="6665" max="6665" width="8.28515625" style="262" bestFit="1" customWidth="1"/>
    <col min="6666" max="6666" width="14.140625" style="262" bestFit="1" customWidth="1"/>
    <col min="6667" max="6669" width="12.140625" style="262" bestFit="1" customWidth="1"/>
    <col min="6670" max="6670" width="10.5703125" style="262" bestFit="1" customWidth="1"/>
    <col min="6671" max="6671" width="6.28515625" style="262" bestFit="1" customWidth="1"/>
    <col min="6672" max="6912" width="9.140625" style="262"/>
    <col min="6913" max="6913" width="12.140625" style="262" bestFit="1" customWidth="1"/>
    <col min="6914" max="6914" width="8.28515625" style="262" bestFit="1" customWidth="1"/>
    <col min="6915" max="6915" width="11.42578125" style="262" bestFit="1" customWidth="1"/>
    <col min="6916" max="6916" width="13" style="262" bestFit="1" customWidth="1"/>
    <col min="6917" max="6917" width="10.140625" style="262" bestFit="1" customWidth="1"/>
    <col min="6918" max="6918" width="12.7109375" style="262" bestFit="1" customWidth="1"/>
    <col min="6919" max="6919" width="11.42578125" style="262" bestFit="1" customWidth="1"/>
    <col min="6920" max="6920" width="12.7109375" style="262" bestFit="1" customWidth="1"/>
    <col min="6921" max="6921" width="8.28515625" style="262" bestFit="1" customWidth="1"/>
    <col min="6922" max="6922" width="14.140625" style="262" bestFit="1" customWidth="1"/>
    <col min="6923" max="6925" width="12.140625" style="262" bestFit="1" customWidth="1"/>
    <col min="6926" max="6926" width="10.5703125" style="262" bestFit="1" customWidth="1"/>
    <col min="6927" max="6927" width="6.28515625" style="262" bestFit="1" customWidth="1"/>
    <col min="6928" max="7168" width="9.140625" style="262"/>
    <col min="7169" max="7169" width="12.140625" style="262" bestFit="1" customWidth="1"/>
    <col min="7170" max="7170" width="8.28515625" style="262" bestFit="1" customWidth="1"/>
    <col min="7171" max="7171" width="11.42578125" style="262" bestFit="1" customWidth="1"/>
    <col min="7172" max="7172" width="13" style="262" bestFit="1" customWidth="1"/>
    <col min="7173" max="7173" width="10.140625" style="262" bestFit="1" customWidth="1"/>
    <col min="7174" max="7174" width="12.7109375" style="262" bestFit="1" customWidth="1"/>
    <col min="7175" max="7175" width="11.42578125" style="262" bestFit="1" customWidth="1"/>
    <col min="7176" max="7176" width="12.7109375" style="262" bestFit="1" customWidth="1"/>
    <col min="7177" max="7177" width="8.28515625" style="262" bestFit="1" customWidth="1"/>
    <col min="7178" max="7178" width="14.140625" style="262" bestFit="1" customWidth="1"/>
    <col min="7179" max="7181" width="12.140625" style="262" bestFit="1" customWidth="1"/>
    <col min="7182" max="7182" width="10.5703125" style="262" bestFit="1" customWidth="1"/>
    <col min="7183" max="7183" width="6.28515625" style="262" bestFit="1" customWidth="1"/>
    <col min="7184" max="7424" width="9.140625" style="262"/>
    <col min="7425" max="7425" width="12.140625" style="262" bestFit="1" customWidth="1"/>
    <col min="7426" max="7426" width="8.28515625" style="262" bestFit="1" customWidth="1"/>
    <col min="7427" max="7427" width="11.42578125" style="262" bestFit="1" customWidth="1"/>
    <col min="7428" max="7428" width="13" style="262" bestFit="1" customWidth="1"/>
    <col min="7429" max="7429" width="10.140625" style="262" bestFit="1" customWidth="1"/>
    <col min="7430" max="7430" width="12.7109375" style="262" bestFit="1" customWidth="1"/>
    <col min="7431" max="7431" width="11.42578125" style="262" bestFit="1" customWidth="1"/>
    <col min="7432" max="7432" width="12.7109375" style="262" bestFit="1" customWidth="1"/>
    <col min="7433" max="7433" width="8.28515625" style="262" bestFit="1" customWidth="1"/>
    <col min="7434" max="7434" width="14.140625" style="262" bestFit="1" customWidth="1"/>
    <col min="7435" max="7437" width="12.140625" style="262" bestFit="1" customWidth="1"/>
    <col min="7438" max="7438" width="10.5703125" style="262" bestFit="1" customWidth="1"/>
    <col min="7439" max="7439" width="6.28515625" style="262" bestFit="1" customWidth="1"/>
    <col min="7440" max="7680" width="9.140625" style="262"/>
    <col min="7681" max="7681" width="12.140625" style="262" bestFit="1" customWidth="1"/>
    <col min="7682" max="7682" width="8.28515625" style="262" bestFit="1" customWidth="1"/>
    <col min="7683" max="7683" width="11.42578125" style="262" bestFit="1" customWidth="1"/>
    <col min="7684" max="7684" width="13" style="262" bestFit="1" customWidth="1"/>
    <col min="7685" max="7685" width="10.140625" style="262" bestFit="1" customWidth="1"/>
    <col min="7686" max="7686" width="12.7109375" style="262" bestFit="1" customWidth="1"/>
    <col min="7687" max="7687" width="11.42578125" style="262" bestFit="1" customWidth="1"/>
    <col min="7688" max="7688" width="12.7109375" style="262" bestFit="1" customWidth="1"/>
    <col min="7689" max="7689" width="8.28515625" style="262" bestFit="1" customWidth="1"/>
    <col min="7690" max="7690" width="14.140625" style="262" bestFit="1" customWidth="1"/>
    <col min="7691" max="7693" width="12.140625" style="262" bestFit="1" customWidth="1"/>
    <col min="7694" max="7694" width="10.5703125" style="262" bestFit="1" customWidth="1"/>
    <col min="7695" max="7695" width="6.28515625" style="262" bestFit="1" customWidth="1"/>
    <col min="7696" max="7936" width="9.140625" style="262"/>
    <col min="7937" max="7937" width="12.140625" style="262" bestFit="1" customWidth="1"/>
    <col min="7938" max="7938" width="8.28515625" style="262" bestFit="1" customWidth="1"/>
    <col min="7939" max="7939" width="11.42578125" style="262" bestFit="1" customWidth="1"/>
    <col min="7940" max="7940" width="13" style="262" bestFit="1" customWidth="1"/>
    <col min="7941" max="7941" width="10.140625" style="262" bestFit="1" customWidth="1"/>
    <col min="7942" max="7942" width="12.7109375" style="262" bestFit="1" customWidth="1"/>
    <col min="7943" max="7943" width="11.42578125" style="262" bestFit="1" customWidth="1"/>
    <col min="7944" max="7944" width="12.7109375" style="262" bestFit="1" customWidth="1"/>
    <col min="7945" max="7945" width="8.28515625" style="262" bestFit="1" customWidth="1"/>
    <col min="7946" max="7946" width="14.140625" style="262" bestFit="1" customWidth="1"/>
    <col min="7947" max="7949" width="12.140625" style="262" bestFit="1" customWidth="1"/>
    <col min="7950" max="7950" width="10.5703125" style="262" bestFit="1" customWidth="1"/>
    <col min="7951" max="7951" width="6.28515625" style="262" bestFit="1" customWidth="1"/>
    <col min="7952" max="8192" width="9.140625" style="262"/>
    <col min="8193" max="8193" width="12.140625" style="262" bestFit="1" customWidth="1"/>
    <col min="8194" max="8194" width="8.28515625" style="262" bestFit="1" customWidth="1"/>
    <col min="8195" max="8195" width="11.42578125" style="262" bestFit="1" customWidth="1"/>
    <col min="8196" max="8196" width="13" style="262" bestFit="1" customWidth="1"/>
    <col min="8197" max="8197" width="10.140625" style="262" bestFit="1" customWidth="1"/>
    <col min="8198" max="8198" width="12.7109375" style="262" bestFit="1" customWidth="1"/>
    <col min="8199" max="8199" width="11.42578125" style="262" bestFit="1" customWidth="1"/>
    <col min="8200" max="8200" width="12.7109375" style="262" bestFit="1" customWidth="1"/>
    <col min="8201" max="8201" width="8.28515625" style="262" bestFit="1" customWidth="1"/>
    <col min="8202" max="8202" width="14.140625" style="262" bestFit="1" customWidth="1"/>
    <col min="8203" max="8205" width="12.140625" style="262" bestFit="1" customWidth="1"/>
    <col min="8206" max="8206" width="10.5703125" style="262" bestFit="1" customWidth="1"/>
    <col min="8207" max="8207" width="6.28515625" style="262" bestFit="1" customWidth="1"/>
    <col min="8208" max="8448" width="9.140625" style="262"/>
    <col min="8449" max="8449" width="12.140625" style="262" bestFit="1" customWidth="1"/>
    <col min="8450" max="8450" width="8.28515625" style="262" bestFit="1" customWidth="1"/>
    <col min="8451" max="8451" width="11.42578125" style="262" bestFit="1" customWidth="1"/>
    <col min="8452" max="8452" width="13" style="262" bestFit="1" customWidth="1"/>
    <col min="8453" max="8453" width="10.140625" style="262" bestFit="1" customWidth="1"/>
    <col min="8454" max="8454" width="12.7109375" style="262" bestFit="1" customWidth="1"/>
    <col min="8455" max="8455" width="11.42578125" style="262" bestFit="1" customWidth="1"/>
    <col min="8456" max="8456" width="12.7109375" style="262" bestFit="1" customWidth="1"/>
    <col min="8457" max="8457" width="8.28515625" style="262" bestFit="1" customWidth="1"/>
    <col min="8458" max="8458" width="14.140625" style="262" bestFit="1" customWidth="1"/>
    <col min="8459" max="8461" width="12.140625" style="262" bestFit="1" customWidth="1"/>
    <col min="8462" max="8462" width="10.5703125" style="262" bestFit="1" customWidth="1"/>
    <col min="8463" max="8463" width="6.28515625" style="262" bestFit="1" customWidth="1"/>
    <col min="8464" max="8704" width="9.140625" style="262"/>
    <col min="8705" max="8705" width="12.140625" style="262" bestFit="1" customWidth="1"/>
    <col min="8706" max="8706" width="8.28515625" style="262" bestFit="1" customWidth="1"/>
    <col min="8707" max="8707" width="11.42578125" style="262" bestFit="1" customWidth="1"/>
    <col min="8708" max="8708" width="13" style="262" bestFit="1" customWidth="1"/>
    <col min="8709" max="8709" width="10.140625" style="262" bestFit="1" customWidth="1"/>
    <col min="8710" max="8710" width="12.7109375" style="262" bestFit="1" customWidth="1"/>
    <col min="8711" max="8711" width="11.42578125" style="262" bestFit="1" customWidth="1"/>
    <col min="8712" max="8712" width="12.7109375" style="262" bestFit="1" customWidth="1"/>
    <col min="8713" max="8713" width="8.28515625" style="262" bestFit="1" customWidth="1"/>
    <col min="8714" max="8714" width="14.140625" style="262" bestFit="1" customWidth="1"/>
    <col min="8715" max="8717" width="12.140625" style="262" bestFit="1" customWidth="1"/>
    <col min="8718" max="8718" width="10.5703125" style="262" bestFit="1" customWidth="1"/>
    <col min="8719" max="8719" width="6.28515625" style="262" bestFit="1" customWidth="1"/>
    <col min="8720" max="8960" width="9.140625" style="262"/>
    <col min="8961" max="8961" width="12.140625" style="262" bestFit="1" customWidth="1"/>
    <col min="8962" max="8962" width="8.28515625" style="262" bestFit="1" customWidth="1"/>
    <col min="8963" max="8963" width="11.42578125" style="262" bestFit="1" customWidth="1"/>
    <col min="8964" max="8964" width="13" style="262" bestFit="1" customWidth="1"/>
    <col min="8965" max="8965" width="10.140625" style="262" bestFit="1" customWidth="1"/>
    <col min="8966" max="8966" width="12.7109375" style="262" bestFit="1" customWidth="1"/>
    <col min="8967" max="8967" width="11.42578125" style="262" bestFit="1" customWidth="1"/>
    <col min="8968" max="8968" width="12.7109375" style="262" bestFit="1" customWidth="1"/>
    <col min="8969" max="8969" width="8.28515625" style="262" bestFit="1" customWidth="1"/>
    <col min="8970" max="8970" width="14.140625" style="262" bestFit="1" customWidth="1"/>
    <col min="8971" max="8973" width="12.140625" style="262" bestFit="1" customWidth="1"/>
    <col min="8974" max="8974" width="10.5703125" style="262" bestFit="1" customWidth="1"/>
    <col min="8975" max="8975" width="6.28515625" style="262" bestFit="1" customWidth="1"/>
    <col min="8976" max="9216" width="9.140625" style="262"/>
    <col min="9217" max="9217" width="12.140625" style="262" bestFit="1" customWidth="1"/>
    <col min="9218" max="9218" width="8.28515625" style="262" bestFit="1" customWidth="1"/>
    <col min="9219" max="9219" width="11.42578125" style="262" bestFit="1" customWidth="1"/>
    <col min="9220" max="9220" width="13" style="262" bestFit="1" customWidth="1"/>
    <col min="9221" max="9221" width="10.140625" style="262" bestFit="1" customWidth="1"/>
    <col min="9222" max="9222" width="12.7109375" style="262" bestFit="1" customWidth="1"/>
    <col min="9223" max="9223" width="11.42578125" style="262" bestFit="1" customWidth="1"/>
    <col min="9224" max="9224" width="12.7109375" style="262" bestFit="1" customWidth="1"/>
    <col min="9225" max="9225" width="8.28515625" style="262" bestFit="1" customWidth="1"/>
    <col min="9226" max="9226" width="14.140625" style="262" bestFit="1" customWidth="1"/>
    <col min="9227" max="9229" width="12.140625" style="262" bestFit="1" customWidth="1"/>
    <col min="9230" max="9230" width="10.5703125" style="262" bestFit="1" customWidth="1"/>
    <col min="9231" max="9231" width="6.28515625" style="262" bestFit="1" customWidth="1"/>
    <col min="9232" max="9472" width="9.140625" style="262"/>
    <col min="9473" max="9473" width="12.140625" style="262" bestFit="1" customWidth="1"/>
    <col min="9474" max="9474" width="8.28515625" style="262" bestFit="1" customWidth="1"/>
    <col min="9475" max="9475" width="11.42578125" style="262" bestFit="1" customWidth="1"/>
    <col min="9476" max="9476" width="13" style="262" bestFit="1" customWidth="1"/>
    <col min="9477" max="9477" width="10.140625" style="262" bestFit="1" customWidth="1"/>
    <col min="9478" max="9478" width="12.7109375" style="262" bestFit="1" customWidth="1"/>
    <col min="9479" max="9479" width="11.42578125" style="262" bestFit="1" customWidth="1"/>
    <col min="9480" max="9480" width="12.7109375" style="262" bestFit="1" customWidth="1"/>
    <col min="9481" max="9481" width="8.28515625" style="262" bestFit="1" customWidth="1"/>
    <col min="9482" max="9482" width="14.140625" style="262" bestFit="1" customWidth="1"/>
    <col min="9483" max="9485" width="12.140625" style="262" bestFit="1" customWidth="1"/>
    <col min="9486" max="9486" width="10.5703125" style="262" bestFit="1" customWidth="1"/>
    <col min="9487" max="9487" width="6.28515625" style="262" bestFit="1" customWidth="1"/>
    <col min="9488" max="9728" width="9.140625" style="262"/>
    <col min="9729" max="9729" width="12.140625" style="262" bestFit="1" customWidth="1"/>
    <col min="9730" max="9730" width="8.28515625" style="262" bestFit="1" customWidth="1"/>
    <col min="9731" max="9731" width="11.42578125" style="262" bestFit="1" customWidth="1"/>
    <col min="9732" max="9732" width="13" style="262" bestFit="1" customWidth="1"/>
    <col min="9733" max="9733" width="10.140625" style="262" bestFit="1" customWidth="1"/>
    <col min="9734" max="9734" width="12.7109375" style="262" bestFit="1" customWidth="1"/>
    <col min="9735" max="9735" width="11.42578125" style="262" bestFit="1" customWidth="1"/>
    <col min="9736" max="9736" width="12.7109375" style="262" bestFit="1" customWidth="1"/>
    <col min="9737" max="9737" width="8.28515625" style="262" bestFit="1" customWidth="1"/>
    <col min="9738" max="9738" width="14.140625" style="262" bestFit="1" customWidth="1"/>
    <col min="9739" max="9741" width="12.140625" style="262" bestFit="1" customWidth="1"/>
    <col min="9742" max="9742" width="10.5703125" style="262" bestFit="1" customWidth="1"/>
    <col min="9743" max="9743" width="6.28515625" style="262" bestFit="1" customWidth="1"/>
    <col min="9744" max="9984" width="9.140625" style="262"/>
    <col min="9985" max="9985" width="12.140625" style="262" bestFit="1" customWidth="1"/>
    <col min="9986" max="9986" width="8.28515625" style="262" bestFit="1" customWidth="1"/>
    <col min="9987" max="9987" width="11.42578125" style="262" bestFit="1" customWidth="1"/>
    <col min="9988" max="9988" width="13" style="262" bestFit="1" customWidth="1"/>
    <col min="9989" max="9989" width="10.140625" style="262" bestFit="1" customWidth="1"/>
    <col min="9990" max="9990" width="12.7109375" style="262" bestFit="1" customWidth="1"/>
    <col min="9991" max="9991" width="11.42578125" style="262" bestFit="1" customWidth="1"/>
    <col min="9992" max="9992" width="12.7109375" style="262" bestFit="1" customWidth="1"/>
    <col min="9993" max="9993" width="8.28515625" style="262" bestFit="1" customWidth="1"/>
    <col min="9994" max="9994" width="14.140625" style="262" bestFit="1" customWidth="1"/>
    <col min="9995" max="9997" width="12.140625" style="262" bestFit="1" customWidth="1"/>
    <col min="9998" max="9998" width="10.5703125" style="262" bestFit="1" customWidth="1"/>
    <col min="9999" max="9999" width="6.28515625" style="262" bestFit="1" customWidth="1"/>
    <col min="10000" max="10240" width="9.140625" style="262"/>
    <col min="10241" max="10241" width="12.140625" style="262" bestFit="1" customWidth="1"/>
    <col min="10242" max="10242" width="8.28515625" style="262" bestFit="1" customWidth="1"/>
    <col min="10243" max="10243" width="11.42578125" style="262" bestFit="1" customWidth="1"/>
    <col min="10244" max="10244" width="13" style="262" bestFit="1" customWidth="1"/>
    <col min="10245" max="10245" width="10.140625" style="262" bestFit="1" customWidth="1"/>
    <col min="10246" max="10246" width="12.7109375" style="262" bestFit="1" customWidth="1"/>
    <col min="10247" max="10247" width="11.42578125" style="262" bestFit="1" customWidth="1"/>
    <col min="10248" max="10248" width="12.7109375" style="262" bestFit="1" customWidth="1"/>
    <col min="10249" max="10249" width="8.28515625" style="262" bestFit="1" customWidth="1"/>
    <col min="10250" max="10250" width="14.140625" style="262" bestFit="1" customWidth="1"/>
    <col min="10251" max="10253" width="12.140625" style="262" bestFit="1" customWidth="1"/>
    <col min="10254" max="10254" width="10.5703125" style="262" bestFit="1" customWidth="1"/>
    <col min="10255" max="10255" width="6.28515625" style="262" bestFit="1" customWidth="1"/>
    <col min="10256" max="10496" width="9.140625" style="262"/>
    <col min="10497" max="10497" width="12.140625" style="262" bestFit="1" customWidth="1"/>
    <col min="10498" max="10498" width="8.28515625" style="262" bestFit="1" customWidth="1"/>
    <col min="10499" max="10499" width="11.42578125" style="262" bestFit="1" customWidth="1"/>
    <col min="10500" max="10500" width="13" style="262" bestFit="1" customWidth="1"/>
    <col min="10501" max="10501" width="10.140625" style="262" bestFit="1" customWidth="1"/>
    <col min="10502" max="10502" width="12.7109375" style="262" bestFit="1" customWidth="1"/>
    <col min="10503" max="10503" width="11.42578125" style="262" bestFit="1" customWidth="1"/>
    <col min="10504" max="10504" width="12.7109375" style="262" bestFit="1" customWidth="1"/>
    <col min="10505" max="10505" width="8.28515625" style="262" bestFit="1" customWidth="1"/>
    <col min="10506" max="10506" width="14.140625" style="262" bestFit="1" customWidth="1"/>
    <col min="10507" max="10509" width="12.140625" style="262" bestFit="1" customWidth="1"/>
    <col min="10510" max="10510" width="10.5703125" style="262" bestFit="1" customWidth="1"/>
    <col min="10511" max="10511" width="6.28515625" style="262" bestFit="1" customWidth="1"/>
    <col min="10512" max="10752" width="9.140625" style="262"/>
    <col min="10753" max="10753" width="12.140625" style="262" bestFit="1" customWidth="1"/>
    <col min="10754" max="10754" width="8.28515625" style="262" bestFit="1" customWidth="1"/>
    <col min="10755" max="10755" width="11.42578125" style="262" bestFit="1" customWidth="1"/>
    <col min="10756" max="10756" width="13" style="262" bestFit="1" customWidth="1"/>
    <col min="10757" max="10757" width="10.140625" style="262" bestFit="1" customWidth="1"/>
    <col min="10758" max="10758" width="12.7109375" style="262" bestFit="1" customWidth="1"/>
    <col min="10759" max="10759" width="11.42578125" style="262" bestFit="1" customWidth="1"/>
    <col min="10760" max="10760" width="12.7109375" style="262" bestFit="1" customWidth="1"/>
    <col min="10761" max="10761" width="8.28515625" style="262" bestFit="1" customWidth="1"/>
    <col min="10762" max="10762" width="14.140625" style="262" bestFit="1" customWidth="1"/>
    <col min="10763" max="10765" width="12.140625" style="262" bestFit="1" customWidth="1"/>
    <col min="10766" max="10766" width="10.5703125" style="262" bestFit="1" customWidth="1"/>
    <col min="10767" max="10767" width="6.28515625" style="262" bestFit="1" customWidth="1"/>
    <col min="10768" max="11008" width="9.140625" style="262"/>
    <col min="11009" max="11009" width="12.140625" style="262" bestFit="1" customWidth="1"/>
    <col min="11010" max="11010" width="8.28515625" style="262" bestFit="1" customWidth="1"/>
    <col min="11011" max="11011" width="11.42578125" style="262" bestFit="1" customWidth="1"/>
    <col min="11012" max="11012" width="13" style="262" bestFit="1" customWidth="1"/>
    <col min="11013" max="11013" width="10.140625" style="262" bestFit="1" customWidth="1"/>
    <col min="11014" max="11014" width="12.7109375" style="262" bestFit="1" customWidth="1"/>
    <col min="11015" max="11015" width="11.42578125" style="262" bestFit="1" customWidth="1"/>
    <col min="11016" max="11016" width="12.7109375" style="262" bestFit="1" customWidth="1"/>
    <col min="11017" max="11017" width="8.28515625" style="262" bestFit="1" customWidth="1"/>
    <col min="11018" max="11018" width="14.140625" style="262" bestFit="1" customWidth="1"/>
    <col min="11019" max="11021" width="12.140625" style="262" bestFit="1" customWidth="1"/>
    <col min="11022" max="11022" width="10.5703125" style="262" bestFit="1" customWidth="1"/>
    <col min="11023" max="11023" width="6.28515625" style="262" bestFit="1" customWidth="1"/>
    <col min="11024" max="11264" width="9.140625" style="262"/>
    <col min="11265" max="11265" width="12.140625" style="262" bestFit="1" customWidth="1"/>
    <col min="11266" max="11266" width="8.28515625" style="262" bestFit="1" customWidth="1"/>
    <col min="11267" max="11267" width="11.42578125" style="262" bestFit="1" customWidth="1"/>
    <col min="11268" max="11268" width="13" style="262" bestFit="1" customWidth="1"/>
    <col min="11269" max="11269" width="10.140625" style="262" bestFit="1" customWidth="1"/>
    <col min="11270" max="11270" width="12.7109375" style="262" bestFit="1" customWidth="1"/>
    <col min="11271" max="11271" width="11.42578125" style="262" bestFit="1" customWidth="1"/>
    <col min="11272" max="11272" width="12.7109375" style="262" bestFit="1" customWidth="1"/>
    <col min="11273" max="11273" width="8.28515625" style="262" bestFit="1" customWidth="1"/>
    <col min="11274" max="11274" width="14.140625" style="262" bestFit="1" customWidth="1"/>
    <col min="11275" max="11277" width="12.140625" style="262" bestFit="1" customWidth="1"/>
    <col min="11278" max="11278" width="10.5703125" style="262" bestFit="1" customWidth="1"/>
    <col min="11279" max="11279" width="6.28515625" style="262" bestFit="1" customWidth="1"/>
    <col min="11280" max="11520" width="9.140625" style="262"/>
    <col min="11521" max="11521" width="12.140625" style="262" bestFit="1" customWidth="1"/>
    <col min="11522" max="11522" width="8.28515625" style="262" bestFit="1" customWidth="1"/>
    <col min="11523" max="11523" width="11.42578125" style="262" bestFit="1" customWidth="1"/>
    <col min="11524" max="11524" width="13" style="262" bestFit="1" customWidth="1"/>
    <col min="11525" max="11525" width="10.140625" style="262" bestFit="1" customWidth="1"/>
    <col min="11526" max="11526" width="12.7109375" style="262" bestFit="1" customWidth="1"/>
    <col min="11527" max="11527" width="11.42578125" style="262" bestFit="1" customWidth="1"/>
    <col min="11528" max="11528" width="12.7109375" style="262" bestFit="1" customWidth="1"/>
    <col min="11529" max="11529" width="8.28515625" style="262" bestFit="1" customWidth="1"/>
    <col min="11530" max="11530" width="14.140625" style="262" bestFit="1" customWidth="1"/>
    <col min="11531" max="11533" width="12.140625" style="262" bestFit="1" customWidth="1"/>
    <col min="11534" max="11534" width="10.5703125" style="262" bestFit="1" customWidth="1"/>
    <col min="11535" max="11535" width="6.28515625" style="262" bestFit="1" customWidth="1"/>
    <col min="11536" max="11776" width="9.140625" style="262"/>
    <col min="11777" max="11777" width="12.140625" style="262" bestFit="1" customWidth="1"/>
    <col min="11778" max="11778" width="8.28515625" style="262" bestFit="1" customWidth="1"/>
    <col min="11779" max="11779" width="11.42578125" style="262" bestFit="1" customWidth="1"/>
    <col min="11780" max="11780" width="13" style="262" bestFit="1" customWidth="1"/>
    <col min="11781" max="11781" width="10.140625" style="262" bestFit="1" customWidth="1"/>
    <col min="11782" max="11782" width="12.7109375" style="262" bestFit="1" customWidth="1"/>
    <col min="11783" max="11783" width="11.42578125" style="262" bestFit="1" customWidth="1"/>
    <col min="11784" max="11784" width="12.7109375" style="262" bestFit="1" customWidth="1"/>
    <col min="11785" max="11785" width="8.28515625" style="262" bestFit="1" customWidth="1"/>
    <col min="11786" max="11786" width="14.140625" style="262" bestFit="1" customWidth="1"/>
    <col min="11787" max="11789" width="12.140625" style="262" bestFit="1" customWidth="1"/>
    <col min="11790" max="11790" width="10.5703125" style="262" bestFit="1" customWidth="1"/>
    <col min="11791" max="11791" width="6.28515625" style="262" bestFit="1" customWidth="1"/>
    <col min="11792" max="12032" width="9.140625" style="262"/>
    <col min="12033" max="12033" width="12.140625" style="262" bestFit="1" customWidth="1"/>
    <col min="12034" max="12034" width="8.28515625" style="262" bestFit="1" customWidth="1"/>
    <col min="12035" max="12035" width="11.42578125" style="262" bestFit="1" customWidth="1"/>
    <col min="12036" max="12036" width="13" style="262" bestFit="1" customWidth="1"/>
    <col min="12037" max="12037" width="10.140625" style="262" bestFit="1" customWidth="1"/>
    <col min="12038" max="12038" width="12.7109375" style="262" bestFit="1" customWidth="1"/>
    <col min="12039" max="12039" width="11.42578125" style="262" bestFit="1" customWidth="1"/>
    <col min="12040" max="12040" width="12.7109375" style="262" bestFit="1" customWidth="1"/>
    <col min="12041" max="12041" width="8.28515625" style="262" bestFit="1" customWidth="1"/>
    <col min="12042" max="12042" width="14.140625" style="262" bestFit="1" customWidth="1"/>
    <col min="12043" max="12045" width="12.140625" style="262" bestFit="1" customWidth="1"/>
    <col min="12046" max="12046" width="10.5703125" style="262" bestFit="1" customWidth="1"/>
    <col min="12047" max="12047" width="6.28515625" style="262" bestFit="1" customWidth="1"/>
    <col min="12048" max="12288" width="9.140625" style="262"/>
    <col min="12289" max="12289" width="12.140625" style="262" bestFit="1" customWidth="1"/>
    <col min="12290" max="12290" width="8.28515625" style="262" bestFit="1" customWidth="1"/>
    <col min="12291" max="12291" width="11.42578125" style="262" bestFit="1" customWidth="1"/>
    <col min="12292" max="12292" width="13" style="262" bestFit="1" customWidth="1"/>
    <col min="12293" max="12293" width="10.140625" style="262" bestFit="1" customWidth="1"/>
    <col min="12294" max="12294" width="12.7109375" style="262" bestFit="1" customWidth="1"/>
    <col min="12295" max="12295" width="11.42578125" style="262" bestFit="1" customWidth="1"/>
    <col min="12296" max="12296" width="12.7109375" style="262" bestFit="1" customWidth="1"/>
    <col min="12297" max="12297" width="8.28515625" style="262" bestFit="1" customWidth="1"/>
    <col min="12298" max="12298" width="14.140625" style="262" bestFit="1" customWidth="1"/>
    <col min="12299" max="12301" width="12.140625" style="262" bestFit="1" customWidth="1"/>
    <col min="12302" max="12302" width="10.5703125" style="262" bestFit="1" customWidth="1"/>
    <col min="12303" max="12303" width="6.28515625" style="262" bestFit="1" customWidth="1"/>
    <col min="12304" max="12544" width="9.140625" style="262"/>
    <col min="12545" max="12545" width="12.140625" style="262" bestFit="1" customWidth="1"/>
    <col min="12546" max="12546" width="8.28515625" style="262" bestFit="1" customWidth="1"/>
    <col min="12547" max="12547" width="11.42578125" style="262" bestFit="1" customWidth="1"/>
    <col min="12548" max="12548" width="13" style="262" bestFit="1" customWidth="1"/>
    <col min="12549" max="12549" width="10.140625" style="262" bestFit="1" customWidth="1"/>
    <col min="12550" max="12550" width="12.7109375" style="262" bestFit="1" customWidth="1"/>
    <col min="12551" max="12551" width="11.42578125" style="262" bestFit="1" customWidth="1"/>
    <col min="12552" max="12552" width="12.7109375" style="262" bestFit="1" customWidth="1"/>
    <col min="12553" max="12553" width="8.28515625" style="262" bestFit="1" customWidth="1"/>
    <col min="12554" max="12554" width="14.140625" style="262" bestFit="1" customWidth="1"/>
    <col min="12555" max="12557" width="12.140625" style="262" bestFit="1" customWidth="1"/>
    <col min="12558" max="12558" width="10.5703125" style="262" bestFit="1" customWidth="1"/>
    <col min="12559" max="12559" width="6.28515625" style="262" bestFit="1" customWidth="1"/>
    <col min="12560" max="12800" width="9.140625" style="262"/>
    <col min="12801" max="12801" width="12.140625" style="262" bestFit="1" customWidth="1"/>
    <col min="12802" max="12802" width="8.28515625" style="262" bestFit="1" customWidth="1"/>
    <col min="12803" max="12803" width="11.42578125" style="262" bestFit="1" customWidth="1"/>
    <col min="12804" max="12804" width="13" style="262" bestFit="1" customWidth="1"/>
    <col min="12805" max="12805" width="10.140625" style="262" bestFit="1" customWidth="1"/>
    <col min="12806" max="12806" width="12.7109375" style="262" bestFit="1" customWidth="1"/>
    <col min="12807" max="12807" width="11.42578125" style="262" bestFit="1" customWidth="1"/>
    <col min="12808" max="12808" width="12.7109375" style="262" bestFit="1" customWidth="1"/>
    <col min="12809" max="12809" width="8.28515625" style="262" bestFit="1" customWidth="1"/>
    <col min="12810" max="12810" width="14.140625" style="262" bestFit="1" customWidth="1"/>
    <col min="12811" max="12813" width="12.140625" style="262" bestFit="1" customWidth="1"/>
    <col min="12814" max="12814" width="10.5703125" style="262" bestFit="1" customWidth="1"/>
    <col min="12815" max="12815" width="6.28515625" style="262" bestFit="1" customWidth="1"/>
    <col min="12816" max="13056" width="9.140625" style="262"/>
    <col min="13057" max="13057" width="12.140625" style="262" bestFit="1" customWidth="1"/>
    <col min="13058" max="13058" width="8.28515625" style="262" bestFit="1" customWidth="1"/>
    <col min="13059" max="13059" width="11.42578125" style="262" bestFit="1" customWidth="1"/>
    <col min="13060" max="13060" width="13" style="262" bestFit="1" customWidth="1"/>
    <col min="13061" max="13061" width="10.140625" style="262" bestFit="1" customWidth="1"/>
    <col min="13062" max="13062" width="12.7109375" style="262" bestFit="1" customWidth="1"/>
    <col min="13063" max="13063" width="11.42578125" style="262" bestFit="1" customWidth="1"/>
    <col min="13064" max="13064" width="12.7109375" style="262" bestFit="1" customWidth="1"/>
    <col min="13065" max="13065" width="8.28515625" style="262" bestFit="1" customWidth="1"/>
    <col min="13066" max="13066" width="14.140625" style="262" bestFit="1" customWidth="1"/>
    <col min="13067" max="13069" width="12.140625" style="262" bestFit="1" customWidth="1"/>
    <col min="13070" max="13070" width="10.5703125" style="262" bestFit="1" customWidth="1"/>
    <col min="13071" max="13071" width="6.28515625" style="262" bestFit="1" customWidth="1"/>
    <col min="13072" max="13312" width="9.140625" style="262"/>
    <col min="13313" max="13313" width="12.140625" style="262" bestFit="1" customWidth="1"/>
    <col min="13314" max="13314" width="8.28515625" style="262" bestFit="1" customWidth="1"/>
    <col min="13315" max="13315" width="11.42578125" style="262" bestFit="1" customWidth="1"/>
    <col min="13316" max="13316" width="13" style="262" bestFit="1" customWidth="1"/>
    <col min="13317" max="13317" width="10.140625" style="262" bestFit="1" customWidth="1"/>
    <col min="13318" max="13318" width="12.7109375" style="262" bestFit="1" customWidth="1"/>
    <col min="13319" max="13319" width="11.42578125" style="262" bestFit="1" customWidth="1"/>
    <col min="13320" max="13320" width="12.7109375" style="262" bestFit="1" customWidth="1"/>
    <col min="13321" max="13321" width="8.28515625" style="262" bestFit="1" customWidth="1"/>
    <col min="13322" max="13322" width="14.140625" style="262" bestFit="1" customWidth="1"/>
    <col min="13323" max="13325" width="12.140625" style="262" bestFit="1" customWidth="1"/>
    <col min="13326" max="13326" width="10.5703125" style="262" bestFit="1" customWidth="1"/>
    <col min="13327" max="13327" width="6.28515625" style="262" bestFit="1" customWidth="1"/>
    <col min="13328" max="13568" width="9.140625" style="262"/>
    <col min="13569" max="13569" width="12.140625" style="262" bestFit="1" customWidth="1"/>
    <col min="13570" max="13570" width="8.28515625" style="262" bestFit="1" customWidth="1"/>
    <col min="13571" max="13571" width="11.42578125" style="262" bestFit="1" customWidth="1"/>
    <col min="13572" max="13572" width="13" style="262" bestFit="1" customWidth="1"/>
    <col min="13573" max="13573" width="10.140625" style="262" bestFit="1" customWidth="1"/>
    <col min="13574" max="13574" width="12.7109375" style="262" bestFit="1" customWidth="1"/>
    <col min="13575" max="13575" width="11.42578125" style="262" bestFit="1" customWidth="1"/>
    <col min="13576" max="13576" width="12.7109375" style="262" bestFit="1" customWidth="1"/>
    <col min="13577" max="13577" width="8.28515625" style="262" bestFit="1" customWidth="1"/>
    <col min="13578" max="13578" width="14.140625" style="262" bestFit="1" customWidth="1"/>
    <col min="13579" max="13581" width="12.140625" style="262" bestFit="1" customWidth="1"/>
    <col min="13582" max="13582" width="10.5703125" style="262" bestFit="1" customWidth="1"/>
    <col min="13583" max="13583" width="6.28515625" style="262" bestFit="1" customWidth="1"/>
    <col min="13584" max="13824" width="9.140625" style="262"/>
    <col min="13825" max="13825" width="12.140625" style="262" bestFit="1" customWidth="1"/>
    <col min="13826" max="13826" width="8.28515625" style="262" bestFit="1" customWidth="1"/>
    <col min="13827" max="13827" width="11.42578125" style="262" bestFit="1" customWidth="1"/>
    <col min="13828" max="13828" width="13" style="262" bestFit="1" customWidth="1"/>
    <col min="13829" max="13829" width="10.140625" style="262" bestFit="1" customWidth="1"/>
    <col min="13830" max="13830" width="12.7109375" style="262" bestFit="1" customWidth="1"/>
    <col min="13831" max="13831" width="11.42578125" style="262" bestFit="1" customWidth="1"/>
    <col min="13832" max="13832" width="12.7109375" style="262" bestFit="1" customWidth="1"/>
    <col min="13833" max="13833" width="8.28515625" style="262" bestFit="1" customWidth="1"/>
    <col min="13834" max="13834" width="14.140625" style="262" bestFit="1" customWidth="1"/>
    <col min="13835" max="13837" width="12.140625" style="262" bestFit="1" customWidth="1"/>
    <col min="13838" max="13838" width="10.5703125" style="262" bestFit="1" customWidth="1"/>
    <col min="13839" max="13839" width="6.28515625" style="262" bestFit="1" customWidth="1"/>
    <col min="13840" max="14080" width="9.140625" style="262"/>
    <col min="14081" max="14081" width="12.140625" style="262" bestFit="1" customWidth="1"/>
    <col min="14082" max="14082" width="8.28515625" style="262" bestFit="1" customWidth="1"/>
    <col min="14083" max="14083" width="11.42578125" style="262" bestFit="1" customWidth="1"/>
    <col min="14084" max="14084" width="13" style="262" bestFit="1" customWidth="1"/>
    <col min="14085" max="14085" width="10.140625" style="262" bestFit="1" customWidth="1"/>
    <col min="14086" max="14086" width="12.7109375" style="262" bestFit="1" customWidth="1"/>
    <col min="14087" max="14087" width="11.42578125" style="262" bestFit="1" customWidth="1"/>
    <col min="14088" max="14088" width="12.7109375" style="262" bestFit="1" customWidth="1"/>
    <col min="14089" max="14089" width="8.28515625" style="262" bestFit="1" customWidth="1"/>
    <col min="14090" max="14090" width="14.140625" style="262" bestFit="1" customWidth="1"/>
    <col min="14091" max="14093" width="12.140625" style="262" bestFit="1" customWidth="1"/>
    <col min="14094" max="14094" width="10.5703125" style="262" bestFit="1" customWidth="1"/>
    <col min="14095" max="14095" width="6.28515625" style="262" bestFit="1" customWidth="1"/>
    <col min="14096" max="14336" width="9.140625" style="262"/>
    <col min="14337" max="14337" width="12.140625" style="262" bestFit="1" customWidth="1"/>
    <col min="14338" max="14338" width="8.28515625" style="262" bestFit="1" customWidth="1"/>
    <col min="14339" max="14339" width="11.42578125" style="262" bestFit="1" customWidth="1"/>
    <col min="14340" max="14340" width="13" style="262" bestFit="1" customWidth="1"/>
    <col min="14341" max="14341" width="10.140625" style="262" bestFit="1" customWidth="1"/>
    <col min="14342" max="14342" width="12.7109375" style="262" bestFit="1" customWidth="1"/>
    <col min="14343" max="14343" width="11.42578125" style="262" bestFit="1" customWidth="1"/>
    <col min="14344" max="14344" width="12.7109375" style="262" bestFit="1" customWidth="1"/>
    <col min="14345" max="14345" width="8.28515625" style="262" bestFit="1" customWidth="1"/>
    <col min="14346" max="14346" width="14.140625" style="262" bestFit="1" customWidth="1"/>
    <col min="14347" max="14349" width="12.140625" style="262" bestFit="1" customWidth="1"/>
    <col min="14350" max="14350" width="10.5703125" style="262" bestFit="1" customWidth="1"/>
    <col min="14351" max="14351" width="6.28515625" style="262" bestFit="1" customWidth="1"/>
    <col min="14352" max="14592" width="9.140625" style="262"/>
    <col min="14593" max="14593" width="12.140625" style="262" bestFit="1" customWidth="1"/>
    <col min="14594" max="14594" width="8.28515625" style="262" bestFit="1" customWidth="1"/>
    <col min="14595" max="14595" width="11.42578125" style="262" bestFit="1" customWidth="1"/>
    <col min="14596" max="14596" width="13" style="262" bestFit="1" customWidth="1"/>
    <col min="14597" max="14597" width="10.140625" style="262" bestFit="1" customWidth="1"/>
    <col min="14598" max="14598" width="12.7109375" style="262" bestFit="1" customWidth="1"/>
    <col min="14599" max="14599" width="11.42578125" style="262" bestFit="1" customWidth="1"/>
    <col min="14600" max="14600" width="12.7109375" style="262" bestFit="1" customWidth="1"/>
    <col min="14601" max="14601" width="8.28515625" style="262" bestFit="1" customWidth="1"/>
    <col min="14602" max="14602" width="14.140625" style="262" bestFit="1" customWidth="1"/>
    <col min="14603" max="14605" width="12.140625" style="262" bestFit="1" customWidth="1"/>
    <col min="14606" max="14606" width="10.5703125" style="262" bestFit="1" customWidth="1"/>
    <col min="14607" max="14607" width="6.28515625" style="262" bestFit="1" customWidth="1"/>
    <col min="14608" max="14848" width="9.140625" style="262"/>
    <col min="14849" max="14849" width="12.140625" style="262" bestFit="1" customWidth="1"/>
    <col min="14850" max="14850" width="8.28515625" style="262" bestFit="1" customWidth="1"/>
    <col min="14851" max="14851" width="11.42578125" style="262" bestFit="1" customWidth="1"/>
    <col min="14852" max="14852" width="13" style="262" bestFit="1" customWidth="1"/>
    <col min="14853" max="14853" width="10.140625" style="262" bestFit="1" customWidth="1"/>
    <col min="14854" max="14854" width="12.7109375" style="262" bestFit="1" customWidth="1"/>
    <col min="14855" max="14855" width="11.42578125" style="262" bestFit="1" customWidth="1"/>
    <col min="14856" max="14856" width="12.7109375" style="262" bestFit="1" customWidth="1"/>
    <col min="14857" max="14857" width="8.28515625" style="262" bestFit="1" customWidth="1"/>
    <col min="14858" max="14858" width="14.140625" style="262" bestFit="1" customWidth="1"/>
    <col min="14859" max="14861" width="12.140625" style="262" bestFit="1" customWidth="1"/>
    <col min="14862" max="14862" width="10.5703125" style="262" bestFit="1" customWidth="1"/>
    <col min="14863" max="14863" width="6.28515625" style="262" bestFit="1" customWidth="1"/>
    <col min="14864" max="15104" width="9.140625" style="262"/>
    <col min="15105" max="15105" width="12.140625" style="262" bestFit="1" customWidth="1"/>
    <col min="15106" max="15106" width="8.28515625" style="262" bestFit="1" customWidth="1"/>
    <col min="15107" max="15107" width="11.42578125" style="262" bestFit="1" customWidth="1"/>
    <col min="15108" max="15108" width="13" style="262" bestFit="1" customWidth="1"/>
    <col min="15109" max="15109" width="10.140625" style="262" bestFit="1" customWidth="1"/>
    <col min="15110" max="15110" width="12.7109375" style="262" bestFit="1" customWidth="1"/>
    <col min="15111" max="15111" width="11.42578125" style="262" bestFit="1" customWidth="1"/>
    <col min="15112" max="15112" width="12.7109375" style="262" bestFit="1" customWidth="1"/>
    <col min="15113" max="15113" width="8.28515625" style="262" bestFit="1" customWidth="1"/>
    <col min="15114" max="15114" width="14.140625" style="262" bestFit="1" customWidth="1"/>
    <col min="15115" max="15117" width="12.140625" style="262" bestFit="1" customWidth="1"/>
    <col min="15118" max="15118" width="10.5703125" style="262" bestFit="1" customWidth="1"/>
    <col min="15119" max="15119" width="6.28515625" style="262" bestFit="1" customWidth="1"/>
    <col min="15120" max="15360" width="9.140625" style="262"/>
    <col min="15361" max="15361" width="12.140625" style="262" bestFit="1" customWidth="1"/>
    <col min="15362" max="15362" width="8.28515625" style="262" bestFit="1" customWidth="1"/>
    <col min="15363" max="15363" width="11.42578125" style="262" bestFit="1" customWidth="1"/>
    <col min="15364" max="15364" width="13" style="262" bestFit="1" customWidth="1"/>
    <col min="15365" max="15365" width="10.140625" style="262" bestFit="1" customWidth="1"/>
    <col min="15366" max="15366" width="12.7109375" style="262" bestFit="1" customWidth="1"/>
    <col min="15367" max="15367" width="11.42578125" style="262" bestFit="1" customWidth="1"/>
    <col min="15368" max="15368" width="12.7109375" style="262" bestFit="1" customWidth="1"/>
    <col min="15369" max="15369" width="8.28515625" style="262" bestFit="1" customWidth="1"/>
    <col min="15370" max="15370" width="14.140625" style="262" bestFit="1" customWidth="1"/>
    <col min="15371" max="15373" width="12.140625" style="262" bestFit="1" customWidth="1"/>
    <col min="15374" max="15374" width="10.5703125" style="262" bestFit="1" customWidth="1"/>
    <col min="15375" max="15375" width="6.28515625" style="262" bestFit="1" customWidth="1"/>
    <col min="15376" max="15616" width="9.140625" style="262"/>
    <col min="15617" max="15617" width="12.140625" style="262" bestFit="1" customWidth="1"/>
    <col min="15618" max="15618" width="8.28515625" style="262" bestFit="1" customWidth="1"/>
    <col min="15619" max="15619" width="11.42578125" style="262" bestFit="1" customWidth="1"/>
    <col min="15620" max="15620" width="13" style="262" bestFit="1" customWidth="1"/>
    <col min="15621" max="15621" width="10.140625" style="262" bestFit="1" customWidth="1"/>
    <col min="15622" max="15622" width="12.7109375" style="262" bestFit="1" customWidth="1"/>
    <col min="15623" max="15623" width="11.42578125" style="262" bestFit="1" customWidth="1"/>
    <col min="15624" max="15624" width="12.7109375" style="262" bestFit="1" customWidth="1"/>
    <col min="15625" max="15625" width="8.28515625" style="262" bestFit="1" customWidth="1"/>
    <col min="15626" max="15626" width="14.140625" style="262" bestFit="1" customWidth="1"/>
    <col min="15627" max="15629" width="12.140625" style="262" bestFit="1" customWidth="1"/>
    <col min="15630" max="15630" width="10.5703125" style="262" bestFit="1" customWidth="1"/>
    <col min="15631" max="15631" width="6.28515625" style="262" bestFit="1" customWidth="1"/>
    <col min="15632" max="15872" width="9.140625" style="262"/>
    <col min="15873" max="15873" width="12.140625" style="262" bestFit="1" customWidth="1"/>
    <col min="15874" max="15874" width="8.28515625" style="262" bestFit="1" customWidth="1"/>
    <col min="15875" max="15875" width="11.42578125" style="262" bestFit="1" customWidth="1"/>
    <col min="15876" max="15876" width="13" style="262" bestFit="1" customWidth="1"/>
    <col min="15877" max="15877" width="10.140625" style="262" bestFit="1" customWidth="1"/>
    <col min="15878" max="15878" width="12.7109375" style="262" bestFit="1" customWidth="1"/>
    <col min="15879" max="15879" width="11.42578125" style="262" bestFit="1" customWidth="1"/>
    <col min="15880" max="15880" width="12.7109375" style="262" bestFit="1" customWidth="1"/>
    <col min="15881" max="15881" width="8.28515625" style="262" bestFit="1" customWidth="1"/>
    <col min="15882" max="15882" width="14.140625" style="262" bestFit="1" customWidth="1"/>
    <col min="15883" max="15885" width="12.140625" style="262" bestFit="1" customWidth="1"/>
    <col min="15886" max="15886" width="10.5703125" style="262" bestFit="1" customWidth="1"/>
    <col min="15887" max="15887" width="6.28515625" style="262" bestFit="1" customWidth="1"/>
    <col min="15888" max="16128" width="9.140625" style="262"/>
    <col min="16129" max="16129" width="12.140625" style="262" bestFit="1" customWidth="1"/>
    <col min="16130" max="16130" width="8.28515625" style="262" bestFit="1" customWidth="1"/>
    <col min="16131" max="16131" width="11.42578125" style="262" bestFit="1" customWidth="1"/>
    <col min="16132" max="16132" width="13" style="262" bestFit="1" customWidth="1"/>
    <col min="16133" max="16133" width="10.140625" style="262" bestFit="1" customWidth="1"/>
    <col min="16134" max="16134" width="12.7109375" style="262" bestFit="1" customWidth="1"/>
    <col min="16135" max="16135" width="11.42578125" style="262" bestFit="1" customWidth="1"/>
    <col min="16136" max="16136" width="12.7109375" style="262" bestFit="1" customWidth="1"/>
    <col min="16137" max="16137" width="8.28515625" style="262" bestFit="1" customWidth="1"/>
    <col min="16138" max="16138" width="14.140625" style="262" bestFit="1" customWidth="1"/>
    <col min="16139" max="16141" width="12.140625" style="262" bestFit="1" customWidth="1"/>
    <col min="16142" max="16142" width="10.5703125" style="262" bestFit="1" customWidth="1"/>
    <col min="16143" max="16143" width="6.28515625" style="262" bestFit="1" customWidth="1"/>
    <col min="16144" max="16384" width="9.140625" style="262"/>
  </cols>
  <sheetData>
    <row r="1" spans="1:14" ht="15.75" customHeight="1" x14ac:dyDescent="0.2">
      <c r="A1" s="351" t="s">
        <v>54</v>
      </c>
      <c r="B1" s="351"/>
      <c r="C1" s="351"/>
      <c r="D1" s="351"/>
      <c r="E1" s="351"/>
      <c r="F1" s="351"/>
      <c r="G1" s="351"/>
      <c r="H1" s="351"/>
      <c r="I1" s="351"/>
      <c r="J1" s="351"/>
      <c r="K1" s="351"/>
      <c r="L1" s="351"/>
      <c r="M1" s="351"/>
    </row>
    <row r="2" spans="1:14" s="265" customFormat="1" ht="19.5" customHeight="1" x14ac:dyDescent="0.2">
      <c r="A2" s="355" t="s">
        <v>184</v>
      </c>
      <c r="B2" s="355" t="s">
        <v>285</v>
      </c>
      <c r="C2" s="375" t="s">
        <v>257</v>
      </c>
      <c r="D2" s="376"/>
      <c r="E2" s="376"/>
      <c r="F2" s="377"/>
      <c r="G2" s="375" t="s">
        <v>258</v>
      </c>
      <c r="H2" s="376"/>
      <c r="I2" s="376"/>
      <c r="J2" s="377"/>
      <c r="K2" s="375" t="s">
        <v>259</v>
      </c>
      <c r="L2" s="376"/>
      <c r="M2" s="376"/>
      <c r="N2" s="377"/>
    </row>
    <row r="3" spans="1:14" s="265" customFormat="1" ht="36" customHeight="1" x14ac:dyDescent="0.2">
      <c r="A3" s="423"/>
      <c r="B3" s="423"/>
      <c r="C3" s="375" t="s">
        <v>608</v>
      </c>
      <c r="D3" s="377"/>
      <c r="E3" s="371" t="s">
        <v>609</v>
      </c>
      <c r="F3" s="372"/>
      <c r="G3" s="375" t="s">
        <v>608</v>
      </c>
      <c r="H3" s="377"/>
      <c r="I3" s="371" t="s">
        <v>609</v>
      </c>
      <c r="J3" s="372"/>
      <c r="K3" s="375" t="s">
        <v>610</v>
      </c>
      <c r="L3" s="377"/>
      <c r="M3" s="375" t="s">
        <v>611</v>
      </c>
      <c r="N3" s="377"/>
    </row>
    <row r="4" spans="1:14" s="265" customFormat="1" ht="39" customHeight="1" x14ac:dyDescent="0.2">
      <c r="A4" s="356"/>
      <c r="B4" s="356"/>
      <c r="C4" s="269" t="s">
        <v>568</v>
      </c>
      <c r="D4" s="311" t="s">
        <v>612</v>
      </c>
      <c r="E4" s="269" t="s">
        <v>568</v>
      </c>
      <c r="F4" s="311" t="s">
        <v>612</v>
      </c>
      <c r="G4" s="276" t="s">
        <v>527</v>
      </c>
      <c r="H4" s="311" t="s">
        <v>612</v>
      </c>
      <c r="I4" s="276" t="s">
        <v>527</v>
      </c>
      <c r="J4" s="311" t="s">
        <v>570</v>
      </c>
      <c r="K4" s="269" t="s">
        <v>569</v>
      </c>
      <c r="L4" s="311" t="s">
        <v>612</v>
      </c>
      <c r="M4" s="269" t="s">
        <v>568</v>
      </c>
      <c r="N4" s="311" t="s">
        <v>570</v>
      </c>
    </row>
    <row r="5" spans="1:14" s="265" customFormat="1" ht="27" customHeight="1" x14ac:dyDescent="0.2">
      <c r="A5" s="266" t="s">
        <v>69</v>
      </c>
      <c r="B5" s="292">
        <v>242</v>
      </c>
      <c r="C5" s="301">
        <v>11345215</v>
      </c>
      <c r="D5" s="290">
        <v>223880.89240000001</v>
      </c>
      <c r="E5" s="283">
        <v>336</v>
      </c>
      <c r="F5" s="283">
        <v>6.3926999999999996</v>
      </c>
      <c r="G5" s="301">
        <v>16186719</v>
      </c>
      <c r="H5" s="290">
        <v>321208.12115949998</v>
      </c>
      <c r="I5" s="283">
        <v>41032</v>
      </c>
      <c r="J5" s="283">
        <v>781.14212050000003</v>
      </c>
      <c r="K5" s="283">
        <v>10648</v>
      </c>
      <c r="L5" s="283">
        <v>218.54813300000001</v>
      </c>
      <c r="M5" s="283">
        <v>0</v>
      </c>
      <c r="N5" s="283">
        <v>0</v>
      </c>
    </row>
    <row r="6" spans="1:14" s="265" customFormat="1" ht="27" customHeight="1" x14ac:dyDescent="0.2">
      <c r="A6" s="266" t="s">
        <v>70</v>
      </c>
      <c r="B6" s="292">
        <v>243</v>
      </c>
      <c r="C6" s="290">
        <v>5901468</v>
      </c>
      <c r="D6" s="290">
        <v>111222.2865</v>
      </c>
      <c r="E6" s="283">
        <v>60205</v>
      </c>
      <c r="F6" s="283">
        <v>1214.22427672</v>
      </c>
      <c r="G6" s="301">
        <v>12764150</v>
      </c>
      <c r="H6" s="290">
        <v>245407.1838</v>
      </c>
      <c r="I6" s="290">
        <v>103589</v>
      </c>
      <c r="J6" s="283">
        <v>2054.4424410000001</v>
      </c>
      <c r="K6" s="283">
        <v>0</v>
      </c>
      <c r="L6" s="283">
        <v>0</v>
      </c>
      <c r="M6" s="283">
        <v>0</v>
      </c>
      <c r="N6" s="283">
        <v>0</v>
      </c>
    </row>
    <row r="7" spans="1:14" s="265" customFormat="1" ht="27" customHeight="1" x14ac:dyDescent="0.2">
      <c r="A7" s="266" t="s">
        <v>156</v>
      </c>
      <c r="B7" s="292">
        <v>19</v>
      </c>
      <c r="C7" s="290">
        <v>477406</v>
      </c>
      <c r="D7" s="283">
        <v>8979.4696999999996</v>
      </c>
      <c r="E7" s="283">
        <v>460</v>
      </c>
      <c r="F7" s="283">
        <v>8.5723760000000002</v>
      </c>
      <c r="G7" s="290">
        <v>1435453</v>
      </c>
      <c r="H7" s="283">
        <v>27039.272571500002</v>
      </c>
      <c r="I7" s="283">
        <v>63757</v>
      </c>
      <c r="J7" s="283">
        <v>1189.7053745000001</v>
      </c>
      <c r="K7" s="283">
        <v>0</v>
      </c>
      <c r="L7" s="283">
        <v>0</v>
      </c>
      <c r="M7" s="283">
        <v>0</v>
      </c>
      <c r="N7" s="283">
        <v>0</v>
      </c>
    </row>
    <row r="8" spans="1:14" s="265" customFormat="1" ht="27" customHeight="1" x14ac:dyDescent="0.2">
      <c r="A8" s="266" t="s">
        <v>157</v>
      </c>
      <c r="B8" s="292">
        <v>22</v>
      </c>
      <c r="C8" s="290">
        <v>426520</v>
      </c>
      <c r="D8" s="283">
        <v>7943.6571999999996</v>
      </c>
      <c r="E8" s="283">
        <v>4400</v>
      </c>
      <c r="F8" s="283">
        <v>82.043480000000002</v>
      </c>
      <c r="G8" s="290">
        <v>648029</v>
      </c>
      <c r="H8" s="283">
        <v>12087.967003</v>
      </c>
      <c r="I8" s="283">
        <v>46859</v>
      </c>
      <c r="J8" s="283">
        <v>874.84105550000004</v>
      </c>
      <c r="K8" s="283">
        <v>0</v>
      </c>
      <c r="L8" s="283">
        <v>0</v>
      </c>
      <c r="M8" s="283">
        <v>0</v>
      </c>
      <c r="N8" s="283">
        <v>0</v>
      </c>
    </row>
    <row r="9" spans="1:14" s="265" customFormat="1" ht="27" customHeight="1" x14ac:dyDescent="0.2">
      <c r="A9" s="266" t="s">
        <v>158</v>
      </c>
      <c r="B9" s="292">
        <v>21</v>
      </c>
      <c r="C9" s="290">
        <v>353456</v>
      </c>
      <c r="D9" s="283">
        <v>6561.9539999999997</v>
      </c>
      <c r="E9" s="283">
        <v>8237</v>
      </c>
      <c r="F9" s="283">
        <v>151.89979706</v>
      </c>
      <c r="G9" s="290">
        <v>459649</v>
      </c>
      <c r="H9" s="283">
        <v>8623.8254785000008</v>
      </c>
      <c r="I9" s="283">
        <v>40027</v>
      </c>
      <c r="J9" s="283">
        <v>754.71891700000003</v>
      </c>
      <c r="K9" s="283">
        <v>0</v>
      </c>
      <c r="L9" s="283">
        <v>0</v>
      </c>
      <c r="M9" s="283">
        <v>0</v>
      </c>
      <c r="N9" s="283">
        <v>0</v>
      </c>
    </row>
    <row r="10" spans="1:14" s="265" customFormat="1" ht="27" customHeight="1" x14ac:dyDescent="0.2">
      <c r="A10" s="266" t="s">
        <v>159</v>
      </c>
      <c r="B10" s="292">
        <v>22</v>
      </c>
      <c r="C10" s="290">
        <v>588862</v>
      </c>
      <c r="D10" s="283">
        <v>11056.945900000001</v>
      </c>
      <c r="E10" s="283">
        <v>9586</v>
      </c>
      <c r="F10" s="283">
        <v>182.55717772</v>
      </c>
      <c r="G10" s="290">
        <v>729014</v>
      </c>
      <c r="H10" s="283">
        <v>13944.553620500001</v>
      </c>
      <c r="I10" s="283">
        <v>78883</v>
      </c>
      <c r="J10" s="283">
        <v>1510.6960795</v>
      </c>
      <c r="K10" s="283">
        <v>0</v>
      </c>
      <c r="L10" s="283">
        <v>0</v>
      </c>
      <c r="M10" s="283">
        <v>0</v>
      </c>
      <c r="N10" s="283">
        <v>0</v>
      </c>
    </row>
    <row r="11" spans="1:14" s="265" customFormat="1" ht="27" customHeight="1" x14ac:dyDescent="0.2">
      <c r="A11" s="266" t="s">
        <v>160</v>
      </c>
      <c r="B11" s="292">
        <v>20</v>
      </c>
      <c r="C11" s="290">
        <v>565212</v>
      </c>
      <c r="D11" s="283">
        <v>10591.9393</v>
      </c>
      <c r="E11" s="283">
        <v>10025</v>
      </c>
      <c r="F11" s="283">
        <v>184.02538050000001</v>
      </c>
      <c r="G11" s="290">
        <v>964141</v>
      </c>
      <c r="H11" s="283">
        <v>18422.714456500002</v>
      </c>
      <c r="I11" s="283">
        <v>93108</v>
      </c>
      <c r="J11" s="283">
        <v>1765.1697354999999</v>
      </c>
      <c r="K11" s="283">
        <v>0</v>
      </c>
      <c r="L11" s="283">
        <v>0</v>
      </c>
      <c r="M11" s="283">
        <v>0</v>
      </c>
      <c r="N11" s="283">
        <v>0</v>
      </c>
    </row>
    <row r="12" spans="1:14" s="265" customFormat="1" ht="27" customHeight="1" x14ac:dyDescent="0.2">
      <c r="A12" s="266" t="s">
        <v>161</v>
      </c>
      <c r="B12" s="292">
        <v>18</v>
      </c>
      <c r="C12" s="290">
        <v>403384</v>
      </c>
      <c r="D12" s="283">
        <v>7489.95</v>
      </c>
      <c r="E12" s="283">
        <v>1941</v>
      </c>
      <c r="F12" s="283">
        <v>36.652912319999999</v>
      </c>
      <c r="G12" s="290">
        <v>1028618</v>
      </c>
      <c r="H12" s="283">
        <v>19345.563767</v>
      </c>
      <c r="I12" s="283">
        <v>51510</v>
      </c>
      <c r="J12" s="283">
        <v>972.14823000000001</v>
      </c>
      <c r="K12" s="283">
        <v>0</v>
      </c>
      <c r="L12" s="283">
        <v>0</v>
      </c>
      <c r="M12" s="283">
        <v>0</v>
      </c>
      <c r="N12" s="283">
        <v>0</v>
      </c>
    </row>
    <row r="13" spans="1:14" s="265" customFormat="1" ht="27" customHeight="1" x14ac:dyDescent="0.2">
      <c r="A13" s="266" t="s">
        <v>162</v>
      </c>
      <c r="B13" s="292">
        <v>21</v>
      </c>
      <c r="C13" s="290">
        <v>489616</v>
      </c>
      <c r="D13" s="283">
        <v>9223.2000000000007</v>
      </c>
      <c r="E13" s="283">
        <v>12828</v>
      </c>
      <c r="F13" s="283">
        <v>245.21619960000001</v>
      </c>
      <c r="G13" s="290">
        <v>1190063</v>
      </c>
      <c r="H13" s="283">
        <v>22604.788316499998</v>
      </c>
      <c r="I13" s="283">
        <v>71700</v>
      </c>
      <c r="J13" s="283">
        <v>1369.6850999999999</v>
      </c>
      <c r="K13" s="283">
        <v>0</v>
      </c>
      <c r="L13" s="283">
        <v>0</v>
      </c>
      <c r="M13" s="283">
        <v>0</v>
      </c>
      <c r="N13" s="283">
        <v>0</v>
      </c>
    </row>
    <row r="14" spans="1:14" s="265" customFormat="1" ht="27" customHeight="1" x14ac:dyDescent="0.2">
      <c r="A14" s="266" t="s">
        <v>163</v>
      </c>
      <c r="B14" s="292">
        <v>19</v>
      </c>
      <c r="C14" s="290">
        <v>324647</v>
      </c>
      <c r="D14" s="283">
        <v>6156.8182999999999</v>
      </c>
      <c r="E14" s="283">
        <v>8621</v>
      </c>
      <c r="F14" s="283">
        <v>167.53465172</v>
      </c>
      <c r="G14" s="290">
        <v>1052294</v>
      </c>
      <c r="H14" s="283">
        <v>20286.930477000002</v>
      </c>
      <c r="I14" s="283">
        <v>69143</v>
      </c>
      <c r="J14" s="283">
        <v>1342.2730590000001</v>
      </c>
      <c r="K14" s="283">
        <v>0</v>
      </c>
      <c r="L14" s="283">
        <v>0</v>
      </c>
      <c r="M14" s="283">
        <v>0</v>
      </c>
      <c r="N14" s="283">
        <v>0</v>
      </c>
    </row>
    <row r="15" spans="1:14" s="265" customFormat="1" ht="27" customHeight="1" x14ac:dyDescent="0.2">
      <c r="A15" s="266" t="s">
        <v>164</v>
      </c>
      <c r="B15" s="292">
        <v>20</v>
      </c>
      <c r="C15" s="290">
        <v>219779</v>
      </c>
      <c r="D15" s="283">
        <v>4245.4411</v>
      </c>
      <c r="E15" s="283">
        <v>24576</v>
      </c>
      <c r="F15" s="283">
        <v>480.14599920000001</v>
      </c>
      <c r="G15" s="290">
        <v>1986662</v>
      </c>
      <c r="H15" s="283">
        <v>39136.415907850002</v>
      </c>
      <c r="I15" s="283">
        <v>79625</v>
      </c>
      <c r="J15" s="283">
        <v>1571.9965625</v>
      </c>
      <c r="K15" s="283">
        <v>0</v>
      </c>
      <c r="L15" s="283">
        <v>0</v>
      </c>
      <c r="M15" s="283">
        <v>0</v>
      </c>
      <c r="N15" s="283">
        <v>0</v>
      </c>
    </row>
    <row r="16" spans="1:14" s="265" customFormat="1" ht="27" customHeight="1" x14ac:dyDescent="0.2">
      <c r="A16" s="266" t="s">
        <v>165</v>
      </c>
      <c r="B16" s="292">
        <v>23</v>
      </c>
      <c r="C16" s="290">
        <v>480065</v>
      </c>
      <c r="D16" s="283">
        <v>9129.2566000000006</v>
      </c>
      <c r="E16" s="283">
        <v>15056</v>
      </c>
      <c r="F16" s="283">
        <v>294.70700376000002</v>
      </c>
      <c r="G16" s="290">
        <v>1438254</v>
      </c>
      <c r="H16" s="283">
        <v>28146.9453135</v>
      </c>
      <c r="I16" s="283">
        <v>68815</v>
      </c>
      <c r="J16" s="283">
        <v>1347.8794049999999</v>
      </c>
      <c r="K16" s="283">
        <v>0</v>
      </c>
      <c r="L16" s="283">
        <v>0</v>
      </c>
      <c r="M16" s="283">
        <v>0</v>
      </c>
      <c r="N16" s="283">
        <v>0</v>
      </c>
    </row>
    <row r="17" spans="1:14" s="265" customFormat="1" ht="27" customHeight="1" x14ac:dyDescent="0.2">
      <c r="A17" s="266" t="s">
        <v>166</v>
      </c>
      <c r="B17" s="292">
        <v>19</v>
      </c>
      <c r="C17" s="290">
        <v>808916</v>
      </c>
      <c r="D17" s="283">
        <v>15330.400299999999</v>
      </c>
      <c r="E17" s="283">
        <v>24303</v>
      </c>
      <c r="F17" s="283">
        <v>471.38094738000001</v>
      </c>
      <c r="G17" s="290">
        <v>1198488</v>
      </c>
      <c r="H17" s="283">
        <v>23339.417590000001</v>
      </c>
      <c r="I17" s="283">
        <v>83872</v>
      </c>
      <c r="J17" s="283">
        <v>1625.2341039999999</v>
      </c>
      <c r="K17" s="283">
        <v>0</v>
      </c>
      <c r="L17" s="283">
        <v>0</v>
      </c>
      <c r="M17" s="283">
        <v>0</v>
      </c>
      <c r="N17" s="283">
        <v>0</v>
      </c>
    </row>
    <row r="18" spans="1:14" s="265" customFormat="1" ht="27" customHeight="1" x14ac:dyDescent="0.2">
      <c r="A18" s="266" t="s">
        <v>167</v>
      </c>
      <c r="B18" s="292">
        <v>19</v>
      </c>
      <c r="C18" s="290">
        <v>763605</v>
      </c>
      <c r="D18" s="283">
        <v>14513.2541</v>
      </c>
      <c r="E18" s="283">
        <v>60205</v>
      </c>
      <c r="F18" s="283">
        <v>1214.22427672</v>
      </c>
      <c r="G18" s="290">
        <v>633485</v>
      </c>
      <c r="H18" s="283">
        <v>12428.78926</v>
      </c>
      <c r="I18" s="290">
        <v>103589</v>
      </c>
      <c r="J18" s="283">
        <v>2054.4424410000001</v>
      </c>
      <c r="K18" s="283">
        <v>0</v>
      </c>
      <c r="L18" s="283">
        <v>0</v>
      </c>
      <c r="M18" s="283">
        <v>0</v>
      </c>
      <c r="N18" s="283">
        <v>0</v>
      </c>
    </row>
    <row r="19" spans="1:14" s="265" customFormat="1" ht="19.5" customHeight="1" x14ac:dyDescent="0.2">
      <c r="A19" s="373" t="s">
        <v>106</v>
      </c>
      <c r="B19" s="373"/>
      <c r="C19" s="373"/>
      <c r="D19" s="373"/>
      <c r="E19" s="373"/>
      <c r="F19" s="373"/>
      <c r="G19" s="373"/>
      <c r="H19" s="373"/>
      <c r="I19" s="373"/>
      <c r="J19" s="373"/>
      <c r="K19" s="373"/>
      <c r="L19" s="373"/>
      <c r="M19" s="373"/>
      <c r="N19" s="373"/>
    </row>
    <row r="20" spans="1:14" s="265" customFormat="1" ht="18" customHeight="1" x14ac:dyDescent="0.2">
      <c r="A20" s="373" t="s">
        <v>613</v>
      </c>
      <c r="B20" s="373"/>
      <c r="C20" s="373"/>
      <c r="D20" s="373"/>
      <c r="E20" s="373"/>
      <c r="F20" s="373"/>
      <c r="G20" s="373"/>
      <c r="H20" s="373"/>
      <c r="I20" s="373"/>
      <c r="J20" s="373"/>
      <c r="K20" s="373"/>
      <c r="L20" s="373"/>
      <c r="M20" s="373"/>
      <c r="N20" s="373"/>
    </row>
    <row r="21" spans="1:14" s="265" customFormat="1" ht="27.6" customHeight="1" x14ac:dyDescent="0.2"/>
  </sheetData>
  <mergeCells count="14">
    <mergeCell ref="K3:L3"/>
    <mergeCell ref="M3:N3"/>
    <mergeCell ref="A19:N19"/>
    <mergeCell ref="A20:N20"/>
    <mergeCell ref="A1:M1"/>
    <mergeCell ref="A2:A4"/>
    <mergeCell ref="B2:B4"/>
    <mergeCell ref="C2:F2"/>
    <mergeCell ref="G2:J2"/>
    <mergeCell ref="K2:N2"/>
    <mergeCell ref="C3:D3"/>
    <mergeCell ref="E3:F3"/>
    <mergeCell ref="G3:H3"/>
    <mergeCell ref="I3:J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H20"/>
  <sheetViews>
    <sheetView workbookViewId="0">
      <selection sqref="A1:H1"/>
    </sheetView>
  </sheetViews>
  <sheetFormatPr defaultRowHeight="12.75" x14ac:dyDescent="0.2"/>
  <cols>
    <col min="1" max="1" width="14.7109375" style="262" bestFit="1" customWidth="1"/>
    <col min="2" max="2" width="16.5703125" style="262" bestFit="1" customWidth="1"/>
    <col min="3" max="6" width="12.140625" style="262" bestFit="1" customWidth="1"/>
    <col min="7" max="7" width="8" style="262" bestFit="1" customWidth="1"/>
    <col min="8" max="8" width="22.140625" style="262" bestFit="1" customWidth="1"/>
    <col min="9" max="9" width="4.7109375" style="262" bestFit="1" customWidth="1"/>
    <col min="10" max="256" width="9.140625" style="262"/>
    <col min="257" max="257" width="14.7109375" style="262" bestFit="1" customWidth="1"/>
    <col min="258" max="258" width="16.5703125" style="262" bestFit="1" customWidth="1"/>
    <col min="259" max="262" width="12.140625" style="262" bestFit="1" customWidth="1"/>
    <col min="263" max="263" width="8" style="262" bestFit="1" customWidth="1"/>
    <col min="264" max="264" width="22.140625" style="262" bestFit="1" customWidth="1"/>
    <col min="265" max="265" width="4.7109375" style="262" bestFit="1" customWidth="1"/>
    <col min="266" max="512" width="9.140625" style="262"/>
    <col min="513" max="513" width="14.7109375" style="262" bestFit="1" customWidth="1"/>
    <col min="514" max="514" width="16.5703125" style="262" bestFit="1" customWidth="1"/>
    <col min="515" max="518" width="12.140625" style="262" bestFit="1" customWidth="1"/>
    <col min="519" max="519" width="8" style="262" bestFit="1" customWidth="1"/>
    <col min="520" max="520" width="22.140625" style="262" bestFit="1" customWidth="1"/>
    <col min="521" max="521" width="4.7109375" style="262" bestFit="1" customWidth="1"/>
    <col min="522" max="768" width="9.140625" style="262"/>
    <col min="769" max="769" width="14.7109375" style="262" bestFit="1" customWidth="1"/>
    <col min="770" max="770" width="16.5703125" style="262" bestFit="1" customWidth="1"/>
    <col min="771" max="774" width="12.140625" style="262" bestFit="1" customWidth="1"/>
    <col min="775" max="775" width="8" style="262" bestFit="1" customWidth="1"/>
    <col min="776" max="776" width="22.140625" style="262" bestFit="1" customWidth="1"/>
    <col min="777" max="777" width="4.7109375" style="262" bestFit="1" customWidth="1"/>
    <col min="778" max="1024" width="9.140625" style="262"/>
    <col min="1025" max="1025" width="14.7109375" style="262" bestFit="1" customWidth="1"/>
    <col min="1026" max="1026" width="16.5703125" style="262" bestFit="1" customWidth="1"/>
    <col min="1027" max="1030" width="12.140625" style="262" bestFit="1" customWidth="1"/>
    <col min="1031" max="1031" width="8" style="262" bestFit="1" customWidth="1"/>
    <col min="1032" max="1032" width="22.140625" style="262" bestFit="1" customWidth="1"/>
    <col min="1033" max="1033" width="4.7109375" style="262" bestFit="1" customWidth="1"/>
    <col min="1034" max="1280" width="9.140625" style="262"/>
    <col min="1281" max="1281" width="14.7109375" style="262" bestFit="1" customWidth="1"/>
    <col min="1282" max="1282" width="16.5703125" style="262" bestFit="1" customWidth="1"/>
    <col min="1283" max="1286" width="12.140625" style="262" bestFit="1" customWidth="1"/>
    <col min="1287" max="1287" width="8" style="262" bestFit="1" customWidth="1"/>
    <col min="1288" max="1288" width="22.140625" style="262" bestFit="1" customWidth="1"/>
    <col min="1289" max="1289" width="4.7109375" style="262" bestFit="1" customWidth="1"/>
    <col min="1290" max="1536" width="9.140625" style="262"/>
    <col min="1537" max="1537" width="14.7109375" style="262" bestFit="1" customWidth="1"/>
    <col min="1538" max="1538" width="16.5703125" style="262" bestFit="1" customWidth="1"/>
    <col min="1539" max="1542" width="12.140625" style="262" bestFit="1" customWidth="1"/>
    <col min="1543" max="1543" width="8" style="262" bestFit="1" customWidth="1"/>
    <col min="1544" max="1544" width="22.140625" style="262" bestFit="1" customWidth="1"/>
    <col min="1545" max="1545" width="4.7109375" style="262" bestFit="1" customWidth="1"/>
    <col min="1546" max="1792" width="9.140625" style="262"/>
    <col min="1793" max="1793" width="14.7109375" style="262" bestFit="1" customWidth="1"/>
    <col min="1794" max="1794" width="16.5703125" style="262" bestFit="1" customWidth="1"/>
    <col min="1795" max="1798" width="12.140625" style="262" bestFit="1" customWidth="1"/>
    <col min="1799" max="1799" width="8" style="262" bestFit="1" customWidth="1"/>
    <col min="1800" max="1800" width="22.140625" style="262" bestFit="1" customWidth="1"/>
    <col min="1801" max="1801" width="4.7109375" style="262" bestFit="1" customWidth="1"/>
    <col min="1802" max="2048" width="9.140625" style="262"/>
    <col min="2049" max="2049" width="14.7109375" style="262" bestFit="1" customWidth="1"/>
    <col min="2050" max="2050" width="16.5703125" style="262" bestFit="1" customWidth="1"/>
    <col min="2051" max="2054" width="12.140625" style="262" bestFit="1" customWidth="1"/>
    <col min="2055" max="2055" width="8" style="262" bestFit="1" customWidth="1"/>
    <col min="2056" max="2056" width="22.140625" style="262" bestFit="1" customWidth="1"/>
    <col min="2057" max="2057" width="4.7109375" style="262" bestFit="1" customWidth="1"/>
    <col min="2058" max="2304" width="9.140625" style="262"/>
    <col min="2305" max="2305" width="14.7109375" style="262" bestFit="1" customWidth="1"/>
    <col min="2306" max="2306" width="16.5703125" style="262" bestFit="1" customWidth="1"/>
    <col min="2307" max="2310" width="12.140625" style="262" bestFit="1" customWidth="1"/>
    <col min="2311" max="2311" width="8" style="262" bestFit="1" customWidth="1"/>
    <col min="2312" max="2312" width="22.140625" style="262" bestFit="1" customWidth="1"/>
    <col min="2313" max="2313" width="4.7109375" style="262" bestFit="1" customWidth="1"/>
    <col min="2314" max="2560" width="9.140625" style="262"/>
    <col min="2561" max="2561" width="14.7109375" style="262" bestFit="1" customWidth="1"/>
    <col min="2562" max="2562" width="16.5703125" style="262" bestFit="1" customWidth="1"/>
    <col min="2563" max="2566" width="12.140625" style="262" bestFit="1" customWidth="1"/>
    <col min="2567" max="2567" width="8" style="262" bestFit="1" customWidth="1"/>
    <col min="2568" max="2568" width="22.140625" style="262" bestFit="1" customWidth="1"/>
    <col min="2569" max="2569" width="4.7109375" style="262" bestFit="1" customWidth="1"/>
    <col min="2570" max="2816" width="9.140625" style="262"/>
    <col min="2817" max="2817" width="14.7109375" style="262" bestFit="1" customWidth="1"/>
    <col min="2818" max="2818" width="16.5703125" style="262" bestFit="1" customWidth="1"/>
    <col min="2819" max="2822" width="12.140625" style="262" bestFit="1" customWidth="1"/>
    <col min="2823" max="2823" width="8" style="262" bestFit="1" customWidth="1"/>
    <col min="2824" max="2824" width="22.140625" style="262" bestFit="1" customWidth="1"/>
    <col min="2825" max="2825" width="4.7109375" style="262" bestFit="1" customWidth="1"/>
    <col min="2826" max="3072" width="9.140625" style="262"/>
    <col min="3073" max="3073" width="14.7109375" style="262" bestFit="1" customWidth="1"/>
    <col min="3074" max="3074" width="16.5703125" style="262" bestFit="1" customWidth="1"/>
    <col min="3075" max="3078" width="12.140625" style="262" bestFit="1" customWidth="1"/>
    <col min="3079" max="3079" width="8" style="262" bestFit="1" customWidth="1"/>
    <col min="3080" max="3080" width="22.140625" style="262" bestFit="1" customWidth="1"/>
    <col min="3081" max="3081" width="4.7109375" style="262" bestFit="1" customWidth="1"/>
    <col min="3082" max="3328" width="9.140625" style="262"/>
    <col min="3329" max="3329" width="14.7109375" style="262" bestFit="1" customWidth="1"/>
    <col min="3330" max="3330" width="16.5703125" style="262" bestFit="1" customWidth="1"/>
    <col min="3331" max="3334" width="12.140625" style="262" bestFit="1" customWidth="1"/>
    <col min="3335" max="3335" width="8" style="262" bestFit="1" customWidth="1"/>
    <col min="3336" max="3336" width="22.140625" style="262" bestFit="1" customWidth="1"/>
    <col min="3337" max="3337" width="4.7109375" style="262" bestFit="1" customWidth="1"/>
    <col min="3338" max="3584" width="9.140625" style="262"/>
    <col min="3585" max="3585" width="14.7109375" style="262" bestFit="1" customWidth="1"/>
    <col min="3586" max="3586" width="16.5703125" style="262" bestFit="1" customWidth="1"/>
    <col min="3587" max="3590" width="12.140625" style="262" bestFit="1" customWidth="1"/>
    <col min="3591" max="3591" width="8" style="262" bestFit="1" customWidth="1"/>
    <col min="3592" max="3592" width="22.140625" style="262" bestFit="1" customWidth="1"/>
    <col min="3593" max="3593" width="4.7109375" style="262" bestFit="1" customWidth="1"/>
    <col min="3594" max="3840" width="9.140625" style="262"/>
    <col min="3841" max="3841" width="14.7109375" style="262" bestFit="1" customWidth="1"/>
    <col min="3842" max="3842" width="16.5703125" style="262" bestFit="1" customWidth="1"/>
    <col min="3843" max="3846" width="12.140625" style="262" bestFit="1" customWidth="1"/>
    <col min="3847" max="3847" width="8" style="262" bestFit="1" customWidth="1"/>
    <col min="3848" max="3848" width="22.140625" style="262" bestFit="1" customWidth="1"/>
    <col min="3849" max="3849" width="4.7109375" style="262" bestFit="1" customWidth="1"/>
    <col min="3850" max="4096" width="9.140625" style="262"/>
    <col min="4097" max="4097" width="14.7109375" style="262" bestFit="1" customWidth="1"/>
    <col min="4098" max="4098" width="16.5703125" style="262" bestFit="1" customWidth="1"/>
    <col min="4099" max="4102" width="12.140625" style="262" bestFit="1" customWidth="1"/>
    <col min="4103" max="4103" width="8" style="262" bestFit="1" customWidth="1"/>
    <col min="4104" max="4104" width="22.140625" style="262" bestFit="1" customWidth="1"/>
    <col min="4105" max="4105" width="4.7109375" style="262" bestFit="1" customWidth="1"/>
    <col min="4106" max="4352" width="9.140625" style="262"/>
    <col min="4353" max="4353" width="14.7109375" style="262" bestFit="1" customWidth="1"/>
    <col min="4354" max="4354" width="16.5703125" style="262" bestFit="1" customWidth="1"/>
    <col min="4355" max="4358" width="12.140625" style="262" bestFit="1" customWidth="1"/>
    <col min="4359" max="4359" width="8" style="262" bestFit="1" customWidth="1"/>
    <col min="4360" max="4360" width="22.140625" style="262" bestFit="1" customWidth="1"/>
    <col min="4361" max="4361" width="4.7109375" style="262" bestFit="1" customWidth="1"/>
    <col min="4362" max="4608" width="9.140625" style="262"/>
    <col min="4609" max="4609" width="14.7109375" style="262" bestFit="1" customWidth="1"/>
    <col min="4610" max="4610" width="16.5703125" style="262" bestFit="1" customWidth="1"/>
    <col min="4611" max="4614" width="12.140625" style="262" bestFit="1" customWidth="1"/>
    <col min="4615" max="4615" width="8" style="262" bestFit="1" customWidth="1"/>
    <col min="4616" max="4616" width="22.140625" style="262" bestFit="1" customWidth="1"/>
    <col min="4617" max="4617" width="4.7109375" style="262" bestFit="1" customWidth="1"/>
    <col min="4618" max="4864" width="9.140625" style="262"/>
    <col min="4865" max="4865" width="14.7109375" style="262" bestFit="1" customWidth="1"/>
    <col min="4866" max="4866" width="16.5703125" style="262" bestFit="1" customWidth="1"/>
    <col min="4867" max="4870" width="12.140625" style="262" bestFit="1" customWidth="1"/>
    <col min="4871" max="4871" width="8" style="262" bestFit="1" customWidth="1"/>
    <col min="4872" max="4872" width="22.140625" style="262" bestFit="1" customWidth="1"/>
    <col min="4873" max="4873" width="4.7109375" style="262" bestFit="1" customWidth="1"/>
    <col min="4874" max="5120" width="9.140625" style="262"/>
    <col min="5121" max="5121" width="14.7109375" style="262" bestFit="1" customWidth="1"/>
    <col min="5122" max="5122" width="16.5703125" style="262" bestFit="1" customWidth="1"/>
    <col min="5123" max="5126" width="12.140625" style="262" bestFit="1" customWidth="1"/>
    <col min="5127" max="5127" width="8" style="262" bestFit="1" customWidth="1"/>
    <col min="5128" max="5128" width="22.140625" style="262" bestFit="1" customWidth="1"/>
    <col min="5129" max="5129" width="4.7109375" style="262" bestFit="1" customWidth="1"/>
    <col min="5130" max="5376" width="9.140625" style="262"/>
    <col min="5377" max="5377" width="14.7109375" style="262" bestFit="1" customWidth="1"/>
    <col min="5378" max="5378" width="16.5703125" style="262" bestFit="1" customWidth="1"/>
    <col min="5379" max="5382" width="12.140625" style="262" bestFit="1" customWidth="1"/>
    <col min="5383" max="5383" width="8" style="262" bestFit="1" customWidth="1"/>
    <col min="5384" max="5384" width="22.140625" style="262" bestFit="1" customWidth="1"/>
    <col min="5385" max="5385" width="4.7109375" style="262" bestFit="1" customWidth="1"/>
    <col min="5386" max="5632" width="9.140625" style="262"/>
    <col min="5633" max="5633" width="14.7109375" style="262" bestFit="1" customWidth="1"/>
    <col min="5634" max="5634" width="16.5703125" style="262" bestFit="1" customWidth="1"/>
    <col min="5635" max="5638" width="12.140625" style="262" bestFit="1" customWidth="1"/>
    <col min="5639" max="5639" width="8" style="262" bestFit="1" customWidth="1"/>
    <col min="5640" max="5640" width="22.140625" style="262" bestFit="1" customWidth="1"/>
    <col min="5641" max="5641" width="4.7109375" style="262" bestFit="1" customWidth="1"/>
    <col min="5642" max="5888" width="9.140625" style="262"/>
    <col min="5889" max="5889" width="14.7109375" style="262" bestFit="1" customWidth="1"/>
    <col min="5890" max="5890" width="16.5703125" style="262" bestFit="1" customWidth="1"/>
    <col min="5891" max="5894" width="12.140625" style="262" bestFit="1" customWidth="1"/>
    <col min="5895" max="5895" width="8" style="262" bestFit="1" customWidth="1"/>
    <col min="5896" max="5896" width="22.140625" style="262" bestFit="1" customWidth="1"/>
    <col min="5897" max="5897" width="4.7109375" style="262" bestFit="1" customWidth="1"/>
    <col min="5898" max="6144" width="9.140625" style="262"/>
    <col min="6145" max="6145" width="14.7109375" style="262" bestFit="1" customWidth="1"/>
    <col min="6146" max="6146" width="16.5703125" style="262" bestFit="1" customWidth="1"/>
    <col min="6147" max="6150" width="12.140625" style="262" bestFit="1" customWidth="1"/>
    <col min="6151" max="6151" width="8" style="262" bestFit="1" customWidth="1"/>
    <col min="6152" max="6152" width="22.140625" style="262" bestFit="1" customWidth="1"/>
    <col min="6153" max="6153" width="4.7109375" style="262" bestFit="1" customWidth="1"/>
    <col min="6154" max="6400" width="9.140625" style="262"/>
    <col min="6401" max="6401" width="14.7109375" style="262" bestFit="1" customWidth="1"/>
    <col min="6402" max="6402" width="16.5703125" style="262" bestFit="1" customWidth="1"/>
    <col min="6403" max="6406" width="12.140625" style="262" bestFit="1" customWidth="1"/>
    <col min="6407" max="6407" width="8" style="262" bestFit="1" customWidth="1"/>
    <col min="6408" max="6408" width="22.140625" style="262" bestFit="1" customWidth="1"/>
    <col min="6409" max="6409" width="4.7109375" style="262" bestFit="1" customWidth="1"/>
    <col min="6410" max="6656" width="9.140625" style="262"/>
    <col min="6657" max="6657" width="14.7109375" style="262" bestFit="1" customWidth="1"/>
    <col min="6658" max="6658" width="16.5703125" style="262" bestFit="1" customWidth="1"/>
    <col min="6659" max="6662" width="12.140625" style="262" bestFit="1" customWidth="1"/>
    <col min="6663" max="6663" width="8" style="262" bestFit="1" customWidth="1"/>
    <col min="6664" max="6664" width="22.140625" style="262" bestFit="1" customWidth="1"/>
    <col min="6665" max="6665" width="4.7109375" style="262" bestFit="1" customWidth="1"/>
    <col min="6666" max="6912" width="9.140625" style="262"/>
    <col min="6913" max="6913" width="14.7109375" style="262" bestFit="1" customWidth="1"/>
    <col min="6914" max="6914" width="16.5703125" style="262" bestFit="1" customWidth="1"/>
    <col min="6915" max="6918" width="12.140625" style="262" bestFit="1" customWidth="1"/>
    <col min="6919" max="6919" width="8" style="262" bestFit="1" customWidth="1"/>
    <col min="6920" max="6920" width="22.140625" style="262" bestFit="1" customWidth="1"/>
    <col min="6921" max="6921" width="4.7109375" style="262" bestFit="1" customWidth="1"/>
    <col min="6922" max="7168" width="9.140625" style="262"/>
    <col min="7169" max="7169" width="14.7109375" style="262" bestFit="1" customWidth="1"/>
    <col min="7170" max="7170" width="16.5703125" style="262" bestFit="1" customWidth="1"/>
    <col min="7171" max="7174" width="12.140625" style="262" bestFit="1" customWidth="1"/>
    <col min="7175" max="7175" width="8" style="262" bestFit="1" customWidth="1"/>
    <col min="7176" max="7176" width="22.140625" style="262" bestFit="1" customWidth="1"/>
    <col min="7177" max="7177" width="4.7109375" style="262" bestFit="1" customWidth="1"/>
    <col min="7178" max="7424" width="9.140625" style="262"/>
    <col min="7425" max="7425" width="14.7109375" style="262" bestFit="1" customWidth="1"/>
    <col min="7426" max="7426" width="16.5703125" style="262" bestFit="1" customWidth="1"/>
    <col min="7427" max="7430" width="12.140625" style="262" bestFit="1" customWidth="1"/>
    <col min="7431" max="7431" width="8" style="262" bestFit="1" customWidth="1"/>
    <col min="7432" max="7432" width="22.140625" style="262" bestFit="1" customWidth="1"/>
    <col min="7433" max="7433" width="4.7109375" style="262" bestFit="1" customWidth="1"/>
    <col min="7434" max="7680" width="9.140625" style="262"/>
    <col min="7681" max="7681" width="14.7109375" style="262" bestFit="1" customWidth="1"/>
    <col min="7682" max="7682" width="16.5703125" style="262" bestFit="1" customWidth="1"/>
    <col min="7683" max="7686" width="12.140625" style="262" bestFit="1" customWidth="1"/>
    <col min="7687" max="7687" width="8" style="262" bestFit="1" customWidth="1"/>
    <col min="7688" max="7688" width="22.140625" style="262" bestFit="1" customWidth="1"/>
    <col min="7689" max="7689" width="4.7109375" style="262" bestFit="1" customWidth="1"/>
    <col min="7690" max="7936" width="9.140625" style="262"/>
    <col min="7937" max="7937" width="14.7109375" style="262" bestFit="1" customWidth="1"/>
    <col min="7938" max="7938" width="16.5703125" style="262" bestFit="1" customWidth="1"/>
    <col min="7939" max="7942" width="12.140625" style="262" bestFit="1" customWidth="1"/>
    <col min="7943" max="7943" width="8" style="262" bestFit="1" customWidth="1"/>
    <col min="7944" max="7944" width="22.140625" style="262" bestFit="1" customWidth="1"/>
    <col min="7945" max="7945" width="4.7109375" style="262" bestFit="1" customWidth="1"/>
    <col min="7946" max="8192" width="9.140625" style="262"/>
    <col min="8193" max="8193" width="14.7109375" style="262" bestFit="1" customWidth="1"/>
    <col min="8194" max="8194" width="16.5703125" style="262" bestFit="1" customWidth="1"/>
    <col min="8195" max="8198" width="12.140625" style="262" bestFit="1" customWidth="1"/>
    <col min="8199" max="8199" width="8" style="262" bestFit="1" customWidth="1"/>
    <col min="8200" max="8200" width="22.140625" style="262" bestFit="1" customWidth="1"/>
    <col min="8201" max="8201" width="4.7109375" style="262" bestFit="1" customWidth="1"/>
    <col min="8202" max="8448" width="9.140625" style="262"/>
    <col min="8449" max="8449" width="14.7109375" style="262" bestFit="1" customWidth="1"/>
    <col min="8450" max="8450" width="16.5703125" style="262" bestFit="1" customWidth="1"/>
    <col min="8451" max="8454" width="12.140625" style="262" bestFit="1" customWidth="1"/>
    <col min="8455" max="8455" width="8" style="262" bestFit="1" customWidth="1"/>
    <col min="8456" max="8456" width="22.140625" style="262" bestFit="1" customWidth="1"/>
    <col min="8457" max="8457" width="4.7109375" style="262" bestFit="1" customWidth="1"/>
    <col min="8458" max="8704" width="9.140625" style="262"/>
    <col min="8705" max="8705" width="14.7109375" style="262" bestFit="1" customWidth="1"/>
    <col min="8706" max="8706" width="16.5703125" style="262" bestFit="1" customWidth="1"/>
    <col min="8707" max="8710" width="12.140625" style="262" bestFit="1" customWidth="1"/>
    <col min="8711" max="8711" width="8" style="262" bestFit="1" customWidth="1"/>
    <col min="8712" max="8712" width="22.140625" style="262" bestFit="1" customWidth="1"/>
    <col min="8713" max="8713" width="4.7109375" style="262" bestFit="1" customWidth="1"/>
    <col min="8714" max="8960" width="9.140625" style="262"/>
    <col min="8961" max="8961" width="14.7109375" style="262" bestFit="1" customWidth="1"/>
    <col min="8962" max="8962" width="16.5703125" style="262" bestFit="1" customWidth="1"/>
    <col min="8963" max="8966" width="12.140625" style="262" bestFit="1" customWidth="1"/>
    <col min="8967" max="8967" width="8" style="262" bestFit="1" customWidth="1"/>
    <col min="8968" max="8968" width="22.140625" style="262" bestFit="1" customWidth="1"/>
    <col min="8969" max="8969" width="4.7109375" style="262" bestFit="1" customWidth="1"/>
    <col min="8970" max="9216" width="9.140625" style="262"/>
    <col min="9217" max="9217" width="14.7109375" style="262" bestFit="1" customWidth="1"/>
    <col min="9218" max="9218" width="16.5703125" style="262" bestFit="1" customWidth="1"/>
    <col min="9219" max="9222" width="12.140625" style="262" bestFit="1" customWidth="1"/>
    <col min="9223" max="9223" width="8" style="262" bestFit="1" customWidth="1"/>
    <col min="9224" max="9224" width="22.140625" style="262" bestFit="1" customWidth="1"/>
    <col min="9225" max="9225" width="4.7109375" style="262" bestFit="1" customWidth="1"/>
    <col min="9226" max="9472" width="9.140625" style="262"/>
    <col min="9473" max="9473" width="14.7109375" style="262" bestFit="1" customWidth="1"/>
    <col min="9474" max="9474" width="16.5703125" style="262" bestFit="1" customWidth="1"/>
    <col min="9475" max="9478" width="12.140625" style="262" bestFit="1" customWidth="1"/>
    <col min="9479" max="9479" width="8" style="262" bestFit="1" customWidth="1"/>
    <col min="9480" max="9480" width="22.140625" style="262" bestFit="1" customWidth="1"/>
    <col min="9481" max="9481" width="4.7109375" style="262" bestFit="1" customWidth="1"/>
    <col min="9482" max="9728" width="9.140625" style="262"/>
    <col min="9729" max="9729" width="14.7109375" style="262" bestFit="1" customWidth="1"/>
    <col min="9730" max="9730" width="16.5703125" style="262" bestFit="1" customWidth="1"/>
    <col min="9731" max="9734" width="12.140625" style="262" bestFit="1" customWidth="1"/>
    <col min="9735" max="9735" width="8" style="262" bestFit="1" customWidth="1"/>
    <col min="9736" max="9736" width="22.140625" style="262" bestFit="1" customWidth="1"/>
    <col min="9737" max="9737" width="4.7109375" style="262" bestFit="1" customWidth="1"/>
    <col min="9738" max="9984" width="9.140625" style="262"/>
    <col min="9985" max="9985" width="14.7109375" style="262" bestFit="1" customWidth="1"/>
    <col min="9986" max="9986" width="16.5703125" style="262" bestFit="1" customWidth="1"/>
    <col min="9987" max="9990" width="12.140625" style="262" bestFit="1" customWidth="1"/>
    <col min="9991" max="9991" width="8" style="262" bestFit="1" customWidth="1"/>
    <col min="9992" max="9992" width="22.140625" style="262" bestFit="1" customWidth="1"/>
    <col min="9993" max="9993" width="4.7109375" style="262" bestFit="1" customWidth="1"/>
    <col min="9994" max="10240" width="9.140625" style="262"/>
    <col min="10241" max="10241" width="14.7109375" style="262" bestFit="1" customWidth="1"/>
    <col min="10242" max="10242" width="16.5703125" style="262" bestFit="1" customWidth="1"/>
    <col min="10243" max="10246" width="12.140625" style="262" bestFit="1" customWidth="1"/>
    <col min="10247" max="10247" width="8" style="262" bestFit="1" customWidth="1"/>
    <col min="10248" max="10248" width="22.140625" style="262" bestFit="1" customWidth="1"/>
    <col min="10249" max="10249" width="4.7109375" style="262" bestFit="1" customWidth="1"/>
    <col min="10250" max="10496" width="9.140625" style="262"/>
    <col min="10497" max="10497" width="14.7109375" style="262" bestFit="1" customWidth="1"/>
    <col min="10498" max="10498" width="16.5703125" style="262" bestFit="1" customWidth="1"/>
    <col min="10499" max="10502" width="12.140625" style="262" bestFit="1" customWidth="1"/>
    <col min="10503" max="10503" width="8" style="262" bestFit="1" customWidth="1"/>
    <col min="10504" max="10504" width="22.140625" style="262" bestFit="1" customWidth="1"/>
    <col min="10505" max="10505" width="4.7109375" style="262" bestFit="1" customWidth="1"/>
    <col min="10506" max="10752" width="9.140625" style="262"/>
    <col min="10753" max="10753" width="14.7109375" style="262" bestFit="1" customWidth="1"/>
    <col min="10754" max="10754" width="16.5703125" style="262" bestFit="1" customWidth="1"/>
    <col min="10755" max="10758" width="12.140625" style="262" bestFit="1" customWidth="1"/>
    <col min="10759" max="10759" width="8" style="262" bestFit="1" customWidth="1"/>
    <col min="10760" max="10760" width="22.140625" style="262" bestFit="1" customWidth="1"/>
    <col min="10761" max="10761" width="4.7109375" style="262" bestFit="1" customWidth="1"/>
    <col min="10762" max="11008" width="9.140625" style="262"/>
    <col min="11009" max="11009" width="14.7109375" style="262" bestFit="1" customWidth="1"/>
    <col min="11010" max="11010" width="16.5703125" style="262" bestFit="1" customWidth="1"/>
    <col min="11011" max="11014" width="12.140625" style="262" bestFit="1" customWidth="1"/>
    <col min="11015" max="11015" width="8" style="262" bestFit="1" customWidth="1"/>
    <col min="11016" max="11016" width="22.140625" style="262" bestFit="1" customWidth="1"/>
    <col min="11017" max="11017" width="4.7109375" style="262" bestFit="1" customWidth="1"/>
    <col min="11018" max="11264" width="9.140625" style="262"/>
    <col min="11265" max="11265" width="14.7109375" style="262" bestFit="1" customWidth="1"/>
    <col min="11266" max="11266" width="16.5703125" style="262" bestFit="1" customWidth="1"/>
    <col min="11267" max="11270" width="12.140625" style="262" bestFit="1" customWidth="1"/>
    <col min="11271" max="11271" width="8" style="262" bestFit="1" customWidth="1"/>
    <col min="11272" max="11272" width="22.140625" style="262" bestFit="1" customWidth="1"/>
    <col min="11273" max="11273" width="4.7109375" style="262" bestFit="1" customWidth="1"/>
    <col min="11274" max="11520" width="9.140625" style="262"/>
    <col min="11521" max="11521" width="14.7109375" style="262" bestFit="1" customWidth="1"/>
    <col min="11522" max="11522" width="16.5703125" style="262" bestFit="1" customWidth="1"/>
    <col min="11523" max="11526" width="12.140625" style="262" bestFit="1" customWidth="1"/>
    <col min="11527" max="11527" width="8" style="262" bestFit="1" customWidth="1"/>
    <col min="11528" max="11528" width="22.140625" style="262" bestFit="1" customWidth="1"/>
    <col min="11529" max="11529" width="4.7109375" style="262" bestFit="1" customWidth="1"/>
    <col min="11530" max="11776" width="9.140625" style="262"/>
    <col min="11777" max="11777" width="14.7109375" style="262" bestFit="1" customWidth="1"/>
    <col min="11778" max="11778" width="16.5703125" style="262" bestFit="1" customWidth="1"/>
    <col min="11779" max="11782" width="12.140625" style="262" bestFit="1" customWidth="1"/>
    <col min="11783" max="11783" width="8" style="262" bestFit="1" customWidth="1"/>
    <col min="11784" max="11784" width="22.140625" style="262" bestFit="1" customWidth="1"/>
    <col min="11785" max="11785" width="4.7109375" style="262" bestFit="1" customWidth="1"/>
    <col min="11786" max="12032" width="9.140625" style="262"/>
    <col min="12033" max="12033" width="14.7109375" style="262" bestFit="1" customWidth="1"/>
    <col min="12034" max="12034" width="16.5703125" style="262" bestFit="1" customWidth="1"/>
    <col min="12035" max="12038" width="12.140625" style="262" bestFit="1" customWidth="1"/>
    <col min="12039" max="12039" width="8" style="262" bestFit="1" customWidth="1"/>
    <col min="12040" max="12040" width="22.140625" style="262" bestFit="1" customWidth="1"/>
    <col min="12041" max="12041" width="4.7109375" style="262" bestFit="1" customWidth="1"/>
    <col min="12042" max="12288" width="9.140625" style="262"/>
    <col min="12289" max="12289" width="14.7109375" style="262" bestFit="1" customWidth="1"/>
    <col min="12290" max="12290" width="16.5703125" style="262" bestFit="1" customWidth="1"/>
    <col min="12291" max="12294" width="12.140625" style="262" bestFit="1" customWidth="1"/>
    <col min="12295" max="12295" width="8" style="262" bestFit="1" customWidth="1"/>
    <col min="12296" max="12296" width="22.140625" style="262" bestFit="1" customWidth="1"/>
    <col min="12297" max="12297" width="4.7109375" style="262" bestFit="1" customWidth="1"/>
    <col min="12298" max="12544" width="9.140625" style="262"/>
    <col min="12545" max="12545" width="14.7109375" style="262" bestFit="1" customWidth="1"/>
    <col min="12546" max="12546" width="16.5703125" style="262" bestFit="1" customWidth="1"/>
    <col min="12547" max="12550" width="12.140625" style="262" bestFit="1" customWidth="1"/>
    <col min="12551" max="12551" width="8" style="262" bestFit="1" customWidth="1"/>
    <col min="12552" max="12552" width="22.140625" style="262" bestFit="1" customWidth="1"/>
    <col min="12553" max="12553" width="4.7109375" style="262" bestFit="1" customWidth="1"/>
    <col min="12554" max="12800" width="9.140625" style="262"/>
    <col min="12801" max="12801" width="14.7109375" style="262" bestFit="1" customWidth="1"/>
    <col min="12802" max="12802" width="16.5703125" style="262" bestFit="1" customWidth="1"/>
    <col min="12803" max="12806" width="12.140625" style="262" bestFit="1" customWidth="1"/>
    <col min="12807" max="12807" width="8" style="262" bestFit="1" customWidth="1"/>
    <col min="12808" max="12808" width="22.140625" style="262" bestFit="1" customWidth="1"/>
    <col min="12809" max="12809" width="4.7109375" style="262" bestFit="1" customWidth="1"/>
    <col min="12810" max="13056" width="9.140625" style="262"/>
    <col min="13057" max="13057" width="14.7109375" style="262" bestFit="1" customWidth="1"/>
    <col min="13058" max="13058" width="16.5703125" style="262" bestFit="1" customWidth="1"/>
    <col min="13059" max="13062" width="12.140625" style="262" bestFit="1" customWidth="1"/>
    <col min="13063" max="13063" width="8" style="262" bestFit="1" customWidth="1"/>
    <col min="13064" max="13064" width="22.140625" style="262" bestFit="1" customWidth="1"/>
    <col min="13065" max="13065" width="4.7109375" style="262" bestFit="1" customWidth="1"/>
    <col min="13066" max="13312" width="9.140625" style="262"/>
    <col min="13313" max="13313" width="14.7109375" style="262" bestFit="1" customWidth="1"/>
    <col min="13314" max="13314" width="16.5703125" style="262" bestFit="1" customWidth="1"/>
    <col min="13315" max="13318" width="12.140625" style="262" bestFit="1" customWidth="1"/>
    <col min="13319" max="13319" width="8" style="262" bestFit="1" customWidth="1"/>
    <col min="13320" max="13320" width="22.140625" style="262" bestFit="1" customWidth="1"/>
    <col min="13321" max="13321" width="4.7109375" style="262" bestFit="1" customWidth="1"/>
    <col min="13322" max="13568" width="9.140625" style="262"/>
    <col min="13569" max="13569" width="14.7109375" style="262" bestFit="1" customWidth="1"/>
    <col min="13570" max="13570" width="16.5703125" style="262" bestFit="1" customWidth="1"/>
    <col min="13571" max="13574" width="12.140625" style="262" bestFit="1" customWidth="1"/>
    <col min="13575" max="13575" width="8" style="262" bestFit="1" customWidth="1"/>
    <col min="13576" max="13576" width="22.140625" style="262" bestFit="1" customWidth="1"/>
    <col min="13577" max="13577" width="4.7109375" style="262" bestFit="1" customWidth="1"/>
    <col min="13578" max="13824" width="9.140625" style="262"/>
    <col min="13825" max="13825" width="14.7109375" style="262" bestFit="1" customWidth="1"/>
    <col min="13826" max="13826" width="16.5703125" style="262" bestFit="1" customWidth="1"/>
    <col min="13827" max="13830" width="12.140625" style="262" bestFit="1" customWidth="1"/>
    <col min="13831" max="13831" width="8" style="262" bestFit="1" customWidth="1"/>
    <col min="13832" max="13832" width="22.140625" style="262" bestFit="1" customWidth="1"/>
    <col min="13833" max="13833" width="4.7109375" style="262" bestFit="1" customWidth="1"/>
    <col min="13834" max="14080" width="9.140625" style="262"/>
    <col min="14081" max="14081" width="14.7109375" style="262" bestFit="1" customWidth="1"/>
    <col min="14082" max="14082" width="16.5703125" style="262" bestFit="1" customWidth="1"/>
    <col min="14083" max="14086" width="12.140625" style="262" bestFit="1" customWidth="1"/>
    <col min="14087" max="14087" width="8" style="262" bestFit="1" customWidth="1"/>
    <col min="14088" max="14088" width="22.140625" style="262" bestFit="1" customWidth="1"/>
    <col min="14089" max="14089" width="4.7109375" style="262" bestFit="1" customWidth="1"/>
    <col min="14090" max="14336" width="9.140625" style="262"/>
    <col min="14337" max="14337" width="14.7109375" style="262" bestFit="1" customWidth="1"/>
    <col min="14338" max="14338" width="16.5703125" style="262" bestFit="1" customWidth="1"/>
    <col min="14339" max="14342" width="12.140625" style="262" bestFit="1" customWidth="1"/>
    <col min="14343" max="14343" width="8" style="262" bestFit="1" customWidth="1"/>
    <col min="14344" max="14344" width="22.140625" style="262" bestFit="1" customWidth="1"/>
    <col min="14345" max="14345" width="4.7109375" style="262" bestFit="1" customWidth="1"/>
    <col min="14346" max="14592" width="9.140625" style="262"/>
    <col min="14593" max="14593" width="14.7109375" style="262" bestFit="1" customWidth="1"/>
    <col min="14594" max="14594" width="16.5703125" style="262" bestFit="1" customWidth="1"/>
    <col min="14595" max="14598" width="12.140625" style="262" bestFit="1" customWidth="1"/>
    <col min="14599" max="14599" width="8" style="262" bestFit="1" customWidth="1"/>
    <col min="14600" max="14600" width="22.140625" style="262" bestFit="1" customWidth="1"/>
    <col min="14601" max="14601" width="4.7109375" style="262" bestFit="1" customWidth="1"/>
    <col min="14602" max="14848" width="9.140625" style="262"/>
    <col min="14849" max="14849" width="14.7109375" style="262" bestFit="1" customWidth="1"/>
    <col min="14850" max="14850" width="16.5703125" style="262" bestFit="1" customWidth="1"/>
    <col min="14851" max="14854" width="12.140625" style="262" bestFit="1" customWidth="1"/>
    <col min="14855" max="14855" width="8" style="262" bestFit="1" customWidth="1"/>
    <col min="14856" max="14856" width="22.140625" style="262" bestFit="1" customWidth="1"/>
    <col min="14857" max="14857" width="4.7109375" style="262" bestFit="1" customWidth="1"/>
    <col min="14858" max="15104" width="9.140625" style="262"/>
    <col min="15105" max="15105" width="14.7109375" style="262" bestFit="1" customWidth="1"/>
    <col min="15106" max="15106" width="16.5703125" style="262" bestFit="1" customWidth="1"/>
    <col min="15107" max="15110" width="12.140625" style="262" bestFit="1" customWidth="1"/>
    <col min="15111" max="15111" width="8" style="262" bestFit="1" customWidth="1"/>
    <col min="15112" max="15112" width="22.140625" style="262" bestFit="1" customWidth="1"/>
    <col min="15113" max="15113" width="4.7109375" style="262" bestFit="1" customWidth="1"/>
    <col min="15114" max="15360" width="9.140625" style="262"/>
    <col min="15361" max="15361" width="14.7109375" style="262" bestFit="1" customWidth="1"/>
    <col min="15362" max="15362" width="16.5703125" style="262" bestFit="1" customWidth="1"/>
    <col min="15363" max="15366" width="12.140625" style="262" bestFit="1" customWidth="1"/>
    <col min="15367" max="15367" width="8" style="262" bestFit="1" customWidth="1"/>
    <col min="15368" max="15368" width="22.140625" style="262" bestFit="1" customWidth="1"/>
    <col min="15369" max="15369" width="4.7109375" style="262" bestFit="1" customWidth="1"/>
    <col min="15370" max="15616" width="9.140625" style="262"/>
    <col min="15617" max="15617" width="14.7109375" style="262" bestFit="1" customWidth="1"/>
    <col min="15618" max="15618" width="16.5703125" style="262" bestFit="1" customWidth="1"/>
    <col min="15619" max="15622" width="12.140625" style="262" bestFit="1" customWidth="1"/>
    <col min="15623" max="15623" width="8" style="262" bestFit="1" customWidth="1"/>
    <col min="15624" max="15624" width="22.140625" style="262" bestFit="1" customWidth="1"/>
    <col min="15625" max="15625" width="4.7109375" style="262" bestFit="1" customWidth="1"/>
    <col min="15626" max="15872" width="9.140625" style="262"/>
    <col min="15873" max="15873" width="14.7109375" style="262" bestFit="1" customWidth="1"/>
    <col min="15874" max="15874" width="16.5703125" style="262" bestFit="1" customWidth="1"/>
    <col min="15875" max="15878" width="12.140625" style="262" bestFit="1" customWidth="1"/>
    <col min="15879" max="15879" width="8" style="262" bestFit="1" customWidth="1"/>
    <col min="15880" max="15880" width="22.140625" style="262" bestFit="1" customWidth="1"/>
    <col min="15881" max="15881" width="4.7109375" style="262" bestFit="1" customWidth="1"/>
    <col min="15882" max="16128" width="9.140625" style="262"/>
    <col min="16129" max="16129" width="14.7109375" style="262" bestFit="1" customWidth="1"/>
    <col min="16130" max="16130" width="16.5703125" style="262" bestFit="1" customWidth="1"/>
    <col min="16131" max="16134" width="12.140625" style="262" bestFit="1" customWidth="1"/>
    <col min="16135" max="16135" width="8" style="262" bestFit="1" customWidth="1"/>
    <col min="16136" max="16136" width="22.140625" style="262" bestFit="1" customWidth="1"/>
    <col min="16137" max="16137" width="4.7109375" style="262" bestFit="1" customWidth="1"/>
    <col min="16138" max="16384" width="9.140625" style="262"/>
  </cols>
  <sheetData>
    <row r="1" spans="1:8" ht="15" customHeight="1" x14ac:dyDescent="0.2">
      <c r="A1" s="430" t="s">
        <v>614</v>
      </c>
      <c r="B1" s="430"/>
      <c r="C1" s="430"/>
      <c r="D1" s="430"/>
      <c r="E1" s="430"/>
      <c r="F1" s="430"/>
      <c r="G1" s="430"/>
      <c r="H1" s="430"/>
    </row>
    <row r="2" spans="1:8" s="265" customFormat="1" ht="18" customHeight="1" x14ac:dyDescent="0.2">
      <c r="A2" s="363" t="s">
        <v>184</v>
      </c>
      <c r="B2" s="375" t="s">
        <v>257</v>
      </c>
      <c r="C2" s="377"/>
      <c r="D2" s="375" t="s">
        <v>258</v>
      </c>
      <c r="E2" s="377"/>
      <c r="F2" s="375" t="s">
        <v>259</v>
      </c>
      <c r="G2" s="377"/>
    </row>
    <row r="3" spans="1:8" s="265" customFormat="1" ht="37.5" customHeight="1" x14ac:dyDescent="0.2">
      <c r="A3" s="365"/>
      <c r="B3" s="276" t="s">
        <v>536</v>
      </c>
      <c r="C3" s="269" t="s">
        <v>615</v>
      </c>
      <c r="D3" s="276" t="s">
        <v>536</v>
      </c>
      <c r="E3" s="269" t="s">
        <v>615</v>
      </c>
      <c r="F3" s="269" t="s">
        <v>616</v>
      </c>
      <c r="G3" s="269" t="s">
        <v>615</v>
      </c>
    </row>
    <row r="4" spans="1:8" s="265" customFormat="1" ht="18" customHeight="1" x14ac:dyDescent="0.2">
      <c r="A4" s="266" t="s">
        <v>69</v>
      </c>
      <c r="B4" s="335">
        <v>377.62848700000001</v>
      </c>
      <c r="C4" s="335">
        <v>14.766768000000001</v>
      </c>
      <c r="D4" s="335">
        <v>786.1560915</v>
      </c>
      <c r="E4" s="335">
        <v>26.764483720000001</v>
      </c>
      <c r="F4" s="336">
        <v>5.04E-2</v>
      </c>
      <c r="G4" s="336">
        <v>0</v>
      </c>
    </row>
    <row r="5" spans="1:8" s="265" customFormat="1" ht="18" customHeight="1" x14ac:dyDescent="0.2">
      <c r="A5" s="266" t="s">
        <v>70</v>
      </c>
      <c r="B5" s="335">
        <v>308.58897999999999</v>
      </c>
      <c r="C5" s="335">
        <v>13.792949</v>
      </c>
      <c r="D5" s="335">
        <v>634.57266440000001</v>
      </c>
      <c r="E5" s="335">
        <v>13.22739331</v>
      </c>
      <c r="F5" s="336">
        <v>5.04E-2</v>
      </c>
      <c r="G5" s="336">
        <v>0</v>
      </c>
    </row>
    <row r="6" spans="1:8" s="265" customFormat="1" ht="18" customHeight="1" x14ac:dyDescent="0.2">
      <c r="A6" s="266" t="s">
        <v>156</v>
      </c>
      <c r="B6" s="335">
        <v>16.23</v>
      </c>
      <c r="C6" s="335">
        <v>0.24</v>
      </c>
      <c r="D6" s="335">
        <v>66.713457000000005</v>
      </c>
      <c r="E6" s="335">
        <v>0.76758968000000005</v>
      </c>
      <c r="F6" s="336">
        <v>0</v>
      </c>
      <c r="G6" s="336">
        <v>0</v>
      </c>
    </row>
    <row r="7" spans="1:8" s="265" customFormat="1" ht="18" customHeight="1" x14ac:dyDescent="0.2">
      <c r="A7" s="266" t="s">
        <v>157</v>
      </c>
      <c r="B7" s="335">
        <v>11.584562999999999</v>
      </c>
      <c r="C7" s="335">
        <v>1.12124</v>
      </c>
      <c r="D7" s="335">
        <v>50.558770500000001</v>
      </c>
      <c r="E7" s="335">
        <v>2.2892792000000002</v>
      </c>
      <c r="F7" s="336">
        <v>0</v>
      </c>
      <c r="G7" s="336">
        <v>0</v>
      </c>
    </row>
    <row r="8" spans="1:8" s="265" customFormat="1" ht="18" customHeight="1" x14ac:dyDescent="0.2">
      <c r="A8" s="266" t="s">
        <v>158</v>
      </c>
      <c r="B8" s="335">
        <v>10.922114000000001</v>
      </c>
      <c r="C8" s="335">
        <v>0.66827000000000003</v>
      </c>
      <c r="D8" s="335">
        <v>28.1734115</v>
      </c>
      <c r="E8" s="335">
        <v>1.01911504</v>
      </c>
      <c r="F8" s="336">
        <v>0</v>
      </c>
      <c r="G8" s="336">
        <v>0</v>
      </c>
    </row>
    <row r="9" spans="1:8" s="265" customFormat="1" ht="18" customHeight="1" x14ac:dyDescent="0.2">
      <c r="A9" s="266" t="s">
        <v>159</v>
      </c>
      <c r="B9" s="335">
        <v>15.718726999999999</v>
      </c>
      <c r="C9" s="335">
        <v>0.53747699999999998</v>
      </c>
      <c r="D9" s="335">
        <v>34.566626499999998</v>
      </c>
      <c r="E9" s="335">
        <v>1.0004758</v>
      </c>
      <c r="F9" s="336">
        <v>0</v>
      </c>
      <c r="G9" s="336">
        <v>0</v>
      </c>
    </row>
    <row r="10" spans="1:8" s="265" customFormat="1" ht="18" customHeight="1" x14ac:dyDescent="0.2">
      <c r="A10" s="266" t="s">
        <v>160</v>
      </c>
      <c r="B10" s="335">
        <v>14.152948</v>
      </c>
      <c r="C10" s="335">
        <v>0.10484400000000001</v>
      </c>
      <c r="D10" s="335">
        <v>44.860392500000003</v>
      </c>
      <c r="E10" s="335">
        <v>0.37230096000000001</v>
      </c>
      <c r="F10" s="336">
        <v>0</v>
      </c>
      <c r="G10" s="336">
        <v>0</v>
      </c>
    </row>
    <row r="11" spans="1:8" s="265" customFormat="1" ht="18" customHeight="1" x14ac:dyDescent="0.2">
      <c r="A11" s="266" t="s">
        <v>161</v>
      </c>
      <c r="B11" s="335">
        <v>16.805185000000002</v>
      </c>
      <c r="C11" s="335">
        <v>0.55408000000000002</v>
      </c>
      <c r="D11" s="335">
        <v>54.627719999999997</v>
      </c>
      <c r="E11" s="335">
        <v>1.6622869600000001</v>
      </c>
      <c r="F11" s="336">
        <v>0</v>
      </c>
      <c r="G11" s="336">
        <v>0</v>
      </c>
    </row>
    <row r="12" spans="1:8" s="265" customFormat="1" ht="18" customHeight="1" x14ac:dyDescent="0.2">
      <c r="A12" s="266" t="s">
        <v>162</v>
      </c>
      <c r="B12" s="335">
        <v>12.571749000000001</v>
      </c>
      <c r="C12" s="335">
        <v>0.25975300000000001</v>
      </c>
      <c r="D12" s="335">
        <v>57.408569</v>
      </c>
      <c r="E12" s="335">
        <v>0.66719340000000005</v>
      </c>
      <c r="F12" s="336">
        <v>0</v>
      </c>
      <c r="G12" s="336">
        <v>0</v>
      </c>
    </row>
    <row r="13" spans="1:8" s="265" customFormat="1" ht="18" customHeight="1" x14ac:dyDescent="0.2">
      <c r="A13" s="266" t="s">
        <v>163</v>
      </c>
      <c r="B13" s="335">
        <v>16.735814999999999</v>
      </c>
      <c r="C13" s="335">
        <v>1.449173</v>
      </c>
      <c r="D13" s="335">
        <v>44.911327999999997</v>
      </c>
      <c r="E13" s="335">
        <v>2.0025684400000001</v>
      </c>
      <c r="F13" s="336">
        <v>0</v>
      </c>
      <c r="G13" s="336">
        <v>0</v>
      </c>
    </row>
    <row r="14" spans="1:8" s="265" customFormat="1" ht="18" customHeight="1" x14ac:dyDescent="0.2">
      <c r="A14" s="266" t="s">
        <v>164</v>
      </c>
      <c r="B14" s="335">
        <v>29.157710000000002</v>
      </c>
      <c r="C14" s="335">
        <v>0.51349500000000003</v>
      </c>
      <c r="D14" s="335">
        <v>79.386109399999995</v>
      </c>
      <c r="E14" s="335">
        <v>0.52690762499999999</v>
      </c>
      <c r="F14" s="336">
        <v>0</v>
      </c>
      <c r="G14" s="336">
        <v>0</v>
      </c>
    </row>
    <row r="15" spans="1:8" s="265" customFormat="1" ht="18" customHeight="1" x14ac:dyDescent="0.2">
      <c r="A15" s="266" t="s">
        <v>165</v>
      </c>
      <c r="B15" s="335">
        <v>35.987583000000001</v>
      </c>
      <c r="C15" s="335">
        <v>1.940089</v>
      </c>
      <c r="D15" s="335">
        <v>62.196081999999997</v>
      </c>
      <c r="E15" s="335">
        <v>1.2890964199999999</v>
      </c>
      <c r="F15" s="336">
        <v>0</v>
      </c>
      <c r="G15" s="336">
        <v>0</v>
      </c>
    </row>
    <row r="16" spans="1:8" s="265" customFormat="1" ht="18" customHeight="1" x14ac:dyDescent="0.2">
      <c r="A16" s="266" t="s">
        <v>166</v>
      </c>
      <c r="B16" s="335">
        <v>61.819564</v>
      </c>
      <c r="C16" s="335">
        <v>4.0249230000000003</v>
      </c>
      <c r="D16" s="335">
        <v>62.414767500000004</v>
      </c>
      <c r="E16" s="335">
        <v>1.3477194400000001</v>
      </c>
      <c r="F16" s="336">
        <v>0</v>
      </c>
      <c r="G16" s="336">
        <v>0</v>
      </c>
    </row>
    <row r="17" spans="1:7" s="265" customFormat="1" ht="18" customHeight="1" x14ac:dyDescent="0.2">
      <c r="A17" s="266" t="s">
        <v>167</v>
      </c>
      <c r="B17" s="335">
        <v>66.898860999999997</v>
      </c>
      <c r="C17" s="335">
        <v>2.3800789999999998</v>
      </c>
      <c r="D17" s="335">
        <v>48.755430500000003</v>
      </c>
      <c r="E17" s="335">
        <v>0.28286033999999999</v>
      </c>
      <c r="F17" s="336">
        <v>0</v>
      </c>
      <c r="G17" s="336">
        <v>0</v>
      </c>
    </row>
    <row r="18" spans="1:7" s="265" customFormat="1" ht="19.5" customHeight="1" x14ac:dyDescent="0.2">
      <c r="A18" s="353" t="s">
        <v>106</v>
      </c>
      <c r="B18" s="353"/>
      <c r="C18" s="353"/>
      <c r="D18" s="353"/>
      <c r="E18" s="353"/>
      <c r="F18" s="353"/>
      <c r="G18" s="353"/>
    </row>
    <row r="19" spans="1:7" s="265" customFormat="1" ht="18" customHeight="1" x14ac:dyDescent="0.2">
      <c r="A19" s="353" t="s">
        <v>617</v>
      </c>
      <c r="B19" s="353"/>
      <c r="C19" s="353"/>
      <c r="D19" s="353"/>
      <c r="E19" s="353"/>
      <c r="F19" s="353"/>
      <c r="G19" s="353"/>
    </row>
    <row r="20" spans="1:7" s="265" customFormat="1" ht="28.35" customHeight="1" x14ac:dyDescent="0.2"/>
  </sheetData>
  <mergeCells count="7">
    <mergeCell ref="A19:G19"/>
    <mergeCell ref="A1:H1"/>
    <mergeCell ref="A2:A3"/>
    <mergeCell ref="B2:C2"/>
    <mergeCell ref="D2:E2"/>
    <mergeCell ref="F2:G2"/>
    <mergeCell ref="A18:G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F19"/>
  <sheetViews>
    <sheetView workbookViewId="0">
      <selection sqref="A1:D1"/>
    </sheetView>
  </sheetViews>
  <sheetFormatPr defaultRowHeight="12.75" x14ac:dyDescent="0.2"/>
  <cols>
    <col min="1" max="6" width="12.140625" style="262" bestFit="1" customWidth="1"/>
    <col min="7" max="7" width="4.85546875" style="262" bestFit="1" customWidth="1"/>
    <col min="8" max="256" width="9.140625" style="262"/>
    <col min="257" max="262" width="12.140625" style="262" bestFit="1" customWidth="1"/>
    <col min="263" max="263" width="4.85546875" style="262" bestFit="1" customWidth="1"/>
    <col min="264" max="512" width="9.140625" style="262"/>
    <col min="513" max="518" width="12.140625" style="262" bestFit="1" customWidth="1"/>
    <col min="519" max="519" width="4.85546875" style="262" bestFit="1" customWidth="1"/>
    <col min="520" max="768" width="9.140625" style="262"/>
    <col min="769" max="774" width="12.140625" style="262" bestFit="1" customWidth="1"/>
    <col min="775" max="775" width="4.85546875" style="262" bestFit="1" customWidth="1"/>
    <col min="776" max="1024" width="9.140625" style="262"/>
    <col min="1025" max="1030" width="12.140625" style="262" bestFit="1" customWidth="1"/>
    <col min="1031" max="1031" width="4.85546875" style="262" bestFit="1" customWidth="1"/>
    <col min="1032" max="1280" width="9.140625" style="262"/>
    <col min="1281" max="1286" width="12.140625" style="262" bestFit="1" customWidth="1"/>
    <col min="1287" max="1287" width="4.85546875" style="262" bestFit="1" customWidth="1"/>
    <col min="1288" max="1536" width="9.140625" style="262"/>
    <col min="1537" max="1542" width="12.140625" style="262" bestFit="1" customWidth="1"/>
    <col min="1543" max="1543" width="4.85546875" style="262" bestFit="1" customWidth="1"/>
    <col min="1544" max="1792" width="9.140625" style="262"/>
    <col min="1793" max="1798" width="12.140625" style="262" bestFit="1" customWidth="1"/>
    <col min="1799" max="1799" width="4.85546875" style="262" bestFit="1" customWidth="1"/>
    <col min="1800" max="2048" width="9.140625" style="262"/>
    <col min="2049" max="2054" width="12.140625" style="262" bestFit="1" customWidth="1"/>
    <col min="2055" max="2055" width="4.85546875" style="262" bestFit="1" customWidth="1"/>
    <col min="2056" max="2304" width="9.140625" style="262"/>
    <col min="2305" max="2310" width="12.140625" style="262" bestFit="1" customWidth="1"/>
    <col min="2311" max="2311" width="4.85546875" style="262" bestFit="1" customWidth="1"/>
    <col min="2312" max="2560" width="9.140625" style="262"/>
    <col min="2561" max="2566" width="12.140625" style="262" bestFit="1" customWidth="1"/>
    <col min="2567" max="2567" width="4.85546875" style="262" bestFit="1" customWidth="1"/>
    <col min="2568" max="2816" width="9.140625" style="262"/>
    <col min="2817" max="2822" width="12.140625" style="262" bestFit="1" customWidth="1"/>
    <col min="2823" max="2823" width="4.85546875" style="262" bestFit="1" customWidth="1"/>
    <col min="2824" max="3072" width="9.140625" style="262"/>
    <col min="3073" max="3078" width="12.140625" style="262" bestFit="1" customWidth="1"/>
    <col min="3079" max="3079" width="4.85546875" style="262" bestFit="1" customWidth="1"/>
    <col min="3080" max="3328" width="9.140625" style="262"/>
    <col min="3329" max="3334" width="12.140625" style="262" bestFit="1" customWidth="1"/>
    <col min="3335" max="3335" width="4.85546875" style="262" bestFit="1" customWidth="1"/>
    <col min="3336" max="3584" width="9.140625" style="262"/>
    <col min="3585" max="3590" width="12.140625" style="262" bestFit="1" customWidth="1"/>
    <col min="3591" max="3591" width="4.85546875" style="262" bestFit="1" customWidth="1"/>
    <col min="3592" max="3840" width="9.140625" style="262"/>
    <col min="3841" max="3846" width="12.140625" style="262" bestFit="1" customWidth="1"/>
    <col min="3847" max="3847" width="4.85546875" style="262" bestFit="1" customWidth="1"/>
    <col min="3848" max="4096" width="9.140625" style="262"/>
    <col min="4097" max="4102" width="12.140625" style="262" bestFit="1" customWidth="1"/>
    <col min="4103" max="4103" width="4.85546875" style="262" bestFit="1" customWidth="1"/>
    <col min="4104" max="4352" width="9.140625" style="262"/>
    <col min="4353" max="4358" width="12.140625" style="262" bestFit="1" customWidth="1"/>
    <col min="4359" max="4359" width="4.85546875" style="262" bestFit="1" customWidth="1"/>
    <col min="4360" max="4608" width="9.140625" style="262"/>
    <col min="4609" max="4614" width="12.140625" style="262" bestFit="1" customWidth="1"/>
    <col min="4615" max="4615" width="4.85546875" style="262" bestFit="1" customWidth="1"/>
    <col min="4616" max="4864" width="9.140625" style="262"/>
    <col min="4865" max="4870" width="12.140625" style="262" bestFit="1" customWidth="1"/>
    <col min="4871" max="4871" width="4.85546875" style="262" bestFit="1" customWidth="1"/>
    <col min="4872" max="5120" width="9.140625" style="262"/>
    <col min="5121" max="5126" width="12.140625" style="262" bestFit="1" customWidth="1"/>
    <col min="5127" max="5127" width="4.85546875" style="262" bestFit="1" customWidth="1"/>
    <col min="5128" max="5376" width="9.140625" style="262"/>
    <col min="5377" max="5382" width="12.140625" style="262" bestFit="1" customWidth="1"/>
    <col min="5383" max="5383" width="4.85546875" style="262" bestFit="1" customWidth="1"/>
    <col min="5384" max="5632" width="9.140625" style="262"/>
    <col min="5633" max="5638" width="12.140625" style="262" bestFit="1" customWidth="1"/>
    <col min="5639" max="5639" width="4.85546875" style="262" bestFit="1" customWidth="1"/>
    <col min="5640" max="5888" width="9.140625" style="262"/>
    <col min="5889" max="5894" width="12.140625" style="262" bestFit="1" customWidth="1"/>
    <col min="5895" max="5895" width="4.85546875" style="262" bestFit="1" customWidth="1"/>
    <col min="5896" max="6144" width="9.140625" style="262"/>
    <col min="6145" max="6150" width="12.140625" style="262" bestFit="1" customWidth="1"/>
    <col min="6151" max="6151" width="4.85546875" style="262" bestFit="1" customWidth="1"/>
    <col min="6152" max="6400" width="9.140625" style="262"/>
    <col min="6401" max="6406" width="12.140625" style="262" bestFit="1" customWidth="1"/>
    <col min="6407" max="6407" width="4.85546875" style="262" bestFit="1" customWidth="1"/>
    <col min="6408" max="6656" width="9.140625" style="262"/>
    <col min="6657" max="6662" width="12.140625" style="262" bestFit="1" customWidth="1"/>
    <col min="6663" max="6663" width="4.85546875" style="262" bestFit="1" customWidth="1"/>
    <col min="6664" max="6912" width="9.140625" style="262"/>
    <col min="6913" max="6918" width="12.140625" style="262" bestFit="1" customWidth="1"/>
    <col min="6919" max="6919" width="4.85546875" style="262" bestFit="1" customWidth="1"/>
    <col min="6920" max="7168" width="9.140625" style="262"/>
    <col min="7169" max="7174" width="12.140625" style="262" bestFit="1" customWidth="1"/>
    <col min="7175" max="7175" width="4.85546875" style="262" bestFit="1" customWidth="1"/>
    <col min="7176" max="7424" width="9.140625" style="262"/>
    <col min="7425" max="7430" width="12.140625" style="262" bestFit="1" customWidth="1"/>
    <col min="7431" max="7431" width="4.85546875" style="262" bestFit="1" customWidth="1"/>
    <col min="7432" max="7680" width="9.140625" style="262"/>
    <col min="7681" max="7686" width="12.140625" style="262" bestFit="1" customWidth="1"/>
    <col min="7687" max="7687" width="4.85546875" style="262" bestFit="1" customWidth="1"/>
    <col min="7688" max="7936" width="9.140625" style="262"/>
    <col min="7937" max="7942" width="12.140625" style="262" bestFit="1" customWidth="1"/>
    <col min="7943" max="7943" width="4.85546875" style="262" bestFit="1" customWidth="1"/>
    <col min="7944" max="8192" width="9.140625" style="262"/>
    <col min="8193" max="8198" width="12.140625" style="262" bestFit="1" customWidth="1"/>
    <col min="8199" max="8199" width="4.85546875" style="262" bestFit="1" customWidth="1"/>
    <col min="8200" max="8448" width="9.140625" style="262"/>
    <col min="8449" max="8454" width="12.140625" style="262" bestFit="1" customWidth="1"/>
    <col min="8455" max="8455" width="4.85546875" style="262" bestFit="1" customWidth="1"/>
    <col min="8456" max="8704" width="9.140625" style="262"/>
    <col min="8705" max="8710" width="12.140625" style="262" bestFit="1" customWidth="1"/>
    <col min="8711" max="8711" width="4.85546875" style="262" bestFit="1" customWidth="1"/>
    <col min="8712" max="8960" width="9.140625" style="262"/>
    <col min="8961" max="8966" width="12.140625" style="262" bestFit="1" customWidth="1"/>
    <col min="8967" max="8967" width="4.85546875" style="262" bestFit="1" customWidth="1"/>
    <col min="8968" max="9216" width="9.140625" style="262"/>
    <col min="9217" max="9222" width="12.140625" style="262" bestFit="1" customWidth="1"/>
    <col min="9223" max="9223" width="4.85546875" style="262" bestFit="1" customWidth="1"/>
    <col min="9224" max="9472" width="9.140625" style="262"/>
    <col min="9473" max="9478" width="12.140625" style="262" bestFit="1" customWidth="1"/>
    <col min="9479" max="9479" width="4.85546875" style="262" bestFit="1" customWidth="1"/>
    <col min="9480" max="9728" width="9.140625" style="262"/>
    <col min="9729" max="9734" width="12.140625" style="262" bestFit="1" customWidth="1"/>
    <col min="9735" max="9735" width="4.85546875" style="262" bestFit="1" customWidth="1"/>
    <col min="9736" max="9984" width="9.140625" style="262"/>
    <col min="9985" max="9990" width="12.140625" style="262" bestFit="1" customWidth="1"/>
    <col min="9991" max="9991" width="4.85546875" style="262" bestFit="1" customWidth="1"/>
    <col min="9992" max="10240" width="9.140625" style="262"/>
    <col min="10241" max="10246" width="12.140625" style="262" bestFit="1" customWidth="1"/>
    <col min="10247" max="10247" width="4.85546875" style="262" bestFit="1" customWidth="1"/>
    <col min="10248" max="10496" width="9.140625" style="262"/>
    <col min="10497" max="10502" width="12.140625" style="262" bestFit="1" customWidth="1"/>
    <col min="10503" max="10503" width="4.85546875" style="262" bestFit="1" customWidth="1"/>
    <col min="10504" max="10752" width="9.140625" style="262"/>
    <col min="10753" max="10758" width="12.140625" style="262" bestFit="1" customWidth="1"/>
    <col min="10759" max="10759" width="4.85546875" style="262" bestFit="1" customWidth="1"/>
    <col min="10760" max="11008" width="9.140625" style="262"/>
    <col min="11009" max="11014" width="12.140625" style="262" bestFit="1" customWidth="1"/>
    <col min="11015" max="11015" width="4.85546875" style="262" bestFit="1" customWidth="1"/>
    <col min="11016" max="11264" width="9.140625" style="262"/>
    <col min="11265" max="11270" width="12.140625" style="262" bestFit="1" customWidth="1"/>
    <col min="11271" max="11271" width="4.85546875" style="262" bestFit="1" customWidth="1"/>
    <col min="11272" max="11520" width="9.140625" style="262"/>
    <col min="11521" max="11526" width="12.140625" style="262" bestFit="1" customWidth="1"/>
    <col min="11527" max="11527" width="4.85546875" style="262" bestFit="1" customWidth="1"/>
    <col min="11528" max="11776" width="9.140625" style="262"/>
    <col min="11777" max="11782" width="12.140625" style="262" bestFit="1" customWidth="1"/>
    <col min="11783" max="11783" width="4.85546875" style="262" bestFit="1" customWidth="1"/>
    <col min="11784" max="12032" width="9.140625" style="262"/>
    <col min="12033" max="12038" width="12.140625" style="262" bestFit="1" customWidth="1"/>
    <col min="12039" max="12039" width="4.85546875" style="262" bestFit="1" customWidth="1"/>
    <col min="12040" max="12288" width="9.140625" style="262"/>
    <col min="12289" max="12294" width="12.140625" style="262" bestFit="1" customWidth="1"/>
    <col min="12295" max="12295" width="4.85546875" style="262" bestFit="1" customWidth="1"/>
    <col min="12296" max="12544" width="9.140625" style="262"/>
    <col min="12545" max="12550" width="12.140625" style="262" bestFit="1" customWidth="1"/>
    <col min="12551" max="12551" width="4.85546875" style="262" bestFit="1" customWidth="1"/>
    <col min="12552" max="12800" width="9.140625" style="262"/>
    <col min="12801" max="12806" width="12.140625" style="262" bestFit="1" customWidth="1"/>
    <col min="12807" max="12807" width="4.85546875" style="262" bestFit="1" customWidth="1"/>
    <col min="12808" max="13056" width="9.140625" style="262"/>
    <col min="13057" max="13062" width="12.140625" style="262" bestFit="1" customWidth="1"/>
    <col min="13063" max="13063" width="4.85546875" style="262" bestFit="1" customWidth="1"/>
    <col min="13064" max="13312" width="9.140625" style="262"/>
    <col min="13313" max="13318" width="12.140625" style="262" bestFit="1" customWidth="1"/>
    <col min="13319" max="13319" width="4.85546875" style="262" bestFit="1" customWidth="1"/>
    <col min="13320" max="13568" width="9.140625" style="262"/>
    <col min="13569" max="13574" width="12.140625" style="262" bestFit="1" customWidth="1"/>
    <col min="13575" max="13575" width="4.85546875" style="262" bestFit="1" customWidth="1"/>
    <col min="13576" max="13824" width="9.140625" style="262"/>
    <col min="13825" max="13830" width="12.140625" style="262" bestFit="1" customWidth="1"/>
    <col min="13831" max="13831" width="4.85546875" style="262" bestFit="1" customWidth="1"/>
    <col min="13832" max="14080" width="9.140625" style="262"/>
    <col min="14081" max="14086" width="12.140625" style="262" bestFit="1" customWidth="1"/>
    <col min="14087" max="14087" width="4.85546875" style="262" bestFit="1" customWidth="1"/>
    <col min="14088" max="14336" width="9.140625" style="262"/>
    <col min="14337" max="14342" width="12.140625" style="262" bestFit="1" customWidth="1"/>
    <col min="14343" max="14343" width="4.85546875" style="262" bestFit="1" customWidth="1"/>
    <col min="14344" max="14592" width="9.140625" style="262"/>
    <col min="14593" max="14598" width="12.140625" style="262" bestFit="1" customWidth="1"/>
    <col min="14599" max="14599" width="4.85546875" style="262" bestFit="1" customWidth="1"/>
    <col min="14600" max="14848" width="9.140625" style="262"/>
    <col min="14849" max="14854" width="12.140625" style="262" bestFit="1" customWidth="1"/>
    <col min="14855" max="14855" width="4.85546875" style="262" bestFit="1" customWidth="1"/>
    <col min="14856" max="15104" width="9.140625" style="262"/>
    <col min="15105" max="15110" width="12.140625" style="262" bestFit="1" customWidth="1"/>
    <col min="15111" max="15111" width="4.85546875" style="262" bestFit="1" customWidth="1"/>
    <col min="15112" max="15360" width="9.140625" style="262"/>
    <col min="15361" max="15366" width="12.140625" style="262" bestFit="1" customWidth="1"/>
    <col min="15367" max="15367" width="4.85546875" style="262" bestFit="1" customWidth="1"/>
    <col min="15368" max="15616" width="9.140625" style="262"/>
    <col min="15617" max="15622" width="12.140625" style="262" bestFit="1" customWidth="1"/>
    <col min="15623" max="15623" width="4.85546875" style="262" bestFit="1" customWidth="1"/>
    <col min="15624" max="15872" width="9.140625" style="262"/>
    <col min="15873" max="15878" width="12.140625" style="262" bestFit="1" customWidth="1"/>
    <col min="15879" max="15879" width="4.85546875" style="262" bestFit="1" customWidth="1"/>
    <col min="15880" max="16128" width="9.140625" style="262"/>
    <col min="16129" max="16134" width="12.140625" style="262" bestFit="1" customWidth="1"/>
    <col min="16135" max="16135" width="4.85546875" style="262" bestFit="1" customWidth="1"/>
    <col min="16136" max="16384" width="9.140625" style="262"/>
  </cols>
  <sheetData>
    <row r="1" spans="1:6" ht="15" customHeight="1" x14ac:dyDescent="0.2">
      <c r="A1" s="385" t="s">
        <v>56</v>
      </c>
      <c r="B1" s="385"/>
      <c r="C1" s="385"/>
      <c r="D1" s="385"/>
    </row>
    <row r="2" spans="1:6" s="265" customFormat="1" ht="51" customHeight="1" x14ac:dyDescent="0.2">
      <c r="A2" s="269" t="s">
        <v>250</v>
      </c>
      <c r="B2" s="270" t="s">
        <v>618</v>
      </c>
      <c r="C2" s="270" t="s">
        <v>619</v>
      </c>
      <c r="D2" s="270" t="s">
        <v>620</v>
      </c>
      <c r="E2" s="269" t="s">
        <v>621</v>
      </c>
      <c r="F2" s="269" t="s">
        <v>622</v>
      </c>
    </row>
    <row r="3" spans="1:6" s="265" customFormat="1" ht="18" customHeight="1" x14ac:dyDescent="0.2">
      <c r="A3" s="266" t="s">
        <v>69</v>
      </c>
      <c r="B3" s="290">
        <v>1728359.54</v>
      </c>
      <c r="C3" s="290">
        <v>1583678.77</v>
      </c>
      <c r="D3" s="290">
        <v>144680.76999999999</v>
      </c>
      <c r="E3" s="292">
        <v>22465.57</v>
      </c>
      <c r="F3" s="292">
        <v>253652.92</v>
      </c>
    </row>
    <row r="4" spans="1:6" s="265" customFormat="1" ht="18" customHeight="1" x14ac:dyDescent="0.2">
      <c r="A4" s="266" t="s">
        <v>623</v>
      </c>
      <c r="B4" s="290">
        <v>200221.55</v>
      </c>
      <c r="C4" s="290">
        <v>151470.82</v>
      </c>
      <c r="D4" s="283">
        <v>48750.73</v>
      </c>
      <c r="E4" s="292">
        <v>7032.78</v>
      </c>
      <c r="F4" s="292">
        <v>248154.18</v>
      </c>
    </row>
    <row r="5" spans="1:6" s="265" customFormat="1" ht="18" customHeight="1" x14ac:dyDescent="0.2">
      <c r="A5" s="266" t="s">
        <v>156</v>
      </c>
      <c r="B5" s="290">
        <v>134718.56</v>
      </c>
      <c r="C5" s="290">
        <v>150280.04</v>
      </c>
      <c r="D5" s="283">
        <v>-15561.48</v>
      </c>
      <c r="E5" s="292">
        <v>-2352.6799999999998</v>
      </c>
      <c r="F5" s="292">
        <v>251300.24</v>
      </c>
    </row>
    <row r="6" spans="1:6" s="265" customFormat="1" ht="18" customHeight="1" x14ac:dyDescent="0.2">
      <c r="A6" s="266" t="s">
        <v>157</v>
      </c>
      <c r="B6" s="290">
        <v>127492.24</v>
      </c>
      <c r="C6" s="290">
        <v>157267.82</v>
      </c>
      <c r="D6" s="283">
        <v>-29775.58</v>
      </c>
      <c r="E6" s="292">
        <v>-4409.97</v>
      </c>
      <c r="F6" s="292">
        <v>246890.27</v>
      </c>
    </row>
    <row r="7" spans="1:6" s="265" customFormat="1" ht="18" customHeight="1" x14ac:dyDescent="0.2">
      <c r="A7" s="266" t="s">
        <v>158</v>
      </c>
      <c r="B7" s="290">
        <v>145149.57</v>
      </c>
      <c r="C7" s="290">
        <v>160944.54</v>
      </c>
      <c r="D7" s="283">
        <v>-15794.97</v>
      </c>
      <c r="E7" s="292">
        <v>-2322.1799999999998</v>
      </c>
      <c r="F7" s="292">
        <v>244568.09</v>
      </c>
    </row>
    <row r="8" spans="1:6" s="265" customFormat="1" ht="18" customHeight="1" x14ac:dyDescent="0.2">
      <c r="A8" s="266" t="s">
        <v>159</v>
      </c>
      <c r="B8" s="290">
        <v>128610.93</v>
      </c>
      <c r="C8" s="290">
        <v>126346.99</v>
      </c>
      <c r="D8" s="283">
        <v>2263.94</v>
      </c>
      <c r="E8" s="292">
        <v>329.85</v>
      </c>
      <c r="F8" s="292">
        <v>244897.94</v>
      </c>
    </row>
    <row r="9" spans="1:6" s="265" customFormat="1" ht="18" customHeight="1" x14ac:dyDescent="0.2">
      <c r="A9" s="266" t="s">
        <v>160</v>
      </c>
      <c r="B9" s="290">
        <v>119546.48</v>
      </c>
      <c r="C9" s="290">
        <v>114400.94</v>
      </c>
      <c r="D9" s="283">
        <v>5145.54</v>
      </c>
      <c r="E9" s="292">
        <v>762.47</v>
      </c>
      <c r="F9" s="292">
        <v>245660.41</v>
      </c>
    </row>
    <row r="10" spans="1:6" s="265" customFormat="1" ht="18" customHeight="1" x14ac:dyDescent="0.2">
      <c r="A10" s="266" t="s">
        <v>161</v>
      </c>
      <c r="B10" s="290">
        <v>131050.1</v>
      </c>
      <c r="C10" s="290">
        <v>152084.64000000001</v>
      </c>
      <c r="D10" s="283">
        <v>-21034.54</v>
      </c>
      <c r="E10" s="292">
        <v>-2906.71</v>
      </c>
      <c r="F10" s="292">
        <v>242753.7</v>
      </c>
    </row>
    <row r="11" spans="1:6" s="265" customFormat="1" ht="18" customHeight="1" x14ac:dyDescent="0.2">
      <c r="A11" s="266" t="s">
        <v>162</v>
      </c>
      <c r="B11" s="290">
        <v>134506.68</v>
      </c>
      <c r="C11" s="290">
        <v>173412.36</v>
      </c>
      <c r="D11" s="283">
        <v>-38905.68</v>
      </c>
      <c r="E11" s="292">
        <v>-5281.19</v>
      </c>
      <c r="F11" s="292">
        <v>237472.51</v>
      </c>
    </row>
    <row r="12" spans="1:6" s="265" customFormat="1" ht="18" customHeight="1" x14ac:dyDescent="0.2">
      <c r="A12" s="266" t="s">
        <v>163</v>
      </c>
      <c r="B12" s="290">
        <v>128220.7</v>
      </c>
      <c r="C12" s="290">
        <v>116625.64</v>
      </c>
      <c r="D12" s="283">
        <v>11595.06</v>
      </c>
      <c r="E12" s="292">
        <v>1609.5</v>
      </c>
      <c r="F12" s="292">
        <v>239082.01</v>
      </c>
    </row>
    <row r="13" spans="1:6" s="265" customFormat="1" ht="18" customHeight="1" x14ac:dyDescent="0.2">
      <c r="A13" s="266" t="s">
        <v>164</v>
      </c>
      <c r="B13" s="290">
        <v>129514.11</v>
      </c>
      <c r="C13" s="290">
        <v>121624.92</v>
      </c>
      <c r="D13" s="283">
        <v>7889.19</v>
      </c>
      <c r="E13" s="292">
        <v>1129</v>
      </c>
      <c r="F13" s="292">
        <v>240211.01</v>
      </c>
    </row>
    <row r="14" spans="1:6" s="265" customFormat="1" ht="18" customHeight="1" x14ac:dyDescent="0.2">
      <c r="A14" s="266" t="s">
        <v>165</v>
      </c>
      <c r="B14" s="290">
        <v>122075.46</v>
      </c>
      <c r="C14" s="290">
        <v>127631.67999999999</v>
      </c>
      <c r="D14" s="283">
        <v>-5556.22</v>
      </c>
      <c r="E14" s="292">
        <v>-787</v>
      </c>
      <c r="F14" s="292">
        <v>239424.01</v>
      </c>
    </row>
    <row r="15" spans="1:6" s="265" customFormat="1" ht="18" customHeight="1" x14ac:dyDescent="0.2">
      <c r="A15" s="266" t="s">
        <v>166</v>
      </c>
      <c r="B15" s="290">
        <v>139703.34</v>
      </c>
      <c r="C15" s="290">
        <v>127650.45</v>
      </c>
      <c r="D15" s="283">
        <v>12052.89</v>
      </c>
      <c r="E15" s="292">
        <v>1697.39</v>
      </c>
      <c r="F15" s="292">
        <v>241121.4</v>
      </c>
    </row>
    <row r="16" spans="1:6" s="265" customFormat="1" ht="18" customHeight="1" x14ac:dyDescent="0.2">
      <c r="A16" s="266" t="s">
        <v>167</v>
      </c>
      <c r="B16" s="290">
        <v>200221.55</v>
      </c>
      <c r="C16" s="290">
        <v>151470.82</v>
      </c>
      <c r="D16" s="283">
        <v>48750.73</v>
      </c>
      <c r="E16" s="292">
        <v>7032.78</v>
      </c>
      <c r="F16" s="292">
        <v>248154.18</v>
      </c>
    </row>
    <row r="17" spans="1:6" s="265" customFormat="1" ht="18.75" customHeight="1" x14ac:dyDescent="0.2">
      <c r="A17" s="373" t="s">
        <v>624</v>
      </c>
      <c r="B17" s="373"/>
      <c r="C17" s="373"/>
      <c r="D17" s="373"/>
      <c r="E17" s="373"/>
      <c r="F17" s="373"/>
    </row>
    <row r="18" spans="1:6" s="265" customFormat="1" ht="18" customHeight="1" x14ac:dyDescent="0.2">
      <c r="A18" s="373" t="s">
        <v>303</v>
      </c>
      <c r="B18" s="373"/>
      <c r="C18" s="373"/>
      <c r="D18" s="373"/>
      <c r="E18" s="373"/>
      <c r="F18" s="373"/>
    </row>
    <row r="19" spans="1:6" s="265" customFormat="1" ht="28.35" customHeight="1" x14ac:dyDescent="0.2"/>
  </sheetData>
  <mergeCells count="3">
    <mergeCell ref="A1:D1"/>
    <mergeCell ref="A17:F17"/>
    <mergeCell ref="A18:F18"/>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G20"/>
  <sheetViews>
    <sheetView workbookViewId="0">
      <selection sqref="A1:G1"/>
    </sheetView>
  </sheetViews>
  <sheetFormatPr defaultRowHeight="12.75" x14ac:dyDescent="0.2"/>
  <cols>
    <col min="1" max="1" width="14.85546875" style="262" bestFit="1" customWidth="1"/>
    <col min="2" max="5" width="14.7109375" style="262" bestFit="1" customWidth="1"/>
    <col min="6" max="6" width="16.42578125" style="262" bestFit="1" customWidth="1"/>
    <col min="7" max="7" width="46.140625" style="262" bestFit="1" customWidth="1"/>
    <col min="8" max="8" width="4.7109375" style="262" bestFit="1" customWidth="1"/>
    <col min="9" max="256" width="9.140625" style="262"/>
    <col min="257" max="257" width="14.85546875" style="262" bestFit="1" customWidth="1"/>
    <col min="258" max="261" width="14.7109375" style="262" bestFit="1" customWidth="1"/>
    <col min="262" max="262" width="16.42578125" style="262" bestFit="1" customWidth="1"/>
    <col min="263" max="263" width="46.140625" style="262" bestFit="1" customWidth="1"/>
    <col min="264" max="264" width="4.7109375" style="262" bestFit="1" customWidth="1"/>
    <col min="265" max="512" width="9.140625" style="262"/>
    <col min="513" max="513" width="14.85546875" style="262" bestFit="1" customWidth="1"/>
    <col min="514" max="517" width="14.7109375" style="262" bestFit="1" customWidth="1"/>
    <col min="518" max="518" width="16.42578125" style="262" bestFit="1" customWidth="1"/>
    <col min="519" max="519" width="46.140625" style="262" bestFit="1" customWidth="1"/>
    <col min="520" max="520" width="4.7109375" style="262" bestFit="1" customWidth="1"/>
    <col min="521" max="768" width="9.140625" style="262"/>
    <col min="769" max="769" width="14.85546875" style="262" bestFit="1" customWidth="1"/>
    <col min="770" max="773" width="14.7109375" style="262" bestFit="1" customWidth="1"/>
    <col min="774" max="774" width="16.42578125" style="262" bestFit="1" customWidth="1"/>
    <col min="775" max="775" width="46.140625" style="262" bestFit="1" customWidth="1"/>
    <col min="776" max="776" width="4.7109375" style="262" bestFit="1" customWidth="1"/>
    <col min="777" max="1024" width="9.140625" style="262"/>
    <col min="1025" max="1025" width="14.85546875" style="262" bestFit="1" customWidth="1"/>
    <col min="1026" max="1029" width="14.7109375" style="262" bestFit="1" customWidth="1"/>
    <col min="1030" max="1030" width="16.42578125" style="262" bestFit="1" customWidth="1"/>
    <col min="1031" max="1031" width="46.140625" style="262" bestFit="1" customWidth="1"/>
    <col min="1032" max="1032" width="4.7109375" style="262" bestFit="1" customWidth="1"/>
    <col min="1033" max="1280" width="9.140625" style="262"/>
    <col min="1281" max="1281" width="14.85546875" style="262" bestFit="1" customWidth="1"/>
    <col min="1282" max="1285" width="14.7109375" style="262" bestFit="1" customWidth="1"/>
    <col min="1286" max="1286" width="16.42578125" style="262" bestFit="1" customWidth="1"/>
    <col min="1287" max="1287" width="46.140625" style="262" bestFit="1" customWidth="1"/>
    <col min="1288" max="1288" width="4.7109375" style="262" bestFit="1" customWidth="1"/>
    <col min="1289" max="1536" width="9.140625" style="262"/>
    <col min="1537" max="1537" width="14.85546875" style="262" bestFit="1" customWidth="1"/>
    <col min="1538" max="1541" width="14.7109375" style="262" bestFit="1" customWidth="1"/>
    <col min="1542" max="1542" width="16.42578125" style="262" bestFit="1" customWidth="1"/>
    <col min="1543" max="1543" width="46.140625" style="262" bestFit="1" customWidth="1"/>
    <col min="1544" max="1544" width="4.7109375" style="262" bestFit="1" customWidth="1"/>
    <col min="1545" max="1792" width="9.140625" style="262"/>
    <col min="1793" max="1793" width="14.85546875" style="262" bestFit="1" customWidth="1"/>
    <col min="1794" max="1797" width="14.7109375" style="262" bestFit="1" customWidth="1"/>
    <col min="1798" max="1798" width="16.42578125" style="262" bestFit="1" customWidth="1"/>
    <col min="1799" max="1799" width="46.140625" style="262" bestFit="1" customWidth="1"/>
    <col min="1800" max="1800" width="4.7109375" style="262" bestFit="1" customWidth="1"/>
    <col min="1801" max="2048" width="9.140625" style="262"/>
    <col min="2049" max="2049" width="14.85546875" style="262" bestFit="1" customWidth="1"/>
    <col min="2050" max="2053" width="14.7109375" style="262" bestFit="1" customWidth="1"/>
    <col min="2054" max="2054" width="16.42578125" style="262" bestFit="1" customWidth="1"/>
    <col min="2055" max="2055" width="46.140625" style="262" bestFit="1" customWidth="1"/>
    <col min="2056" max="2056" width="4.7109375" style="262" bestFit="1" customWidth="1"/>
    <col min="2057" max="2304" width="9.140625" style="262"/>
    <col min="2305" max="2305" width="14.85546875" style="262" bestFit="1" customWidth="1"/>
    <col min="2306" max="2309" width="14.7109375" style="262" bestFit="1" customWidth="1"/>
    <col min="2310" max="2310" width="16.42578125" style="262" bestFit="1" customWidth="1"/>
    <col min="2311" max="2311" width="46.140625" style="262" bestFit="1" customWidth="1"/>
    <col min="2312" max="2312" width="4.7109375" style="262" bestFit="1" customWidth="1"/>
    <col min="2313" max="2560" width="9.140625" style="262"/>
    <col min="2561" max="2561" width="14.85546875" style="262" bestFit="1" customWidth="1"/>
    <col min="2562" max="2565" width="14.7109375" style="262" bestFit="1" customWidth="1"/>
    <col min="2566" max="2566" width="16.42578125" style="262" bestFit="1" customWidth="1"/>
    <col min="2567" max="2567" width="46.140625" style="262" bestFit="1" customWidth="1"/>
    <col min="2568" max="2568" width="4.7109375" style="262" bestFit="1" customWidth="1"/>
    <col min="2569" max="2816" width="9.140625" style="262"/>
    <col min="2817" max="2817" width="14.85546875" style="262" bestFit="1" customWidth="1"/>
    <col min="2818" max="2821" width="14.7109375" style="262" bestFit="1" customWidth="1"/>
    <col min="2822" max="2822" width="16.42578125" style="262" bestFit="1" customWidth="1"/>
    <col min="2823" max="2823" width="46.140625" style="262" bestFit="1" customWidth="1"/>
    <col min="2824" max="2824" width="4.7109375" style="262" bestFit="1" customWidth="1"/>
    <col min="2825" max="3072" width="9.140625" style="262"/>
    <col min="3073" max="3073" width="14.85546875" style="262" bestFit="1" customWidth="1"/>
    <col min="3074" max="3077" width="14.7109375" style="262" bestFit="1" customWidth="1"/>
    <col min="3078" max="3078" width="16.42578125" style="262" bestFit="1" customWidth="1"/>
    <col min="3079" max="3079" width="46.140625" style="262" bestFit="1" customWidth="1"/>
    <col min="3080" max="3080" width="4.7109375" style="262" bestFit="1" customWidth="1"/>
    <col min="3081" max="3328" width="9.140625" style="262"/>
    <col min="3329" max="3329" width="14.85546875" style="262" bestFit="1" customWidth="1"/>
    <col min="3330" max="3333" width="14.7109375" style="262" bestFit="1" customWidth="1"/>
    <col min="3334" max="3334" width="16.42578125" style="262" bestFit="1" customWidth="1"/>
    <col min="3335" max="3335" width="46.140625" style="262" bestFit="1" customWidth="1"/>
    <col min="3336" max="3336" width="4.7109375" style="262" bestFit="1" customWidth="1"/>
    <col min="3337" max="3584" width="9.140625" style="262"/>
    <col min="3585" max="3585" width="14.85546875" style="262" bestFit="1" customWidth="1"/>
    <col min="3586" max="3589" width="14.7109375" style="262" bestFit="1" customWidth="1"/>
    <col min="3590" max="3590" width="16.42578125" style="262" bestFit="1" customWidth="1"/>
    <col min="3591" max="3591" width="46.140625" style="262" bestFit="1" customWidth="1"/>
    <col min="3592" max="3592" width="4.7109375" style="262" bestFit="1" customWidth="1"/>
    <col min="3593" max="3840" width="9.140625" style="262"/>
    <col min="3841" max="3841" width="14.85546875" style="262" bestFit="1" customWidth="1"/>
    <col min="3842" max="3845" width="14.7109375" style="262" bestFit="1" customWidth="1"/>
    <col min="3846" max="3846" width="16.42578125" style="262" bestFit="1" customWidth="1"/>
    <col min="3847" max="3847" width="46.140625" style="262" bestFit="1" customWidth="1"/>
    <col min="3848" max="3848" width="4.7109375" style="262" bestFit="1" customWidth="1"/>
    <col min="3849" max="4096" width="9.140625" style="262"/>
    <col min="4097" max="4097" width="14.85546875" style="262" bestFit="1" customWidth="1"/>
    <col min="4098" max="4101" width="14.7109375" style="262" bestFit="1" customWidth="1"/>
    <col min="4102" max="4102" width="16.42578125" style="262" bestFit="1" customWidth="1"/>
    <col min="4103" max="4103" width="46.140625" style="262" bestFit="1" customWidth="1"/>
    <col min="4104" max="4104" width="4.7109375" style="262" bestFit="1" customWidth="1"/>
    <col min="4105" max="4352" width="9.140625" style="262"/>
    <col min="4353" max="4353" width="14.85546875" style="262" bestFit="1" customWidth="1"/>
    <col min="4354" max="4357" width="14.7109375" style="262" bestFit="1" customWidth="1"/>
    <col min="4358" max="4358" width="16.42578125" style="262" bestFit="1" customWidth="1"/>
    <col min="4359" max="4359" width="46.140625" style="262" bestFit="1" customWidth="1"/>
    <col min="4360" max="4360" width="4.7109375" style="262" bestFit="1" customWidth="1"/>
    <col min="4361" max="4608" width="9.140625" style="262"/>
    <col min="4609" max="4609" width="14.85546875" style="262" bestFit="1" customWidth="1"/>
    <col min="4610" max="4613" width="14.7109375" style="262" bestFit="1" customWidth="1"/>
    <col min="4614" max="4614" width="16.42578125" style="262" bestFit="1" customWidth="1"/>
    <col min="4615" max="4615" width="46.140625" style="262" bestFit="1" customWidth="1"/>
    <col min="4616" max="4616" width="4.7109375" style="262" bestFit="1" customWidth="1"/>
    <col min="4617" max="4864" width="9.140625" style="262"/>
    <col min="4865" max="4865" width="14.85546875" style="262" bestFit="1" customWidth="1"/>
    <col min="4866" max="4869" width="14.7109375" style="262" bestFit="1" customWidth="1"/>
    <col min="4870" max="4870" width="16.42578125" style="262" bestFit="1" customWidth="1"/>
    <col min="4871" max="4871" width="46.140625" style="262" bestFit="1" customWidth="1"/>
    <col min="4872" max="4872" width="4.7109375" style="262" bestFit="1" customWidth="1"/>
    <col min="4873" max="5120" width="9.140625" style="262"/>
    <col min="5121" max="5121" width="14.85546875" style="262" bestFit="1" customWidth="1"/>
    <col min="5122" max="5125" width="14.7109375" style="262" bestFit="1" customWidth="1"/>
    <col min="5126" max="5126" width="16.42578125" style="262" bestFit="1" customWidth="1"/>
    <col min="5127" max="5127" width="46.140625" style="262" bestFit="1" customWidth="1"/>
    <col min="5128" max="5128" width="4.7109375" style="262" bestFit="1" customWidth="1"/>
    <col min="5129" max="5376" width="9.140625" style="262"/>
    <col min="5377" max="5377" width="14.85546875" style="262" bestFit="1" customWidth="1"/>
    <col min="5378" max="5381" width="14.7109375" style="262" bestFit="1" customWidth="1"/>
    <col min="5382" max="5382" width="16.42578125" style="262" bestFit="1" customWidth="1"/>
    <col min="5383" max="5383" width="46.140625" style="262" bestFit="1" customWidth="1"/>
    <col min="5384" max="5384" width="4.7109375" style="262" bestFit="1" customWidth="1"/>
    <col min="5385" max="5632" width="9.140625" style="262"/>
    <col min="5633" max="5633" width="14.85546875" style="262" bestFit="1" customWidth="1"/>
    <col min="5634" max="5637" width="14.7109375" style="262" bestFit="1" customWidth="1"/>
    <col min="5638" max="5638" width="16.42578125" style="262" bestFit="1" customWidth="1"/>
    <col min="5639" max="5639" width="46.140625" style="262" bestFit="1" customWidth="1"/>
    <col min="5640" max="5640" width="4.7109375" style="262" bestFit="1" customWidth="1"/>
    <col min="5641" max="5888" width="9.140625" style="262"/>
    <col min="5889" max="5889" width="14.85546875" style="262" bestFit="1" customWidth="1"/>
    <col min="5890" max="5893" width="14.7109375" style="262" bestFit="1" customWidth="1"/>
    <col min="5894" max="5894" width="16.42578125" style="262" bestFit="1" customWidth="1"/>
    <col min="5895" max="5895" width="46.140625" style="262" bestFit="1" customWidth="1"/>
    <col min="5896" max="5896" width="4.7109375" style="262" bestFit="1" customWidth="1"/>
    <col min="5897" max="6144" width="9.140625" style="262"/>
    <col min="6145" max="6145" width="14.85546875" style="262" bestFit="1" customWidth="1"/>
    <col min="6146" max="6149" width="14.7109375" style="262" bestFit="1" customWidth="1"/>
    <col min="6150" max="6150" width="16.42578125" style="262" bestFit="1" customWidth="1"/>
    <col min="6151" max="6151" width="46.140625" style="262" bestFit="1" customWidth="1"/>
    <col min="6152" max="6152" width="4.7109375" style="262" bestFit="1" customWidth="1"/>
    <col min="6153" max="6400" width="9.140625" style="262"/>
    <col min="6401" max="6401" width="14.85546875" style="262" bestFit="1" customWidth="1"/>
    <col min="6402" max="6405" width="14.7109375" style="262" bestFit="1" customWidth="1"/>
    <col min="6406" max="6406" width="16.42578125" style="262" bestFit="1" customWidth="1"/>
    <col min="6407" max="6407" width="46.140625" style="262" bestFit="1" customWidth="1"/>
    <col min="6408" max="6408" width="4.7109375" style="262" bestFit="1" customWidth="1"/>
    <col min="6409" max="6656" width="9.140625" style="262"/>
    <col min="6657" max="6657" width="14.85546875" style="262" bestFit="1" customWidth="1"/>
    <col min="6658" max="6661" width="14.7109375" style="262" bestFit="1" customWidth="1"/>
    <col min="6662" max="6662" width="16.42578125" style="262" bestFit="1" customWidth="1"/>
    <col min="6663" max="6663" width="46.140625" style="262" bestFit="1" customWidth="1"/>
    <col min="6664" max="6664" width="4.7109375" style="262" bestFit="1" customWidth="1"/>
    <col min="6665" max="6912" width="9.140625" style="262"/>
    <col min="6913" max="6913" width="14.85546875" style="262" bestFit="1" customWidth="1"/>
    <col min="6914" max="6917" width="14.7109375" style="262" bestFit="1" customWidth="1"/>
    <col min="6918" max="6918" width="16.42578125" style="262" bestFit="1" customWidth="1"/>
    <col min="6919" max="6919" width="46.140625" style="262" bestFit="1" customWidth="1"/>
    <col min="6920" max="6920" width="4.7109375" style="262" bestFit="1" customWidth="1"/>
    <col min="6921" max="7168" width="9.140625" style="262"/>
    <col min="7169" max="7169" width="14.85546875" style="262" bestFit="1" customWidth="1"/>
    <col min="7170" max="7173" width="14.7109375" style="262" bestFit="1" customWidth="1"/>
    <col min="7174" max="7174" width="16.42578125" style="262" bestFit="1" customWidth="1"/>
    <col min="7175" max="7175" width="46.140625" style="262" bestFit="1" customWidth="1"/>
    <col min="7176" max="7176" width="4.7109375" style="262" bestFit="1" customWidth="1"/>
    <col min="7177" max="7424" width="9.140625" style="262"/>
    <col min="7425" max="7425" width="14.85546875" style="262" bestFit="1" customWidth="1"/>
    <col min="7426" max="7429" width="14.7109375" style="262" bestFit="1" customWidth="1"/>
    <col min="7430" max="7430" width="16.42578125" style="262" bestFit="1" customWidth="1"/>
    <col min="7431" max="7431" width="46.140625" style="262" bestFit="1" customWidth="1"/>
    <col min="7432" max="7432" width="4.7109375" style="262" bestFit="1" customWidth="1"/>
    <col min="7433" max="7680" width="9.140625" style="262"/>
    <col min="7681" max="7681" width="14.85546875" style="262" bestFit="1" customWidth="1"/>
    <col min="7682" max="7685" width="14.7109375" style="262" bestFit="1" customWidth="1"/>
    <col min="7686" max="7686" width="16.42578125" style="262" bestFit="1" customWidth="1"/>
    <col min="7687" max="7687" width="46.140625" style="262" bestFit="1" customWidth="1"/>
    <col min="7688" max="7688" width="4.7109375" style="262" bestFit="1" customWidth="1"/>
    <col min="7689" max="7936" width="9.140625" style="262"/>
    <col min="7937" max="7937" width="14.85546875" style="262" bestFit="1" customWidth="1"/>
    <col min="7938" max="7941" width="14.7109375" style="262" bestFit="1" customWidth="1"/>
    <col min="7942" max="7942" width="16.42578125" style="262" bestFit="1" customWidth="1"/>
    <col min="7943" max="7943" width="46.140625" style="262" bestFit="1" customWidth="1"/>
    <col min="7944" max="7944" width="4.7109375" style="262" bestFit="1" customWidth="1"/>
    <col min="7945" max="8192" width="9.140625" style="262"/>
    <col min="8193" max="8193" width="14.85546875" style="262" bestFit="1" customWidth="1"/>
    <col min="8194" max="8197" width="14.7109375" style="262" bestFit="1" customWidth="1"/>
    <col min="8198" max="8198" width="16.42578125" style="262" bestFit="1" customWidth="1"/>
    <col min="8199" max="8199" width="46.140625" style="262" bestFit="1" customWidth="1"/>
    <col min="8200" max="8200" width="4.7109375" style="262" bestFit="1" customWidth="1"/>
    <col min="8201" max="8448" width="9.140625" style="262"/>
    <col min="8449" max="8449" width="14.85546875" style="262" bestFit="1" customWidth="1"/>
    <col min="8450" max="8453" width="14.7109375" style="262" bestFit="1" customWidth="1"/>
    <col min="8454" max="8454" width="16.42578125" style="262" bestFit="1" customWidth="1"/>
    <col min="8455" max="8455" width="46.140625" style="262" bestFit="1" customWidth="1"/>
    <col min="8456" max="8456" width="4.7109375" style="262" bestFit="1" customWidth="1"/>
    <col min="8457" max="8704" width="9.140625" style="262"/>
    <col min="8705" max="8705" width="14.85546875" style="262" bestFit="1" customWidth="1"/>
    <col min="8706" max="8709" width="14.7109375" style="262" bestFit="1" customWidth="1"/>
    <col min="8710" max="8710" width="16.42578125" style="262" bestFit="1" customWidth="1"/>
    <col min="8711" max="8711" width="46.140625" style="262" bestFit="1" customWidth="1"/>
    <col min="8712" max="8712" width="4.7109375" style="262" bestFit="1" customWidth="1"/>
    <col min="8713" max="8960" width="9.140625" style="262"/>
    <col min="8961" max="8961" width="14.85546875" style="262" bestFit="1" customWidth="1"/>
    <col min="8962" max="8965" width="14.7109375" style="262" bestFit="1" customWidth="1"/>
    <col min="8966" max="8966" width="16.42578125" style="262" bestFit="1" customWidth="1"/>
    <col min="8967" max="8967" width="46.140625" style="262" bestFit="1" customWidth="1"/>
    <col min="8968" max="8968" width="4.7109375" style="262" bestFit="1" customWidth="1"/>
    <col min="8969" max="9216" width="9.140625" style="262"/>
    <col min="9217" max="9217" width="14.85546875" style="262" bestFit="1" customWidth="1"/>
    <col min="9218" max="9221" width="14.7109375" style="262" bestFit="1" customWidth="1"/>
    <col min="9222" max="9222" width="16.42578125" style="262" bestFit="1" customWidth="1"/>
    <col min="9223" max="9223" width="46.140625" style="262" bestFit="1" customWidth="1"/>
    <col min="9224" max="9224" width="4.7109375" style="262" bestFit="1" customWidth="1"/>
    <col min="9225" max="9472" width="9.140625" style="262"/>
    <col min="9473" max="9473" width="14.85546875" style="262" bestFit="1" customWidth="1"/>
    <col min="9474" max="9477" width="14.7109375" style="262" bestFit="1" customWidth="1"/>
    <col min="9478" max="9478" width="16.42578125" style="262" bestFit="1" customWidth="1"/>
    <col min="9479" max="9479" width="46.140625" style="262" bestFit="1" customWidth="1"/>
    <col min="9480" max="9480" width="4.7109375" style="262" bestFit="1" customWidth="1"/>
    <col min="9481" max="9728" width="9.140625" style="262"/>
    <col min="9729" max="9729" width="14.85546875" style="262" bestFit="1" customWidth="1"/>
    <col min="9730" max="9733" width="14.7109375" style="262" bestFit="1" customWidth="1"/>
    <col min="9734" max="9734" width="16.42578125" style="262" bestFit="1" customWidth="1"/>
    <col min="9735" max="9735" width="46.140625" style="262" bestFit="1" customWidth="1"/>
    <col min="9736" max="9736" width="4.7109375" style="262" bestFit="1" customWidth="1"/>
    <col min="9737" max="9984" width="9.140625" style="262"/>
    <col min="9985" max="9985" width="14.85546875" style="262" bestFit="1" customWidth="1"/>
    <col min="9986" max="9989" width="14.7109375" style="262" bestFit="1" customWidth="1"/>
    <col min="9990" max="9990" width="16.42578125" style="262" bestFit="1" customWidth="1"/>
    <col min="9991" max="9991" width="46.140625" style="262" bestFit="1" customWidth="1"/>
    <col min="9992" max="9992" width="4.7109375" style="262" bestFit="1" customWidth="1"/>
    <col min="9993" max="10240" width="9.140625" style="262"/>
    <col min="10241" max="10241" width="14.85546875" style="262" bestFit="1" customWidth="1"/>
    <col min="10242" max="10245" width="14.7109375" style="262" bestFit="1" customWidth="1"/>
    <col min="10246" max="10246" width="16.42578125" style="262" bestFit="1" customWidth="1"/>
    <col min="10247" max="10247" width="46.140625" style="262" bestFit="1" customWidth="1"/>
    <col min="10248" max="10248" width="4.7109375" style="262" bestFit="1" customWidth="1"/>
    <col min="10249" max="10496" width="9.140625" style="262"/>
    <col min="10497" max="10497" width="14.85546875" style="262" bestFit="1" customWidth="1"/>
    <col min="10498" max="10501" width="14.7109375" style="262" bestFit="1" customWidth="1"/>
    <col min="10502" max="10502" width="16.42578125" style="262" bestFit="1" customWidth="1"/>
    <col min="10503" max="10503" width="46.140625" style="262" bestFit="1" customWidth="1"/>
    <col min="10504" max="10504" width="4.7109375" style="262" bestFit="1" customWidth="1"/>
    <col min="10505" max="10752" width="9.140625" style="262"/>
    <col min="10753" max="10753" width="14.85546875" style="262" bestFit="1" customWidth="1"/>
    <col min="10754" max="10757" width="14.7109375" style="262" bestFit="1" customWidth="1"/>
    <col min="10758" max="10758" width="16.42578125" style="262" bestFit="1" customWidth="1"/>
    <col min="10759" max="10759" width="46.140625" style="262" bestFit="1" customWidth="1"/>
    <col min="10760" max="10760" width="4.7109375" style="262" bestFit="1" customWidth="1"/>
    <col min="10761" max="11008" width="9.140625" style="262"/>
    <col min="11009" max="11009" width="14.85546875" style="262" bestFit="1" customWidth="1"/>
    <col min="11010" max="11013" width="14.7109375" style="262" bestFit="1" customWidth="1"/>
    <col min="11014" max="11014" width="16.42578125" style="262" bestFit="1" customWidth="1"/>
    <col min="11015" max="11015" width="46.140625" style="262" bestFit="1" customWidth="1"/>
    <col min="11016" max="11016" width="4.7109375" style="262" bestFit="1" customWidth="1"/>
    <col min="11017" max="11264" width="9.140625" style="262"/>
    <col min="11265" max="11265" width="14.85546875" style="262" bestFit="1" customWidth="1"/>
    <col min="11266" max="11269" width="14.7109375" style="262" bestFit="1" customWidth="1"/>
    <col min="11270" max="11270" width="16.42578125" style="262" bestFit="1" customWidth="1"/>
    <col min="11271" max="11271" width="46.140625" style="262" bestFit="1" customWidth="1"/>
    <col min="11272" max="11272" width="4.7109375" style="262" bestFit="1" customWidth="1"/>
    <col min="11273" max="11520" width="9.140625" style="262"/>
    <col min="11521" max="11521" width="14.85546875" style="262" bestFit="1" customWidth="1"/>
    <col min="11522" max="11525" width="14.7109375" style="262" bestFit="1" customWidth="1"/>
    <col min="11526" max="11526" width="16.42578125" style="262" bestFit="1" customWidth="1"/>
    <col min="11527" max="11527" width="46.140625" style="262" bestFit="1" customWidth="1"/>
    <col min="11528" max="11528" width="4.7109375" style="262" bestFit="1" customWidth="1"/>
    <col min="11529" max="11776" width="9.140625" style="262"/>
    <col min="11777" max="11777" width="14.85546875" style="262" bestFit="1" customWidth="1"/>
    <col min="11778" max="11781" width="14.7109375" style="262" bestFit="1" customWidth="1"/>
    <col min="11782" max="11782" width="16.42578125" style="262" bestFit="1" customWidth="1"/>
    <col min="11783" max="11783" width="46.140625" style="262" bestFit="1" customWidth="1"/>
    <col min="11784" max="11784" width="4.7109375" style="262" bestFit="1" customWidth="1"/>
    <col min="11785" max="12032" width="9.140625" style="262"/>
    <col min="12033" max="12033" width="14.85546875" style="262" bestFit="1" customWidth="1"/>
    <col min="12034" max="12037" width="14.7109375" style="262" bestFit="1" customWidth="1"/>
    <col min="12038" max="12038" width="16.42578125" style="262" bestFit="1" customWidth="1"/>
    <col min="12039" max="12039" width="46.140625" style="262" bestFit="1" customWidth="1"/>
    <col min="12040" max="12040" width="4.7109375" style="262" bestFit="1" customWidth="1"/>
    <col min="12041" max="12288" width="9.140625" style="262"/>
    <col min="12289" max="12289" width="14.85546875" style="262" bestFit="1" customWidth="1"/>
    <col min="12290" max="12293" width="14.7109375" style="262" bestFit="1" customWidth="1"/>
    <col min="12294" max="12294" width="16.42578125" style="262" bestFit="1" customWidth="1"/>
    <col min="12295" max="12295" width="46.140625" style="262" bestFit="1" customWidth="1"/>
    <col min="12296" max="12296" width="4.7109375" style="262" bestFit="1" customWidth="1"/>
    <col min="12297" max="12544" width="9.140625" style="262"/>
    <col min="12545" max="12545" width="14.85546875" style="262" bestFit="1" customWidth="1"/>
    <col min="12546" max="12549" width="14.7109375" style="262" bestFit="1" customWidth="1"/>
    <col min="12550" max="12550" width="16.42578125" style="262" bestFit="1" customWidth="1"/>
    <col min="12551" max="12551" width="46.140625" style="262" bestFit="1" customWidth="1"/>
    <col min="12552" max="12552" width="4.7109375" style="262" bestFit="1" customWidth="1"/>
    <col min="12553" max="12800" width="9.140625" style="262"/>
    <col min="12801" max="12801" width="14.85546875" style="262" bestFit="1" customWidth="1"/>
    <col min="12802" max="12805" width="14.7109375" style="262" bestFit="1" customWidth="1"/>
    <col min="12806" max="12806" width="16.42578125" style="262" bestFit="1" customWidth="1"/>
    <col min="12807" max="12807" width="46.140625" style="262" bestFit="1" customWidth="1"/>
    <col min="12808" max="12808" width="4.7109375" style="262" bestFit="1" customWidth="1"/>
    <col min="12809" max="13056" width="9.140625" style="262"/>
    <col min="13057" max="13057" width="14.85546875" style="262" bestFit="1" customWidth="1"/>
    <col min="13058" max="13061" width="14.7109375" style="262" bestFit="1" customWidth="1"/>
    <col min="13062" max="13062" width="16.42578125" style="262" bestFit="1" customWidth="1"/>
    <col min="13063" max="13063" width="46.140625" style="262" bestFit="1" customWidth="1"/>
    <col min="13064" max="13064" width="4.7109375" style="262" bestFit="1" customWidth="1"/>
    <col min="13065" max="13312" width="9.140625" style="262"/>
    <col min="13313" max="13313" width="14.85546875" style="262" bestFit="1" customWidth="1"/>
    <col min="13314" max="13317" width="14.7109375" style="262" bestFit="1" customWidth="1"/>
    <col min="13318" max="13318" width="16.42578125" style="262" bestFit="1" customWidth="1"/>
    <col min="13319" max="13319" width="46.140625" style="262" bestFit="1" customWidth="1"/>
    <col min="13320" max="13320" width="4.7109375" style="262" bestFit="1" customWidth="1"/>
    <col min="13321" max="13568" width="9.140625" style="262"/>
    <col min="13569" max="13569" width="14.85546875" style="262" bestFit="1" customWidth="1"/>
    <col min="13570" max="13573" width="14.7109375" style="262" bestFit="1" customWidth="1"/>
    <col min="13574" max="13574" width="16.42578125" style="262" bestFit="1" customWidth="1"/>
    <col min="13575" max="13575" width="46.140625" style="262" bestFit="1" customWidth="1"/>
    <col min="13576" max="13576" width="4.7109375" style="262" bestFit="1" customWidth="1"/>
    <col min="13577" max="13824" width="9.140625" style="262"/>
    <col min="13825" max="13825" width="14.85546875" style="262" bestFit="1" customWidth="1"/>
    <col min="13826" max="13829" width="14.7109375" style="262" bestFit="1" customWidth="1"/>
    <col min="13830" max="13830" width="16.42578125" style="262" bestFit="1" customWidth="1"/>
    <col min="13831" max="13831" width="46.140625" style="262" bestFit="1" customWidth="1"/>
    <col min="13832" max="13832" width="4.7109375" style="262" bestFit="1" customWidth="1"/>
    <col min="13833" max="14080" width="9.140625" style="262"/>
    <col min="14081" max="14081" width="14.85546875" style="262" bestFit="1" customWidth="1"/>
    <col min="14082" max="14085" width="14.7109375" style="262" bestFit="1" customWidth="1"/>
    <col min="14086" max="14086" width="16.42578125" style="262" bestFit="1" customWidth="1"/>
    <col min="14087" max="14087" width="46.140625" style="262" bestFit="1" customWidth="1"/>
    <col min="14088" max="14088" width="4.7109375" style="262" bestFit="1" customWidth="1"/>
    <col min="14089" max="14336" width="9.140625" style="262"/>
    <col min="14337" max="14337" width="14.85546875" style="262" bestFit="1" customWidth="1"/>
    <col min="14338" max="14341" width="14.7109375" style="262" bestFit="1" customWidth="1"/>
    <col min="14342" max="14342" width="16.42578125" style="262" bestFit="1" customWidth="1"/>
    <col min="14343" max="14343" width="46.140625" style="262" bestFit="1" customWidth="1"/>
    <col min="14344" max="14344" width="4.7109375" style="262" bestFit="1" customWidth="1"/>
    <col min="14345" max="14592" width="9.140625" style="262"/>
    <col min="14593" max="14593" width="14.85546875" style="262" bestFit="1" customWidth="1"/>
    <col min="14594" max="14597" width="14.7109375" style="262" bestFit="1" customWidth="1"/>
    <col min="14598" max="14598" width="16.42578125" style="262" bestFit="1" customWidth="1"/>
    <col min="14599" max="14599" width="46.140625" style="262" bestFit="1" customWidth="1"/>
    <col min="14600" max="14600" width="4.7109375" style="262" bestFit="1" customWidth="1"/>
    <col min="14601" max="14848" width="9.140625" style="262"/>
    <col min="14849" max="14849" width="14.85546875" style="262" bestFit="1" customWidth="1"/>
    <col min="14850" max="14853" width="14.7109375" style="262" bestFit="1" customWidth="1"/>
    <col min="14854" max="14854" width="16.42578125" style="262" bestFit="1" customWidth="1"/>
    <col min="14855" max="14855" width="46.140625" style="262" bestFit="1" customWidth="1"/>
    <col min="14856" max="14856" width="4.7109375" style="262" bestFit="1" customWidth="1"/>
    <col min="14857" max="15104" width="9.140625" style="262"/>
    <col min="15105" max="15105" width="14.85546875" style="262" bestFit="1" customWidth="1"/>
    <col min="15106" max="15109" width="14.7109375" style="262" bestFit="1" customWidth="1"/>
    <col min="15110" max="15110" width="16.42578125" style="262" bestFit="1" customWidth="1"/>
    <col min="15111" max="15111" width="46.140625" style="262" bestFit="1" customWidth="1"/>
    <col min="15112" max="15112" width="4.7109375" style="262" bestFit="1" customWidth="1"/>
    <col min="15113" max="15360" width="9.140625" style="262"/>
    <col min="15361" max="15361" width="14.85546875" style="262" bestFit="1" customWidth="1"/>
    <col min="15362" max="15365" width="14.7109375" style="262" bestFit="1" customWidth="1"/>
    <col min="15366" max="15366" width="16.42578125" style="262" bestFit="1" customWidth="1"/>
    <col min="15367" max="15367" width="46.140625" style="262" bestFit="1" customWidth="1"/>
    <col min="15368" max="15368" width="4.7109375" style="262" bestFit="1" customWidth="1"/>
    <col min="15369" max="15616" width="9.140625" style="262"/>
    <col min="15617" max="15617" width="14.85546875" style="262" bestFit="1" customWidth="1"/>
    <col min="15618" max="15621" width="14.7109375" style="262" bestFit="1" customWidth="1"/>
    <col min="15622" max="15622" width="16.42578125" style="262" bestFit="1" customWidth="1"/>
    <col min="15623" max="15623" width="46.140625" style="262" bestFit="1" customWidth="1"/>
    <col min="15624" max="15624" width="4.7109375" style="262" bestFit="1" customWidth="1"/>
    <col min="15625" max="15872" width="9.140625" style="262"/>
    <col min="15873" max="15873" width="14.85546875" style="262" bestFit="1" customWidth="1"/>
    <col min="15874" max="15877" width="14.7109375" style="262" bestFit="1" customWidth="1"/>
    <col min="15878" max="15878" width="16.42578125" style="262" bestFit="1" customWidth="1"/>
    <col min="15879" max="15879" width="46.140625" style="262" bestFit="1" customWidth="1"/>
    <col min="15880" max="15880" width="4.7109375" style="262" bestFit="1" customWidth="1"/>
    <col min="15881" max="16128" width="9.140625" style="262"/>
    <col min="16129" max="16129" width="14.85546875" style="262" bestFit="1" customWidth="1"/>
    <col min="16130" max="16133" width="14.7109375" style="262" bestFit="1" customWidth="1"/>
    <col min="16134" max="16134" width="16.42578125" style="262" bestFit="1" customWidth="1"/>
    <col min="16135" max="16135" width="46.140625" style="262" bestFit="1" customWidth="1"/>
    <col min="16136" max="16136" width="4.7109375" style="262" bestFit="1" customWidth="1"/>
    <col min="16137" max="16384" width="9.140625" style="262"/>
  </cols>
  <sheetData>
    <row r="1" spans="1:7" ht="15" customHeight="1" x14ac:dyDescent="0.2">
      <c r="A1" s="430" t="s">
        <v>625</v>
      </c>
      <c r="B1" s="430"/>
      <c r="C1" s="430"/>
      <c r="D1" s="430"/>
      <c r="E1" s="430"/>
      <c r="F1" s="430"/>
      <c r="G1" s="430"/>
    </row>
    <row r="2" spans="1:7" s="265" customFormat="1" ht="125.25" customHeight="1" x14ac:dyDescent="0.2">
      <c r="A2" s="263" t="s">
        <v>184</v>
      </c>
      <c r="B2" s="269" t="s">
        <v>626</v>
      </c>
      <c r="C2" s="269" t="s">
        <v>627</v>
      </c>
      <c r="D2" s="269" t="s">
        <v>628</v>
      </c>
      <c r="E2" s="269" t="s">
        <v>629</v>
      </c>
      <c r="F2" s="269" t="s">
        <v>630</v>
      </c>
    </row>
    <row r="3" spans="1:7" s="265" customFormat="1" ht="18" customHeight="1" x14ac:dyDescent="0.2">
      <c r="A3" s="266" t="s">
        <v>69</v>
      </c>
      <c r="B3" s="290">
        <v>106403</v>
      </c>
      <c r="C3" s="290">
        <v>102726</v>
      </c>
      <c r="D3" s="290">
        <v>3148349</v>
      </c>
      <c r="E3" s="306">
        <v>3.4</v>
      </c>
      <c r="F3" s="306">
        <v>3.3</v>
      </c>
    </row>
    <row r="4" spans="1:7" s="265" customFormat="1" ht="18" customHeight="1" x14ac:dyDescent="0.2">
      <c r="A4" s="266" t="s">
        <v>70</v>
      </c>
      <c r="B4" s="283">
        <v>78110</v>
      </c>
      <c r="C4" s="283">
        <v>77287</v>
      </c>
      <c r="D4" s="290">
        <v>3342680</v>
      </c>
      <c r="E4" s="306">
        <v>2.2999999999999998</v>
      </c>
      <c r="F4" s="306">
        <v>2.2999999999999998</v>
      </c>
    </row>
    <row r="5" spans="1:7" s="265" customFormat="1" ht="18" customHeight="1" x14ac:dyDescent="0.2">
      <c r="A5" s="266" t="s">
        <v>156</v>
      </c>
      <c r="B5" s="290">
        <v>100245</v>
      </c>
      <c r="C5" s="283">
        <v>99595</v>
      </c>
      <c r="D5" s="290">
        <v>3319175</v>
      </c>
      <c r="E5" s="306">
        <v>3</v>
      </c>
      <c r="F5" s="306">
        <v>3</v>
      </c>
    </row>
    <row r="6" spans="1:7" s="265" customFormat="1" ht="18" customHeight="1" x14ac:dyDescent="0.2">
      <c r="A6" s="266" t="s">
        <v>157</v>
      </c>
      <c r="B6" s="283">
        <v>93497</v>
      </c>
      <c r="C6" s="283">
        <v>89974</v>
      </c>
      <c r="D6" s="290">
        <v>3177685</v>
      </c>
      <c r="E6" s="306">
        <v>2.9</v>
      </c>
      <c r="F6" s="306">
        <v>2.8</v>
      </c>
    </row>
    <row r="7" spans="1:7" s="265" customFormat="1" ht="18" customHeight="1" x14ac:dyDescent="0.2">
      <c r="A7" s="266" t="s">
        <v>158</v>
      </c>
      <c r="B7" s="283">
        <v>83688</v>
      </c>
      <c r="C7" s="283">
        <v>80279</v>
      </c>
      <c r="D7" s="290">
        <v>3188252</v>
      </c>
      <c r="E7" s="306">
        <v>2.6</v>
      </c>
      <c r="F7" s="306">
        <v>2.5</v>
      </c>
    </row>
    <row r="8" spans="1:7" s="265" customFormat="1" ht="18" customHeight="1" x14ac:dyDescent="0.2">
      <c r="A8" s="266" t="s">
        <v>159</v>
      </c>
      <c r="B8" s="283">
        <v>80341</v>
      </c>
      <c r="C8" s="283">
        <v>76769</v>
      </c>
      <c r="D8" s="290">
        <v>3334518</v>
      </c>
      <c r="E8" s="306">
        <v>2.4</v>
      </c>
      <c r="F8" s="306">
        <v>2.2999999999999998</v>
      </c>
    </row>
    <row r="9" spans="1:7" s="265" customFormat="1" ht="18" customHeight="1" x14ac:dyDescent="0.2">
      <c r="A9" s="266" t="s">
        <v>160</v>
      </c>
      <c r="B9" s="283">
        <v>84647</v>
      </c>
      <c r="C9" s="283">
        <v>80882</v>
      </c>
      <c r="D9" s="290">
        <v>3431511</v>
      </c>
      <c r="E9" s="306">
        <v>2.5</v>
      </c>
      <c r="F9" s="306">
        <v>2.4</v>
      </c>
    </row>
    <row r="10" spans="1:7" s="265" customFormat="1" ht="18" customHeight="1" x14ac:dyDescent="0.2">
      <c r="A10" s="266" t="s">
        <v>161</v>
      </c>
      <c r="B10" s="283">
        <v>79548</v>
      </c>
      <c r="C10" s="283">
        <v>75641</v>
      </c>
      <c r="D10" s="290">
        <v>3138334</v>
      </c>
      <c r="E10" s="306">
        <v>2.5</v>
      </c>
      <c r="F10" s="306">
        <v>2.4</v>
      </c>
    </row>
    <row r="11" spans="1:7" s="265" customFormat="1" ht="18" customHeight="1" x14ac:dyDescent="0.2">
      <c r="A11" s="266" t="s">
        <v>162</v>
      </c>
      <c r="B11" s="283">
        <v>66587</v>
      </c>
      <c r="C11" s="283">
        <v>65147</v>
      </c>
      <c r="D11" s="290">
        <v>2982324</v>
      </c>
      <c r="E11" s="306">
        <v>2.2000000000000002</v>
      </c>
      <c r="F11" s="306">
        <v>2.2000000000000002</v>
      </c>
    </row>
    <row r="12" spans="1:7" s="265" customFormat="1" ht="18" customHeight="1" x14ac:dyDescent="0.2">
      <c r="A12" s="266" t="s">
        <v>163</v>
      </c>
      <c r="B12" s="283">
        <v>79247</v>
      </c>
      <c r="C12" s="283">
        <v>78015</v>
      </c>
      <c r="D12" s="290">
        <v>3108886</v>
      </c>
      <c r="E12" s="306">
        <v>2.5</v>
      </c>
      <c r="F12" s="306">
        <v>2.5</v>
      </c>
    </row>
    <row r="13" spans="1:7" s="265" customFormat="1" ht="18" customHeight="1" x14ac:dyDescent="0.2">
      <c r="A13" s="266" t="s">
        <v>164</v>
      </c>
      <c r="B13" s="283">
        <v>79513</v>
      </c>
      <c r="C13" s="283">
        <v>78558</v>
      </c>
      <c r="D13" s="290">
        <v>3138205</v>
      </c>
      <c r="E13" s="306">
        <v>2.5</v>
      </c>
      <c r="F13" s="306">
        <v>2.5</v>
      </c>
    </row>
    <row r="14" spans="1:7" s="265" customFormat="1" ht="18" customHeight="1" x14ac:dyDescent="0.2">
      <c r="A14" s="266" t="s">
        <v>165</v>
      </c>
      <c r="B14" s="283">
        <v>75693</v>
      </c>
      <c r="C14" s="283">
        <v>74866</v>
      </c>
      <c r="D14" s="290">
        <v>3090508</v>
      </c>
      <c r="E14" s="306">
        <v>2.4</v>
      </c>
      <c r="F14" s="306">
        <v>2.4</v>
      </c>
    </row>
    <row r="15" spans="1:7" s="265" customFormat="1" ht="18" customHeight="1" x14ac:dyDescent="0.2">
      <c r="A15" s="266" t="s">
        <v>166</v>
      </c>
      <c r="B15" s="283">
        <v>73428</v>
      </c>
      <c r="C15" s="283">
        <v>73319</v>
      </c>
      <c r="D15" s="290">
        <v>3089602</v>
      </c>
      <c r="E15" s="306">
        <v>2.4</v>
      </c>
      <c r="F15" s="306">
        <v>2.4</v>
      </c>
    </row>
    <row r="16" spans="1:7" s="265" customFormat="1" ht="18" customHeight="1" x14ac:dyDescent="0.2">
      <c r="A16" s="266" t="s">
        <v>167</v>
      </c>
      <c r="B16" s="283">
        <v>78110</v>
      </c>
      <c r="C16" s="283">
        <v>77287</v>
      </c>
      <c r="D16" s="290">
        <v>3342680</v>
      </c>
      <c r="E16" s="306">
        <v>2.2999999999999998</v>
      </c>
      <c r="F16" s="306">
        <v>2.2999999999999998</v>
      </c>
    </row>
    <row r="17" spans="1:6" s="265" customFormat="1" ht="45.75" customHeight="1" x14ac:dyDescent="0.2">
      <c r="A17" s="374" t="s">
        <v>631</v>
      </c>
      <c r="B17" s="374"/>
      <c r="C17" s="374"/>
      <c r="D17" s="374"/>
      <c r="E17" s="374"/>
      <c r="F17" s="374"/>
    </row>
    <row r="18" spans="1:6" s="265" customFormat="1" ht="13.5" customHeight="1" x14ac:dyDescent="0.2">
      <c r="A18" s="373" t="s">
        <v>303</v>
      </c>
      <c r="B18" s="373"/>
      <c r="C18" s="373"/>
      <c r="D18" s="373"/>
      <c r="E18" s="373"/>
      <c r="F18" s="373"/>
    </row>
    <row r="19" spans="1:6" s="265" customFormat="1" ht="13.5" customHeight="1" x14ac:dyDescent="0.2">
      <c r="A19" s="373" t="s">
        <v>133</v>
      </c>
      <c r="B19" s="373"/>
      <c r="C19" s="373"/>
      <c r="D19" s="373"/>
      <c r="E19" s="373"/>
      <c r="F19" s="373"/>
    </row>
    <row r="20" spans="1:6" s="265" customFormat="1" ht="28.35" customHeight="1" x14ac:dyDescent="0.2"/>
  </sheetData>
  <mergeCells count="4">
    <mergeCell ref="A1:G1"/>
    <mergeCell ref="A17:F17"/>
    <mergeCell ref="A18:F18"/>
    <mergeCell ref="A19:F19"/>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AC22"/>
  <sheetViews>
    <sheetView workbookViewId="0">
      <selection activeCell="K16" sqref="K16"/>
    </sheetView>
  </sheetViews>
  <sheetFormatPr defaultRowHeight="12.75" x14ac:dyDescent="0.2"/>
  <cols>
    <col min="1" max="1" width="11.7109375" style="262" bestFit="1" customWidth="1"/>
    <col min="2" max="2" width="7" style="262" bestFit="1" customWidth="1"/>
    <col min="3" max="3" width="9.7109375" style="262" bestFit="1" customWidth="1"/>
    <col min="4" max="4" width="7" style="262" bestFit="1" customWidth="1"/>
    <col min="5" max="5" width="10" style="262" bestFit="1" customWidth="1"/>
    <col min="6" max="6" width="7" style="262" bestFit="1" customWidth="1"/>
    <col min="7" max="7" width="10.5703125" style="262" bestFit="1" customWidth="1"/>
    <col min="8" max="8" width="6.5703125" style="262" bestFit="1" customWidth="1"/>
    <col min="9" max="9" width="10" style="262" bestFit="1" customWidth="1"/>
    <col min="10" max="10" width="7.42578125" style="262" bestFit="1" customWidth="1"/>
    <col min="11" max="11" width="9.7109375" style="262" bestFit="1" customWidth="1"/>
    <col min="12" max="12" width="6.85546875" style="262" bestFit="1" customWidth="1"/>
    <col min="13" max="13" width="9.5703125" style="262" bestFit="1" customWidth="1"/>
    <col min="14" max="14" width="6.85546875" style="262" bestFit="1" customWidth="1"/>
    <col min="15" max="15" width="12.42578125" style="262" bestFit="1" customWidth="1"/>
    <col min="16" max="16" width="7" style="262" bestFit="1" customWidth="1"/>
    <col min="17" max="17" width="10.7109375" style="262" bestFit="1" customWidth="1"/>
    <col min="18" max="18" width="6.7109375" style="262" bestFit="1" customWidth="1"/>
    <col min="19" max="19" width="10.140625" style="262" bestFit="1" customWidth="1"/>
    <col min="20" max="20" width="6.5703125" style="262" bestFit="1" customWidth="1"/>
    <col min="21" max="21" width="12.42578125" style="262" bestFit="1" customWidth="1"/>
    <col min="22" max="22" width="6.5703125" style="262" bestFit="1" customWidth="1"/>
    <col min="23" max="23" width="10.28515625" style="262" bestFit="1" customWidth="1"/>
    <col min="24" max="24" width="6.7109375" style="262" bestFit="1" customWidth="1"/>
    <col min="25" max="25" width="10.140625" style="262" bestFit="1" customWidth="1"/>
    <col min="26" max="26" width="6.5703125" style="262" bestFit="1" customWidth="1"/>
    <col min="27" max="27" width="10.85546875" style="262" bestFit="1" customWidth="1"/>
    <col min="28" max="28" width="6.7109375" style="262" bestFit="1" customWidth="1"/>
    <col min="29" max="29" width="12.85546875" style="262" bestFit="1" customWidth="1"/>
    <col min="30" max="30" width="4.7109375" style="262" bestFit="1" customWidth="1"/>
    <col min="31" max="256" width="9.140625" style="262"/>
    <col min="257" max="257" width="11.7109375" style="262" bestFit="1" customWidth="1"/>
    <col min="258" max="258" width="7" style="262" bestFit="1" customWidth="1"/>
    <col min="259" max="259" width="9.7109375" style="262" bestFit="1" customWidth="1"/>
    <col min="260" max="260" width="7" style="262" bestFit="1" customWidth="1"/>
    <col min="261" max="261" width="10" style="262" bestFit="1" customWidth="1"/>
    <col min="262" max="262" width="7" style="262" bestFit="1" customWidth="1"/>
    <col min="263" max="263" width="10.5703125" style="262" bestFit="1" customWidth="1"/>
    <col min="264" max="264" width="6.5703125" style="262" bestFit="1" customWidth="1"/>
    <col min="265" max="265" width="10" style="262" bestFit="1" customWidth="1"/>
    <col min="266" max="266" width="7.42578125" style="262" bestFit="1" customWidth="1"/>
    <col min="267" max="267" width="9.7109375" style="262" bestFit="1" customWidth="1"/>
    <col min="268" max="268" width="6.85546875" style="262" bestFit="1" customWidth="1"/>
    <col min="269" max="269" width="9.5703125" style="262" bestFit="1" customWidth="1"/>
    <col min="270" max="270" width="6.85546875" style="262" bestFit="1" customWidth="1"/>
    <col min="271" max="271" width="12.42578125" style="262" bestFit="1" customWidth="1"/>
    <col min="272" max="272" width="7" style="262" bestFit="1" customWidth="1"/>
    <col min="273" max="273" width="10.7109375" style="262" bestFit="1" customWidth="1"/>
    <col min="274" max="274" width="6.7109375" style="262" bestFit="1" customWidth="1"/>
    <col min="275" max="275" width="10.140625" style="262" bestFit="1" customWidth="1"/>
    <col min="276" max="276" width="6.5703125" style="262" bestFit="1" customWidth="1"/>
    <col min="277" max="277" width="12.42578125" style="262" bestFit="1" customWidth="1"/>
    <col min="278" max="278" width="6.5703125" style="262" bestFit="1" customWidth="1"/>
    <col min="279" max="279" width="10.28515625" style="262" bestFit="1" customWidth="1"/>
    <col min="280" max="280" width="6.7109375" style="262" bestFit="1" customWidth="1"/>
    <col min="281" max="281" width="10.140625" style="262" bestFit="1" customWidth="1"/>
    <col min="282" max="282" width="6.5703125" style="262" bestFit="1" customWidth="1"/>
    <col min="283" max="283" width="10.85546875" style="262" bestFit="1" customWidth="1"/>
    <col min="284" max="284" width="6.7109375" style="262" bestFit="1" customWidth="1"/>
    <col min="285" max="285" width="12.85546875" style="262" bestFit="1" customWidth="1"/>
    <col min="286" max="286" width="4.7109375" style="262" bestFit="1" customWidth="1"/>
    <col min="287" max="512" width="9.140625" style="262"/>
    <col min="513" max="513" width="11.7109375" style="262" bestFit="1" customWidth="1"/>
    <col min="514" max="514" width="7" style="262" bestFit="1" customWidth="1"/>
    <col min="515" max="515" width="9.7109375" style="262" bestFit="1" customWidth="1"/>
    <col min="516" max="516" width="7" style="262" bestFit="1" customWidth="1"/>
    <col min="517" max="517" width="10" style="262" bestFit="1" customWidth="1"/>
    <col min="518" max="518" width="7" style="262" bestFit="1" customWidth="1"/>
    <col min="519" max="519" width="10.5703125" style="262" bestFit="1" customWidth="1"/>
    <col min="520" max="520" width="6.5703125" style="262" bestFit="1" customWidth="1"/>
    <col min="521" max="521" width="10" style="262" bestFit="1" customWidth="1"/>
    <col min="522" max="522" width="7.42578125" style="262" bestFit="1" customWidth="1"/>
    <col min="523" max="523" width="9.7109375" style="262" bestFit="1" customWidth="1"/>
    <col min="524" max="524" width="6.85546875" style="262" bestFit="1" customWidth="1"/>
    <col min="525" max="525" width="9.5703125" style="262" bestFit="1" customWidth="1"/>
    <col min="526" max="526" width="6.85546875" style="262" bestFit="1" customWidth="1"/>
    <col min="527" max="527" width="12.42578125" style="262" bestFit="1" customWidth="1"/>
    <col min="528" max="528" width="7" style="262" bestFit="1" customWidth="1"/>
    <col min="529" max="529" width="10.7109375" style="262" bestFit="1" customWidth="1"/>
    <col min="530" max="530" width="6.7109375" style="262" bestFit="1" customWidth="1"/>
    <col min="531" max="531" width="10.140625" style="262" bestFit="1" customWidth="1"/>
    <col min="532" max="532" width="6.5703125" style="262" bestFit="1" customWidth="1"/>
    <col min="533" max="533" width="12.42578125" style="262" bestFit="1" customWidth="1"/>
    <col min="534" max="534" width="6.5703125" style="262" bestFit="1" customWidth="1"/>
    <col min="535" max="535" width="10.28515625" style="262" bestFit="1" customWidth="1"/>
    <col min="536" max="536" width="6.7109375" style="262" bestFit="1" customWidth="1"/>
    <col min="537" max="537" width="10.140625" style="262" bestFit="1" customWidth="1"/>
    <col min="538" max="538" width="6.5703125" style="262" bestFit="1" customWidth="1"/>
    <col min="539" max="539" width="10.85546875" style="262" bestFit="1" customWidth="1"/>
    <col min="540" max="540" width="6.7109375" style="262" bestFit="1" customWidth="1"/>
    <col min="541" max="541" width="12.85546875" style="262" bestFit="1" customWidth="1"/>
    <col min="542" max="542" width="4.7109375" style="262" bestFit="1" customWidth="1"/>
    <col min="543" max="768" width="9.140625" style="262"/>
    <col min="769" max="769" width="11.7109375" style="262" bestFit="1" customWidth="1"/>
    <col min="770" max="770" width="7" style="262" bestFit="1" customWidth="1"/>
    <col min="771" max="771" width="9.7109375" style="262" bestFit="1" customWidth="1"/>
    <col min="772" max="772" width="7" style="262" bestFit="1" customWidth="1"/>
    <col min="773" max="773" width="10" style="262" bestFit="1" customWidth="1"/>
    <col min="774" max="774" width="7" style="262" bestFit="1" customWidth="1"/>
    <col min="775" max="775" width="10.5703125" style="262" bestFit="1" customWidth="1"/>
    <col min="776" max="776" width="6.5703125" style="262" bestFit="1" customWidth="1"/>
    <col min="777" max="777" width="10" style="262" bestFit="1" customWidth="1"/>
    <col min="778" max="778" width="7.42578125" style="262" bestFit="1" customWidth="1"/>
    <col min="779" max="779" width="9.7109375" style="262" bestFit="1" customWidth="1"/>
    <col min="780" max="780" width="6.85546875" style="262" bestFit="1" customWidth="1"/>
    <col min="781" max="781" width="9.5703125" style="262" bestFit="1" customWidth="1"/>
    <col min="782" max="782" width="6.85546875" style="262" bestFit="1" customWidth="1"/>
    <col min="783" max="783" width="12.42578125" style="262" bestFit="1" customWidth="1"/>
    <col min="784" max="784" width="7" style="262" bestFit="1" customWidth="1"/>
    <col min="785" max="785" width="10.7109375" style="262" bestFit="1" customWidth="1"/>
    <col min="786" max="786" width="6.7109375" style="262" bestFit="1" customWidth="1"/>
    <col min="787" max="787" width="10.140625" style="262" bestFit="1" customWidth="1"/>
    <col min="788" max="788" width="6.5703125" style="262" bestFit="1" customWidth="1"/>
    <col min="789" max="789" width="12.42578125" style="262" bestFit="1" customWidth="1"/>
    <col min="790" max="790" width="6.5703125" style="262" bestFit="1" customWidth="1"/>
    <col min="791" max="791" width="10.28515625" style="262" bestFit="1" customWidth="1"/>
    <col min="792" max="792" width="6.7109375" style="262" bestFit="1" customWidth="1"/>
    <col min="793" max="793" width="10.140625" style="262" bestFit="1" customWidth="1"/>
    <col min="794" max="794" width="6.5703125" style="262" bestFit="1" customWidth="1"/>
    <col min="795" max="795" width="10.85546875" style="262" bestFit="1" customWidth="1"/>
    <col min="796" max="796" width="6.7109375" style="262" bestFit="1" customWidth="1"/>
    <col min="797" max="797" width="12.85546875" style="262" bestFit="1" customWidth="1"/>
    <col min="798" max="798" width="4.7109375" style="262" bestFit="1" customWidth="1"/>
    <col min="799" max="1024" width="9.140625" style="262"/>
    <col min="1025" max="1025" width="11.7109375" style="262" bestFit="1" customWidth="1"/>
    <col min="1026" max="1026" width="7" style="262" bestFit="1" customWidth="1"/>
    <col min="1027" max="1027" width="9.7109375" style="262" bestFit="1" customWidth="1"/>
    <col min="1028" max="1028" width="7" style="262" bestFit="1" customWidth="1"/>
    <col min="1029" max="1029" width="10" style="262" bestFit="1" customWidth="1"/>
    <col min="1030" max="1030" width="7" style="262" bestFit="1" customWidth="1"/>
    <col min="1031" max="1031" width="10.5703125" style="262" bestFit="1" customWidth="1"/>
    <col min="1032" max="1032" width="6.5703125" style="262" bestFit="1" customWidth="1"/>
    <col min="1033" max="1033" width="10" style="262" bestFit="1" customWidth="1"/>
    <col min="1034" max="1034" width="7.42578125" style="262" bestFit="1" customWidth="1"/>
    <col min="1035" max="1035" width="9.7109375" style="262" bestFit="1" customWidth="1"/>
    <col min="1036" max="1036" width="6.85546875" style="262" bestFit="1" customWidth="1"/>
    <col min="1037" max="1037" width="9.5703125" style="262" bestFit="1" customWidth="1"/>
    <col min="1038" max="1038" width="6.85546875" style="262" bestFit="1" customWidth="1"/>
    <col min="1039" max="1039" width="12.42578125" style="262" bestFit="1" customWidth="1"/>
    <col min="1040" max="1040" width="7" style="262" bestFit="1" customWidth="1"/>
    <col min="1041" max="1041" width="10.7109375" style="262" bestFit="1" customWidth="1"/>
    <col min="1042" max="1042" width="6.7109375" style="262" bestFit="1" customWidth="1"/>
    <col min="1043" max="1043" width="10.140625" style="262" bestFit="1" customWidth="1"/>
    <col min="1044" max="1044" width="6.5703125" style="262" bestFit="1" customWidth="1"/>
    <col min="1045" max="1045" width="12.42578125" style="262" bestFit="1" customWidth="1"/>
    <col min="1046" max="1046" width="6.5703125" style="262" bestFit="1" customWidth="1"/>
    <col min="1047" max="1047" width="10.28515625" style="262" bestFit="1" customWidth="1"/>
    <col min="1048" max="1048" width="6.7109375" style="262" bestFit="1" customWidth="1"/>
    <col min="1049" max="1049" width="10.140625" style="262" bestFit="1" customWidth="1"/>
    <col min="1050" max="1050" width="6.5703125" style="262" bestFit="1" customWidth="1"/>
    <col min="1051" max="1051" width="10.85546875" style="262" bestFit="1" customWidth="1"/>
    <col min="1052" max="1052" width="6.7109375" style="262" bestFit="1" customWidth="1"/>
    <col min="1053" max="1053" width="12.85546875" style="262" bestFit="1" customWidth="1"/>
    <col min="1054" max="1054" width="4.7109375" style="262" bestFit="1" customWidth="1"/>
    <col min="1055" max="1280" width="9.140625" style="262"/>
    <col min="1281" max="1281" width="11.7109375" style="262" bestFit="1" customWidth="1"/>
    <col min="1282" max="1282" width="7" style="262" bestFit="1" customWidth="1"/>
    <col min="1283" max="1283" width="9.7109375" style="262" bestFit="1" customWidth="1"/>
    <col min="1284" max="1284" width="7" style="262" bestFit="1" customWidth="1"/>
    <col min="1285" max="1285" width="10" style="262" bestFit="1" customWidth="1"/>
    <col min="1286" max="1286" width="7" style="262" bestFit="1" customWidth="1"/>
    <col min="1287" max="1287" width="10.5703125" style="262" bestFit="1" customWidth="1"/>
    <col min="1288" max="1288" width="6.5703125" style="262" bestFit="1" customWidth="1"/>
    <col min="1289" max="1289" width="10" style="262" bestFit="1" customWidth="1"/>
    <col min="1290" max="1290" width="7.42578125" style="262" bestFit="1" customWidth="1"/>
    <col min="1291" max="1291" width="9.7109375" style="262" bestFit="1" customWidth="1"/>
    <col min="1292" max="1292" width="6.85546875" style="262" bestFit="1" customWidth="1"/>
    <col min="1293" max="1293" width="9.5703125" style="262" bestFit="1" customWidth="1"/>
    <col min="1294" max="1294" width="6.85546875" style="262" bestFit="1" customWidth="1"/>
    <col min="1295" max="1295" width="12.42578125" style="262" bestFit="1" customWidth="1"/>
    <col min="1296" max="1296" width="7" style="262" bestFit="1" customWidth="1"/>
    <col min="1297" max="1297" width="10.7109375" style="262" bestFit="1" customWidth="1"/>
    <col min="1298" max="1298" width="6.7109375" style="262" bestFit="1" customWidth="1"/>
    <col min="1299" max="1299" width="10.140625" style="262" bestFit="1" customWidth="1"/>
    <col min="1300" max="1300" width="6.5703125" style="262" bestFit="1" customWidth="1"/>
    <col min="1301" max="1301" width="12.42578125" style="262" bestFit="1" customWidth="1"/>
    <col min="1302" max="1302" width="6.5703125" style="262" bestFit="1" customWidth="1"/>
    <col min="1303" max="1303" width="10.28515625" style="262" bestFit="1" customWidth="1"/>
    <col min="1304" max="1304" width="6.7109375" style="262" bestFit="1" customWidth="1"/>
    <col min="1305" max="1305" width="10.140625" style="262" bestFit="1" customWidth="1"/>
    <col min="1306" max="1306" width="6.5703125" style="262" bestFit="1" customWidth="1"/>
    <col min="1307" max="1307" width="10.85546875" style="262" bestFit="1" customWidth="1"/>
    <col min="1308" max="1308" width="6.7109375" style="262" bestFit="1" customWidth="1"/>
    <col min="1309" max="1309" width="12.85546875" style="262" bestFit="1" customWidth="1"/>
    <col min="1310" max="1310" width="4.7109375" style="262" bestFit="1" customWidth="1"/>
    <col min="1311" max="1536" width="9.140625" style="262"/>
    <col min="1537" max="1537" width="11.7109375" style="262" bestFit="1" customWidth="1"/>
    <col min="1538" max="1538" width="7" style="262" bestFit="1" customWidth="1"/>
    <col min="1539" max="1539" width="9.7109375" style="262" bestFit="1" customWidth="1"/>
    <col min="1540" max="1540" width="7" style="262" bestFit="1" customWidth="1"/>
    <col min="1541" max="1541" width="10" style="262" bestFit="1" customWidth="1"/>
    <col min="1542" max="1542" width="7" style="262" bestFit="1" customWidth="1"/>
    <col min="1543" max="1543" width="10.5703125" style="262" bestFit="1" customWidth="1"/>
    <col min="1544" max="1544" width="6.5703125" style="262" bestFit="1" customWidth="1"/>
    <col min="1545" max="1545" width="10" style="262" bestFit="1" customWidth="1"/>
    <col min="1546" max="1546" width="7.42578125" style="262" bestFit="1" customWidth="1"/>
    <col min="1547" max="1547" width="9.7109375" style="262" bestFit="1" customWidth="1"/>
    <col min="1548" max="1548" width="6.85546875" style="262" bestFit="1" customWidth="1"/>
    <col min="1549" max="1549" width="9.5703125" style="262" bestFit="1" customWidth="1"/>
    <col min="1550" max="1550" width="6.85546875" style="262" bestFit="1" customWidth="1"/>
    <col min="1551" max="1551" width="12.42578125" style="262" bestFit="1" customWidth="1"/>
    <col min="1552" max="1552" width="7" style="262" bestFit="1" customWidth="1"/>
    <col min="1553" max="1553" width="10.7109375" style="262" bestFit="1" customWidth="1"/>
    <col min="1554" max="1554" width="6.7109375" style="262" bestFit="1" customWidth="1"/>
    <col min="1555" max="1555" width="10.140625" style="262" bestFit="1" customWidth="1"/>
    <col min="1556" max="1556" width="6.5703125" style="262" bestFit="1" customWidth="1"/>
    <col min="1557" max="1557" width="12.42578125" style="262" bestFit="1" customWidth="1"/>
    <col min="1558" max="1558" width="6.5703125" style="262" bestFit="1" customWidth="1"/>
    <col min="1559" max="1559" width="10.28515625" style="262" bestFit="1" customWidth="1"/>
    <col min="1560" max="1560" width="6.7109375" style="262" bestFit="1" customWidth="1"/>
    <col min="1561" max="1561" width="10.140625" style="262" bestFit="1" customWidth="1"/>
    <col min="1562" max="1562" width="6.5703125" style="262" bestFit="1" customWidth="1"/>
    <col min="1563" max="1563" width="10.85546875" style="262" bestFit="1" customWidth="1"/>
    <col min="1564" max="1564" width="6.7109375" style="262" bestFit="1" customWidth="1"/>
    <col min="1565" max="1565" width="12.85546875" style="262" bestFit="1" customWidth="1"/>
    <col min="1566" max="1566" width="4.7109375" style="262" bestFit="1" customWidth="1"/>
    <col min="1567" max="1792" width="9.140625" style="262"/>
    <col min="1793" max="1793" width="11.7109375" style="262" bestFit="1" customWidth="1"/>
    <col min="1794" max="1794" width="7" style="262" bestFit="1" customWidth="1"/>
    <col min="1795" max="1795" width="9.7109375" style="262" bestFit="1" customWidth="1"/>
    <col min="1796" max="1796" width="7" style="262" bestFit="1" customWidth="1"/>
    <col min="1797" max="1797" width="10" style="262" bestFit="1" customWidth="1"/>
    <col min="1798" max="1798" width="7" style="262" bestFit="1" customWidth="1"/>
    <col min="1799" max="1799" width="10.5703125" style="262" bestFit="1" customWidth="1"/>
    <col min="1800" max="1800" width="6.5703125" style="262" bestFit="1" customWidth="1"/>
    <col min="1801" max="1801" width="10" style="262" bestFit="1" customWidth="1"/>
    <col min="1802" max="1802" width="7.42578125" style="262" bestFit="1" customWidth="1"/>
    <col min="1803" max="1803" width="9.7109375" style="262" bestFit="1" customWidth="1"/>
    <col min="1804" max="1804" width="6.85546875" style="262" bestFit="1" customWidth="1"/>
    <col min="1805" max="1805" width="9.5703125" style="262" bestFit="1" customWidth="1"/>
    <col min="1806" max="1806" width="6.85546875" style="262" bestFit="1" customWidth="1"/>
    <col min="1807" max="1807" width="12.42578125" style="262" bestFit="1" customWidth="1"/>
    <col min="1808" max="1808" width="7" style="262" bestFit="1" customWidth="1"/>
    <col min="1809" max="1809" width="10.7109375" style="262" bestFit="1" customWidth="1"/>
    <col min="1810" max="1810" width="6.7109375" style="262" bestFit="1" customWidth="1"/>
    <col min="1811" max="1811" width="10.140625" style="262" bestFit="1" customWidth="1"/>
    <col min="1812" max="1812" width="6.5703125" style="262" bestFit="1" customWidth="1"/>
    <col min="1813" max="1813" width="12.42578125" style="262" bestFit="1" customWidth="1"/>
    <col min="1814" max="1814" width="6.5703125" style="262" bestFit="1" customWidth="1"/>
    <col min="1815" max="1815" width="10.28515625" style="262" bestFit="1" customWidth="1"/>
    <col min="1816" max="1816" width="6.7109375" style="262" bestFit="1" customWidth="1"/>
    <col min="1817" max="1817" width="10.140625" style="262" bestFit="1" customWidth="1"/>
    <col min="1818" max="1818" width="6.5703125" style="262" bestFit="1" customWidth="1"/>
    <col min="1819" max="1819" width="10.85546875" style="262" bestFit="1" customWidth="1"/>
    <col min="1820" max="1820" width="6.7109375" style="262" bestFit="1" customWidth="1"/>
    <col min="1821" max="1821" width="12.85546875" style="262" bestFit="1" customWidth="1"/>
    <col min="1822" max="1822" width="4.7109375" style="262" bestFit="1" customWidth="1"/>
    <col min="1823" max="2048" width="9.140625" style="262"/>
    <col min="2049" max="2049" width="11.7109375" style="262" bestFit="1" customWidth="1"/>
    <col min="2050" max="2050" width="7" style="262" bestFit="1" customWidth="1"/>
    <col min="2051" max="2051" width="9.7109375" style="262" bestFit="1" customWidth="1"/>
    <col min="2052" max="2052" width="7" style="262" bestFit="1" customWidth="1"/>
    <col min="2053" max="2053" width="10" style="262" bestFit="1" customWidth="1"/>
    <col min="2054" max="2054" width="7" style="262" bestFit="1" customWidth="1"/>
    <col min="2055" max="2055" width="10.5703125" style="262" bestFit="1" customWidth="1"/>
    <col min="2056" max="2056" width="6.5703125" style="262" bestFit="1" customWidth="1"/>
    <col min="2057" max="2057" width="10" style="262" bestFit="1" customWidth="1"/>
    <col min="2058" max="2058" width="7.42578125" style="262" bestFit="1" customWidth="1"/>
    <col min="2059" max="2059" width="9.7109375" style="262" bestFit="1" customWidth="1"/>
    <col min="2060" max="2060" width="6.85546875" style="262" bestFit="1" customWidth="1"/>
    <col min="2061" max="2061" width="9.5703125" style="262" bestFit="1" customWidth="1"/>
    <col min="2062" max="2062" width="6.85546875" style="262" bestFit="1" customWidth="1"/>
    <col min="2063" max="2063" width="12.42578125" style="262" bestFit="1" customWidth="1"/>
    <col min="2064" max="2064" width="7" style="262" bestFit="1" customWidth="1"/>
    <col min="2065" max="2065" width="10.7109375" style="262" bestFit="1" customWidth="1"/>
    <col min="2066" max="2066" width="6.7109375" style="262" bestFit="1" customWidth="1"/>
    <col min="2067" max="2067" width="10.140625" style="262" bestFit="1" customWidth="1"/>
    <col min="2068" max="2068" width="6.5703125" style="262" bestFit="1" customWidth="1"/>
    <col min="2069" max="2069" width="12.42578125" style="262" bestFit="1" customWidth="1"/>
    <col min="2070" max="2070" width="6.5703125" style="262" bestFit="1" customWidth="1"/>
    <col min="2071" max="2071" width="10.28515625" style="262" bestFit="1" customWidth="1"/>
    <col min="2072" max="2072" width="6.7109375" style="262" bestFit="1" customWidth="1"/>
    <col min="2073" max="2073" width="10.140625" style="262" bestFit="1" customWidth="1"/>
    <col min="2074" max="2074" width="6.5703125" style="262" bestFit="1" customWidth="1"/>
    <col min="2075" max="2075" width="10.85546875" style="262" bestFit="1" customWidth="1"/>
    <col min="2076" max="2076" width="6.7109375" style="262" bestFit="1" customWidth="1"/>
    <col min="2077" max="2077" width="12.85546875" style="262" bestFit="1" customWidth="1"/>
    <col min="2078" max="2078" width="4.7109375" style="262" bestFit="1" customWidth="1"/>
    <col min="2079" max="2304" width="9.140625" style="262"/>
    <col min="2305" max="2305" width="11.7109375" style="262" bestFit="1" customWidth="1"/>
    <col min="2306" max="2306" width="7" style="262" bestFit="1" customWidth="1"/>
    <col min="2307" max="2307" width="9.7109375" style="262" bestFit="1" customWidth="1"/>
    <col min="2308" max="2308" width="7" style="262" bestFit="1" customWidth="1"/>
    <col min="2309" max="2309" width="10" style="262" bestFit="1" customWidth="1"/>
    <col min="2310" max="2310" width="7" style="262" bestFit="1" customWidth="1"/>
    <col min="2311" max="2311" width="10.5703125" style="262" bestFit="1" customWidth="1"/>
    <col min="2312" max="2312" width="6.5703125" style="262" bestFit="1" customWidth="1"/>
    <col min="2313" max="2313" width="10" style="262" bestFit="1" customWidth="1"/>
    <col min="2314" max="2314" width="7.42578125" style="262" bestFit="1" customWidth="1"/>
    <col min="2315" max="2315" width="9.7109375" style="262" bestFit="1" customWidth="1"/>
    <col min="2316" max="2316" width="6.85546875" style="262" bestFit="1" customWidth="1"/>
    <col min="2317" max="2317" width="9.5703125" style="262" bestFit="1" customWidth="1"/>
    <col min="2318" max="2318" width="6.85546875" style="262" bestFit="1" customWidth="1"/>
    <col min="2319" max="2319" width="12.42578125" style="262" bestFit="1" customWidth="1"/>
    <col min="2320" max="2320" width="7" style="262" bestFit="1" customWidth="1"/>
    <col min="2321" max="2321" width="10.7109375" style="262" bestFit="1" customWidth="1"/>
    <col min="2322" max="2322" width="6.7109375" style="262" bestFit="1" customWidth="1"/>
    <col min="2323" max="2323" width="10.140625" style="262" bestFit="1" customWidth="1"/>
    <col min="2324" max="2324" width="6.5703125" style="262" bestFit="1" customWidth="1"/>
    <col min="2325" max="2325" width="12.42578125" style="262" bestFit="1" customWidth="1"/>
    <col min="2326" max="2326" width="6.5703125" style="262" bestFit="1" customWidth="1"/>
    <col min="2327" max="2327" width="10.28515625" style="262" bestFit="1" customWidth="1"/>
    <col min="2328" max="2328" width="6.7109375" style="262" bestFit="1" customWidth="1"/>
    <col min="2329" max="2329" width="10.140625" style="262" bestFit="1" customWidth="1"/>
    <col min="2330" max="2330" width="6.5703125" style="262" bestFit="1" customWidth="1"/>
    <col min="2331" max="2331" width="10.85546875" style="262" bestFit="1" customWidth="1"/>
    <col min="2332" max="2332" width="6.7109375" style="262" bestFit="1" customWidth="1"/>
    <col min="2333" max="2333" width="12.85546875" style="262" bestFit="1" customWidth="1"/>
    <col min="2334" max="2334" width="4.7109375" style="262" bestFit="1" customWidth="1"/>
    <col min="2335" max="2560" width="9.140625" style="262"/>
    <col min="2561" max="2561" width="11.7109375" style="262" bestFit="1" customWidth="1"/>
    <col min="2562" max="2562" width="7" style="262" bestFit="1" customWidth="1"/>
    <col min="2563" max="2563" width="9.7109375" style="262" bestFit="1" customWidth="1"/>
    <col min="2564" max="2564" width="7" style="262" bestFit="1" customWidth="1"/>
    <col min="2565" max="2565" width="10" style="262" bestFit="1" customWidth="1"/>
    <col min="2566" max="2566" width="7" style="262" bestFit="1" customWidth="1"/>
    <col min="2567" max="2567" width="10.5703125" style="262" bestFit="1" customWidth="1"/>
    <col min="2568" max="2568" width="6.5703125" style="262" bestFit="1" customWidth="1"/>
    <col min="2569" max="2569" width="10" style="262" bestFit="1" customWidth="1"/>
    <col min="2570" max="2570" width="7.42578125" style="262" bestFit="1" customWidth="1"/>
    <col min="2571" max="2571" width="9.7109375" style="262" bestFit="1" customWidth="1"/>
    <col min="2572" max="2572" width="6.85546875" style="262" bestFit="1" customWidth="1"/>
    <col min="2573" max="2573" width="9.5703125" style="262" bestFit="1" customWidth="1"/>
    <col min="2574" max="2574" width="6.85546875" style="262" bestFit="1" customWidth="1"/>
    <col min="2575" max="2575" width="12.42578125" style="262" bestFit="1" customWidth="1"/>
    <col min="2576" max="2576" width="7" style="262" bestFit="1" customWidth="1"/>
    <col min="2577" max="2577" width="10.7109375" style="262" bestFit="1" customWidth="1"/>
    <col min="2578" max="2578" width="6.7109375" style="262" bestFit="1" customWidth="1"/>
    <col min="2579" max="2579" width="10.140625" style="262" bestFit="1" customWidth="1"/>
    <col min="2580" max="2580" width="6.5703125" style="262" bestFit="1" customWidth="1"/>
    <col min="2581" max="2581" width="12.42578125" style="262" bestFit="1" customWidth="1"/>
    <col min="2582" max="2582" width="6.5703125" style="262" bestFit="1" customWidth="1"/>
    <col min="2583" max="2583" width="10.28515625" style="262" bestFit="1" customWidth="1"/>
    <col min="2584" max="2584" width="6.7109375" style="262" bestFit="1" customWidth="1"/>
    <col min="2585" max="2585" width="10.140625" style="262" bestFit="1" customWidth="1"/>
    <col min="2586" max="2586" width="6.5703125" style="262" bestFit="1" customWidth="1"/>
    <col min="2587" max="2587" width="10.85546875" style="262" bestFit="1" customWidth="1"/>
    <col min="2588" max="2588" width="6.7109375" style="262" bestFit="1" customWidth="1"/>
    <col min="2589" max="2589" width="12.85546875" style="262" bestFit="1" customWidth="1"/>
    <col min="2590" max="2590" width="4.7109375" style="262" bestFit="1" customWidth="1"/>
    <col min="2591" max="2816" width="9.140625" style="262"/>
    <col min="2817" max="2817" width="11.7109375" style="262" bestFit="1" customWidth="1"/>
    <col min="2818" max="2818" width="7" style="262" bestFit="1" customWidth="1"/>
    <col min="2819" max="2819" width="9.7109375" style="262" bestFit="1" customWidth="1"/>
    <col min="2820" max="2820" width="7" style="262" bestFit="1" customWidth="1"/>
    <col min="2821" max="2821" width="10" style="262" bestFit="1" customWidth="1"/>
    <col min="2822" max="2822" width="7" style="262" bestFit="1" customWidth="1"/>
    <col min="2823" max="2823" width="10.5703125" style="262" bestFit="1" customWidth="1"/>
    <col min="2824" max="2824" width="6.5703125" style="262" bestFit="1" customWidth="1"/>
    <col min="2825" max="2825" width="10" style="262" bestFit="1" customWidth="1"/>
    <col min="2826" max="2826" width="7.42578125" style="262" bestFit="1" customWidth="1"/>
    <col min="2827" max="2827" width="9.7109375" style="262" bestFit="1" customWidth="1"/>
    <col min="2828" max="2828" width="6.85546875" style="262" bestFit="1" customWidth="1"/>
    <col min="2829" max="2829" width="9.5703125" style="262" bestFit="1" customWidth="1"/>
    <col min="2830" max="2830" width="6.85546875" style="262" bestFit="1" customWidth="1"/>
    <col min="2831" max="2831" width="12.42578125" style="262" bestFit="1" customWidth="1"/>
    <col min="2832" max="2832" width="7" style="262" bestFit="1" customWidth="1"/>
    <col min="2833" max="2833" width="10.7109375" style="262" bestFit="1" customWidth="1"/>
    <col min="2834" max="2834" width="6.7109375" style="262" bestFit="1" customWidth="1"/>
    <col min="2835" max="2835" width="10.140625" style="262" bestFit="1" customWidth="1"/>
    <col min="2836" max="2836" width="6.5703125" style="262" bestFit="1" customWidth="1"/>
    <col min="2837" max="2837" width="12.42578125" style="262" bestFit="1" customWidth="1"/>
    <col min="2838" max="2838" width="6.5703125" style="262" bestFit="1" customWidth="1"/>
    <col min="2839" max="2839" width="10.28515625" style="262" bestFit="1" customWidth="1"/>
    <col min="2840" max="2840" width="6.7109375" style="262" bestFit="1" customWidth="1"/>
    <col min="2841" max="2841" width="10.140625" style="262" bestFit="1" customWidth="1"/>
    <col min="2842" max="2842" width="6.5703125" style="262" bestFit="1" customWidth="1"/>
    <col min="2843" max="2843" width="10.85546875" style="262" bestFit="1" customWidth="1"/>
    <col min="2844" max="2844" width="6.7109375" style="262" bestFit="1" customWidth="1"/>
    <col min="2845" max="2845" width="12.85546875" style="262" bestFit="1" customWidth="1"/>
    <col min="2846" max="2846" width="4.7109375" style="262" bestFit="1" customWidth="1"/>
    <col min="2847" max="3072" width="9.140625" style="262"/>
    <col min="3073" max="3073" width="11.7109375" style="262" bestFit="1" customWidth="1"/>
    <col min="3074" max="3074" width="7" style="262" bestFit="1" customWidth="1"/>
    <col min="3075" max="3075" width="9.7109375" style="262" bestFit="1" customWidth="1"/>
    <col min="3076" max="3076" width="7" style="262" bestFit="1" customWidth="1"/>
    <col min="3077" max="3077" width="10" style="262" bestFit="1" customWidth="1"/>
    <col min="3078" max="3078" width="7" style="262" bestFit="1" customWidth="1"/>
    <col min="3079" max="3079" width="10.5703125" style="262" bestFit="1" customWidth="1"/>
    <col min="3080" max="3080" width="6.5703125" style="262" bestFit="1" customWidth="1"/>
    <col min="3081" max="3081" width="10" style="262" bestFit="1" customWidth="1"/>
    <col min="3082" max="3082" width="7.42578125" style="262" bestFit="1" customWidth="1"/>
    <col min="3083" max="3083" width="9.7109375" style="262" bestFit="1" customWidth="1"/>
    <col min="3084" max="3084" width="6.85546875" style="262" bestFit="1" customWidth="1"/>
    <col min="3085" max="3085" width="9.5703125" style="262" bestFit="1" customWidth="1"/>
    <col min="3086" max="3086" width="6.85546875" style="262" bestFit="1" customWidth="1"/>
    <col min="3087" max="3087" width="12.42578125" style="262" bestFit="1" customWidth="1"/>
    <col min="3088" max="3088" width="7" style="262" bestFit="1" customWidth="1"/>
    <col min="3089" max="3089" width="10.7109375" style="262" bestFit="1" customWidth="1"/>
    <col min="3090" max="3090" width="6.7109375" style="262" bestFit="1" customWidth="1"/>
    <col min="3091" max="3091" width="10.140625" style="262" bestFit="1" customWidth="1"/>
    <col min="3092" max="3092" width="6.5703125" style="262" bestFit="1" customWidth="1"/>
    <col min="3093" max="3093" width="12.42578125" style="262" bestFit="1" customWidth="1"/>
    <col min="3094" max="3094" width="6.5703125" style="262" bestFit="1" customWidth="1"/>
    <col min="3095" max="3095" width="10.28515625" style="262" bestFit="1" customWidth="1"/>
    <col min="3096" max="3096" width="6.7109375" style="262" bestFit="1" customWidth="1"/>
    <col min="3097" max="3097" width="10.140625" style="262" bestFit="1" customWidth="1"/>
    <col min="3098" max="3098" width="6.5703125" style="262" bestFit="1" customWidth="1"/>
    <col min="3099" max="3099" width="10.85546875" style="262" bestFit="1" customWidth="1"/>
    <col min="3100" max="3100" width="6.7109375" style="262" bestFit="1" customWidth="1"/>
    <col min="3101" max="3101" width="12.85546875" style="262" bestFit="1" customWidth="1"/>
    <col min="3102" max="3102" width="4.7109375" style="262" bestFit="1" customWidth="1"/>
    <col min="3103" max="3328" width="9.140625" style="262"/>
    <col min="3329" max="3329" width="11.7109375" style="262" bestFit="1" customWidth="1"/>
    <col min="3330" max="3330" width="7" style="262" bestFit="1" customWidth="1"/>
    <col min="3331" max="3331" width="9.7109375" style="262" bestFit="1" customWidth="1"/>
    <col min="3332" max="3332" width="7" style="262" bestFit="1" customWidth="1"/>
    <col min="3333" max="3333" width="10" style="262" bestFit="1" customWidth="1"/>
    <col min="3334" max="3334" width="7" style="262" bestFit="1" customWidth="1"/>
    <col min="3335" max="3335" width="10.5703125" style="262" bestFit="1" customWidth="1"/>
    <col min="3336" max="3336" width="6.5703125" style="262" bestFit="1" customWidth="1"/>
    <col min="3337" max="3337" width="10" style="262" bestFit="1" customWidth="1"/>
    <col min="3338" max="3338" width="7.42578125" style="262" bestFit="1" customWidth="1"/>
    <col min="3339" max="3339" width="9.7109375" style="262" bestFit="1" customWidth="1"/>
    <col min="3340" max="3340" width="6.85546875" style="262" bestFit="1" customWidth="1"/>
    <col min="3341" max="3341" width="9.5703125" style="262" bestFit="1" customWidth="1"/>
    <col min="3342" max="3342" width="6.85546875" style="262" bestFit="1" customWidth="1"/>
    <col min="3343" max="3343" width="12.42578125" style="262" bestFit="1" customWidth="1"/>
    <col min="3344" max="3344" width="7" style="262" bestFit="1" customWidth="1"/>
    <col min="3345" max="3345" width="10.7109375" style="262" bestFit="1" customWidth="1"/>
    <col min="3346" max="3346" width="6.7109375" style="262" bestFit="1" customWidth="1"/>
    <col min="3347" max="3347" width="10.140625" style="262" bestFit="1" customWidth="1"/>
    <col min="3348" max="3348" width="6.5703125" style="262" bestFit="1" customWidth="1"/>
    <col min="3349" max="3349" width="12.42578125" style="262" bestFit="1" customWidth="1"/>
    <col min="3350" max="3350" width="6.5703125" style="262" bestFit="1" customWidth="1"/>
    <col min="3351" max="3351" width="10.28515625" style="262" bestFit="1" customWidth="1"/>
    <col min="3352" max="3352" width="6.7109375" style="262" bestFit="1" customWidth="1"/>
    <col min="3353" max="3353" width="10.140625" style="262" bestFit="1" customWidth="1"/>
    <col min="3354" max="3354" width="6.5703125" style="262" bestFit="1" customWidth="1"/>
    <col min="3355" max="3355" width="10.85546875" style="262" bestFit="1" customWidth="1"/>
    <col min="3356" max="3356" width="6.7109375" style="262" bestFit="1" customWidth="1"/>
    <col min="3357" max="3357" width="12.85546875" style="262" bestFit="1" customWidth="1"/>
    <col min="3358" max="3358" width="4.7109375" style="262" bestFit="1" customWidth="1"/>
    <col min="3359" max="3584" width="9.140625" style="262"/>
    <col min="3585" max="3585" width="11.7109375" style="262" bestFit="1" customWidth="1"/>
    <col min="3586" max="3586" width="7" style="262" bestFit="1" customWidth="1"/>
    <col min="3587" max="3587" width="9.7109375" style="262" bestFit="1" customWidth="1"/>
    <col min="3588" max="3588" width="7" style="262" bestFit="1" customWidth="1"/>
    <col min="3589" max="3589" width="10" style="262" bestFit="1" customWidth="1"/>
    <col min="3590" max="3590" width="7" style="262" bestFit="1" customWidth="1"/>
    <col min="3591" max="3591" width="10.5703125" style="262" bestFit="1" customWidth="1"/>
    <col min="3592" max="3592" width="6.5703125" style="262" bestFit="1" customWidth="1"/>
    <col min="3593" max="3593" width="10" style="262" bestFit="1" customWidth="1"/>
    <col min="3594" max="3594" width="7.42578125" style="262" bestFit="1" customWidth="1"/>
    <col min="3595" max="3595" width="9.7109375" style="262" bestFit="1" customWidth="1"/>
    <col min="3596" max="3596" width="6.85546875" style="262" bestFit="1" customWidth="1"/>
    <col min="3597" max="3597" width="9.5703125" style="262" bestFit="1" customWidth="1"/>
    <col min="3598" max="3598" width="6.85546875" style="262" bestFit="1" customWidth="1"/>
    <col min="3599" max="3599" width="12.42578125" style="262" bestFit="1" customWidth="1"/>
    <col min="3600" max="3600" width="7" style="262" bestFit="1" customWidth="1"/>
    <col min="3601" max="3601" width="10.7109375" style="262" bestFit="1" customWidth="1"/>
    <col min="3602" max="3602" width="6.7109375" style="262" bestFit="1" customWidth="1"/>
    <col min="3603" max="3603" width="10.140625" style="262" bestFit="1" customWidth="1"/>
    <col min="3604" max="3604" width="6.5703125" style="262" bestFit="1" customWidth="1"/>
    <col min="3605" max="3605" width="12.42578125" style="262" bestFit="1" customWidth="1"/>
    <col min="3606" max="3606" width="6.5703125" style="262" bestFit="1" customWidth="1"/>
    <col min="3607" max="3607" width="10.28515625" style="262" bestFit="1" customWidth="1"/>
    <col min="3608" max="3608" width="6.7109375" style="262" bestFit="1" customWidth="1"/>
    <col min="3609" max="3609" width="10.140625" style="262" bestFit="1" customWidth="1"/>
    <col min="3610" max="3610" width="6.5703125" style="262" bestFit="1" customWidth="1"/>
    <col min="3611" max="3611" width="10.85546875" style="262" bestFit="1" customWidth="1"/>
    <col min="3612" max="3612" width="6.7109375" style="262" bestFit="1" customWidth="1"/>
    <col min="3613" max="3613" width="12.85546875" style="262" bestFit="1" customWidth="1"/>
    <col min="3614" max="3614" width="4.7109375" style="262" bestFit="1" customWidth="1"/>
    <col min="3615" max="3840" width="9.140625" style="262"/>
    <col min="3841" max="3841" width="11.7109375" style="262" bestFit="1" customWidth="1"/>
    <col min="3842" max="3842" width="7" style="262" bestFit="1" customWidth="1"/>
    <col min="3843" max="3843" width="9.7109375" style="262" bestFit="1" customWidth="1"/>
    <col min="3844" max="3844" width="7" style="262" bestFit="1" customWidth="1"/>
    <col min="3845" max="3845" width="10" style="262" bestFit="1" customWidth="1"/>
    <col min="3846" max="3846" width="7" style="262" bestFit="1" customWidth="1"/>
    <col min="3847" max="3847" width="10.5703125" style="262" bestFit="1" customWidth="1"/>
    <col min="3848" max="3848" width="6.5703125" style="262" bestFit="1" customWidth="1"/>
    <col min="3849" max="3849" width="10" style="262" bestFit="1" customWidth="1"/>
    <col min="3850" max="3850" width="7.42578125" style="262" bestFit="1" customWidth="1"/>
    <col min="3851" max="3851" width="9.7109375" style="262" bestFit="1" customWidth="1"/>
    <col min="3852" max="3852" width="6.85546875" style="262" bestFit="1" customWidth="1"/>
    <col min="3853" max="3853" width="9.5703125" style="262" bestFit="1" customWidth="1"/>
    <col min="3854" max="3854" width="6.85546875" style="262" bestFit="1" customWidth="1"/>
    <col min="3855" max="3855" width="12.42578125" style="262" bestFit="1" customWidth="1"/>
    <col min="3856" max="3856" width="7" style="262" bestFit="1" customWidth="1"/>
    <col min="3857" max="3857" width="10.7109375" style="262" bestFit="1" customWidth="1"/>
    <col min="3858" max="3858" width="6.7109375" style="262" bestFit="1" customWidth="1"/>
    <col min="3859" max="3859" width="10.140625" style="262" bestFit="1" customWidth="1"/>
    <col min="3860" max="3860" width="6.5703125" style="262" bestFit="1" customWidth="1"/>
    <col min="3861" max="3861" width="12.42578125" style="262" bestFit="1" customWidth="1"/>
    <col min="3862" max="3862" width="6.5703125" style="262" bestFit="1" customWidth="1"/>
    <col min="3863" max="3863" width="10.28515625" style="262" bestFit="1" customWidth="1"/>
    <col min="3864" max="3864" width="6.7109375" style="262" bestFit="1" customWidth="1"/>
    <col min="3865" max="3865" width="10.140625" style="262" bestFit="1" customWidth="1"/>
    <col min="3866" max="3866" width="6.5703125" style="262" bestFit="1" customWidth="1"/>
    <col min="3867" max="3867" width="10.85546875" style="262" bestFit="1" customWidth="1"/>
    <col min="3868" max="3868" width="6.7109375" style="262" bestFit="1" customWidth="1"/>
    <col min="3869" max="3869" width="12.85546875" style="262" bestFit="1" customWidth="1"/>
    <col min="3870" max="3870" width="4.7109375" style="262" bestFit="1" customWidth="1"/>
    <col min="3871" max="4096" width="9.140625" style="262"/>
    <col min="4097" max="4097" width="11.7109375" style="262" bestFit="1" customWidth="1"/>
    <col min="4098" max="4098" width="7" style="262" bestFit="1" customWidth="1"/>
    <col min="4099" max="4099" width="9.7109375" style="262" bestFit="1" customWidth="1"/>
    <col min="4100" max="4100" width="7" style="262" bestFit="1" customWidth="1"/>
    <col min="4101" max="4101" width="10" style="262" bestFit="1" customWidth="1"/>
    <col min="4102" max="4102" width="7" style="262" bestFit="1" customWidth="1"/>
    <col min="4103" max="4103" width="10.5703125" style="262" bestFit="1" customWidth="1"/>
    <col min="4104" max="4104" width="6.5703125" style="262" bestFit="1" customWidth="1"/>
    <col min="4105" max="4105" width="10" style="262" bestFit="1" customWidth="1"/>
    <col min="4106" max="4106" width="7.42578125" style="262" bestFit="1" customWidth="1"/>
    <col min="4107" max="4107" width="9.7109375" style="262" bestFit="1" customWidth="1"/>
    <col min="4108" max="4108" width="6.85546875" style="262" bestFit="1" customWidth="1"/>
    <col min="4109" max="4109" width="9.5703125" style="262" bestFit="1" customWidth="1"/>
    <col min="4110" max="4110" width="6.85546875" style="262" bestFit="1" customWidth="1"/>
    <col min="4111" max="4111" width="12.42578125" style="262" bestFit="1" customWidth="1"/>
    <col min="4112" max="4112" width="7" style="262" bestFit="1" customWidth="1"/>
    <col min="4113" max="4113" width="10.7109375" style="262" bestFit="1" customWidth="1"/>
    <col min="4114" max="4114" width="6.7109375" style="262" bestFit="1" customWidth="1"/>
    <col min="4115" max="4115" width="10.140625" style="262" bestFit="1" customWidth="1"/>
    <col min="4116" max="4116" width="6.5703125" style="262" bestFit="1" customWidth="1"/>
    <col min="4117" max="4117" width="12.42578125" style="262" bestFit="1" customWidth="1"/>
    <col min="4118" max="4118" width="6.5703125" style="262" bestFit="1" customWidth="1"/>
    <col min="4119" max="4119" width="10.28515625" style="262" bestFit="1" customWidth="1"/>
    <col min="4120" max="4120" width="6.7109375" style="262" bestFit="1" customWidth="1"/>
    <col min="4121" max="4121" width="10.140625" style="262" bestFit="1" customWidth="1"/>
    <col min="4122" max="4122" width="6.5703125" style="262" bestFit="1" customWidth="1"/>
    <col min="4123" max="4123" width="10.85546875" style="262" bestFit="1" customWidth="1"/>
    <col min="4124" max="4124" width="6.7109375" style="262" bestFit="1" customWidth="1"/>
    <col min="4125" max="4125" width="12.85546875" style="262" bestFit="1" customWidth="1"/>
    <col min="4126" max="4126" width="4.7109375" style="262" bestFit="1" customWidth="1"/>
    <col min="4127" max="4352" width="9.140625" style="262"/>
    <col min="4353" max="4353" width="11.7109375" style="262" bestFit="1" customWidth="1"/>
    <col min="4354" max="4354" width="7" style="262" bestFit="1" customWidth="1"/>
    <col min="4355" max="4355" width="9.7109375" style="262" bestFit="1" customWidth="1"/>
    <col min="4356" max="4356" width="7" style="262" bestFit="1" customWidth="1"/>
    <col min="4357" max="4357" width="10" style="262" bestFit="1" customWidth="1"/>
    <col min="4358" max="4358" width="7" style="262" bestFit="1" customWidth="1"/>
    <col min="4359" max="4359" width="10.5703125" style="262" bestFit="1" customWidth="1"/>
    <col min="4360" max="4360" width="6.5703125" style="262" bestFit="1" customWidth="1"/>
    <col min="4361" max="4361" width="10" style="262" bestFit="1" customWidth="1"/>
    <col min="4362" max="4362" width="7.42578125" style="262" bestFit="1" customWidth="1"/>
    <col min="4363" max="4363" width="9.7109375" style="262" bestFit="1" customWidth="1"/>
    <col min="4364" max="4364" width="6.85546875" style="262" bestFit="1" customWidth="1"/>
    <col min="4365" max="4365" width="9.5703125" style="262" bestFit="1" customWidth="1"/>
    <col min="4366" max="4366" width="6.85546875" style="262" bestFit="1" customWidth="1"/>
    <col min="4367" max="4367" width="12.42578125" style="262" bestFit="1" customWidth="1"/>
    <col min="4368" max="4368" width="7" style="262" bestFit="1" customWidth="1"/>
    <col min="4369" max="4369" width="10.7109375" style="262" bestFit="1" customWidth="1"/>
    <col min="4370" max="4370" width="6.7109375" style="262" bestFit="1" customWidth="1"/>
    <col min="4371" max="4371" width="10.140625" style="262" bestFit="1" customWidth="1"/>
    <col min="4372" max="4372" width="6.5703125" style="262" bestFit="1" customWidth="1"/>
    <col min="4373" max="4373" width="12.42578125" style="262" bestFit="1" customWidth="1"/>
    <col min="4374" max="4374" width="6.5703125" style="262" bestFit="1" customWidth="1"/>
    <col min="4375" max="4375" width="10.28515625" style="262" bestFit="1" customWidth="1"/>
    <col min="4376" max="4376" width="6.7109375" style="262" bestFit="1" customWidth="1"/>
    <col min="4377" max="4377" width="10.140625" style="262" bestFit="1" customWidth="1"/>
    <col min="4378" max="4378" width="6.5703125" style="262" bestFit="1" customWidth="1"/>
    <col min="4379" max="4379" width="10.85546875" style="262" bestFit="1" customWidth="1"/>
    <col min="4380" max="4380" width="6.7109375" style="262" bestFit="1" customWidth="1"/>
    <col min="4381" max="4381" width="12.85546875" style="262" bestFit="1" customWidth="1"/>
    <col min="4382" max="4382" width="4.7109375" style="262" bestFit="1" customWidth="1"/>
    <col min="4383" max="4608" width="9.140625" style="262"/>
    <col min="4609" max="4609" width="11.7109375" style="262" bestFit="1" customWidth="1"/>
    <col min="4610" max="4610" width="7" style="262" bestFit="1" customWidth="1"/>
    <col min="4611" max="4611" width="9.7109375" style="262" bestFit="1" customWidth="1"/>
    <col min="4612" max="4612" width="7" style="262" bestFit="1" customWidth="1"/>
    <col min="4613" max="4613" width="10" style="262" bestFit="1" customWidth="1"/>
    <col min="4614" max="4614" width="7" style="262" bestFit="1" customWidth="1"/>
    <col min="4615" max="4615" width="10.5703125" style="262" bestFit="1" customWidth="1"/>
    <col min="4616" max="4616" width="6.5703125" style="262" bestFit="1" customWidth="1"/>
    <col min="4617" max="4617" width="10" style="262" bestFit="1" customWidth="1"/>
    <col min="4618" max="4618" width="7.42578125" style="262" bestFit="1" customWidth="1"/>
    <col min="4619" max="4619" width="9.7109375" style="262" bestFit="1" customWidth="1"/>
    <col min="4620" max="4620" width="6.85546875" style="262" bestFit="1" customWidth="1"/>
    <col min="4621" max="4621" width="9.5703125" style="262" bestFit="1" customWidth="1"/>
    <col min="4622" max="4622" width="6.85546875" style="262" bestFit="1" customWidth="1"/>
    <col min="4623" max="4623" width="12.42578125" style="262" bestFit="1" customWidth="1"/>
    <col min="4624" max="4624" width="7" style="262" bestFit="1" customWidth="1"/>
    <col min="4625" max="4625" width="10.7109375" style="262" bestFit="1" customWidth="1"/>
    <col min="4626" max="4626" width="6.7109375" style="262" bestFit="1" customWidth="1"/>
    <col min="4627" max="4627" width="10.140625" style="262" bestFit="1" customWidth="1"/>
    <col min="4628" max="4628" width="6.5703125" style="262" bestFit="1" customWidth="1"/>
    <col min="4629" max="4629" width="12.42578125" style="262" bestFit="1" customWidth="1"/>
    <col min="4630" max="4630" width="6.5703125" style="262" bestFit="1" customWidth="1"/>
    <col min="4631" max="4631" width="10.28515625" style="262" bestFit="1" customWidth="1"/>
    <col min="4632" max="4632" width="6.7109375" style="262" bestFit="1" customWidth="1"/>
    <col min="4633" max="4633" width="10.140625" style="262" bestFit="1" customWidth="1"/>
    <col min="4634" max="4634" width="6.5703125" style="262" bestFit="1" customWidth="1"/>
    <col min="4635" max="4635" width="10.85546875" style="262" bestFit="1" customWidth="1"/>
    <col min="4636" max="4636" width="6.7109375" style="262" bestFit="1" customWidth="1"/>
    <col min="4637" max="4637" width="12.85546875" style="262" bestFit="1" customWidth="1"/>
    <col min="4638" max="4638" width="4.7109375" style="262" bestFit="1" customWidth="1"/>
    <col min="4639" max="4864" width="9.140625" style="262"/>
    <col min="4865" max="4865" width="11.7109375" style="262" bestFit="1" customWidth="1"/>
    <col min="4866" max="4866" width="7" style="262" bestFit="1" customWidth="1"/>
    <col min="4867" max="4867" width="9.7109375" style="262" bestFit="1" customWidth="1"/>
    <col min="4868" max="4868" width="7" style="262" bestFit="1" customWidth="1"/>
    <col min="4869" max="4869" width="10" style="262" bestFit="1" customWidth="1"/>
    <col min="4870" max="4870" width="7" style="262" bestFit="1" customWidth="1"/>
    <col min="4871" max="4871" width="10.5703125" style="262" bestFit="1" customWidth="1"/>
    <col min="4872" max="4872" width="6.5703125" style="262" bestFit="1" customWidth="1"/>
    <col min="4873" max="4873" width="10" style="262" bestFit="1" customWidth="1"/>
    <col min="4874" max="4874" width="7.42578125" style="262" bestFit="1" customWidth="1"/>
    <col min="4875" max="4875" width="9.7109375" style="262" bestFit="1" customWidth="1"/>
    <col min="4876" max="4876" width="6.85546875" style="262" bestFit="1" customWidth="1"/>
    <col min="4877" max="4877" width="9.5703125" style="262" bestFit="1" customWidth="1"/>
    <col min="4878" max="4878" width="6.85546875" style="262" bestFit="1" customWidth="1"/>
    <col min="4879" max="4879" width="12.42578125" style="262" bestFit="1" customWidth="1"/>
    <col min="4880" max="4880" width="7" style="262" bestFit="1" customWidth="1"/>
    <col min="4881" max="4881" width="10.7109375" style="262" bestFit="1" customWidth="1"/>
    <col min="4882" max="4882" width="6.7109375" style="262" bestFit="1" customWidth="1"/>
    <col min="4883" max="4883" width="10.140625" style="262" bestFit="1" customWidth="1"/>
    <col min="4884" max="4884" width="6.5703125" style="262" bestFit="1" customWidth="1"/>
    <col min="4885" max="4885" width="12.42578125" style="262" bestFit="1" customWidth="1"/>
    <col min="4886" max="4886" width="6.5703125" style="262" bestFit="1" customWidth="1"/>
    <col min="4887" max="4887" width="10.28515625" style="262" bestFit="1" customWidth="1"/>
    <col min="4888" max="4888" width="6.7109375" style="262" bestFit="1" customWidth="1"/>
    <col min="4889" max="4889" width="10.140625" style="262" bestFit="1" customWidth="1"/>
    <col min="4890" max="4890" width="6.5703125" style="262" bestFit="1" customWidth="1"/>
    <col min="4891" max="4891" width="10.85546875" style="262" bestFit="1" customWidth="1"/>
    <col min="4892" max="4892" width="6.7109375" style="262" bestFit="1" customWidth="1"/>
    <col min="4893" max="4893" width="12.85546875" style="262" bestFit="1" customWidth="1"/>
    <col min="4894" max="4894" width="4.7109375" style="262" bestFit="1" customWidth="1"/>
    <col min="4895" max="5120" width="9.140625" style="262"/>
    <col min="5121" max="5121" width="11.7109375" style="262" bestFit="1" customWidth="1"/>
    <col min="5122" max="5122" width="7" style="262" bestFit="1" customWidth="1"/>
    <col min="5123" max="5123" width="9.7109375" style="262" bestFit="1" customWidth="1"/>
    <col min="5124" max="5124" width="7" style="262" bestFit="1" customWidth="1"/>
    <col min="5125" max="5125" width="10" style="262" bestFit="1" customWidth="1"/>
    <col min="5126" max="5126" width="7" style="262" bestFit="1" customWidth="1"/>
    <col min="5127" max="5127" width="10.5703125" style="262" bestFit="1" customWidth="1"/>
    <col min="5128" max="5128" width="6.5703125" style="262" bestFit="1" customWidth="1"/>
    <col min="5129" max="5129" width="10" style="262" bestFit="1" customWidth="1"/>
    <col min="5130" max="5130" width="7.42578125" style="262" bestFit="1" customWidth="1"/>
    <col min="5131" max="5131" width="9.7109375" style="262" bestFit="1" customWidth="1"/>
    <col min="5132" max="5132" width="6.85546875" style="262" bestFit="1" customWidth="1"/>
    <col min="5133" max="5133" width="9.5703125" style="262" bestFit="1" customWidth="1"/>
    <col min="5134" max="5134" width="6.85546875" style="262" bestFit="1" customWidth="1"/>
    <col min="5135" max="5135" width="12.42578125" style="262" bestFit="1" customWidth="1"/>
    <col min="5136" max="5136" width="7" style="262" bestFit="1" customWidth="1"/>
    <col min="5137" max="5137" width="10.7109375" style="262" bestFit="1" customWidth="1"/>
    <col min="5138" max="5138" width="6.7109375" style="262" bestFit="1" customWidth="1"/>
    <col min="5139" max="5139" width="10.140625" style="262" bestFit="1" customWidth="1"/>
    <col min="5140" max="5140" width="6.5703125" style="262" bestFit="1" customWidth="1"/>
    <col min="5141" max="5141" width="12.42578125" style="262" bestFit="1" customWidth="1"/>
    <col min="5142" max="5142" width="6.5703125" style="262" bestFit="1" customWidth="1"/>
    <col min="5143" max="5143" width="10.28515625" style="262" bestFit="1" customWidth="1"/>
    <col min="5144" max="5144" width="6.7109375" style="262" bestFit="1" customWidth="1"/>
    <col min="5145" max="5145" width="10.140625" style="262" bestFit="1" customWidth="1"/>
    <col min="5146" max="5146" width="6.5703125" style="262" bestFit="1" customWidth="1"/>
    <col min="5147" max="5147" width="10.85546875" style="262" bestFit="1" customWidth="1"/>
    <col min="5148" max="5148" width="6.7109375" style="262" bestFit="1" customWidth="1"/>
    <col min="5149" max="5149" width="12.85546875" style="262" bestFit="1" customWidth="1"/>
    <col min="5150" max="5150" width="4.7109375" style="262" bestFit="1" customWidth="1"/>
    <col min="5151" max="5376" width="9.140625" style="262"/>
    <col min="5377" max="5377" width="11.7109375" style="262" bestFit="1" customWidth="1"/>
    <col min="5378" max="5378" width="7" style="262" bestFit="1" customWidth="1"/>
    <col min="5379" max="5379" width="9.7109375" style="262" bestFit="1" customWidth="1"/>
    <col min="5380" max="5380" width="7" style="262" bestFit="1" customWidth="1"/>
    <col min="5381" max="5381" width="10" style="262" bestFit="1" customWidth="1"/>
    <col min="5382" max="5382" width="7" style="262" bestFit="1" customWidth="1"/>
    <col min="5383" max="5383" width="10.5703125" style="262" bestFit="1" customWidth="1"/>
    <col min="5384" max="5384" width="6.5703125" style="262" bestFit="1" customWidth="1"/>
    <col min="5385" max="5385" width="10" style="262" bestFit="1" customWidth="1"/>
    <col min="5386" max="5386" width="7.42578125" style="262" bestFit="1" customWidth="1"/>
    <col min="5387" max="5387" width="9.7109375" style="262" bestFit="1" customWidth="1"/>
    <col min="5388" max="5388" width="6.85546875" style="262" bestFit="1" customWidth="1"/>
    <col min="5389" max="5389" width="9.5703125" style="262" bestFit="1" customWidth="1"/>
    <col min="5390" max="5390" width="6.85546875" style="262" bestFit="1" customWidth="1"/>
    <col min="5391" max="5391" width="12.42578125" style="262" bestFit="1" customWidth="1"/>
    <col min="5392" max="5392" width="7" style="262" bestFit="1" customWidth="1"/>
    <col min="5393" max="5393" width="10.7109375" style="262" bestFit="1" customWidth="1"/>
    <col min="5394" max="5394" width="6.7109375" style="262" bestFit="1" customWidth="1"/>
    <col min="5395" max="5395" width="10.140625" style="262" bestFit="1" customWidth="1"/>
    <col min="5396" max="5396" width="6.5703125" style="262" bestFit="1" customWidth="1"/>
    <col min="5397" max="5397" width="12.42578125" style="262" bestFit="1" customWidth="1"/>
    <col min="5398" max="5398" width="6.5703125" style="262" bestFit="1" customWidth="1"/>
    <col min="5399" max="5399" width="10.28515625" style="262" bestFit="1" customWidth="1"/>
    <col min="5400" max="5400" width="6.7109375" style="262" bestFit="1" customWidth="1"/>
    <col min="5401" max="5401" width="10.140625" style="262" bestFit="1" customWidth="1"/>
    <col min="5402" max="5402" width="6.5703125" style="262" bestFit="1" customWidth="1"/>
    <col min="5403" max="5403" width="10.85546875" style="262" bestFit="1" customWidth="1"/>
    <col min="5404" max="5404" width="6.7109375" style="262" bestFit="1" customWidth="1"/>
    <col min="5405" max="5405" width="12.85546875" style="262" bestFit="1" customWidth="1"/>
    <col min="5406" max="5406" width="4.7109375" style="262" bestFit="1" customWidth="1"/>
    <col min="5407" max="5632" width="9.140625" style="262"/>
    <col min="5633" max="5633" width="11.7109375" style="262" bestFit="1" customWidth="1"/>
    <col min="5634" max="5634" width="7" style="262" bestFit="1" customWidth="1"/>
    <col min="5635" max="5635" width="9.7109375" style="262" bestFit="1" customWidth="1"/>
    <col min="5636" max="5636" width="7" style="262" bestFit="1" customWidth="1"/>
    <col min="5637" max="5637" width="10" style="262" bestFit="1" customWidth="1"/>
    <col min="5638" max="5638" width="7" style="262" bestFit="1" customWidth="1"/>
    <col min="5639" max="5639" width="10.5703125" style="262" bestFit="1" customWidth="1"/>
    <col min="5640" max="5640" width="6.5703125" style="262" bestFit="1" customWidth="1"/>
    <col min="5641" max="5641" width="10" style="262" bestFit="1" customWidth="1"/>
    <col min="5642" max="5642" width="7.42578125" style="262" bestFit="1" customWidth="1"/>
    <col min="5643" max="5643" width="9.7109375" style="262" bestFit="1" customWidth="1"/>
    <col min="5644" max="5644" width="6.85546875" style="262" bestFit="1" customWidth="1"/>
    <col min="5645" max="5645" width="9.5703125" style="262" bestFit="1" customWidth="1"/>
    <col min="5646" max="5646" width="6.85546875" style="262" bestFit="1" customWidth="1"/>
    <col min="5647" max="5647" width="12.42578125" style="262" bestFit="1" customWidth="1"/>
    <col min="5648" max="5648" width="7" style="262" bestFit="1" customWidth="1"/>
    <col min="5649" max="5649" width="10.7109375" style="262" bestFit="1" customWidth="1"/>
    <col min="5650" max="5650" width="6.7109375" style="262" bestFit="1" customWidth="1"/>
    <col min="5651" max="5651" width="10.140625" style="262" bestFit="1" customWidth="1"/>
    <col min="5652" max="5652" width="6.5703125" style="262" bestFit="1" customWidth="1"/>
    <col min="5653" max="5653" width="12.42578125" style="262" bestFit="1" customWidth="1"/>
    <col min="5654" max="5654" width="6.5703125" style="262" bestFit="1" customWidth="1"/>
    <col min="5655" max="5655" width="10.28515625" style="262" bestFit="1" customWidth="1"/>
    <col min="5656" max="5656" width="6.7109375" style="262" bestFit="1" customWidth="1"/>
    <col min="5657" max="5657" width="10.140625" style="262" bestFit="1" customWidth="1"/>
    <col min="5658" max="5658" width="6.5703125" style="262" bestFit="1" customWidth="1"/>
    <col min="5659" max="5659" width="10.85546875" style="262" bestFit="1" customWidth="1"/>
    <col min="5660" max="5660" width="6.7109375" style="262" bestFit="1" customWidth="1"/>
    <col min="5661" max="5661" width="12.85546875" style="262" bestFit="1" customWidth="1"/>
    <col min="5662" max="5662" width="4.7109375" style="262" bestFit="1" customWidth="1"/>
    <col min="5663" max="5888" width="9.140625" style="262"/>
    <col min="5889" max="5889" width="11.7109375" style="262" bestFit="1" customWidth="1"/>
    <col min="5890" max="5890" width="7" style="262" bestFit="1" customWidth="1"/>
    <col min="5891" max="5891" width="9.7109375" style="262" bestFit="1" customWidth="1"/>
    <col min="5892" max="5892" width="7" style="262" bestFit="1" customWidth="1"/>
    <col min="5893" max="5893" width="10" style="262" bestFit="1" customWidth="1"/>
    <col min="5894" max="5894" width="7" style="262" bestFit="1" customWidth="1"/>
    <col min="5895" max="5895" width="10.5703125" style="262" bestFit="1" customWidth="1"/>
    <col min="5896" max="5896" width="6.5703125" style="262" bestFit="1" customWidth="1"/>
    <col min="5897" max="5897" width="10" style="262" bestFit="1" customWidth="1"/>
    <col min="5898" max="5898" width="7.42578125" style="262" bestFit="1" customWidth="1"/>
    <col min="5899" max="5899" width="9.7109375" style="262" bestFit="1" customWidth="1"/>
    <col min="5900" max="5900" width="6.85546875" style="262" bestFit="1" customWidth="1"/>
    <col min="5901" max="5901" width="9.5703125" style="262" bestFit="1" customWidth="1"/>
    <col min="5902" max="5902" width="6.85546875" style="262" bestFit="1" customWidth="1"/>
    <col min="5903" max="5903" width="12.42578125" style="262" bestFit="1" customWidth="1"/>
    <col min="5904" max="5904" width="7" style="262" bestFit="1" customWidth="1"/>
    <col min="5905" max="5905" width="10.7109375" style="262" bestFit="1" customWidth="1"/>
    <col min="5906" max="5906" width="6.7109375" style="262" bestFit="1" customWidth="1"/>
    <col min="5907" max="5907" width="10.140625" style="262" bestFit="1" customWidth="1"/>
    <col min="5908" max="5908" width="6.5703125" style="262" bestFit="1" customWidth="1"/>
    <col min="5909" max="5909" width="12.42578125" style="262" bestFit="1" customWidth="1"/>
    <col min="5910" max="5910" width="6.5703125" style="262" bestFit="1" customWidth="1"/>
    <col min="5911" max="5911" width="10.28515625" style="262" bestFit="1" customWidth="1"/>
    <col min="5912" max="5912" width="6.7109375" style="262" bestFit="1" customWidth="1"/>
    <col min="5913" max="5913" width="10.140625" style="262" bestFit="1" customWidth="1"/>
    <col min="5914" max="5914" width="6.5703125" style="262" bestFit="1" customWidth="1"/>
    <col min="5915" max="5915" width="10.85546875" style="262" bestFit="1" customWidth="1"/>
    <col min="5916" max="5916" width="6.7109375" style="262" bestFit="1" customWidth="1"/>
    <col min="5917" max="5917" width="12.85546875" style="262" bestFit="1" customWidth="1"/>
    <col min="5918" max="5918" width="4.7109375" style="262" bestFit="1" customWidth="1"/>
    <col min="5919" max="6144" width="9.140625" style="262"/>
    <col min="6145" max="6145" width="11.7109375" style="262" bestFit="1" customWidth="1"/>
    <col min="6146" max="6146" width="7" style="262" bestFit="1" customWidth="1"/>
    <col min="6147" max="6147" width="9.7109375" style="262" bestFit="1" customWidth="1"/>
    <col min="6148" max="6148" width="7" style="262" bestFit="1" customWidth="1"/>
    <col min="6149" max="6149" width="10" style="262" bestFit="1" customWidth="1"/>
    <col min="6150" max="6150" width="7" style="262" bestFit="1" customWidth="1"/>
    <col min="6151" max="6151" width="10.5703125" style="262" bestFit="1" customWidth="1"/>
    <col min="6152" max="6152" width="6.5703125" style="262" bestFit="1" customWidth="1"/>
    <col min="6153" max="6153" width="10" style="262" bestFit="1" customWidth="1"/>
    <col min="6154" max="6154" width="7.42578125" style="262" bestFit="1" customWidth="1"/>
    <col min="6155" max="6155" width="9.7109375" style="262" bestFit="1" customWidth="1"/>
    <col min="6156" max="6156" width="6.85546875" style="262" bestFit="1" customWidth="1"/>
    <col min="6157" max="6157" width="9.5703125" style="262" bestFit="1" customWidth="1"/>
    <col min="6158" max="6158" width="6.85546875" style="262" bestFit="1" customWidth="1"/>
    <col min="6159" max="6159" width="12.42578125" style="262" bestFit="1" customWidth="1"/>
    <col min="6160" max="6160" width="7" style="262" bestFit="1" customWidth="1"/>
    <col min="6161" max="6161" width="10.7109375" style="262" bestFit="1" customWidth="1"/>
    <col min="6162" max="6162" width="6.7109375" style="262" bestFit="1" customWidth="1"/>
    <col min="6163" max="6163" width="10.140625" style="262" bestFit="1" customWidth="1"/>
    <col min="6164" max="6164" width="6.5703125" style="262" bestFit="1" customWidth="1"/>
    <col min="6165" max="6165" width="12.42578125" style="262" bestFit="1" customWidth="1"/>
    <col min="6166" max="6166" width="6.5703125" style="262" bestFit="1" customWidth="1"/>
    <col min="6167" max="6167" width="10.28515625" style="262" bestFit="1" customWidth="1"/>
    <col min="6168" max="6168" width="6.7109375" style="262" bestFit="1" customWidth="1"/>
    <col min="6169" max="6169" width="10.140625" style="262" bestFit="1" customWidth="1"/>
    <col min="6170" max="6170" width="6.5703125" style="262" bestFit="1" customWidth="1"/>
    <col min="6171" max="6171" width="10.85546875" style="262" bestFit="1" customWidth="1"/>
    <col min="6172" max="6172" width="6.7109375" style="262" bestFit="1" customWidth="1"/>
    <col min="6173" max="6173" width="12.85546875" style="262" bestFit="1" customWidth="1"/>
    <col min="6174" max="6174" width="4.7109375" style="262" bestFit="1" customWidth="1"/>
    <col min="6175" max="6400" width="9.140625" style="262"/>
    <col min="6401" max="6401" width="11.7109375" style="262" bestFit="1" customWidth="1"/>
    <col min="6402" max="6402" width="7" style="262" bestFit="1" customWidth="1"/>
    <col min="6403" max="6403" width="9.7109375" style="262" bestFit="1" customWidth="1"/>
    <col min="6404" max="6404" width="7" style="262" bestFit="1" customWidth="1"/>
    <col min="6405" max="6405" width="10" style="262" bestFit="1" customWidth="1"/>
    <col min="6406" max="6406" width="7" style="262" bestFit="1" customWidth="1"/>
    <col min="6407" max="6407" width="10.5703125" style="262" bestFit="1" customWidth="1"/>
    <col min="6408" max="6408" width="6.5703125" style="262" bestFit="1" customWidth="1"/>
    <col min="6409" max="6409" width="10" style="262" bestFit="1" customWidth="1"/>
    <col min="6410" max="6410" width="7.42578125" style="262" bestFit="1" customWidth="1"/>
    <col min="6411" max="6411" width="9.7109375" style="262" bestFit="1" customWidth="1"/>
    <col min="6412" max="6412" width="6.85546875" style="262" bestFit="1" customWidth="1"/>
    <col min="6413" max="6413" width="9.5703125" style="262" bestFit="1" customWidth="1"/>
    <col min="6414" max="6414" width="6.85546875" style="262" bestFit="1" customWidth="1"/>
    <col min="6415" max="6415" width="12.42578125" style="262" bestFit="1" customWidth="1"/>
    <col min="6416" max="6416" width="7" style="262" bestFit="1" customWidth="1"/>
    <col min="6417" max="6417" width="10.7109375" style="262" bestFit="1" customWidth="1"/>
    <col min="6418" max="6418" width="6.7109375" style="262" bestFit="1" customWidth="1"/>
    <col min="6419" max="6419" width="10.140625" style="262" bestFit="1" customWidth="1"/>
    <col min="6420" max="6420" width="6.5703125" style="262" bestFit="1" customWidth="1"/>
    <col min="6421" max="6421" width="12.42578125" style="262" bestFit="1" customWidth="1"/>
    <col min="6422" max="6422" width="6.5703125" style="262" bestFit="1" customWidth="1"/>
    <col min="6423" max="6423" width="10.28515625" style="262" bestFit="1" customWidth="1"/>
    <col min="6424" max="6424" width="6.7109375" style="262" bestFit="1" customWidth="1"/>
    <col min="6425" max="6425" width="10.140625" style="262" bestFit="1" customWidth="1"/>
    <col min="6426" max="6426" width="6.5703125" style="262" bestFit="1" customWidth="1"/>
    <col min="6427" max="6427" width="10.85546875" style="262" bestFit="1" customWidth="1"/>
    <col min="6428" max="6428" width="6.7109375" style="262" bestFit="1" customWidth="1"/>
    <col min="6429" max="6429" width="12.85546875" style="262" bestFit="1" customWidth="1"/>
    <col min="6430" max="6430" width="4.7109375" style="262" bestFit="1" customWidth="1"/>
    <col min="6431" max="6656" width="9.140625" style="262"/>
    <col min="6657" max="6657" width="11.7109375" style="262" bestFit="1" customWidth="1"/>
    <col min="6658" max="6658" width="7" style="262" bestFit="1" customWidth="1"/>
    <col min="6659" max="6659" width="9.7109375" style="262" bestFit="1" customWidth="1"/>
    <col min="6660" max="6660" width="7" style="262" bestFit="1" customWidth="1"/>
    <col min="6661" max="6661" width="10" style="262" bestFit="1" customWidth="1"/>
    <col min="6662" max="6662" width="7" style="262" bestFit="1" customWidth="1"/>
    <col min="6663" max="6663" width="10.5703125" style="262" bestFit="1" customWidth="1"/>
    <col min="6664" max="6664" width="6.5703125" style="262" bestFit="1" customWidth="1"/>
    <col min="6665" max="6665" width="10" style="262" bestFit="1" customWidth="1"/>
    <col min="6666" max="6666" width="7.42578125" style="262" bestFit="1" customWidth="1"/>
    <col min="6667" max="6667" width="9.7109375" style="262" bestFit="1" customWidth="1"/>
    <col min="6668" max="6668" width="6.85546875" style="262" bestFit="1" customWidth="1"/>
    <col min="6669" max="6669" width="9.5703125" style="262" bestFit="1" customWidth="1"/>
    <col min="6670" max="6670" width="6.85546875" style="262" bestFit="1" customWidth="1"/>
    <col min="6671" max="6671" width="12.42578125" style="262" bestFit="1" customWidth="1"/>
    <col min="6672" max="6672" width="7" style="262" bestFit="1" customWidth="1"/>
    <col min="6673" max="6673" width="10.7109375" style="262" bestFit="1" customWidth="1"/>
    <col min="6674" max="6674" width="6.7109375" style="262" bestFit="1" customWidth="1"/>
    <col min="6675" max="6675" width="10.140625" style="262" bestFit="1" customWidth="1"/>
    <col min="6676" max="6676" width="6.5703125" style="262" bestFit="1" customWidth="1"/>
    <col min="6677" max="6677" width="12.42578125" style="262" bestFit="1" customWidth="1"/>
    <col min="6678" max="6678" width="6.5703125" style="262" bestFit="1" customWidth="1"/>
    <col min="6679" max="6679" width="10.28515625" style="262" bestFit="1" customWidth="1"/>
    <col min="6680" max="6680" width="6.7109375" style="262" bestFit="1" customWidth="1"/>
    <col min="6681" max="6681" width="10.140625" style="262" bestFit="1" customWidth="1"/>
    <col min="6682" max="6682" width="6.5703125" style="262" bestFit="1" customWidth="1"/>
    <col min="6683" max="6683" width="10.85546875" style="262" bestFit="1" customWidth="1"/>
    <col min="6684" max="6684" width="6.7109375" style="262" bestFit="1" customWidth="1"/>
    <col min="6685" max="6685" width="12.85546875" style="262" bestFit="1" customWidth="1"/>
    <col min="6686" max="6686" width="4.7109375" style="262" bestFit="1" customWidth="1"/>
    <col min="6687" max="6912" width="9.140625" style="262"/>
    <col min="6913" max="6913" width="11.7109375" style="262" bestFit="1" customWidth="1"/>
    <col min="6914" max="6914" width="7" style="262" bestFit="1" customWidth="1"/>
    <col min="6915" max="6915" width="9.7109375" style="262" bestFit="1" customWidth="1"/>
    <col min="6916" max="6916" width="7" style="262" bestFit="1" customWidth="1"/>
    <col min="6917" max="6917" width="10" style="262" bestFit="1" customWidth="1"/>
    <col min="6918" max="6918" width="7" style="262" bestFit="1" customWidth="1"/>
    <col min="6919" max="6919" width="10.5703125" style="262" bestFit="1" customWidth="1"/>
    <col min="6920" max="6920" width="6.5703125" style="262" bestFit="1" customWidth="1"/>
    <col min="6921" max="6921" width="10" style="262" bestFit="1" customWidth="1"/>
    <col min="6922" max="6922" width="7.42578125" style="262" bestFit="1" customWidth="1"/>
    <col min="6923" max="6923" width="9.7109375" style="262" bestFit="1" customWidth="1"/>
    <col min="6924" max="6924" width="6.85546875" style="262" bestFit="1" customWidth="1"/>
    <col min="6925" max="6925" width="9.5703125" style="262" bestFit="1" customWidth="1"/>
    <col min="6926" max="6926" width="6.85546875" style="262" bestFit="1" customWidth="1"/>
    <col min="6927" max="6927" width="12.42578125" style="262" bestFit="1" customWidth="1"/>
    <col min="6928" max="6928" width="7" style="262" bestFit="1" customWidth="1"/>
    <col min="6929" max="6929" width="10.7109375" style="262" bestFit="1" customWidth="1"/>
    <col min="6930" max="6930" width="6.7109375" style="262" bestFit="1" customWidth="1"/>
    <col min="6931" max="6931" width="10.140625" style="262" bestFit="1" customWidth="1"/>
    <col min="6932" max="6932" width="6.5703125" style="262" bestFit="1" customWidth="1"/>
    <col min="6933" max="6933" width="12.42578125" style="262" bestFit="1" customWidth="1"/>
    <col min="6934" max="6934" width="6.5703125" style="262" bestFit="1" customWidth="1"/>
    <col min="6935" max="6935" width="10.28515625" style="262" bestFit="1" customWidth="1"/>
    <col min="6936" max="6936" width="6.7109375" style="262" bestFit="1" customWidth="1"/>
    <col min="6937" max="6937" width="10.140625" style="262" bestFit="1" customWidth="1"/>
    <col min="6938" max="6938" width="6.5703125" style="262" bestFit="1" customWidth="1"/>
    <col min="6939" max="6939" width="10.85546875" style="262" bestFit="1" customWidth="1"/>
    <col min="6940" max="6940" width="6.7109375" style="262" bestFit="1" customWidth="1"/>
    <col min="6941" max="6941" width="12.85546875" style="262" bestFit="1" customWidth="1"/>
    <col min="6942" max="6942" width="4.7109375" style="262" bestFit="1" customWidth="1"/>
    <col min="6943" max="7168" width="9.140625" style="262"/>
    <col min="7169" max="7169" width="11.7109375" style="262" bestFit="1" customWidth="1"/>
    <col min="7170" max="7170" width="7" style="262" bestFit="1" customWidth="1"/>
    <col min="7171" max="7171" width="9.7109375" style="262" bestFit="1" customWidth="1"/>
    <col min="7172" max="7172" width="7" style="262" bestFit="1" customWidth="1"/>
    <col min="7173" max="7173" width="10" style="262" bestFit="1" customWidth="1"/>
    <col min="7174" max="7174" width="7" style="262" bestFit="1" customWidth="1"/>
    <col min="7175" max="7175" width="10.5703125" style="262" bestFit="1" customWidth="1"/>
    <col min="7176" max="7176" width="6.5703125" style="262" bestFit="1" customWidth="1"/>
    <col min="7177" max="7177" width="10" style="262" bestFit="1" customWidth="1"/>
    <col min="7178" max="7178" width="7.42578125" style="262" bestFit="1" customWidth="1"/>
    <col min="7179" max="7179" width="9.7109375" style="262" bestFit="1" customWidth="1"/>
    <col min="7180" max="7180" width="6.85546875" style="262" bestFit="1" customWidth="1"/>
    <col min="7181" max="7181" width="9.5703125" style="262" bestFit="1" customWidth="1"/>
    <col min="7182" max="7182" width="6.85546875" style="262" bestFit="1" customWidth="1"/>
    <col min="7183" max="7183" width="12.42578125" style="262" bestFit="1" customWidth="1"/>
    <col min="7184" max="7184" width="7" style="262" bestFit="1" customWidth="1"/>
    <col min="7185" max="7185" width="10.7109375" style="262" bestFit="1" customWidth="1"/>
    <col min="7186" max="7186" width="6.7109375" style="262" bestFit="1" customWidth="1"/>
    <col min="7187" max="7187" width="10.140625" style="262" bestFit="1" customWidth="1"/>
    <col min="7188" max="7188" width="6.5703125" style="262" bestFit="1" customWidth="1"/>
    <col min="7189" max="7189" width="12.42578125" style="262" bestFit="1" customWidth="1"/>
    <col min="7190" max="7190" width="6.5703125" style="262" bestFit="1" customWidth="1"/>
    <col min="7191" max="7191" width="10.28515625" style="262" bestFit="1" customWidth="1"/>
    <col min="7192" max="7192" width="6.7109375" style="262" bestFit="1" customWidth="1"/>
    <col min="7193" max="7193" width="10.140625" style="262" bestFit="1" customWidth="1"/>
    <col min="7194" max="7194" width="6.5703125" style="262" bestFit="1" customWidth="1"/>
    <col min="7195" max="7195" width="10.85546875" style="262" bestFit="1" customWidth="1"/>
    <col min="7196" max="7196" width="6.7109375" style="262" bestFit="1" customWidth="1"/>
    <col min="7197" max="7197" width="12.85546875" style="262" bestFit="1" customWidth="1"/>
    <col min="7198" max="7198" width="4.7109375" style="262" bestFit="1" customWidth="1"/>
    <col min="7199" max="7424" width="9.140625" style="262"/>
    <col min="7425" max="7425" width="11.7109375" style="262" bestFit="1" customWidth="1"/>
    <col min="7426" max="7426" width="7" style="262" bestFit="1" customWidth="1"/>
    <col min="7427" max="7427" width="9.7109375" style="262" bestFit="1" customWidth="1"/>
    <col min="7428" max="7428" width="7" style="262" bestFit="1" customWidth="1"/>
    <col min="7429" max="7429" width="10" style="262" bestFit="1" customWidth="1"/>
    <col min="7430" max="7430" width="7" style="262" bestFit="1" customWidth="1"/>
    <col min="7431" max="7431" width="10.5703125" style="262" bestFit="1" customWidth="1"/>
    <col min="7432" max="7432" width="6.5703125" style="262" bestFit="1" customWidth="1"/>
    <col min="7433" max="7433" width="10" style="262" bestFit="1" customWidth="1"/>
    <col min="7434" max="7434" width="7.42578125" style="262" bestFit="1" customWidth="1"/>
    <col min="7435" max="7435" width="9.7109375" style="262" bestFit="1" customWidth="1"/>
    <col min="7436" max="7436" width="6.85546875" style="262" bestFit="1" customWidth="1"/>
    <col min="7437" max="7437" width="9.5703125" style="262" bestFit="1" customWidth="1"/>
    <col min="7438" max="7438" width="6.85546875" style="262" bestFit="1" customWidth="1"/>
    <col min="7439" max="7439" width="12.42578125" style="262" bestFit="1" customWidth="1"/>
    <col min="7440" max="7440" width="7" style="262" bestFit="1" customWidth="1"/>
    <col min="7441" max="7441" width="10.7109375" style="262" bestFit="1" customWidth="1"/>
    <col min="7442" max="7442" width="6.7109375" style="262" bestFit="1" customWidth="1"/>
    <col min="7443" max="7443" width="10.140625" style="262" bestFit="1" customWidth="1"/>
    <col min="7444" max="7444" width="6.5703125" style="262" bestFit="1" customWidth="1"/>
    <col min="7445" max="7445" width="12.42578125" style="262" bestFit="1" customWidth="1"/>
    <col min="7446" max="7446" width="6.5703125" style="262" bestFit="1" customWidth="1"/>
    <col min="7447" max="7447" width="10.28515625" style="262" bestFit="1" customWidth="1"/>
    <col min="7448" max="7448" width="6.7109375" style="262" bestFit="1" customWidth="1"/>
    <col min="7449" max="7449" width="10.140625" style="262" bestFit="1" customWidth="1"/>
    <col min="7450" max="7450" width="6.5703125" style="262" bestFit="1" customWidth="1"/>
    <col min="7451" max="7451" width="10.85546875" style="262" bestFit="1" customWidth="1"/>
    <col min="7452" max="7452" width="6.7109375" style="262" bestFit="1" customWidth="1"/>
    <col min="7453" max="7453" width="12.85546875" style="262" bestFit="1" customWidth="1"/>
    <col min="7454" max="7454" width="4.7109375" style="262" bestFit="1" customWidth="1"/>
    <col min="7455" max="7680" width="9.140625" style="262"/>
    <col min="7681" max="7681" width="11.7109375" style="262" bestFit="1" customWidth="1"/>
    <col min="7682" max="7682" width="7" style="262" bestFit="1" customWidth="1"/>
    <col min="7683" max="7683" width="9.7109375" style="262" bestFit="1" customWidth="1"/>
    <col min="7684" max="7684" width="7" style="262" bestFit="1" customWidth="1"/>
    <col min="7685" max="7685" width="10" style="262" bestFit="1" customWidth="1"/>
    <col min="7686" max="7686" width="7" style="262" bestFit="1" customWidth="1"/>
    <col min="7687" max="7687" width="10.5703125" style="262" bestFit="1" customWidth="1"/>
    <col min="7688" max="7688" width="6.5703125" style="262" bestFit="1" customWidth="1"/>
    <col min="7689" max="7689" width="10" style="262" bestFit="1" customWidth="1"/>
    <col min="7690" max="7690" width="7.42578125" style="262" bestFit="1" customWidth="1"/>
    <col min="7691" max="7691" width="9.7109375" style="262" bestFit="1" customWidth="1"/>
    <col min="7692" max="7692" width="6.85546875" style="262" bestFit="1" customWidth="1"/>
    <col min="7693" max="7693" width="9.5703125" style="262" bestFit="1" customWidth="1"/>
    <col min="7694" max="7694" width="6.85546875" style="262" bestFit="1" customWidth="1"/>
    <col min="7695" max="7695" width="12.42578125" style="262" bestFit="1" customWidth="1"/>
    <col min="7696" max="7696" width="7" style="262" bestFit="1" customWidth="1"/>
    <col min="7697" max="7697" width="10.7109375" style="262" bestFit="1" customWidth="1"/>
    <col min="7698" max="7698" width="6.7109375" style="262" bestFit="1" customWidth="1"/>
    <col min="7699" max="7699" width="10.140625" style="262" bestFit="1" customWidth="1"/>
    <col min="7700" max="7700" width="6.5703125" style="262" bestFit="1" customWidth="1"/>
    <col min="7701" max="7701" width="12.42578125" style="262" bestFit="1" customWidth="1"/>
    <col min="7702" max="7702" width="6.5703125" style="262" bestFit="1" customWidth="1"/>
    <col min="7703" max="7703" width="10.28515625" style="262" bestFit="1" customWidth="1"/>
    <col min="7704" max="7704" width="6.7109375" style="262" bestFit="1" customWidth="1"/>
    <col min="7705" max="7705" width="10.140625" style="262" bestFit="1" customWidth="1"/>
    <col min="7706" max="7706" width="6.5703125" style="262" bestFit="1" customWidth="1"/>
    <col min="7707" max="7707" width="10.85546875" style="262" bestFit="1" customWidth="1"/>
    <col min="7708" max="7708" width="6.7109375" style="262" bestFit="1" customWidth="1"/>
    <col min="7709" max="7709" width="12.85546875" style="262" bestFit="1" customWidth="1"/>
    <col min="7710" max="7710" width="4.7109375" style="262" bestFit="1" customWidth="1"/>
    <col min="7711" max="7936" width="9.140625" style="262"/>
    <col min="7937" max="7937" width="11.7109375" style="262" bestFit="1" customWidth="1"/>
    <col min="7938" max="7938" width="7" style="262" bestFit="1" customWidth="1"/>
    <col min="7939" max="7939" width="9.7109375" style="262" bestFit="1" customWidth="1"/>
    <col min="7940" max="7940" width="7" style="262" bestFit="1" customWidth="1"/>
    <col min="7941" max="7941" width="10" style="262" bestFit="1" customWidth="1"/>
    <col min="7942" max="7942" width="7" style="262" bestFit="1" customWidth="1"/>
    <col min="7943" max="7943" width="10.5703125" style="262" bestFit="1" customWidth="1"/>
    <col min="7944" max="7944" width="6.5703125" style="262" bestFit="1" customWidth="1"/>
    <col min="7945" max="7945" width="10" style="262" bestFit="1" customWidth="1"/>
    <col min="7946" max="7946" width="7.42578125" style="262" bestFit="1" customWidth="1"/>
    <col min="7947" max="7947" width="9.7109375" style="262" bestFit="1" customWidth="1"/>
    <col min="7948" max="7948" width="6.85546875" style="262" bestFit="1" customWidth="1"/>
    <col min="7949" max="7949" width="9.5703125" style="262" bestFit="1" customWidth="1"/>
    <col min="7950" max="7950" width="6.85546875" style="262" bestFit="1" customWidth="1"/>
    <col min="7951" max="7951" width="12.42578125" style="262" bestFit="1" customWidth="1"/>
    <col min="7952" max="7952" width="7" style="262" bestFit="1" customWidth="1"/>
    <col min="7953" max="7953" width="10.7109375" style="262" bestFit="1" customWidth="1"/>
    <col min="7954" max="7954" width="6.7109375" style="262" bestFit="1" customWidth="1"/>
    <col min="7955" max="7955" width="10.140625" style="262" bestFit="1" customWidth="1"/>
    <col min="7956" max="7956" width="6.5703125" style="262" bestFit="1" customWidth="1"/>
    <col min="7957" max="7957" width="12.42578125" style="262" bestFit="1" customWidth="1"/>
    <col min="7958" max="7958" width="6.5703125" style="262" bestFit="1" customWidth="1"/>
    <col min="7959" max="7959" width="10.28515625" style="262" bestFit="1" customWidth="1"/>
    <col min="7960" max="7960" width="6.7109375" style="262" bestFit="1" customWidth="1"/>
    <col min="7961" max="7961" width="10.140625" style="262" bestFit="1" customWidth="1"/>
    <col min="7962" max="7962" width="6.5703125" style="262" bestFit="1" customWidth="1"/>
    <col min="7963" max="7963" width="10.85546875" style="262" bestFit="1" customWidth="1"/>
    <col min="7964" max="7964" width="6.7109375" style="262" bestFit="1" customWidth="1"/>
    <col min="7965" max="7965" width="12.85546875" style="262" bestFit="1" customWidth="1"/>
    <col min="7966" max="7966" width="4.7109375" style="262" bestFit="1" customWidth="1"/>
    <col min="7967" max="8192" width="9.140625" style="262"/>
    <col min="8193" max="8193" width="11.7109375" style="262" bestFit="1" customWidth="1"/>
    <col min="8194" max="8194" width="7" style="262" bestFit="1" customWidth="1"/>
    <col min="8195" max="8195" width="9.7109375" style="262" bestFit="1" customWidth="1"/>
    <col min="8196" max="8196" width="7" style="262" bestFit="1" customWidth="1"/>
    <col min="8197" max="8197" width="10" style="262" bestFit="1" customWidth="1"/>
    <col min="8198" max="8198" width="7" style="262" bestFit="1" customWidth="1"/>
    <col min="8199" max="8199" width="10.5703125" style="262" bestFit="1" customWidth="1"/>
    <col min="8200" max="8200" width="6.5703125" style="262" bestFit="1" customWidth="1"/>
    <col min="8201" max="8201" width="10" style="262" bestFit="1" customWidth="1"/>
    <col min="8202" max="8202" width="7.42578125" style="262" bestFit="1" customWidth="1"/>
    <col min="8203" max="8203" width="9.7109375" style="262" bestFit="1" customWidth="1"/>
    <col min="8204" max="8204" width="6.85546875" style="262" bestFit="1" customWidth="1"/>
    <col min="8205" max="8205" width="9.5703125" style="262" bestFit="1" customWidth="1"/>
    <col min="8206" max="8206" width="6.85546875" style="262" bestFit="1" customWidth="1"/>
    <col min="8207" max="8207" width="12.42578125" style="262" bestFit="1" customWidth="1"/>
    <col min="8208" max="8208" width="7" style="262" bestFit="1" customWidth="1"/>
    <col min="8209" max="8209" width="10.7109375" style="262" bestFit="1" customWidth="1"/>
    <col min="8210" max="8210" width="6.7109375" style="262" bestFit="1" customWidth="1"/>
    <col min="8211" max="8211" width="10.140625" style="262" bestFit="1" customWidth="1"/>
    <col min="8212" max="8212" width="6.5703125" style="262" bestFit="1" customWidth="1"/>
    <col min="8213" max="8213" width="12.42578125" style="262" bestFit="1" customWidth="1"/>
    <col min="8214" max="8214" width="6.5703125" style="262" bestFit="1" customWidth="1"/>
    <col min="8215" max="8215" width="10.28515625" style="262" bestFit="1" customWidth="1"/>
    <col min="8216" max="8216" width="6.7109375" style="262" bestFit="1" customWidth="1"/>
    <col min="8217" max="8217" width="10.140625" style="262" bestFit="1" customWidth="1"/>
    <col min="8218" max="8218" width="6.5703125" style="262" bestFit="1" customWidth="1"/>
    <col min="8219" max="8219" width="10.85546875" style="262" bestFit="1" customWidth="1"/>
    <col min="8220" max="8220" width="6.7109375" style="262" bestFit="1" customWidth="1"/>
    <col min="8221" max="8221" width="12.85546875" style="262" bestFit="1" customWidth="1"/>
    <col min="8222" max="8222" width="4.7109375" style="262" bestFit="1" customWidth="1"/>
    <col min="8223" max="8448" width="9.140625" style="262"/>
    <col min="8449" max="8449" width="11.7109375" style="262" bestFit="1" customWidth="1"/>
    <col min="8450" max="8450" width="7" style="262" bestFit="1" customWidth="1"/>
    <col min="8451" max="8451" width="9.7109375" style="262" bestFit="1" customWidth="1"/>
    <col min="8452" max="8452" width="7" style="262" bestFit="1" customWidth="1"/>
    <col min="8453" max="8453" width="10" style="262" bestFit="1" customWidth="1"/>
    <col min="8454" max="8454" width="7" style="262" bestFit="1" customWidth="1"/>
    <col min="8455" max="8455" width="10.5703125" style="262" bestFit="1" customWidth="1"/>
    <col min="8456" max="8456" width="6.5703125" style="262" bestFit="1" customWidth="1"/>
    <col min="8457" max="8457" width="10" style="262" bestFit="1" customWidth="1"/>
    <col min="8458" max="8458" width="7.42578125" style="262" bestFit="1" customWidth="1"/>
    <col min="8459" max="8459" width="9.7109375" style="262" bestFit="1" customWidth="1"/>
    <col min="8460" max="8460" width="6.85546875" style="262" bestFit="1" customWidth="1"/>
    <col min="8461" max="8461" width="9.5703125" style="262" bestFit="1" customWidth="1"/>
    <col min="8462" max="8462" width="6.85546875" style="262" bestFit="1" customWidth="1"/>
    <col min="8463" max="8463" width="12.42578125" style="262" bestFit="1" customWidth="1"/>
    <col min="8464" max="8464" width="7" style="262" bestFit="1" customWidth="1"/>
    <col min="8465" max="8465" width="10.7109375" style="262" bestFit="1" customWidth="1"/>
    <col min="8466" max="8466" width="6.7109375" style="262" bestFit="1" customWidth="1"/>
    <col min="8467" max="8467" width="10.140625" style="262" bestFit="1" customWidth="1"/>
    <col min="8468" max="8468" width="6.5703125" style="262" bestFit="1" customWidth="1"/>
    <col min="8469" max="8469" width="12.42578125" style="262" bestFit="1" customWidth="1"/>
    <col min="8470" max="8470" width="6.5703125" style="262" bestFit="1" customWidth="1"/>
    <col min="8471" max="8471" width="10.28515625" style="262" bestFit="1" customWidth="1"/>
    <col min="8472" max="8472" width="6.7109375" style="262" bestFit="1" customWidth="1"/>
    <col min="8473" max="8473" width="10.140625" style="262" bestFit="1" customWidth="1"/>
    <col min="8474" max="8474" width="6.5703125" style="262" bestFit="1" customWidth="1"/>
    <col min="8475" max="8475" width="10.85546875" style="262" bestFit="1" customWidth="1"/>
    <col min="8476" max="8476" width="6.7109375" style="262" bestFit="1" customWidth="1"/>
    <col min="8477" max="8477" width="12.85546875" style="262" bestFit="1" customWidth="1"/>
    <col min="8478" max="8478" width="4.7109375" style="262" bestFit="1" customWidth="1"/>
    <col min="8479" max="8704" width="9.140625" style="262"/>
    <col min="8705" max="8705" width="11.7109375" style="262" bestFit="1" customWidth="1"/>
    <col min="8706" max="8706" width="7" style="262" bestFit="1" customWidth="1"/>
    <col min="8707" max="8707" width="9.7109375" style="262" bestFit="1" customWidth="1"/>
    <col min="8708" max="8708" width="7" style="262" bestFit="1" customWidth="1"/>
    <col min="8709" max="8709" width="10" style="262" bestFit="1" customWidth="1"/>
    <col min="8710" max="8710" width="7" style="262" bestFit="1" customWidth="1"/>
    <col min="8711" max="8711" width="10.5703125" style="262" bestFit="1" customWidth="1"/>
    <col min="8712" max="8712" width="6.5703125" style="262" bestFit="1" customWidth="1"/>
    <col min="8713" max="8713" width="10" style="262" bestFit="1" customWidth="1"/>
    <col min="8714" max="8714" width="7.42578125" style="262" bestFit="1" customWidth="1"/>
    <col min="8715" max="8715" width="9.7109375" style="262" bestFit="1" customWidth="1"/>
    <col min="8716" max="8716" width="6.85546875" style="262" bestFit="1" customWidth="1"/>
    <col min="8717" max="8717" width="9.5703125" style="262" bestFit="1" customWidth="1"/>
    <col min="8718" max="8718" width="6.85546875" style="262" bestFit="1" customWidth="1"/>
    <col min="8719" max="8719" width="12.42578125" style="262" bestFit="1" customWidth="1"/>
    <col min="8720" max="8720" width="7" style="262" bestFit="1" customWidth="1"/>
    <col min="8721" max="8721" width="10.7109375" style="262" bestFit="1" customWidth="1"/>
    <col min="8722" max="8722" width="6.7109375" style="262" bestFit="1" customWidth="1"/>
    <col min="8723" max="8723" width="10.140625" style="262" bestFit="1" customWidth="1"/>
    <col min="8724" max="8724" width="6.5703125" style="262" bestFit="1" customWidth="1"/>
    <col min="8725" max="8725" width="12.42578125" style="262" bestFit="1" customWidth="1"/>
    <col min="8726" max="8726" width="6.5703125" style="262" bestFit="1" customWidth="1"/>
    <col min="8727" max="8727" width="10.28515625" style="262" bestFit="1" customWidth="1"/>
    <col min="8728" max="8728" width="6.7109375" style="262" bestFit="1" customWidth="1"/>
    <col min="8729" max="8729" width="10.140625" style="262" bestFit="1" customWidth="1"/>
    <col min="8730" max="8730" width="6.5703125" style="262" bestFit="1" customWidth="1"/>
    <col min="8731" max="8731" width="10.85546875" style="262" bestFit="1" customWidth="1"/>
    <col min="8732" max="8732" width="6.7109375" style="262" bestFit="1" customWidth="1"/>
    <col min="8733" max="8733" width="12.85546875" style="262" bestFit="1" customWidth="1"/>
    <col min="8734" max="8734" width="4.7109375" style="262" bestFit="1" customWidth="1"/>
    <col min="8735" max="8960" width="9.140625" style="262"/>
    <col min="8961" max="8961" width="11.7109375" style="262" bestFit="1" customWidth="1"/>
    <col min="8962" max="8962" width="7" style="262" bestFit="1" customWidth="1"/>
    <col min="8963" max="8963" width="9.7109375" style="262" bestFit="1" customWidth="1"/>
    <col min="8964" max="8964" width="7" style="262" bestFit="1" customWidth="1"/>
    <col min="8965" max="8965" width="10" style="262" bestFit="1" customWidth="1"/>
    <col min="8966" max="8966" width="7" style="262" bestFit="1" customWidth="1"/>
    <col min="8967" max="8967" width="10.5703125" style="262" bestFit="1" customWidth="1"/>
    <col min="8968" max="8968" width="6.5703125" style="262" bestFit="1" customWidth="1"/>
    <col min="8969" max="8969" width="10" style="262" bestFit="1" customWidth="1"/>
    <col min="8970" max="8970" width="7.42578125" style="262" bestFit="1" customWidth="1"/>
    <col min="8971" max="8971" width="9.7109375" style="262" bestFit="1" customWidth="1"/>
    <col min="8972" max="8972" width="6.85546875" style="262" bestFit="1" customWidth="1"/>
    <col min="8973" max="8973" width="9.5703125" style="262" bestFit="1" customWidth="1"/>
    <col min="8974" max="8974" width="6.85546875" style="262" bestFit="1" customWidth="1"/>
    <col min="8975" max="8975" width="12.42578125" style="262" bestFit="1" customWidth="1"/>
    <col min="8976" max="8976" width="7" style="262" bestFit="1" customWidth="1"/>
    <col min="8977" max="8977" width="10.7109375" style="262" bestFit="1" customWidth="1"/>
    <col min="8978" max="8978" width="6.7109375" style="262" bestFit="1" customWidth="1"/>
    <col min="8979" max="8979" width="10.140625" style="262" bestFit="1" customWidth="1"/>
    <col min="8980" max="8980" width="6.5703125" style="262" bestFit="1" customWidth="1"/>
    <col min="8981" max="8981" width="12.42578125" style="262" bestFit="1" customWidth="1"/>
    <col min="8982" max="8982" width="6.5703125" style="262" bestFit="1" customWidth="1"/>
    <col min="8983" max="8983" width="10.28515625" style="262" bestFit="1" customWidth="1"/>
    <col min="8984" max="8984" width="6.7109375" style="262" bestFit="1" customWidth="1"/>
    <col min="8985" max="8985" width="10.140625" style="262" bestFit="1" customWidth="1"/>
    <col min="8986" max="8986" width="6.5703125" style="262" bestFit="1" customWidth="1"/>
    <col min="8987" max="8987" width="10.85546875" style="262" bestFit="1" customWidth="1"/>
    <col min="8988" max="8988" width="6.7109375" style="262" bestFit="1" customWidth="1"/>
    <col min="8989" max="8989" width="12.85546875" style="262" bestFit="1" customWidth="1"/>
    <col min="8990" max="8990" width="4.7109375" style="262" bestFit="1" customWidth="1"/>
    <col min="8991" max="9216" width="9.140625" style="262"/>
    <col min="9217" max="9217" width="11.7109375" style="262" bestFit="1" customWidth="1"/>
    <col min="9218" max="9218" width="7" style="262" bestFit="1" customWidth="1"/>
    <col min="9219" max="9219" width="9.7109375" style="262" bestFit="1" customWidth="1"/>
    <col min="9220" max="9220" width="7" style="262" bestFit="1" customWidth="1"/>
    <col min="9221" max="9221" width="10" style="262" bestFit="1" customWidth="1"/>
    <col min="9222" max="9222" width="7" style="262" bestFit="1" customWidth="1"/>
    <col min="9223" max="9223" width="10.5703125" style="262" bestFit="1" customWidth="1"/>
    <col min="9224" max="9224" width="6.5703125" style="262" bestFit="1" customWidth="1"/>
    <col min="9225" max="9225" width="10" style="262" bestFit="1" customWidth="1"/>
    <col min="9226" max="9226" width="7.42578125" style="262" bestFit="1" customWidth="1"/>
    <col min="9227" max="9227" width="9.7109375" style="262" bestFit="1" customWidth="1"/>
    <col min="9228" max="9228" width="6.85546875" style="262" bestFit="1" customWidth="1"/>
    <col min="9229" max="9229" width="9.5703125" style="262" bestFit="1" customWidth="1"/>
    <col min="9230" max="9230" width="6.85546875" style="262" bestFit="1" customWidth="1"/>
    <col min="9231" max="9231" width="12.42578125" style="262" bestFit="1" customWidth="1"/>
    <col min="9232" max="9232" width="7" style="262" bestFit="1" customWidth="1"/>
    <col min="9233" max="9233" width="10.7109375" style="262" bestFit="1" customWidth="1"/>
    <col min="9234" max="9234" width="6.7109375" style="262" bestFit="1" customWidth="1"/>
    <col min="9235" max="9235" width="10.140625" style="262" bestFit="1" customWidth="1"/>
    <col min="9236" max="9236" width="6.5703125" style="262" bestFit="1" customWidth="1"/>
    <col min="9237" max="9237" width="12.42578125" style="262" bestFit="1" customWidth="1"/>
    <col min="9238" max="9238" width="6.5703125" style="262" bestFit="1" customWidth="1"/>
    <col min="9239" max="9239" width="10.28515625" style="262" bestFit="1" customWidth="1"/>
    <col min="9240" max="9240" width="6.7109375" style="262" bestFit="1" customWidth="1"/>
    <col min="9241" max="9241" width="10.140625" style="262" bestFit="1" customWidth="1"/>
    <col min="9242" max="9242" width="6.5703125" style="262" bestFit="1" customWidth="1"/>
    <col min="9243" max="9243" width="10.85546875" style="262" bestFit="1" customWidth="1"/>
    <col min="9244" max="9244" width="6.7109375" style="262" bestFit="1" customWidth="1"/>
    <col min="9245" max="9245" width="12.85546875" style="262" bestFit="1" customWidth="1"/>
    <col min="9246" max="9246" width="4.7109375" style="262" bestFit="1" customWidth="1"/>
    <col min="9247" max="9472" width="9.140625" style="262"/>
    <col min="9473" max="9473" width="11.7109375" style="262" bestFit="1" customWidth="1"/>
    <col min="9474" max="9474" width="7" style="262" bestFit="1" customWidth="1"/>
    <col min="9475" max="9475" width="9.7109375" style="262" bestFit="1" customWidth="1"/>
    <col min="9476" max="9476" width="7" style="262" bestFit="1" customWidth="1"/>
    <col min="9477" max="9477" width="10" style="262" bestFit="1" customWidth="1"/>
    <col min="9478" max="9478" width="7" style="262" bestFit="1" customWidth="1"/>
    <col min="9479" max="9479" width="10.5703125" style="262" bestFit="1" customWidth="1"/>
    <col min="9480" max="9480" width="6.5703125" style="262" bestFit="1" customWidth="1"/>
    <col min="9481" max="9481" width="10" style="262" bestFit="1" customWidth="1"/>
    <col min="9482" max="9482" width="7.42578125" style="262" bestFit="1" customWidth="1"/>
    <col min="9483" max="9483" width="9.7109375" style="262" bestFit="1" customWidth="1"/>
    <col min="9484" max="9484" width="6.85546875" style="262" bestFit="1" customWidth="1"/>
    <col min="9485" max="9485" width="9.5703125" style="262" bestFit="1" customWidth="1"/>
    <col min="9486" max="9486" width="6.85546875" style="262" bestFit="1" customWidth="1"/>
    <col min="9487" max="9487" width="12.42578125" style="262" bestFit="1" customWidth="1"/>
    <col min="9488" max="9488" width="7" style="262" bestFit="1" customWidth="1"/>
    <col min="9489" max="9489" width="10.7109375" style="262" bestFit="1" customWidth="1"/>
    <col min="9490" max="9490" width="6.7109375" style="262" bestFit="1" customWidth="1"/>
    <col min="9491" max="9491" width="10.140625" style="262" bestFit="1" customWidth="1"/>
    <col min="9492" max="9492" width="6.5703125" style="262" bestFit="1" customWidth="1"/>
    <col min="9493" max="9493" width="12.42578125" style="262" bestFit="1" customWidth="1"/>
    <col min="9494" max="9494" width="6.5703125" style="262" bestFit="1" customWidth="1"/>
    <col min="9495" max="9495" width="10.28515625" style="262" bestFit="1" customWidth="1"/>
    <col min="9496" max="9496" width="6.7109375" style="262" bestFit="1" customWidth="1"/>
    <col min="9497" max="9497" width="10.140625" style="262" bestFit="1" customWidth="1"/>
    <col min="9498" max="9498" width="6.5703125" style="262" bestFit="1" customWidth="1"/>
    <col min="9499" max="9499" width="10.85546875" style="262" bestFit="1" customWidth="1"/>
    <col min="9500" max="9500" width="6.7109375" style="262" bestFit="1" customWidth="1"/>
    <col min="9501" max="9501" width="12.85546875" style="262" bestFit="1" customWidth="1"/>
    <col min="9502" max="9502" width="4.7109375" style="262" bestFit="1" customWidth="1"/>
    <col min="9503" max="9728" width="9.140625" style="262"/>
    <col min="9729" max="9729" width="11.7109375" style="262" bestFit="1" customWidth="1"/>
    <col min="9730" max="9730" width="7" style="262" bestFit="1" customWidth="1"/>
    <col min="9731" max="9731" width="9.7109375" style="262" bestFit="1" customWidth="1"/>
    <col min="9732" max="9732" width="7" style="262" bestFit="1" customWidth="1"/>
    <col min="9733" max="9733" width="10" style="262" bestFit="1" customWidth="1"/>
    <col min="9734" max="9734" width="7" style="262" bestFit="1" customWidth="1"/>
    <col min="9735" max="9735" width="10.5703125" style="262" bestFit="1" customWidth="1"/>
    <col min="9736" max="9736" width="6.5703125" style="262" bestFit="1" customWidth="1"/>
    <col min="9737" max="9737" width="10" style="262" bestFit="1" customWidth="1"/>
    <col min="9738" max="9738" width="7.42578125" style="262" bestFit="1" customWidth="1"/>
    <col min="9739" max="9739" width="9.7109375" style="262" bestFit="1" customWidth="1"/>
    <col min="9740" max="9740" width="6.85546875" style="262" bestFit="1" customWidth="1"/>
    <col min="9741" max="9741" width="9.5703125" style="262" bestFit="1" customWidth="1"/>
    <col min="9742" max="9742" width="6.85546875" style="262" bestFit="1" customWidth="1"/>
    <col min="9743" max="9743" width="12.42578125" style="262" bestFit="1" customWidth="1"/>
    <col min="9744" max="9744" width="7" style="262" bestFit="1" customWidth="1"/>
    <col min="9745" max="9745" width="10.7109375" style="262" bestFit="1" customWidth="1"/>
    <col min="9746" max="9746" width="6.7109375" style="262" bestFit="1" customWidth="1"/>
    <col min="9747" max="9747" width="10.140625" style="262" bestFit="1" customWidth="1"/>
    <col min="9748" max="9748" width="6.5703125" style="262" bestFit="1" customWidth="1"/>
    <col min="9749" max="9749" width="12.42578125" style="262" bestFit="1" customWidth="1"/>
    <col min="9750" max="9750" width="6.5703125" style="262" bestFit="1" customWidth="1"/>
    <col min="9751" max="9751" width="10.28515625" style="262" bestFit="1" customWidth="1"/>
    <col min="9752" max="9752" width="6.7109375" style="262" bestFit="1" customWidth="1"/>
    <col min="9753" max="9753" width="10.140625" style="262" bestFit="1" customWidth="1"/>
    <col min="9754" max="9754" width="6.5703125" style="262" bestFit="1" customWidth="1"/>
    <col min="9755" max="9755" width="10.85546875" style="262" bestFit="1" customWidth="1"/>
    <col min="9756" max="9756" width="6.7109375" style="262" bestFit="1" customWidth="1"/>
    <col min="9757" max="9757" width="12.85546875" style="262" bestFit="1" customWidth="1"/>
    <col min="9758" max="9758" width="4.7109375" style="262" bestFit="1" customWidth="1"/>
    <col min="9759" max="9984" width="9.140625" style="262"/>
    <col min="9985" max="9985" width="11.7109375" style="262" bestFit="1" customWidth="1"/>
    <col min="9986" max="9986" width="7" style="262" bestFit="1" customWidth="1"/>
    <col min="9987" max="9987" width="9.7109375" style="262" bestFit="1" customWidth="1"/>
    <col min="9988" max="9988" width="7" style="262" bestFit="1" customWidth="1"/>
    <col min="9989" max="9989" width="10" style="262" bestFit="1" customWidth="1"/>
    <col min="9990" max="9990" width="7" style="262" bestFit="1" customWidth="1"/>
    <col min="9991" max="9991" width="10.5703125" style="262" bestFit="1" customWidth="1"/>
    <col min="9992" max="9992" width="6.5703125" style="262" bestFit="1" customWidth="1"/>
    <col min="9993" max="9993" width="10" style="262" bestFit="1" customWidth="1"/>
    <col min="9994" max="9994" width="7.42578125" style="262" bestFit="1" customWidth="1"/>
    <col min="9995" max="9995" width="9.7109375" style="262" bestFit="1" customWidth="1"/>
    <col min="9996" max="9996" width="6.85546875" style="262" bestFit="1" customWidth="1"/>
    <col min="9997" max="9997" width="9.5703125" style="262" bestFit="1" customWidth="1"/>
    <col min="9998" max="9998" width="6.85546875" style="262" bestFit="1" customWidth="1"/>
    <col min="9999" max="9999" width="12.42578125" style="262" bestFit="1" customWidth="1"/>
    <col min="10000" max="10000" width="7" style="262" bestFit="1" customWidth="1"/>
    <col min="10001" max="10001" width="10.7109375" style="262" bestFit="1" customWidth="1"/>
    <col min="10002" max="10002" width="6.7109375" style="262" bestFit="1" customWidth="1"/>
    <col min="10003" max="10003" width="10.140625" style="262" bestFit="1" customWidth="1"/>
    <col min="10004" max="10004" width="6.5703125" style="262" bestFit="1" customWidth="1"/>
    <col min="10005" max="10005" width="12.42578125" style="262" bestFit="1" customWidth="1"/>
    <col min="10006" max="10006" width="6.5703125" style="262" bestFit="1" customWidth="1"/>
    <col min="10007" max="10007" width="10.28515625" style="262" bestFit="1" customWidth="1"/>
    <col min="10008" max="10008" width="6.7109375" style="262" bestFit="1" customWidth="1"/>
    <col min="10009" max="10009" width="10.140625" style="262" bestFit="1" customWidth="1"/>
    <col min="10010" max="10010" width="6.5703125" style="262" bestFit="1" customWidth="1"/>
    <col min="10011" max="10011" width="10.85546875" style="262" bestFit="1" customWidth="1"/>
    <col min="10012" max="10012" width="6.7109375" style="262" bestFit="1" customWidth="1"/>
    <col min="10013" max="10013" width="12.85546875" style="262" bestFit="1" customWidth="1"/>
    <col min="10014" max="10014" width="4.7109375" style="262" bestFit="1" customWidth="1"/>
    <col min="10015" max="10240" width="9.140625" style="262"/>
    <col min="10241" max="10241" width="11.7109375" style="262" bestFit="1" customWidth="1"/>
    <col min="10242" max="10242" width="7" style="262" bestFit="1" customWidth="1"/>
    <col min="10243" max="10243" width="9.7109375" style="262" bestFit="1" customWidth="1"/>
    <col min="10244" max="10244" width="7" style="262" bestFit="1" customWidth="1"/>
    <col min="10245" max="10245" width="10" style="262" bestFit="1" customWidth="1"/>
    <col min="10246" max="10246" width="7" style="262" bestFit="1" customWidth="1"/>
    <col min="10247" max="10247" width="10.5703125" style="262" bestFit="1" customWidth="1"/>
    <col min="10248" max="10248" width="6.5703125" style="262" bestFit="1" customWidth="1"/>
    <col min="10249" max="10249" width="10" style="262" bestFit="1" customWidth="1"/>
    <col min="10250" max="10250" width="7.42578125" style="262" bestFit="1" customWidth="1"/>
    <col min="10251" max="10251" width="9.7109375" style="262" bestFit="1" customWidth="1"/>
    <col min="10252" max="10252" width="6.85546875" style="262" bestFit="1" customWidth="1"/>
    <col min="10253" max="10253" width="9.5703125" style="262" bestFit="1" customWidth="1"/>
    <col min="10254" max="10254" width="6.85546875" style="262" bestFit="1" customWidth="1"/>
    <col min="10255" max="10255" width="12.42578125" style="262" bestFit="1" customWidth="1"/>
    <col min="10256" max="10256" width="7" style="262" bestFit="1" customWidth="1"/>
    <col min="10257" max="10257" width="10.7109375" style="262" bestFit="1" customWidth="1"/>
    <col min="10258" max="10258" width="6.7109375" style="262" bestFit="1" customWidth="1"/>
    <col min="10259" max="10259" width="10.140625" style="262" bestFit="1" customWidth="1"/>
    <col min="10260" max="10260" width="6.5703125" style="262" bestFit="1" customWidth="1"/>
    <col min="10261" max="10261" width="12.42578125" style="262" bestFit="1" customWidth="1"/>
    <col min="10262" max="10262" width="6.5703125" style="262" bestFit="1" customWidth="1"/>
    <col min="10263" max="10263" width="10.28515625" style="262" bestFit="1" customWidth="1"/>
    <col min="10264" max="10264" width="6.7109375" style="262" bestFit="1" customWidth="1"/>
    <col min="10265" max="10265" width="10.140625" style="262" bestFit="1" customWidth="1"/>
    <col min="10266" max="10266" width="6.5703125" style="262" bestFit="1" customWidth="1"/>
    <col min="10267" max="10267" width="10.85546875" style="262" bestFit="1" customWidth="1"/>
    <col min="10268" max="10268" width="6.7109375" style="262" bestFit="1" customWidth="1"/>
    <col min="10269" max="10269" width="12.85546875" style="262" bestFit="1" customWidth="1"/>
    <col min="10270" max="10270" width="4.7109375" style="262" bestFit="1" customWidth="1"/>
    <col min="10271" max="10496" width="9.140625" style="262"/>
    <col min="10497" max="10497" width="11.7109375" style="262" bestFit="1" customWidth="1"/>
    <col min="10498" max="10498" width="7" style="262" bestFit="1" customWidth="1"/>
    <col min="10499" max="10499" width="9.7109375" style="262" bestFit="1" customWidth="1"/>
    <col min="10500" max="10500" width="7" style="262" bestFit="1" customWidth="1"/>
    <col min="10501" max="10501" width="10" style="262" bestFit="1" customWidth="1"/>
    <col min="10502" max="10502" width="7" style="262" bestFit="1" customWidth="1"/>
    <col min="10503" max="10503" width="10.5703125" style="262" bestFit="1" customWidth="1"/>
    <col min="10504" max="10504" width="6.5703125" style="262" bestFit="1" customWidth="1"/>
    <col min="10505" max="10505" width="10" style="262" bestFit="1" customWidth="1"/>
    <col min="10506" max="10506" width="7.42578125" style="262" bestFit="1" customWidth="1"/>
    <col min="10507" max="10507" width="9.7109375" style="262" bestFit="1" customWidth="1"/>
    <col min="10508" max="10508" width="6.85546875" style="262" bestFit="1" customWidth="1"/>
    <col min="10509" max="10509" width="9.5703125" style="262" bestFit="1" customWidth="1"/>
    <col min="10510" max="10510" width="6.85546875" style="262" bestFit="1" customWidth="1"/>
    <col min="10511" max="10511" width="12.42578125" style="262" bestFit="1" customWidth="1"/>
    <col min="10512" max="10512" width="7" style="262" bestFit="1" customWidth="1"/>
    <col min="10513" max="10513" width="10.7109375" style="262" bestFit="1" customWidth="1"/>
    <col min="10514" max="10514" width="6.7109375" style="262" bestFit="1" customWidth="1"/>
    <col min="10515" max="10515" width="10.140625" style="262" bestFit="1" customWidth="1"/>
    <col min="10516" max="10516" width="6.5703125" style="262" bestFit="1" customWidth="1"/>
    <col min="10517" max="10517" width="12.42578125" style="262" bestFit="1" customWidth="1"/>
    <col min="10518" max="10518" width="6.5703125" style="262" bestFit="1" customWidth="1"/>
    <col min="10519" max="10519" width="10.28515625" style="262" bestFit="1" customWidth="1"/>
    <col min="10520" max="10520" width="6.7109375" style="262" bestFit="1" customWidth="1"/>
    <col min="10521" max="10521" width="10.140625" style="262" bestFit="1" customWidth="1"/>
    <col min="10522" max="10522" width="6.5703125" style="262" bestFit="1" customWidth="1"/>
    <col min="10523" max="10523" width="10.85546875" style="262" bestFit="1" customWidth="1"/>
    <col min="10524" max="10524" width="6.7109375" style="262" bestFit="1" customWidth="1"/>
    <col min="10525" max="10525" width="12.85546875" style="262" bestFit="1" customWidth="1"/>
    <col min="10526" max="10526" width="4.7109375" style="262" bestFit="1" customWidth="1"/>
    <col min="10527" max="10752" width="9.140625" style="262"/>
    <col min="10753" max="10753" width="11.7109375" style="262" bestFit="1" customWidth="1"/>
    <col min="10754" max="10754" width="7" style="262" bestFit="1" customWidth="1"/>
    <col min="10755" max="10755" width="9.7109375" style="262" bestFit="1" customWidth="1"/>
    <col min="10756" max="10756" width="7" style="262" bestFit="1" customWidth="1"/>
    <col min="10757" max="10757" width="10" style="262" bestFit="1" customWidth="1"/>
    <col min="10758" max="10758" width="7" style="262" bestFit="1" customWidth="1"/>
    <col min="10759" max="10759" width="10.5703125" style="262" bestFit="1" customWidth="1"/>
    <col min="10760" max="10760" width="6.5703125" style="262" bestFit="1" customWidth="1"/>
    <col min="10761" max="10761" width="10" style="262" bestFit="1" customWidth="1"/>
    <col min="10762" max="10762" width="7.42578125" style="262" bestFit="1" customWidth="1"/>
    <col min="10763" max="10763" width="9.7109375" style="262" bestFit="1" customWidth="1"/>
    <col min="10764" max="10764" width="6.85546875" style="262" bestFit="1" customWidth="1"/>
    <col min="10765" max="10765" width="9.5703125" style="262" bestFit="1" customWidth="1"/>
    <col min="10766" max="10766" width="6.85546875" style="262" bestFit="1" customWidth="1"/>
    <col min="10767" max="10767" width="12.42578125" style="262" bestFit="1" customWidth="1"/>
    <col min="10768" max="10768" width="7" style="262" bestFit="1" customWidth="1"/>
    <col min="10769" max="10769" width="10.7109375" style="262" bestFit="1" customWidth="1"/>
    <col min="10770" max="10770" width="6.7109375" style="262" bestFit="1" customWidth="1"/>
    <col min="10771" max="10771" width="10.140625" style="262" bestFit="1" customWidth="1"/>
    <col min="10772" max="10772" width="6.5703125" style="262" bestFit="1" customWidth="1"/>
    <col min="10773" max="10773" width="12.42578125" style="262" bestFit="1" customWidth="1"/>
    <col min="10774" max="10774" width="6.5703125" style="262" bestFit="1" customWidth="1"/>
    <col min="10775" max="10775" width="10.28515625" style="262" bestFit="1" customWidth="1"/>
    <col min="10776" max="10776" width="6.7109375" style="262" bestFit="1" customWidth="1"/>
    <col min="10777" max="10777" width="10.140625" style="262" bestFit="1" customWidth="1"/>
    <col min="10778" max="10778" width="6.5703125" style="262" bestFit="1" customWidth="1"/>
    <col min="10779" max="10779" width="10.85546875" style="262" bestFit="1" customWidth="1"/>
    <col min="10780" max="10780" width="6.7109375" style="262" bestFit="1" customWidth="1"/>
    <col min="10781" max="10781" width="12.85546875" style="262" bestFit="1" customWidth="1"/>
    <col min="10782" max="10782" width="4.7109375" style="262" bestFit="1" customWidth="1"/>
    <col min="10783" max="11008" width="9.140625" style="262"/>
    <col min="11009" max="11009" width="11.7109375" style="262" bestFit="1" customWidth="1"/>
    <col min="11010" max="11010" width="7" style="262" bestFit="1" customWidth="1"/>
    <col min="11011" max="11011" width="9.7109375" style="262" bestFit="1" customWidth="1"/>
    <col min="11012" max="11012" width="7" style="262" bestFit="1" customWidth="1"/>
    <col min="11013" max="11013" width="10" style="262" bestFit="1" customWidth="1"/>
    <col min="11014" max="11014" width="7" style="262" bestFit="1" customWidth="1"/>
    <col min="11015" max="11015" width="10.5703125" style="262" bestFit="1" customWidth="1"/>
    <col min="11016" max="11016" width="6.5703125" style="262" bestFit="1" customWidth="1"/>
    <col min="11017" max="11017" width="10" style="262" bestFit="1" customWidth="1"/>
    <col min="11018" max="11018" width="7.42578125" style="262" bestFit="1" customWidth="1"/>
    <col min="11019" max="11019" width="9.7109375" style="262" bestFit="1" customWidth="1"/>
    <col min="11020" max="11020" width="6.85546875" style="262" bestFit="1" customWidth="1"/>
    <col min="11021" max="11021" width="9.5703125" style="262" bestFit="1" customWidth="1"/>
    <col min="11022" max="11022" width="6.85546875" style="262" bestFit="1" customWidth="1"/>
    <col min="11023" max="11023" width="12.42578125" style="262" bestFit="1" customWidth="1"/>
    <col min="11024" max="11024" width="7" style="262" bestFit="1" customWidth="1"/>
    <col min="11025" max="11025" width="10.7109375" style="262" bestFit="1" customWidth="1"/>
    <col min="11026" max="11026" width="6.7109375" style="262" bestFit="1" customWidth="1"/>
    <col min="11027" max="11027" width="10.140625" style="262" bestFit="1" customWidth="1"/>
    <col min="11028" max="11028" width="6.5703125" style="262" bestFit="1" customWidth="1"/>
    <col min="11029" max="11029" width="12.42578125" style="262" bestFit="1" customWidth="1"/>
    <col min="11030" max="11030" width="6.5703125" style="262" bestFit="1" customWidth="1"/>
    <col min="11031" max="11031" width="10.28515625" style="262" bestFit="1" customWidth="1"/>
    <col min="11032" max="11032" width="6.7109375" style="262" bestFit="1" customWidth="1"/>
    <col min="11033" max="11033" width="10.140625" style="262" bestFit="1" customWidth="1"/>
    <col min="11034" max="11034" width="6.5703125" style="262" bestFit="1" customWidth="1"/>
    <col min="11035" max="11035" width="10.85546875" style="262" bestFit="1" customWidth="1"/>
    <col min="11036" max="11036" width="6.7109375" style="262" bestFit="1" customWidth="1"/>
    <col min="11037" max="11037" width="12.85546875" style="262" bestFit="1" customWidth="1"/>
    <col min="11038" max="11038" width="4.7109375" style="262" bestFit="1" customWidth="1"/>
    <col min="11039" max="11264" width="9.140625" style="262"/>
    <col min="11265" max="11265" width="11.7109375" style="262" bestFit="1" customWidth="1"/>
    <col min="11266" max="11266" width="7" style="262" bestFit="1" customWidth="1"/>
    <col min="11267" max="11267" width="9.7109375" style="262" bestFit="1" customWidth="1"/>
    <col min="11268" max="11268" width="7" style="262" bestFit="1" customWidth="1"/>
    <col min="11269" max="11269" width="10" style="262" bestFit="1" customWidth="1"/>
    <col min="11270" max="11270" width="7" style="262" bestFit="1" customWidth="1"/>
    <col min="11271" max="11271" width="10.5703125" style="262" bestFit="1" customWidth="1"/>
    <col min="11272" max="11272" width="6.5703125" style="262" bestFit="1" customWidth="1"/>
    <col min="11273" max="11273" width="10" style="262" bestFit="1" customWidth="1"/>
    <col min="11274" max="11274" width="7.42578125" style="262" bestFit="1" customWidth="1"/>
    <col min="11275" max="11275" width="9.7109375" style="262" bestFit="1" customWidth="1"/>
    <col min="11276" max="11276" width="6.85546875" style="262" bestFit="1" customWidth="1"/>
    <col min="11277" max="11277" width="9.5703125" style="262" bestFit="1" customWidth="1"/>
    <col min="11278" max="11278" width="6.85546875" style="262" bestFit="1" customWidth="1"/>
    <col min="11279" max="11279" width="12.42578125" style="262" bestFit="1" customWidth="1"/>
    <col min="11280" max="11280" width="7" style="262" bestFit="1" customWidth="1"/>
    <col min="11281" max="11281" width="10.7109375" style="262" bestFit="1" customWidth="1"/>
    <col min="11282" max="11282" width="6.7109375" style="262" bestFit="1" customWidth="1"/>
    <col min="11283" max="11283" width="10.140625" style="262" bestFit="1" customWidth="1"/>
    <col min="11284" max="11284" width="6.5703125" style="262" bestFit="1" customWidth="1"/>
    <col min="11285" max="11285" width="12.42578125" style="262" bestFit="1" customWidth="1"/>
    <col min="11286" max="11286" width="6.5703125" style="262" bestFit="1" customWidth="1"/>
    <col min="11287" max="11287" width="10.28515625" style="262" bestFit="1" customWidth="1"/>
    <col min="11288" max="11288" width="6.7109375" style="262" bestFit="1" customWidth="1"/>
    <col min="11289" max="11289" width="10.140625" style="262" bestFit="1" customWidth="1"/>
    <col min="11290" max="11290" width="6.5703125" style="262" bestFit="1" customWidth="1"/>
    <col min="11291" max="11291" width="10.85546875" style="262" bestFit="1" customWidth="1"/>
    <col min="11292" max="11292" width="6.7109375" style="262" bestFit="1" customWidth="1"/>
    <col min="11293" max="11293" width="12.85546875" style="262" bestFit="1" customWidth="1"/>
    <col min="11294" max="11294" width="4.7109375" style="262" bestFit="1" customWidth="1"/>
    <col min="11295" max="11520" width="9.140625" style="262"/>
    <col min="11521" max="11521" width="11.7109375" style="262" bestFit="1" customWidth="1"/>
    <col min="11522" max="11522" width="7" style="262" bestFit="1" customWidth="1"/>
    <col min="11523" max="11523" width="9.7109375" style="262" bestFit="1" customWidth="1"/>
    <col min="11524" max="11524" width="7" style="262" bestFit="1" customWidth="1"/>
    <col min="11525" max="11525" width="10" style="262" bestFit="1" customWidth="1"/>
    <col min="11526" max="11526" width="7" style="262" bestFit="1" customWidth="1"/>
    <col min="11527" max="11527" width="10.5703125" style="262" bestFit="1" customWidth="1"/>
    <col min="11528" max="11528" width="6.5703125" style="262" bestFit="1" customWidth="1"/>
    <col min="11529" max="11529" width="10" style="262" bestFit="1" customWidth="1"/>
    <col min="11530" max="11530" width="7.42578125" style="262" bestFit="1" customWidth="1"/>
    <col min="11531" max="11531" width="9.7109375" style="262" bestFit="1" customWidth="1"/>
    <col min="11532" max="11532" width="6.85546875" style="262" bestFit="1" customWidth="1"/>
    <col min="11533" max="11533" width="9.5703125" style="262" bestFit="1" customWidth="1"/>
    <col min="11534" max="11534" width="6.85546875" style="262" bestFit="1" customWidth="1"/>
    <col min="11535" max="11535" width="12.42578125" style="262" bestFit="1" customWidth="1"/>
    <col min="11536" max="11536" width="7" style="262" bestFit="1" customWidth="1"/>
    <col min="11537" max="11537" width="10.7109375" style="262" bestFit="1" customWidth="1"/>
    <col min="11538" max="11538" width="6.7109375" style="262" bestFit="1" customWidth="1"/>
    <col min="11539" max="11539" width="10.140625" style="262" bestFit="1" customWidth="1"/>
    <col min="11540" max="11540" width="6.5703125" style="262" bestFit="1" customWidth="1"/>
    <col min="11541" max="11541" width="12.42578125" style="262" bestFit="1" customWidth="1"/>
    <col min="11542" max="11542" width="6.5703125" style="262" bestFit="1" customWidth="1"/>
    <col min="11543" max="11543" width="10.28515625" style="262" bestFit="1" customWidth="1"/>
    <col min="11544" max="11544" width="6.7109375" style="262" bestFit="1" customWidth="1"/>
    <col min="11545" max="11545" width="10.140625" style="262" bestFit="1" customWidth="1"/>
    <col min="11546" max="11546" width="6.5703125" style="262" bestFit="1" customWidth="1"/>
    <col min="11547" max="11547" width="10.85546875" style="262" bestFit="1" customWidth="1"/>
    <col min="11548" max="11548" width="6.7109375" style="262" bestFit="1" customWidth="1"/>
    <col min="11549" max="11549" width="12.85546875" style="262" bestFit="1" customWidth="1"/>
    <col min="11550" max="11550" width="4.7109375" style="262" bestFit="1" customWidth="1"/>
    <col min="11551" max="11776" width="9.140625" style="262"/>
    <col min="11777" max="11777" width="11.7109375" style="262" bestFit="1" customWidth="1"/>
    <col min="11778" max="11778" width="7" style="262" bestFit="1" customWidth="1"/>
    <col min="11779" max="11779" width="9.7109375" style="262" bestFit="1" customWidth="1"/>
    <col min="11780" max="11780" width="7" style="262" bestFit="1" customWidth="1"/>
    <col min="11781" max="11781" width="10" style="262" bestFit="1" customWidth="1"/>
    <col min="11782" max="11782" width="7" style="262" bestFit="1" customWidth="1"/>
    <col min="11783" max="11783" width="10.5703125" style="262" bestFit="1" customWidth="1"/>
    <col min="11784" max="11784" width="6.5703125" style="262" bestFit="1" customWidth="1"/>
    <col min="11785" max="11785" width="10" style="262" bestFit="1" customWidth="1"/>
    <col min="11786" max="11786" width="7.42578125" style="262" bestFit="1" customWidth="1"/>
    <col min="11787" max="11787" width="9.7109375" style="262" bestFit="1" customWidth="1"/>
    <col min="11788" max="11788" width="6.85546875" style="262" bestFit="1" customWidth="1"/>
    <col min="11789" max="11789" width="9.5703125" style="262" bestFit="1" customWidth="1"/>
    <col min="11790" max="11790" width="6.85546875" style="262" bestFit="1" customWidth="1"/>
    <col min="11791" max="11791" width="12.42578125" style="262" bestFit="1" customWidth="1"/>
    <col min="11792" max="11792" width="7" style="262" bestFit="1" customWidth="1"/>
    <col min="11793" max="11793" width="10.7109375" style="262" bestFit="1" customWidth="1"/>
    <col min="11794" max="11794" width="6.7109375" style="262" bestFit="1" customWidth="1"/>
    <col min="11795" max="11795" width="10.140625" style="262" bestFit="1" customWidth="1"/>
    <col min="11796" max="11796" width="6.5703125" style="262" bestFit="1" customWidth="1"/>
    <col min="11797" max="11797" width="12.42578125" style="262" bestFit="1" customWidth="1"/>
    <col min="11798" max="11798" width="6.5703125" style="262" bestFit="1" customWidth="1"/>
    <col min="11799" max="11799" width="10.28515625" style="262" bestFit="1" customWidth="1"/>
    <col min="11800" max="11800" width="6.7109375" style="262" bestFit="1" customWidth="1"/>
    <col min="11801" max="11801" width="10.140625" style="262" bestFit="1" customWidth="1"/>
    <col min="11802" max="11802" width="6.5703125" style="262" bestFit="1" customWidth="1"/>
    <col min="11803" max="11803" width="10.85546875" style="262" bestFit="1" customWidth="1"/>
    <col min="11804" max="11804" width="6.7109375" style="262" bestFit="1" customWidth="1"/>
    <col min="11805" max="11805" width="12.85546875" style="262" bestFit="1" customWidth="1"/>
    <col min="11806" max="11806" width="4.7109375" style="262" bestFit="1" customWidth="1"/>
    <col min="11807" max="12032" width="9.140625" style="262"/>
    <col min="12033" max="12033" width="11.7109375" style="262" bestFit="1" customWidth="1"/>
    <col min="12034" max="12034" width="7" style="262" bestFit="1" customWidth="1"/>
    <col min="12035" max="12035" width="9.7109375" style="262" bestFit="1" customWidth="1"/>
    <col min="12036" max="12036" width="7" style="262" bestFit="1" customWidth="1"/>
    <col min="12037" max="12037" width="10" style="262" bestFit="1" customWidth="1"/>
    <col min="12038" max="12038" width="7" style="262" bestFit="1" customWidth="1"/>
    <col min="12039" max="12039" width="10.5703125" style="262" bestFit="1" customWidth="1"/>
    <col min="12040" max="12040" width="6.5703125" style="262" bestFit="1" customWidth="1"/>
    <col min="12041" max="12041" width="10" style="262" bestFit="1" customWidth="1"/>
    <col min="12042" max="12042" width="7.42578125" style="262" bestFit="1" customWidth="1"/>
    <col min="12043" max="12043" width="9.7109375" style="262" bestFit="1" customWidth="1"/>
    <col min="12044" max="12044" width="6.85546875" style="262" bestFit="1" customWidth="1"/>
    <col min="12045" max="12045" width="9.5703125" style="262" bestFit="1" customWidth="1"/>
    <col min="12046" max="12046" width="6.85546875" style="262" bestFit="1" customWidth="1"/>
    <col min="12047" max="12047" width="12.42578125" style="262" bestFit="1" customWidth="1"/>
    <col min="12048" max="12048" width="7" style="262" bestFit="1" customWidth="1"/>
    <col min="12049" max="12049" width="10.7109375" style="262" bestFit="1" customWidth="1"/>
    <col min="12050" max="12050" width="6.7109375" style="262" bestFit="1" customWidth="1"/>
    <col min="12051" max="12051" width="10.140625" style="262" bestFit="1" customWidth="1"/>
    <col min="12052" max="12052" width="6.5703125" style="262" bestFit="1" customWidth="1"/>
    <col min="12053" max="12053" width="12.42578125" style="262" bestFit="1" customWidth="1"/>
    <col min="12054" max="12054" width="6.5703125" style="262" bestFit="1" customWidth="1"/>
    <col min="12055" max="12055" width="10.28515625" style="262" bestFit="1" customWidth="1"/>
    <col min="12056" max="12056" width="6.7109375" style="262" bestFit="1" customWidth="1"/>
    <col min="12057" max="12057" width="10.140625" style="262" bestFit="1" customWidth="1"/>
    <col min="12058" max="12058" width="6.5703125" style="262" bestFit="1" customWidth="1"/>
    <col min="12059" max="12059" width="10.85546875" style="262" bestFit="1" customWidth="1"/>
    <col min="12060" max="12060" width="6.7109375" style="262" bestFit="1" customWidth="1"/>
    <col min="12061" max="12061" width="12.85546875" style="262" bestFit="1" customWidth="1"/>
    <col min="12062" max="12062" width="4.7109375" style="262" bestFit="1" customWidth="1"/>
    <col min="12063" max="12288" width="9.140625" style="262"/>
    <col min="12289" max="12289" width="11.7109375" style="262" bestFit="1" customWidth="1"/>
    <col min="12290" max="12290" width="7" style="262" bestFit="1" customWidth="1"/>
    <col min="12291" max="12291" width="9.7109375" style="262" bestFit="1" customWidth="1"/>
    <col min="12292" max="12292" width="7" style="262" bestFit="1" customWidth="1"/>
    <col min="12293" max="12293" width="10" style="262" bestFit="1" customWidth="1"/>
    <col min="12294" max="12294" width="7" style="262" bestFit="1" customWidth="1"/>
    <col min="12295" max="12295" width="10.5703125" style="262" bestFit="1" customWidth="1"/>
    <col min="12296" max="12296" width="6.5703125" style="262" bestFit="1" customWidth="1"/>
    <col min="12297" max="12297" width="10" style="262" bestFit="1" customWidth="1"/>
    <col min="12298" max="12298" width="7.42578125" style="262" bestFit="1" customWidth="1"/>
    <col min="12299" max="12299" width="9.7109375" style="262" bestFit="1" customWidth="1"/>
    <col min="12300" max="12300" width="6.85546875" style="262" bestFit="1" customWidth="1"/>
    <col min="12301" max="12301" width="9.5703125" style="262" bestFit="1" customWidth="1"/>
    <col min="12302" max="12302" width="6.85546875" style="262" bestFit="1" customWidth="1"/>
    <col min="12303" max="12303" width="12.42578125" style="262" bestFit="1" customWidth="1"/>
    <col min="12304" max="12304" width="7" style="262" bestFit="1" customWidth="1"/>
    <col min="12305" max="12305" width="10.7109375" style="262" bestFit="1" customWidth="1"/>
    <col min="12306" max="12306" width="6.7109375" style="262" bestFit="1" customWidth="1"/>
    <col min="12307" max="12307" width="10.140625" style="262" bestFit="1" customWidth="1"/>
    <col min="12308" max="12308" width="6.5703125" style="262" bestFit="1" customWidth="1"/>
    <col min="12309" max="12309" width="12.42578125" style="262" bestFit="1" customWidth="1"/>
    <col min="12310" max="12310" width="6.5703125" style="262" bestFit="1" customWidth="1"/>
    <col min="12311" max="12311" width="10.28515625" style="262" bestFit="1" customWidth="1"/>
    <col min="12312" max="12312" width="6.7109375" style="262" bestFit="1" customWidth="1"/>
    <col min="12313" max="12313" width="10.140625" style="262" bestFit="1" customWidth="1"/>
    <col min="12314" max="12314" width="6.5703125" style="262" bestFit="1" customWidth="1"/>
    <col min="12315" max="12315" width="10.85546875" style="262" bestFit="1" customWidth="1"/>
    <col min="12316" max="12316" width="6.7109375" style="262" bestFit="1" customWidth="1"/>
    <col min="12317" max="12317" width="12.85546875" style="262" bestFit="1" customWidth="1"/>
    <col min="12318" max="12318" width="4.7109375" style="262" bestFit="1" customWidth="1"/>
    <col min="12319" max="12544" width="9.140625" style="262"/>
    <col min="12545" max="12545" width="11.7109375" style="262" bestFit="1" customWidth="1"/>
    <col min="12546" max="12546" width="7" style="262" bestFit="1" customWidth="1"/>
    <col min="12547" max="12547" width="9.7109375" style="262" bestFit="1" customWidth="1"/>
    <col min="12548" max="12548" width="7" style="262" bestFit="1" customWidth="1"/>
    <col min="12549" max="12549" width="10" style="262" bestFit="1" customWidth="1"/>
    <col min="12550" max="12550" width="7" style="262" bestFit="1" customWidth="1"/>
    <col min="12551" max="12551" width="10.5703125" style="262" bestFit="1" customWidth="1"/>
    <col min="12552" max="12552" width="6.5703125" style="262" bestFit="1" customWidth="1"/>
    <col min="12553" max="12553" width="10" style="262" bestFit="1" customWidth="1"/>
    <col min="12554" max="12554" width="7.42578125" style="262" bestFit="1" customWidth="1"/>
    <col min="12555" max="12555" width="9.7109375" style="262" bestFit="1" customWidth="1"/>
    <col min="12556" max="12556" width="6.85546875" style="262" bestFit="1" customWidth="1"/>
    <col min="12557" max="12557" width="9.5703125" style="262" bestFit="1" customWidth="1"/>
    <col min="12558" max="12558" width="6.85546875" style="262" bestFit="1" customWidth="1"/>
    <col min="12559" max="12559" width="12.42578125" style="262" bestFit="1" customWidth="1"/>
    <col min="12560" max="12560" width="7" style="262" bestFit="1" customWidth="1"/>
    <col min="12561" max="12561" width="10.7109375" style="262" bestFit="1" customWidth="1"/>
    <col min="12562" max="12562" width="6.7109375" style="262" bestFit="1" customWidth="1"/>
    <col min="12563" max="12563" width="10.140625" style="262" bestFit="1" customWidth="1"/>
    <col min="12564" max="12564" width="6.5703125" style="262" bestFit="1" customWidth="1"/>
    <col min="12565" max="12565" width="12.42578125" style="262" bestFit="1" customWidth="1"/>
    <col min="12566" max="12566" width="6.5703125" style="262" bestFit="1" customWidth="1"/>
    <col min="12567" max="12567" width="10.28515625" style="262" bestFit="1" customWidth="1"/>
    <col min="12568" max="12568" width="6.7109375" style="262" bestFit="1" customWidth="1"/>
    <col min="12569" max="12569" width="10.140625" style="262" bestFit="1" customWidth="1"/>
    <col min="12570" max="12570" width="6.5703125" style="262" bestFit="1" customWidth="1"/>
    <col min="12571" max="12571" width="10.85546875" style="262" bestFit="1" customWidth="1"/>
    <col min="12572" max="12572" width="6.7109375" style="262" bestFit="1" customWidth="1"/>
    <col min="12573" max="12573" width="12.85546875" style="262" bestFit="1" customWidth="1"/>
    <col min="12574" max="12574" width="4.7109375" style="262" bestFit="1" customWidth="1"/>
    <col min="12575" max="12800" width="9.140625" style="262"/>
    <col min="12801" max="12801" width="11.7109375" style="262" bestFit="1" customWidth="1"/>
    <col min="12802" max="12802" width="7" style="262" bestFit="1" customWidth="1"/>
    <col min="12803" max="12803" width="9.7109375" style="262" bestFit="1" customWidth="1"/>
    <col min="12804" max="12804" width="7" style="262" bestFit="1" customWidth="1"/>
    <col min="12805" max="12805" width="10" style="262" bestFit="1" customWidth="1"/>
    <col min="12806" max="12806" width="7" style="262" bestFit="1" customWidth="1"/>
    <col min="12807" max="12807" width="10.5703125" style="262" bestFit="1" customWidth="1"/>
    <col min="12808" max="12808" width="6.5703125" style="262" bestFit="1" customWidth="1"/>
    <col min="12809" max="12809" width="10" style="262" bestFit="1" customWidth="1"/>
    <col min="12810" max="12810" width="7.42578125" style="262" bestFit="1" customWidth="1"/>
    <col min="12811" max="12811" width="9.7109375" style="262" bestFit="1" customWidth="1"/>
    <col min="12812" max="12812" width="6.85546875" style="262" bestFit="1" customWidth="1"/>
    <col min="12813" max="12813" width="9.5703125" style="262" bestFit="1" customWidth="1"/>
    <col min="12814" max="12814" width="6.85546875" style="262" bestFit="1" customWidth="1"/>
    <col min="12815" max="12815" width="12.42578125" style="262" bestFit="1" customWidth="1"/>
    <col min="12816" max="12816" width="7" style="262" bestFit="1" customWidth="1"/>
    <col min="12817" max="12817" width="10.7109375" style="262" bestFit="1" customWidth="1"/>
    <col min="12818" max="12818" width="6.7109375" style="262" bestFit="1" customWidth="1"/>
    <col min="12819" max="12819" width="10.140625" style="262" bestFit="1" customWidth="1"/>
    <col min="12820" max="12820" width="6.5703125" style="262" bestFit="1" customWidth="1"/>
    <col min="12821" max="12821" width="12.42578125" style="262" bestFit="1" customWidth="1"/>
    <col min="12822" max="12822" width="6.5703125" style="262" bestFit="1" customWidth="1"/>
    <col min="12823" max="12823" width="10.28515625" style="262" bestFit="1" customWidth="1"/>
    <col min="12824" max="12824" width="6.7109375" style="262" bestFit="1" customWidth="1"/>
    <col min="12825" max="12825" width="10.140625" style="262" bestFit="1" customWidth="1"/>
    <col min="12826" max="12826" width="6.5703125" style="262" bestFit="1" customWidth="1"/>
    <col min="12827" max="12827" width="10.85546875" style="262" bestFit="1" customWidth="1"/>
    <col min="12828" max="12828" width="6.7109375" style="262" bestFit="1" customWidth="1"/>
    <col min="12829" max="12829" width="12.85546875" style="262" bestFit="1" customWidth="1"/>
    <col min="12830" max="12830" width="4.7109375" style="262" bestFit="1" customWidth="1"/>
    <col min="12831" max="13056" width="9.140625" style="262"/>
    <col min="13057" max="13057" width="11.7109375" style="262" bestFit="1" customWidth="1"/>
    <col min="13058" max="13058" width="7" style="262" bestFit="1" customWidth="1"/>
    <col min="13059" max="13059" width="9.7109375" style="262" bestFit="1" customWidth="1"/>
    <col min="13060" max="13060" width="7" style="262" bestFit="1" customWidth="1"/>
    <col min="13061" max="13061" width="10" style="262" bestFit="1" customWidth="1"/>
    <col min="13062" max="13062" width="7" style="262" bestFit="1" customWidth="1"/>
    <col min="13063" max="13063" width="10.5703125" style="262" bestFit="1" customWidth="1"/>
    <col min="13064" max="13064" width="6.5703125" style="262" bestFit="1" customWidth="1"/>
    <col min="13065" max="13065" width="10" style="262" bestFit="1" customWidth="1"/>
    <col min="13066" max="13066" width="7.42578125" style="262" bestFit="1" customWidth="1"/>
    <col min="13067" max="13067" width="9.7109375" style="262" bestFit="1" customWidth="1"/>
    <col min="13068" max="13068" width="6.85546875" style="262" bestFit="1" customWidth="1"/>
    <col min="13069" max="13069" width="9.5703125" style="262" bestFit="1" customWidth="1"/>
    <col min="13070" max="13070" width="6.85546875" style="262" bestFit="1" customWidth="1"/>
    <col min="13071" max="13071" width="12.42578125" style="262" bestFit="1" customWidth="1"/>
    <col min="13072" max="13072" width="7" style="262" bestFit="1" customWidth="1"/>
    <col min="13073" max="13073" width="10.7109375" style="262" bestFit="1" customWidth="1"/>
    <col min="13074" max="13074" width="6.7109375" style="262" bestFit="1" customWidth="1"/>
    <col min="13075" max="13075" width="10.140625" style="262" bestFit="1" customWidth="1"/>
    <col min="13076" max="13076" width="6.5703125" style="262" bestFit="1" customWidth="1"/>
    <col min="13077" max="13077" width="12.42578125" style="262" bestFit="1" customWidth="1"/>
    <col min="13078" max="13078" width="6.5703125" style="262" bestFit="1" customWidth="1"/>
    <col min="13079" max="13079" width="10.28515625" style="262" bestFit="1" customWidth="1"/>
    <col min="13080" max="13080" width="6.7109375" style="262" bestFit="1" customWidth="1"/>
    <col min="13081" max="13081" width="10.140625" style="262" bestFit="1" customWidth="1"/>
    <col min="13082" max="13082" width="6.5703125" style="262" bestFit="1" customWidth="1"/>
    <col min="13083" max="13083" width="10.85546875" style="262" bestFit="1" customWidth="1"/>
    <col min="13084" max="13084" width="6.7109375" style="262" bestFit="1" customWidth="1"/>
    <col min="13085" max="13085" width="12.85546875" style="262" bestFit="1" customWidth="1"/>
    <col min="13086" max="13086" width="4.7109375" style="262" bestFit="1" customWidth="1"/>
    <col min="13087" max="13312" width="9.140625" style="262"/>
    <col min="13313" max="13313" width="11.7109375" style="262" bestFit="1" customWidth="1"/>
    <col min="13314" max="13314" width="7" style="262" bestFit="1" customWidth="1"/>
    <col min="13315" max="13315" width="9.7109375" style="262" bestFit="1" customWidth="1"/>
    <col min="13316" max="13316" width="7" style="262" bestFit="1" customWidth="1"/>
    <col min="13317" max="13317" width="10" style="262" bestFit="1" customWidth="1"/>
    <col min="13318" max="13318" width="7" style="262" bestFit="1" customWidth="1"/>
    <col min="13319" max="13319" width="10.5703125" style="262" bestFit="1" customWidth="1"/>
    <col min="13320" max="13320" width="6.5703125" style="262" bestFit="1" customWidth="1"/>
    <col min="13321" max="13321" width="10" style="262" bestFit="1" customWidth="1"/>
    <col min="13322" max="13322" width="7.42578125" style="262" bestFit="1" customWidth="1"/>
    <col min="13323" max="13323" width="9.7109375" style="262" bestFit="1" customWidth="1"/>
    <col min="13324" max="13324" width="6.85546875" style="262" bestFit="1" customWidth="1"/>
    <col min="13325" max="13325" width="9.5703125" style="262" bestFit="1" customWidth="1"/>
    <col min="13326" max="13326" width="6.85546875" style="262" bestFit="1" customWidth="1"/>
    <col min="13327" max="13327" width="12.42578125" style="262" bestFit="1" customWidth="1"/>
    <col min="13328" max="13328" width="7" style="262" bestFit="1" customWidth="1"/>
    <col min="13329" max="13329" width="10.7109375" style="262" bestFit="1" customWidth="1"/>
    <col min="13330" max="13330" width="6.7109375" style="262" bestFit="1" customWidth="1"/>
    <col min="13331" max="13331" width="10.140625" style="262" bestFit="1" customWidth="1"/>
    <col min="13332" max="13332" width="6.5703125" style="262" bestFit="1" customWidth="1"/>
    <col min="13333" max="13333" width="12.42578125" style="262" bestFit="1" customWidth="1"/>
    <col min="13334" max="13334" width="6.5703125" style="262" bestFit="1" customWidth="1"/>
    <col min="13335" max="13335" width="10.28515625" style="262" bestFit="1" customWidth="1"/>
    <col min="13336" max="13336" width="6.7109375" style="262" bestFit="1" customWidth="1"/>
    <col min="13337" max="13337" width="10.140625" style="262" bestFit="1" customWidth="1"/>
    <col min="13338" max="13338" width="6.5703125" style="262" bestFit="1" customWidth="1"/>
    <col min="13339" max="13339" width="10.85546875" style="262" bestFit="1" customWidth="1"/>
    <col min="13340" max="13340" width="6.7109375" style="262" bestFit="1" customWidth="1"/>
    <col min="13341" max="13341" width="12.85546875" style="262" bestFit="1" customWidth="1"/>
    <col min="13342" max="13342" width="4.7109375" style="262" bestFit="1" customWidth="1"/>
    <col min="13343" max="13568" width="9.140625" style="262"/>
    <col min="13569" max="13569" width="11.7109375" style="262" bestFit="1" customWidth="1"/>
    <col min="13570" max="13570" width="7" style="262" bestFit="1" customWidth="1"/>
    <col min="13571" max="13571" width="9.7109375" style="262" bestFit="1" customWidth="1"/>
    <col min="13572" max="13572" width="7" style="262" bestFit="1" customWidth="1"/>
    <col min="13573" max="13573" width="10" style="262" bestFit="1" customWidth="1"/>
    <col min="13574" max="13574" width="7" style="262" bestFit="1" customWidth="1"/>
    <col min="13575" max="13575" width="10.5703125" style="262" bestFit="1" customWidth="1"/>
    <col min="13576" max="13576" width="6.5703125" style="262" bestFit="1" customWidth="1"/>
    <col min="13577" max="13577" width="10" style="262" bestFit="1" customWidth="1"/>
    <col min="13578" max="13578" width="7.42578125" style="262" bestFit="1" customWidth="1"/>
    <col min="13579" max="13579" width="9.7109375" style="262" bestFit="1" customWidth="1"/>
    <col min="13580" max="13580" width="6.85546875" style="262" bestFit="1" customWidth="1"/>
    <col min="13581" max="13581" width="9.5703125" style="262" bestFit="1" customWidth="1"/>
    <col min="13582" max="13582" width="6.85546875" style="262" bestFit="1" customWidth="1"/>
    <col min="13583" max="13583" width="12.42578125" style="262" bestFit="1" customWidth="1"/>
    <col min="13584" max="13584" width="7" style="262" bestFit="1" customWidth="1"/>
    <col min="13585" max="13585" width="10.7109375" style="262" bestFit="1" customWidth="1"/>
    <col min="13586" max="13586" width="6.7109375" style="262" bestFit="1" customWidth="1"/>
    <col min="13587" max="13587" width="10.140625" style="262" bestFit="1" customWidth="1"/>
    <col min="13588" max="13588" width="6.5703125" style="262" bestFit="1" customWidth="1"/>
    <col min="13589" max="13589" width="12.42578125" style="262" bestFit="1" customWidth="1"/>
    <col min="13590" max="13590" width="6.5703125" style="262" bestFit="1" customWidth="1"/>
    <col min="13591" max="13591" width="10.28515625" style="262" bestFit="1" customWidth="1"/>
    <col min="13592" max="13592" width="6.7109375" style="262" bestFit="1" customWidth="1"/>
    <col min="13593" max="13593" width="10.140625" style="262" bestFit="1" customWidth="1"/>
    <col min="13594" max="13594" width="6.5703125" style="262" bestFit="1" customWidth="1"/>
    <col min="13595" max="13595" width="10.85546875" style="262" bestFit="1" customWidth="1"/>
    <col min="13596" max="13596" width="6.7109375" style="262" bestFit="1" customWidth="1"/>
    <col min="13597" max="13597" width="12.85546875" style="262" bestFit="1" customWidth="1"/>
    <col min="13598" max="13598" width="4.7109375" style="262" bestFit="1" customWidth="1"/>
    <col min="13599" max="13824" width="9.140625" style="262"/>
    <col min="13825" max="13825" width="11.7109375" style="262" bestFit="1" customWidth="1"/>
    <col min="13826" max="13826" width="7" style="262" bestFit="1" customWidth="1"/>
    <col min="13827" max="13827" width="9.7109375" style="262" bestFit="1" customWidth="1"/>
    <col min="13828" max="13828" width="7" style="262" bestFit="1" customWidth="1"/>
    <col min="13829" max="13829" width="10" style="262" bestFit="1" customWidth="1"/>
    <col min="13830" max="13830" width="7" style="262" bestFit="1" customWidth="1"/>
    <col min="13831" max="13831" width="10.5703125" style="262" bestFit="1" customWidth="1"/>
    <col min="13832" max="13832" width="6.5703125" style="262" bestFit="1" customWidth="1"/>
    <col min="13833" max="13833" width="10" style="262" bestFit="1" customWidth="1"/>
    <col min="13834" max="13834" width="7.42578125" style="262" bestFit="1" customWidth="1"/>
    <col min="13835" max="13835" width="9.7109375" style="262" bestFit="1" customWidth="1"/>
    <col min="13836" max="13836" width="6.85546875" style="262" bestFit="1" customWidth="1"/>
    <col min="13837" max="13837" width="9.5703125" style="262" bestFit="1" customWidth="1"/>
    <col min="13838" max="13838" width="6.85546875" style="262" bestFit="1" customWidth="1"/>
    <col min="13839" max="13839" width="12.42578125" style="262" bestFit="1" customWidth="1"/>
    <col min="13840" max="13840" width="7" style="262" bestFit="1" customWidth="1"/>
    <col min="13841" max="13841" width="10.7109375" style="262" bestFit="1" customWidth="1"/>
    <col min="13842" max="13842" width="6.7109375" style="262" bestFit="1" customWidth="1"/>
    <col min="13843" max="13843" width="10.140625" style="262" bestFit="1" customWidth="1"/>
    <col min="13844" max="13844" width="6.5703125" style="262" bestFit="1" customWidth="1"/>
    <col min="13845" max="13845" width="12.42578125" style="262" bestFit="1" customWidth="1"/>
    <col min="13846" max="13846" width="6.5703125" style="262" bestFit="1" customWidth="1"/>
    <col min="13847" max="13847" width="10.28515625" style="262" bestFit="1" customWidth="1"/>
    <col min="13848" max="13848" width="6.7109375" style="262" bestFit="1" customWidth="1"/>
    <col min="13849" max="13849" width="10.140625" style="262" bestFit="1" customWidth="1"/>
    <col min="13850" max="13850" width="6.5703125" style="262" bestFit="1" customWidth="1"/>
    <col min="13851" max="13851" width="10.85546875" style="262" bestFit="1" customWidth="1"/>
    <col min="13852" max="13852" width="6.7109375" style="262" bestFit="1" customWidth="1"/>
    <col min="13853" max="13853" width="12.85546875" style="262" bestFit="1" customWidth="1"/>
    <col min="13854" max="13854" width="4.7109375" style="262" bestFit="1" customWidth="1"/>
    <col min="13855" max="14080" width="9.140625" style="262"/>
    <col min="14081" max="14081" width="11.7109375" style="262" bestFit="1" customWidth="1"/>
    <col min="14082" max="14082" width="7" style="262" bestFit="1" customWidth="1"/>
    <col min="14083" max="14083" width="9.7109375" style="262" bestFit="1" customWidth="1"/>
    <col min="14084" max="14084" width="7" style="262" bestFit="1" customWidth="1"/>
    <col min="14085" max="14085" width="10" style="262" bestFit="1" customWidth="1"/>
    <col min="14086" max="14086" width="7" style="262" bestFit="1" customWidth="1"/>
    <col min="14087" max="14087" width="10.5703125" style="262" bestFit="1" customWidth="1"/>
    <col min="14088" max="14088" width="6.5703125" style="262" bestFit="1" customWidth="1"/>
    <col min="14089" max="14089" width="10" style="262" bestFit="1" customWidth="1"/>
    <col min="14090" max="14090" width="7.42578125" style="262" bestFit="1" customWidth="1"/>
    <col min="14091" max="14091" width="9.7109375" style="262" bestFit="1" customWidth="1"/>
    <col min="14092" max="14092" width="6.85546875" style="262" bestFit="1" customWidth="1"/>
    <col min="14093" max="14093" width="9.5703125" style="262" bestFit="1" customWidth="1"/>
    <col min="14094" max="14094" width="6.85546875" style="262" bestFit="1" customWidth="1"/>
    <col min="14095" max="14095" width="12.42578125" style="262" bestFit="1" customWidth="1"/>
    <col min="14096" max="14096" width="7" style="262" bestFit="1" customWidth="1"/>
    <col min="14097" max="14097" width="10.7109375" style="262" bestFit="1" customWidth="1"/>
    <col min="14098" max="14098" width="6.7109375" style="262" bestFit="1" customWidth="1"/>
    <col min="14099" max="14099" width="10.140625" style="262" bestFit="1" customWidth="1"/>
    <col min="14100" max="14100" width="6.5703125" style="262" bestFit="1" customWidth="1"/>
    <col min="14101" max="14101" width="12.42578125" style="262" bestFit="1" customWidth="1"/>
    <col min="14102" max="14102" width="6.5703125" style="262" bestFit="1" customWidth="1"/>
    <col min="14103" max="14103" width="10.28515625" style="262" bestFit="1" customWidth="1"/>
    <col min="14104" max="14104" width="6.7109375" style="262" bestFit="1" customWidth="1"/>
    <col min="14105" max="14105" width="10.140625" style="262" bestFit="1" customWidth="1"/>
    <col min="14106" max="14106" width="6.5703125" style="262" bestFit="1" customWidth="1"/>
    <col min="14107" max="14107" width="10.85546875" style="262" bestFit="1" customWidth="1"/>
    <col min="14108" max="14108" width="6.7109375" style="262" bestFit="1" customWidth="1"/>
    <col min="14109" max="14109" width="12.85546875" style="262" bestFit="1" customWidth="1"/>
    <col min="14110" max="14110" width="4.7109375" style="262" bestFit="1" customWidth="1"/>
    <col min="14111" max="14336" width="9.140625" style="262"/>
    <col min="14337" max="14337" width="11.7109375" style="262" bestFit="1" customWidth="1"/>
    <col min="14338" max="14338" width="7" style="262" bestFit="1" customWidth="1"/>
    <col min="14339" max="14339" width="9.7109375" style="262" bestFit="1" customWidth="1"/>
    <col min="14340" max="14340" width="7" style="262" bestFit="1" customWidth="1"/>
    <col min="14341" max="14341" width="10" style="262" bestFit="1" customWidth="1"/>
    <col min="14342" max="14342" width="7" style="262" bestFit="1" customWidth="1"/>
    <col min="14343" max="14343" width="10.5703125" style="262" bestFit="1" customWidth="1"/>
    <col min="14344" max="14344" width="6.5703125" style="262" bestFit="1" customWidth="1"/>
    <col min="14345" max="14345" width="10" style="262" bestFit="1" customWidth="1"/>
    <col min="14346" max="14346" width="7.42578125" style="262" bestFit="1" customWidth="1"/>
    <col min="14347" max="14347" width="9.7109375" style="262" bestFit="1" customWidth="1"/>
    <col min="14348" max="14348" width="6.85546875" style="262" bestFit="1" customWidth="1"/>
    <col min="14349" max="14349" width="9.5703125" style="262" bestFit="1" customWidth="1"/>
    <col min="14350" max="14350" width="6.85546875" style="262" bestFit="1" customWidth="1"/>
    <col min="14351" max="14351" width="12.42578125" style="262" bestFit="1" customWidth="1"/>
    <col min="14352" max="14352" width="7" style="262" bestFit="1" customWidth="1"/>
    <col min="14353" max="14353" width="10.7109375" style="262" bestFit="1" customWidth="1"/>
    <col min="14354" max="14354" width="6.7109375" style="262" bestFit="1" customWidth="1"/>
    <col min="14355" max="14355" width="10.140625" style="262" bestFit="1" customWidth="1"/>
    <col min="14356" max="14356" width="6.5703125" style="262" bestFit="1" customWidth="1"/>
    <col min="14357" max="14357" width="12.42578125" style="262" bestFit="1" customWidth="1"/>
    <col min="14358" max="14358" width="6.5703125" style="262" bestFit="1" customWidth="1"/>
    <col min="14359" max="14359" width="10.28515625" style="262" bestFit="1" customWidth="1"/>
    <col min="14360" max="14360" width="6.7109375" style="262" bestFit="1" customWidth="1"/>
    <col min="14361" max="14361" width="10.140625" style="262" bestFit="1" customWidth="1"/>
    <col min="14362" max="14362" width="6.5703125" style="262" bestFit="1" customWidth="1"/>
    <col min="14363" max="14363" width="10.85546875" style="262" bestFit="1" customWidth="1"/>
    <col min="14364" max="14364" width="6.7109375" style="262" bestFit="1" customWidth="1"/>
    <col min="14365" max="14365" width="12.85546875" style="262" bestFit="1" customWidth="1"/>
    <col min="14366" max="14366" width="4.7109375" style="262" bestFit="1" customWidth="1"/>
    <col min="14367" max="14592" width="9.140625" style="262"/>
    <col min="14593" max="14593" width="11.7109375" style="262" bestFit="1" customWidth="1"/>
    <col min="14594" max="14594" width="7" style="262" bestFit="1" customWidth="1"/>
    <col min="14595" max="14595" width="9.7109375" style="262" bestFit="1" customWidth="1"/>
    <col min="14596" max="14596" width="7" style="262" bestFit="1" customWidth="1"/>
    <col min="14597" max="14597" width="10" style="262" bestFit="1" customWidth="1"/>
    <col min="14598" max="14598" width="7" style="262" bestFit="1" customWidth="1"/>
    <col min="14599" max="14599" width="10.5703125" style="262" bestFit="1" customWidth="1"/>
    <col min="14600" max="14600" width="6.5703125" style="262" bestFit="1" customWidth="1"/>
    <col min="14601" max="14601" width="10" style="262" bestFit="1" customWidth="1"/>
    <col min="14602" max="14602" width="7.42578125" style="262" bestFit="1" customWidth="1"/>
    <col min="14603" max="14603" width="9.7109375" style="262" bestFit="1" customWidth="1"/>
    <col min="14604" max="14604" width="6.85546875" style="262" bestFit="1" customWidth="1"/>
    <col min="14605" max="14605" width="9.5703125" style="262" bestFit="1" customWidth="1"/>
    <col min="14606" max="14606" width="6.85546875" style="262" bestFit="1" customWidth="1"/>
    <col min="14607" max="14607" width="12.42578125" style="262" bestFit="1" customWidth="1"/>
    <col min="14608" max="14608" width="7" style="262" bestFit="1" customWidth="1"/>
    <col min="14609" max="14609" width="10.7109375" style="262" bestFit="1" customWidth="1"/>
    <col min="14610" max="14610" width="6.7109375" style="262" bestFit="1" customWidth="1"/>
    <col min="14611" max="14611" width="10.140625" style="262" bestFit="1" customWidth="1"/>
    <col min="14612" max="14612" width="6.5703125" style="262" bestFit="1" customWidth="1"/>
    <col min="14613" max="14613" width="12.42578125" style="262" bestFit="1" customWidth="1"/>
    <col min="14614" max="14614" width="6.5703125" style="262" bestFit="1" customWidth="1"/>
    <col min="14615" max="14615" width="10.28515625" style="262" bestFit="1" customWidth="1"/>
    <col min="14616" max="14616" width="6.7109375" style="262" bestFit="1" customWidth="1"/>
    <col min="14617" max="14617" width="10.140625" style="262" bestFit="1" customWidth="1"/>
    <col min="14618" max="14618" width="6.5703125" style="262" bestFit="1" customWidth="1"/>
    <col min="14619" max="14619" width="10.85546875" style="262" bestFit="1" customWidth="1"/>
    <col min="14620" max="14620" width="6.7109375" style="262" bestFit="1" customWidth="1"/>
    <col min="14621" max="14621" width="12.85546875" style="262" bestFit="1" customWidth="1"/>
    <col min="14622" max="14622" width="4.7109375" style="262" bestFit="1" customWidth="1"/>
    <col min="14623" max="14848" width="9.140625" style="262"/>
    <col min="14849" max="14849" width="11.7109375" style="262" bestFit="1" customWidth="1"/>
    <col min="14850" max="14850" width="7" style="262" bestFit="1" customWidth="1"/>
    <col min="14851" max="14851" width="9.7109375" style="262" bestFit="1" customWidth="1"/>
    <col min="14852" max="14852" width="7" style="262" bestFit="1" customWidth="1"/>
    <col min="14853" max="14853" width="10" style="262" bestFit="1" customWidth="1"/>
    <col min="14854" max="14854" width="7" style="262" bestFit="1" customWidth="1"/>
    <col min="14855" max="14855" width="10.5703125" style="262" bestFit="1" customWidth="1"/>
    <col min="14856" max="14856" width="6.5703125" style="262" bestFit="1" customWidth="1"/>
    <col min="14857" max="14857" width="10" style="262" bestFit="1" customWidth="1"/>
    <col min="14858" max="14858" width="7.42578125" style="262" bestFit="1" customWidth="1"/>
    <col min="14859" max="14859" width="9.7109375" style="262" bestFit="1" customWidth="1"/>
    <col min="14860" max="14860" width="6.85546875" style="262" bestFit="1" customWidth="1"/>
    <col min="14861" max="14861" width="9.5703125" style="262" bestFit="1" customWidth="1"/>
    <col min="14862" max="14862" width="6.85546875" style="262" bestFit="1" customWidth="1"/>
    <col min="14863" max="14863" width="12.42578125" style="262" bestFit="1" customWidth="1"/>
    <col min="14864" max="14864" width="7" style="262" bestFit="1" customWidth="1"/>
    <col min="14865" max="14865" width="10.7109375" style="262" bestFit="1" customWidth="1"/>
    <col min="14866" max="14866" width="6.7109375" style="262" bestFit="1" customWidth="1"/>
    <col min="14867" max="14867" width="10.140625" style="262" bestFit="1" customWidth="1"/>
    <col min="14868" max="14868" width="6.5703125" style="262" bestFit="1" customWidth="1"/>
    <col min="14869" max="14869" width="12.42578125" style="262" bestFit="1" customWidth="1"/>
    <col min="14870" max="14870" width="6.5703125" style="262" bestFit="1" customWidth="1"/>
    <col min="14871" max="14871" width="10.28515625" style="262" bestFit="1" customWidth="1"/>
    <col min="14872" max="14872" width="6.7109375" style="262" bestFit="1" customWidth="1"/>
    <col min="14873" max="14873" width="10.140625" style="262" bestFit="1" customWidth="1"/>
    <col min="14874" max="14874" width="6.5703125" style="262" bestFit="1" customWidth="1"/>
    <col min="14875" max="14875" width="10.85546875" style="262" bestFit="1" customWidth="1"/>
    <col min="14876" max="14876" width="6.7109375" style="262" bestFit="1" customWidth="1"/>
    <col min="14877" max="14877" width="12.85546875" style="262" bestFit="1" customWidth="1"/>
    <col min="14878" max="14878" width="4.7109375" style="262" bestFit="1" customWidth="1"/>
    <col min="14879" max="15104" width="9.140625" style="262"/>
    <col min="15105" max="15105" width="11.7109375" style="262" bestFit="1" customWidth="1"/>
    <col min="15106" max="15106" width="7" style="262" bestFit="1" customWidth="1"/>
    <col min="15107" max="15107" width="9.7109375" style="262" bestFit="1" customWidth="1"/>
    <col min="15108" max="15108" width="7" style="262" bestFit="1" customWidth="1"/>
    <col min="15109" max="15109" width="10" style="262" bestFit="1" customWidth="1"/>
    <col min="15110" max="15110" width="7" style="262" bestFit="1" customWidth="1"/>
    <col min="15111" max="15111" width="10.5703125" style="262" bestFit="1" customWidth="1"/>
    <col min="15112" max="15112" width="6.5703125" style="262" bestFit="1" customWidth="1"/>
    <col min="15113" max="15113" width="10" style="262" bestFit="1" customWidth="1"/>
    <col min="15114" max="15114" width="7.42578125" style="262" bestFit="1" customWidth="1"/>
    <col min="15115" max="15115" width="9.7109375" style="262" bestFit="1" customWidth="1"/>
    <col min="15116" max="15116" width="6.85546875" style="262" bestFit="1" customWidth="1"/>
    <col min="15117" max="15117" width="9.5703125" style="262" bestFit="1" customWidth="1"/>
    <col min="15118" max="15118" width="6.85546875" style="262" bestFit="1" customWidth="1"/>
    <col min="15119" max="15119" width="12.42578125" style="262" bestFit="1" customWidth="1"/>
    <col min="15120" max="15120" width="7" style="262" bestFit="1" customWidth="1"/>
    <col min="15121" max="15121" width="10.7109375" style="262" bestFit="1" customWidth="1"/>
    <col min="15122" max="15122" width="6.7109375" style="262" bestFit="1" customWidth="1"/>
    <col min="15123" max="15123" width="10.140625" style="262" bestFit="1" customWidth="1"/>
    <col min="15124" max="15124" width="6.5703125" style="262" bestFit="1" customWidth="1"/>
    <col min="15125" max="15125" width="12.42578125" style="262" bestFit="1" customWidth="1"/>
    <col min="15126" max="15126" width="6.5703125" style="262" bestFit="1" customWidth="1"/>
    <col min="15127" max="15127" width="10.28515625" style="262" bestFit="1" customWidth="1"/>
    <col min="15128" max="15128" width="6.7109375" style="262" bestFit="1" customWidth="1"/>
    <col min="15129" max="15129" width="10.140625" style="262" bestFit="1" customWidth="1"/>
    <col min="15130" max="15130" width="6.5703125" style="262" bestFit="1" customWidth="1"/>
    <col min="15131" max="15131" width="10.85546875" style="262" bestFit="1" customWidth="1"/>
    <col min="15132" max="15132" width="6.7109375" style="262" bestFit="1" customWidth="1"/>
    <col min="15133" max="15133" width="12.85546875" style="262" bestFit="1" customWidth="1"/>
    <col min="15134" max="15134" width="4.7109375" style="262" bestFit="1" customWidth="1"/>
    <col min="15135" max="15360" width="9.140625" style="262"/>
    <col min="15361" max="15361" width="11.7109375" style="262" bestFit="1" customWidth="1"/>
    <col min="15362" max="15362" width="7" style="262" bestFit="1" customWidth="1"/>
    <col min="15363" max="15363" width="9.7109375" style="262" bestFit="1" customWidth="1"/>
    <col min="15364" max="15364" width="7" style="262" bestFit="1" customWidth="1"/>
    <col min="15365" max="15365" width="10" style="262" bestFit="1" customWidth="1"/>
    <col min="15366" max="15366" width="7" style="262" bestFit="1" customWidth="1"/>
    <col min="15367" max="15367" width="10.5703125" style="262" bestFit="1" customWidth="1"/>
    <col min="15368" max="15368" width="6.5703125" style="262" bestFit="1" customWidth="1"/>
    <col min="15369" max="15369" width="10" style="262" bestFit="1" customWidth="1"/>
    <col min="15370" max="15370" width="7.42578125" style="262" bestFit="1" customWidth="1"/>
    <col min="15371" max="15371" width="9.7109375" style="262" bestFit="1" customWidth="1"/>
    <col min="15372" max="15372" width="6.85546875" style="262" bestFit="1" customWidth="1"/>
    <col min="15373" max="15373" width="9.5703125" style="262" bestFit="1" customWidth="1"/>
    <col min="15374" max="15374" width="6.85546875" style="262" bestFit="1" customWidth="1"/>
    <col min="15375" max="15375" width="12.42578125" style="262" bestFit="1" customWidth="1"/>
    <col min="15376" max="15376" width="7" style="262" bestFit="1" customWidth="1"/>
    <col min="15377" max="15377" width="10.7109375" style="262" bestFit="1" customWidth="1"/>
    <col min="15378" max="15378" width="6.7109375" style="262" bestFit="1" customWidth="1"/>
    <col min="15379" max="15379" width="10.140625" style="262" bestFit="1" customWidth="1"/>
    <col min="15380" max="15380" width="6.5703125" style="262" bestFit="1" customWidth="1"/>
    <col min="15381" max="15381" width="12.42578125" style="262" bestFit="1" customWidth="1"/>
    <col min="15382" max="15382" width="6.5703125" style="262" bestFit="1" customWidth="1"/>
    <col min="15383" max="15383" width="10.28515625" style="262" bestFit="1" customWidth="1"/>
    <col min="15384" max="15384" width="6.7109375" style="262" bestFit="1" customWidth="1"/>
    <col min="15385" max="15385" width="10.140625" style="262" bestFit="1" customWidth="1"/>
    <col min="15386" max="15386" width="6.5703125" style="262" bestFit="1" customWidth="1"/>
    <col min="15387" max="15387" width="10.85546875" style="262" bestFit="1" customWidth="1"/>
    <col min="15388" max="15388" width="6.7109375" style="262" bestFit="1" customWidth="1"/>
    <col min="15389" max="15389" width="12.85546875" style="262" bestFit="1" customWidth="1"/>
    <col min="15390" max="15390" width="4.7109375" style="262" bestFit="1" customWidth="1"/>
    <col min="15391" max="15616" width="9.140625" style="262"/>
    <col min="15617" max="15617" width="11.7109375" style="262" bestFit="1" customWidth="1"/>
    <col min="15618" max="15618" width="7" style="262" bestFit="1" customWidth="1"/>
    <col min="15619" max="15619" width="9.7109375" style="262" bestFit="1" customWidth="1"/>
    <col min="15620" max="15620" width="7" style="262" bestFit="1" customWidth="1"/>
    <col min="15621" max="15621" width="10" style="262" bestFit="1" customWidth="1"/>
    <col min="15622" max="15622" width="7" style="262" bestFit="1" customWidth="1"/>
    <col min="15623" max="15623" width="10.5703125" style="262" bestFit="1" customWidth="1"/>
    <col min="15624" max="15624" width="6.5703125" style="262" bestFit="1" customWidth="1"/>
    <col min="15625" max="15625" width="10" style="262" bestFit="1" customWidth="1"/>
    <col min="15626" max="15626" width="7.42578125" style="262" bestFit="1" customWidth="1"/>
    <col min="15627" max="15627" width="9.7109375" style="262" bestFit="1" customWidth="1"/>
    <col min="15628" max="15628" width="6.85546875" style="262" bestFit="1" customWidth="1"/>
    <col min="15629" max="15629" width="9.5703125" style="262" bestFit="1" customWidth="1"/>
    <col min="15630" max="15630" width="6.85546875" style="262" bestFit="1" customWidth="1"/>
    <col min="15631" max="15631" width="12.42578125" style="262" bestFit="1" customWidth="1"/>
    <col min="15632" max="15632" width="7" style="262" bestFit="1" customWidth="1"/>
    <col min="15633" max="15633" width="10.7109375" style="262" bestFit="1" customWidth="1"/>
    <col min="15634" max="15634" width="6.7109375" style="262" bestFit="1" customWidth="1"/>
    <col min="15635" max="15635" width="10.140625" style="262" bestFit="1" customWidth="1"/>
    <col min="15636" max="15636" width="6.5703125" style="262" bestFit="1" customWidth="1"/>
    <col min="15637" max="15637" width="12.42578125" style="262" bestFit="1" customWidth="1"/>
    <col min="15638" max="15638" width="6.5703125" style="262" bestFit="1" customWidth="1"/>
    <col min="15639" max="15639" width="10.28515625" style="262" bestFit="1" customWidth="1"/>
    <col min="15640" max="15640" width="6.7109375" style="262" bestFit="1" customWidth="1"/>
    <col min="15641" max="15641" width="10.140625" style="262" bestFit="1" customWidth="1"/>
    <col min="15642" max="15642" width="6.5703125" style="262" bestFit="1" customWidth="1"/>
    <col min="15643" max="15643" width="10.85546875" style="262" bestFit="1" customWidth="1"/>
    <col min="15644" max="15644" width="6.7109375" style="262" bestFit="1" customWidth="1"/>
    <col min="15645" max="15645" width="12.85546875" style="262" bestFit="1" customWidth="1"/>
    <col min="15646" max="15646" width="4.7109375" style="262" bestFit="1" customWidth="1"/>
    <col min="15647" max="15872" width="9.140625" style="262"/>
    <col min="15873" max="15873" width="11.7109375" style="262" bestFit="1" customWidth="1"/>
    <col min="15874" max="15874" width="7" style="262" bestFit="1" customWidth="1"/>
    <col min="15875" max="15875" width="9.7109375" style="262" bestFit="1" customWidth="1"/>
    <col min="15876" max="15876" width="7" style="262" bestFit="1" customWidth="1"/>
    <col min="15877" max="15877" width="10" style="262" bestFit="1" customWidth="1"/>
    <col min="15878" max="15878" width="7" style="262" bestFit="1" customWidth="1"/>
    <col min="15879" max="15879" width="10.5703125" style="262" bestFit="1" customWidth="1"/>
    <col min="15880" max="15880" width="6.5703125" style="262" bestFit="1" customWidth="1"/>
    <col min="15881" max="15881" width="10" style="262" bestFit="1" customWidth="1"/>
    <col min="15882" max="15882" width="7.42578125" style="262" bestFit="1" customWidth="1"/>
    <col min="15883" max="15883" width="9.7109375" style="262" bestFit="1" customWidth="1"/>
    <col min="15884" max="15884" width="6.85546875" style="262" bestFit="1" customWidth="1"/>
    <col min="15885" max="15885" width="9.5703125" style="262" bestFit="1" customWidth="1"/>
    <col min="15886" max="15886" width="6.85546875" style="262" bestFit="1" customWidth="1"/>
    <col min="15887" max="15887" width="12.42578125" style="262" bestFit="1" customWidth="1"/>
    <col min="15888" max="15888" width="7" style="262" bestFit="1" customWidth="1"/>
    <col min="15889" max="15889" width="10.7109375" style="262" bestFit="1" customWidth="1"/>
    <col min="15890" max="15890" width="6.7109375" style="262" bestFit="1" customWidth="1"/>
    <col min="15891" max="15891" width="10.140625" style="262" bestFit="1" customWidth="1"/>
    <col min="15892" max="15892" width="6.5703125" style="262" bestFit="1" customWidth="1"/>
    <col min="15893" max="15893" width="12.42578125" style="262" bestFit="1" customWidth="1"/>
    <col min="15894" max="15894" width="6.5703125" style="262" bestFit="1" customWidth="1"/>
    <col min="15895" max="15895" width="10.28515625" style="262" bestFit="1" customWidth="1"/>
    <col min="15896" max="15896" width="6.7109375" style="262" bestFit="1" customWidth="1"/>
    <col min="15897" max="15897" width="10.140625" style="262" bestFit="1" customWidth="1"/>
    <col min="15898" max="15898" width="6.5703125" style="262" bestFit="1" customWidth="1"/>
    <col min="15899" max="15899" width="10.85546875" style="262" bestFit="1" customWidth="1"/>
    <col min="15900" max="15900" width="6.7109375" style="262" bestFit="1" customWidth="1"/>
    <col min="15901" max="15901" width="12.85546875" style="262" bestFit="1" customWidth="1"/>
    <col min="15902" max="15902" width="4.7109375" style="262" bestFit="1" customWidth="1"/>
    <col min="15903" max="16128" width="9.140625" style="262"/>
    <col min="16129" max="16129" width="11.7109375" style="262" bestFit="1" customWidth="1"/>
    <col min="16130" max="16130" width="7" style="262" bestFit="1" customWidth="1"/>
    <col min="16131" max="16131" width="9.7109375" style="262" bestFit="1" customWidth="1"/>
    <col min="16132" max="16132" width="7" style="262" bestFit="1" customWidth="1"/>
    <col min="16133" max="16133" width="10" style="262" bestFit="1" customWidth="1"/>
    <col min="16134" max="16134" width="7" style="262" bestFit="1" customWidth="1"/>
    <col min="16135" max="16135" width="10.5703125" style="262" bestFit="1" customWidth="1"/>
    <col min="16136" max="16136" width="6.5703125" style="262" bestFit="1" customWidth="1"/>
    <col min="16137" max="16137" width="10" style="262" bestFit="1" customWidth="1"/>
    <col min="16138" max="16138" width="7.42578125" style="262" bestFit="1" customWidth="1"/>
    <col min="16139" max="16139" width="9.7109375" style="262" bestFit="1" customWidth="1"/>
    <col min="16140" max="16140" width="6.85546875" style="262" bestFit="1" customWidth="1"/>
    <col min="16141" max="16141" width="9.5703125" style="262" bestFit="1" customWidth="1"/>
    <col min="16142" max="16142" width="6.85546875" style="262" bestFit="1" customWidth="1"/>
    <col min="16143" max="16143" width="12.42578125" style="262" bestFit="1" customWidth="1"/>
    <col min="16144" max="16144" width="7" style="262" bestFit="1" customWidth="1"/>
    <col min="16145" max="16145" width="10.7109375" style="262" bestFit="1" customWidth="1"/>
    <col min="16146" max="16146" width="6.7109375" style="262" bestFit="1" customWidth="1"/>
    <col min="16147" max="16147" width="10.140625" style="262" bestFit="1" customWidth="1"/>
    <col min="16148" max="16148" width="6.5703125" style="262" bestFit="1" customWidth="1"/>
    <col min="16149" max="16149" width="12.42578125" style="262" bestFit="1" customWidth="1"/>
    <col min="16150" max="16150" width="6.5703125" style="262" bestFit="1" customWidth="1"/>
    <col min="16151" max="16151" width="10.28515625" style="262" bestFit="1" customWidth="1"/>
    <col min="16152" max="16152" width="6.7109375" style="262" bestFit="1" customWidth="1"/>
    <col min="16153" max="16153" width="10.140625" style="262" bestFit="1" customWidth="1"/>
    <col min="16154" max="16154" width="6.5703125" style="262" bestFit="1" customWidth="1"/>
    <col min="16155" max="16155" width="10.85546875" style="262" bestFit="1" customWidth="1"/>
    <col min="16156" max="16156" width="6.7109375" style="262" bestFit="1" customWidth="1"/>
    <col min="16157" max="16157" width="12.85546875" style="262" bestFit="1" customWidth="1"/>
    <col min="16158" max="16158" width="4.7109375" style="262" bestFit="1" customWidth="1"/>
    <col min="16159" max="16384" width="9.140625" style="262"/>
  </cols>
  <sheetData>
    <row r="1" spans="1:29" ht="15" customHeight="1" x14ac:dyDescent="0.2">
      <c r="A1" s="385" t="s">
        <v>58</v>
      </c>
      <c r="B1" s="385"/>
      <c r="C1" s="385"/>
      <c r="D1" s="385"/>
      <c r="E1" s="385"/>
      <c r="F1" s="385"/>
      <c r="G1" s="385"/>
      <c r="H1" s="385"/>
      <c r="I1" s="385"/>
      <c r="J1" s="385"/>
      <c r="K1" s="385"/>
      <c r="L1" s="385"/>
      <c r="M1" s="385"/>
      <c r="N1" s="385"/>
      <c r="O1" s="385"/>
      <c r="P1" s="385"/>
      <c r="Q1" s="385"/>
      <c r="R1" s="385"/>
      <c r="S1" s="385"/>
      <c r="T1" s="385"/>
      <c r="U1" s="385"/>
      <c r="V1" s="385"/>
      <c r="W1" s="385"/>
      <c r="X1" s="385"/>
      <c r="Y1" s="385"/>
      <c r="Z1" s="385"/>
    </row>
    <row r="2" spans="1:29" s="265" customFormat="1" ht="51" customHeight="1" x14ac:dyDescent="0.2">
      <c r="A2" s="355" t="s">
        <v>632</v>
      </c>
      <c r="B2" s="375" t="s">
        <v>633</v>
      </c>
      <c r="C2" s="377"/>
      <c r="D2" s="371" t="s">
        <v>634</v>
      </c>
      <c r="E2" s="372"/>
      <c r="F2" s="371" t="s">
        <v>635</v>
      </c>
      <c r="G2" s="372"/>
      <c r="H2" s="371" t="s">
        <v>636</v>
      </c>
      <c r="I2" s="372"/>
      <c r="J2" s="375" t="s">
        <v>637</v>
      </c>
      <c r="K2" s="377"/>
      <c r="L2" s="375" t="s">
        <v>638</v>
      </c>
      <c r="M2" s="377"/>
      <c r="N2" s="371" t="s">
        <v>639</v>
      </c>
      <c r="O2" s="372"/>
      <c r="P2" s="375" t="s">
        <v>640</v>
      </c>
      <c r="Q2" s="377"/>
      <c r="R2" s="375" t="s">
        <v>342</v>
      </c>
      <c r="S2" s="377"/>
      <c r="T2" s="371" t="s">
        <v>641</v>
      </c>
      <c r="U2" s="372"/>
      <c r="V2" s="371" t="s">
        <v>642</v>
      </c>
      <c r="W2" s="372"/>
      <c r="X2" s="371" t="s">
        <v>643</v>
      </c>
      <c r="Y2" s="372"/>
      <c r="Z2" s="375" t="s">
        <v>336</v>
      </c>
      <c r="AA2" s="377"/>
      <c r="AB2" s="375" t="s">
        <v>150</v>
      </c>
      <c r="AC2" s="377"/>
    </row>
    <row r="3" spans="1:29" s="265" customFormat="1" ht="51.75" customHeight="1" x14ac:dyDescent="0.2">
      <c r="A3" s="356"/>
      <c r="B3" s="269" t="s">
        <v>644</v>
      </c>
      <c r="C3" s="270" t="s">
        <v>155</v>
      </c>
      <c r="D3" s="269" t="s">
        <v>644</v>
      </c>
      <c r="E3" s="270" t="s">
        <v>202</v>
      </c>
      <c r="F3" s="269" t="s">
        <v>644</v>
      </c>
      <c r="G3" s="270" t="s">
        <v>202</v>
      </c>
      <c r="H3" s="269" t="s">
        <v>644</v>
      </c>
      <c r="I3" s="270" t="s">
        <v>202</v>
      </c>
      <c r="J3" s="269" t="s">
        <v>644</v>
      </c>
      <c r="K3" s="270" t="s">
        <v>202</v>
      </c>
      <c r="L3" s="269" t="s">
        <v>644</v>
      </c>
      <c r="M3" s="270" t="s">
        <v>202</v>
      </c>
      <c r="N3" s="269" t="s">
        <v>644</v>
      </c>
      <c r="O3" s="270" t="s">
        <v>202</v>
      </c>
      <c r="P3" s="269" t="s">
        <v>644</v>
      </c>
      <c r="Q3" s="270" t="s">
        <v>202</v>
      </c>
      <c r="R3" s="269" t="s">
        <v>644</v>
      </c>
      <c r="S3" s="270" t="s">
        <v>202</v>
      </c>
      <c r="T3" s="269" t="s">
        <v>644</v>
      </c>
      <c r="U3" s="270" t="s">
        <v>202</v>
      </c>
      <c r="V3" s="269" t="s">
        <v>644</v>
      </c>
      <c r="W3" s="270" t="s">
        <v>202</v>
      </c>
      <c r="X3" s="269" t="s">
        <v>644</v>
      </c>
      <c r="Y3" s="270" t="s">
        <v>202</v>
      </c>
      <c r="Z3" s="269" t="s">
        <v>644</v>
      </c>
      <c r="AA3" s="270" t="s">
        <v>202</v>
      </c>
      <c r="AB3" s="269" t="s">
        <v>644</v>
      </c>
      <c r="AC3" s="270" t="s">
        <v>202</v>
      </c>
    </row>
    <row r="4" spans="1:29" s="265" customFormat="1" ht="18" customHeight="1" x14ac:dyDescent="0.2">
      <c r="A4" s="266" t="s">
        <v>69</v>
      </c>
      <c r="B4" s="283">
        <v>9326</v>
      </c>
      <c r="C4" s="290">
        <v>3148349.085</v>
      </c>
      <c r="D4" s="271">
        <v>64</v>
      </c>
      <c r="E4" s="290">
        <v>295547.78999999998</v>
      </c>
      <c r="F4" s="283">
        <v>1651</v>
      </c>
      <c r="G4" s="290">
        <v>733301.51</v>
      </c>
      <c r="H4" s="283">
        <v>188</v>
      </c>
      <c r="I4" s="283">
        <v>31419.8</v>
      </c>
      <c r="J4" s="283">
        <v>23</v>
      </c>
      <c r="K4" s="283">
        <v>2424.31</v>
      </c>
      <c r="L4" s="283">
        <v>415</v>
      </c>
      <c r="M4" s="283">
        <v>3249.11</v>
      </c>
      <c r="N4" s="283">
        <v>1541</v>
      </c>
      <c r="O4" s="290">
        <v>1978171.26</v>
      </c>
      <c r="P4" s="283">
        <v>459</v>
      </c>
      <c r="Q4" s="283">
        <v>87064.84</v>
      </c>
      <c r="R4" s="283">
        <v>114</v>
      </c>
      <c r="S4" s="290">
        <v>352781.54</v>
      </c>
      <c r="T4" s="271">
        <v>856</v>
      </c>
      <c r="U4" s="290">
        <v>1578986.835</v>
      </c>
      <c r="V4" s="271">
        <v>120</v>
      </c>
      <c r="W4" s="290">
        <v>332925.09000000003</v>
      </c>
      <c r="X4" s="271">
        <v>27</v>
      </c>
      <c r="Y4" s="290">
        <v>109009.14</v>
      </c>
      <c r="Z4" s="283">
        <v>15580</v>
      </c>
      <c r="AA4" s="290">
        <v>662457.83559999999</v>
      </c>
      <c r="AB4" s="283">
        <v>30364</v>
      </c>
      <c r="AC4" s="290">
        <v>9315688.1449999996</v>
      </c>
    </row>
    <row r="5" spans="1:29" s="265" customFormat="1" ht="18" customHeight="1" x14ac:dyDescent="0.2">
      <c r="A5" s="266" t="s">
        <v>70</v>
      </c>
      <c r="B5" s="283">
        <v>9556</v>
      </c>
      <c r="C5" s="290">
        <v>3342680.32</v>
      </c>
      <c r="D5" s="271">
        <v>64</v>
      </c>
      <c r="E5" s="290">
        <v>354339.64</v>
      </c>
      <c r="F5" s="283">
        <v>1867</v>
      </c>
      <c r="G5" s="290">
        <v>802859.99</v>
      </c>
      <c r="H5" s="283">
        <v>201</v>
      </c>
      <c r="I5" s="283">
        <v>37261.17</v>
      </c>
      <c r="J5" s="283">
        <v>24</v>
      </c>
      <c r="K5" s="283">
        <v>1948.99</v>
      </c>
      <c r="L5" s="283">
        <v>547</v>
      </c>
      <c r="M5" s="283">
        <v>3485.82</v>
      </c>
      <c r="N5" s="283">
        <v>1755</v>
      </c>
      <c r="O5" s="290">
        <v>2278220.41</v>
      </c>
      <c r="P5" s="283">
        <v>499</v>
      </c>
      <c r="Q5" s="290">
        <v>104563.22</v>
      </c>
      <c r="R5" s="283">
        <v>117</v>
      </c>
      <c r="S5" s="290">
        <v>320444.7</v>
      </c>
      <c r="T5" s="271">
        <v>781</v>
      </c>
      <c r="U5" s="290">
        <v>1732888.97</v>
      </c>
      <c r="V5" s="271">
        <v>120</v>
      </c>
      <c r="W5" s="290">
        <v>422316.79</v>
      </c>
      <c r="X5" s="271">
        <v>25</v>
      </c>
      <c r="Y5" s="283">
        <v>60865.9</v>
      </c>
      <c r="Z5" s="283">
        <v>19018</v>
      </c>
      <c r="AA5" s="290">
        <v>791087.54</v>
      </c>
      <c r="AB5" s="283">
        <v>34574</v>
      </c>
      <c r="AC5" s="301">
        <v>10252963.460000001</v>
      </c>
    </row>
    <row r="6" spans="1:29" s="265" customFormat="1" ht="18" customHeight="1" x14ac:dyDescent="0.2">
      <c r="A6" s="266" t="s">
        <v>156</v>
      </c>
      <c r="B6" s="283">
        <v>9349</v>
      </c>
      <c r="C6" s="290">
        <v>3319175.15</v>
      </c>
      <c r="D6" s="271">
        <v>64</v>
      </c>
      <c r="E6" s="290">
        <v>308800.90000000002</v>
      </c>
      <c r="F6" s="283">
        <v>1669</v>
      </c>
      <c r="G6" s="290">
        <v>775454.44</v>
      </c>
      <c r="H6" s="283">
        <v>191</v>
      </c>
      <c r="I6" s="283">
        <v>31842.35</v>
      </c>
      <c r="J6" s="283">
        <v>23</v>
      </c>
      <c r="K6" s="283">
        <v>2618.65</v>
      </c>
      <c r="L6" s="283">
        <v>427</v>
      </c>
      <c r="M6" s="283">
        <v>3438.26</v>
      </c>
      <c r="N6" s="283">
        <v>1515</v>
      </c>
      <c r="O6" s="290">
        <v>2146009.67</v>
      </c>
      <c r="P6" s="283">
        <v>456</v>
      </c>
      <c r="Q6" s="283">
        <v>91500.63</v>
      </c>
      <c r="R6" s="283">
        <v>115</v>
      </c>
      <c r="S6" s="290">
        <v>380738.39</v>
      </c>
      <c r="T6" s="271">
        <v>857</v>
      </c>
      <c r="U6" s="290">
        <v>1642073.98</v>
      </c>
      <c r="V6" s="271">
        <v>120</v>
      </c>
      <c r="W6" s="290">
        <v>339999.29</v>
      </c>
      <c r="X6" s="271">
        <v>27</v>
      </c>
      <c r="Y6" s="290">
        <v>118420.16</v>
      </c>
      <c r="Z6" s="283">
        <v>15883</v>
      </c>
      <c r="AA6" s="290">
        <v>689143.47</v>
      </c>
      <c r="AB6" s="283">
        <v>30696</v>
      </c>
      <c r="AC6" s="290">
        <v>9849215.3399999999</v>
      </c>
    </row>
    <row r="7" spans="1:29" s="265" customFormat="1" ht="18" customHeight="1" x14ac:dyDescent="0.2">
      <c r="A7" s="266" t="s">
        <v>157</v>
      </c>
      <c r="B7" s="283">
        <v>9333</v>
      </c>
      <c r="C7" s="290">
        <v>3177684.6</v>
      </c>
      <c r="D7" s="271">
        <v>64</v>
      </c>
      <c r="E7" s="290">
        <v>312863.48</v>
      </c>
      <c r="F7" s="283">
        <v>1672</v>
      </c>
      <c r="G7" s="290">
        <v>770218.53</v>
      </c>
      <c r="H7" s="283">
        <v>191</v>
      </c>
      <c r="I7" s="290">
        <v>138558.64000000001</v>
      </c>
      <c r="J7" s="283">
        <v>23</v>
      </c>
      <c r="K7" s="283">
        <v>2668.31</v>
      </c>
      <c r="L7" s="283">
        <v>440</v>
      </c>
      <c r="M7" s="283">
        <v>3333.06</v>
      </c>
      <c r="N7" s="283">
        <v>1580</v>
      </c>
      <c r="O7" s="290">
        <v>2111430.83</v>
      </c>
      <c r="P7" s="283">
        <v>464</v>
      </c>
      <c r="Q7" s="283">
        <v>88886.44</v>
      </c>
      <c r="R7" s="283">
        <v>115</v>
      </c>
      <c r="S7" s="290">
        <v>381097.86</v>
      </c>
      <c r="T7" s="271">
        <v>857</v>
      </c>
      <c r="U7" s="290">
        <v>1609844.18</v>
      </c>
      <c r="V7" s="271">
        <v>120</v>
      </c>
      <c r="W7" s="290">
        <v>344887.12</v>
      </c>
      <c r="X7" s="271">
        <v>27</v>
      </c>
      <c r="Y7" s="290">
        <v>115740.77</v>
      </c>
      <c r="Z7" s="283">
        <v>16190</v>
      </c>
      <c r="AA7" s="290">
        <v>693734.91</v>
      </c>
      <c r="AB7" s="283">
        <v>31076</v>
      </c>
      <c r="AC7" s="290">
        <v>9750948.7300000004</v>
      </c>
    </row>
    <row r="8" spans="1:29" s="265" customFormat="1" ht="18" customHeight="1" x14ac:dyDescent="0.2">
      <c r="A8" s="266" t="s">
        <v>158</v>
      </c>
      <c r="B8" s="283">
        <v>9347</v>
      </c>
      <c r="C8" s="290">
        <v>3188252.07</v>
      </c>
      <c r="D8" s="271">
        <v>64</v>
      </c>
      <c r="E8" s="290">
        <v>309592.12979091803</v>
      </c>
      <c r="F8" s="283">
        <v>1690</v>
      </c>
      <c r="G8" s="290">
        <v>766045.58</v>
      </c>
      <c r="H8" s="283">
        <v>191</v>
      </c>
      <c r="I8" s="283">
        <v>30493.257324900002</v>
      </c>
      <c r="J8" s="283">
        <v>23</v>
      </c>
      <c r="K8" s="283">
        <v>2634.02</v>
      </c>
      <c r="L8" s="283">
        <v>448</v>
      </c>
      <c r="M8" s="283">
        <v>3260.74</v>
      </c>
      <c r="N8" s="283">
        <v>1633</v>
      </c>
      <c r="O8" s="290">
        <v>2072703.94</v>
      </c>
      <c r="P8" s="283">
        <v>468</v>
      </c>
      <c r="Q8" s="283">
        <v>88657.06</v>
      </c>
      <c r="R8" s="283">
        <v>116</v>
      </c>
      <c r="S8" s="290">
        <v>349157.24</v>
      </c>
      <c r="T8" s="271">
        <v>859</v>
      </c>
      <c r="U8" s="290">
        <v>1610770.98</v>
      </c>
      <c r="V8" s="271">
        <v>120</v>
      </c>
      <c r="W8" s="290">
        <v>352534.73</v>
      </c>
      <c r="X8" s="271">
        <v>27</v>
      </c>
      <c r="Y8" s="290">
        <v>107443.48</v>
      </c>
      <c r="Z8" s="283">
        <v>16566</v>
      </c>
      <c r="AA8" s="290">
        <v>692213.93</v>
      </c>
      <c r="AB8" s="283">
        <v>31552</v>
      </c>
      <c r="AC8" s="290">
        <v>9573759.1571158208</v>
      </c>
    </row>
    <row r="9" spans="1:29" s="265" customFormat="1" ht="18" customHeight="1" x14ac:dyDescent="0.2">
      <c r="A9" s="266" t="s">
        <v>159</v>
      </c>
      <c r="B9" s="283">
        <v>9356</v>
      </c>
      <c r="C9" s="290">
        <v>3334518.58</v>
      </c>
      <c r="D9" s="271">
        <v>64</v>
      </c>
      <c r="E9" s="290">
        <v>322500.25</v>
      </c>
      <c r="F9" s="283">
        <v>1689</v>
      </c>
      <c r="G9" s="290">
        <v>808673.55</v>
      </c>
      <c r="H9" s="283">
        <v>191</v>
      </c>
      <c r="I9" s="283">
        <v>30528.38</v>
      </c>
      <c r="J9" s="283">
        <v>23</v>
      </c>
      <c r="K9" s="283">
        <v>2312.91</v>
      </c>
      <c r="L9" s="283">
        <v>459</v>
      </c>
      <c r="M9" s="283">
        <v>3400.27</v>
      </c>
      <c r="N9" s="283">
        <v>1647</v>
      </c>
      <c r="O9" s="290">
        <v>2207950.9700000002</v>
      </c>
      <c r="P9" s="283">
        <v>465</v>
      </c>
      <c r="Q9" s="283">
        <v>90761.83</v>
      </c>
      <c r="R9" s="283">
        <v>116</v>
      </c>
      <c r="S9" s="290">
        <v>365212.58</v>
      </c>
      <c r="T9" s="271">
        <v>863</v>
      </c>
      <c r="U9" s="290">
        <v>1673735.35</v>
      </c>
      <c r="V9" s="271">
        <v>120</v>
      </c>
      <c r="W9" s="290">
        <v>358241.89</v>
      </c>
      <c r="X9" s="271">
        <v>25</v>
      </c>
      <c r="Y9" s="283">
        <v>64494.080000000002</v>
      </c>
      <c r="Z9" s="283">
        <v>16692</v>
      </c>
      <c r="AA9" s="290">
        <v>701946.6</v>
      </c>
      <c r="AB9" s="283">
        <v>31710</v>
      </c>
      <c r="AC9" s="290">
        <v>9964277.2400000002</v>
      </c>
    </row>
    <row r="10" spans="1:29" s="265" customFormat="1" ht="18" customHeight="1" x14ac:dyDescent="0.2">
      <c r="A10" s="266" t="s">
        <v>160</v>
      </c>
      <c r="B10" s="283">
        <v>9375</v>
      </c>
      <c r="C10" s="290">
        <v>3431511.13</v>
      </c>
      <c r="D10" s="271">
        <v>64</v>
      </c>
      <c r="E10" s="290">
        <v>339837.62</v>
      </c>
      <c r="F10" s="283">
        <v>1699</v>
      </c>
      <c r="G10" s="290">
        <v>848766.12</v>
      </c>
      <c r="H10" s="283">
        <v>193</v>
      </c>
      <c r="I10" s="283">
        <v>31153.82</v>
      </c>
      <c r="J10" s="283">
        <v>23</v>
      </c>
      <c r="K10" s="283">
        <v>2056.85</v>
      </c>
      <c r="L10" s="283">
        <v>478</v>
      </c>
      <c r="M10" s="283">
        <v>3527.42</v>
      </c>
      <c r="N10" s="283">
        <v>1671</v>
      </c>
      <c r="O10" s="290">
        <v>2239800.17</v>
      </c>
      <c r="P10" s="283">
        <v>470</v>
      </c>
      <c r="Q10" s="283">
        <v>91898.59</v>
      </c>
      <c r="R10" s="283">
        <v>118</v>
      </c>
      <c r="S10" s="290">
        <v>369399.71</v>
      </c>
      <c r="T10" s="271">
        <v>865</v>
      </c>
      <c r="U10" s="290">
        <v>1723166.04</v>
      </c>
      <c r="V10" s="271">
        <v>120</v>
      </c>
      <c r="W10" s="290">
        <v>366199.32</v>
      </c>
      <c r="X10" s="271">
        <v>25</v>
      </c>
      <c r="Y10" s="283">
        <v>70176.240000000005</v>
      </c>
      <c r="Z10" s="283">
        <v>17264</v>
      </c>
      <c r="AA10" s="290">
        <v>719663.44</v>
      </c>
      <c r="AB10" s="283">
        <v>32365</v>
      </c>
      <c r="AC10" s="301">
        <v>10237156.470000001</v>
      </c>
    </row>
    <row r="11" spans="1:29" s="265" customFormat="1" ht="18" customHeight="1" x14ac:dyDescent="0.2">
      <c r="A11" s="266" t="s">
        <v>161</v>
      </c>
      <c r="B11" s="283">
        <v>9382</v>
      </c>
      <c r="C11" s="290">
        <v>3138333.9</v>
      </c>
      <c r="D11" s="271">
        <v>64</v>
      </c>
      <c r="E11" s="290">
        <v>324869.57</v>
      </c>
      <c r="F11" s="283">
        <v>1714</v>
      </c>
      <c r="G11" s="290">
        <v>753575.56</v>
      </c>
      <c r="H11" s="283">
        <v>193</v>
      </c>
      <c r="I11" s="283">
        <v>31290.02</v>
      </c>
      <c r="J11" s="283">
        <v>23</v>
      </c>
      <c r="K11" s="283">
        <v>1825.5</v>
      </c>
      <c r="L11" s="283">
        <v>485</v>
      </c>
      <c r="M11" s="283">
        <v>3205.65</v>
      </c>
      <c r="N11" s="283">
        <v>1671</v>
      </c>
      <c r="O11" s="290">
        <v>2049229.85</v>
      </c>
      <c r="P11" s="283">
        <v>477</v>
      </c>
      <c r="Q11" s="283">
        <v>91616.4</v>
      </c>
      <c r="R11" s="283">
        <v>118</v>
      </c>
      <c r="S11" s="290">
        <v>343971.63</v>
      </c>
      <c r="T11" s="271">
        <v>871</v>
      </c>
      <c r="U11" s="290">
        <v>1640476.63</v>
      </c>
      <c r="V11" s="271">
        <v>120</v>
      </c>
      <c r="W11" s="290">
        <v>371562.34</v>
      </c>
      <c r="X11" s="271">
        <v>25</v>
      </c>
      <c r="Y11" s="283">
        <v>65535.15</v>
      </c>
      <c r="Z11" s="283">
        <v>17441</v>
      </c>
      <c r="AA11" s="290">
        <v>690463.23</v>
      </c>
      <c r="AB11" s="283">
        <v>32584</v>
      </c>
      <c r="AC11" s="290">
        <v>9505955.4299999997</v>
      </c>
    </row>
    <row r="12" spans="1:29" s="265" customFormat="1" ht="18" customHeight="1" x14ac:dyDescent="0.2">
      <c r="A12" s="266" t="s">
        <v>645</v>
      </c>
      <c r="B12" s="283">
        <v>9408</v>
      </c>
      <c r="C12" s="290">
        <v>2982324.31</v>
      </c>
      <c r="D12" s="271">
        <v>64</v>
      </c>
      <c r="E12" s="290">
        <v>313508.23</v>
      </c>
      <c r="F12" s="283">
        <v>1722</v>
      </c>
      <c r="G12" s="290">
        <v>755553.45</v>
      </c>
      <c r="H12" s="283">
        <v>193</v>
      </c>
      <c r="I12" s="283">
        <v>33329.9</v>
      </c>
      <c r="J12" s="283">
        <v>23</v>
      </c>
      <c r="K12" s="283">
        <v>1797.3</v>
      </c>
      <c r="L12" s="283">
        <v>517</v>
      </c>
      <c r="M12" s="283">
        <v>3110.65</v>
      </c>
      <c r="N12" s="283">
        <v>1677</v>
      </c>
      <c r="O12" s="290">
        <v>2074606.41</v>
      </c>
      <c r="P12" s="283">
        <v>479</v>
      </c>
      <c r="Q12" s="283">
        <v>90299.78</v>
      </c>
      <c r="R12" s="283">
        <v>119</v>
      </c>
      <c r="S12" s="290">
        <v>355589.63</v>
      </c>
      <c r="T12" s="271">
        <v>823</v>
      </c>
      <c r="U12" s="290">
        <v>1605831.42</v>
      </c>
      <c r="V12" s="271">
        <v>120</v>
      </c>
      <c r="W12" s="290">
        <v>378002.27</v>
      </c>
      <c r="X12" s="271">
        <v>25</v>
      </c>
      <c r="Y12" s="283">
        <v>63074.5</v>
      </c>
      <c r="Z12" s="283">
        <v>17840</v>
      </c>
      <c r="AA12" s="290">
        <v>697079.79</v>
      </c>
      <c r="AB12" s="283">
        <v>33010</v>
      </c>
      <c r="AC12" s="290">
        <v>9354107.6400000006</v>
      </c>
    </row>
    <row r="13" spans="1:29" s="265" customFormat="1" ht="18" customHeight="1" x14ac:dyDescent="0.2">
      <c r="A13" s="266" t="s">
        <v>163</v>
      </c>
      <c r="B13" s="283">
        <v>9444</v>
      </c>
      <c r="C13" s="290">
        <v>3108885.6</v>
      </c>
      <c r="D13" s="271">
        <v>64</v>
      </c>
      <c r="E13" s="290">
        <v>326243.46999999997</v>
      </c>
      <c r="F13" s="283">
        <v>1751</v>
      </c>
      <c r="G13" s="290">
        <v>803953.65</v>
      </c>
      <c r="H13" s="283">
        <v>197</v>
      </c>
      <c r="I13" s="283">
        <v>33693.29</v>
      </c>
      <c r="J13" s="283">
        <v>24</v>
      </c>
      <c r="K13" s="283">
        <v>1956.11</v>
      </c>
      <c r="L13" s="283">
        <v>517</v>
      </c>
      <c r="M13" s="283">
        <v>3256.67</v>
      </c>
      <c r="N13" s="283">
        <v>1682</v>
      </c>
      <c r="O13" s="290">
        <v>2129233.69</v>
      </c>
      <c r="P13" s="283">
        <v>477</v>
      </c>
      <c r="Q13" s="283">
        <v>90699.5</v>
      </c>
      <c r="R13" s="283">
        <v>119</v>
      </c>
      <c r="S13" s="290">
        <v>338536.09</v>
      </c>
      <c r="T13" s="271">
        <v>811</v>
      </c>
      <c r="U13" s="290">
        <v>1637650.11</v>
      </c>
      <c r="V13" s="271">
        <v>120</v>
      </c>
      <c r="W13" s="290">
        <v>385062.23</v>
      </c>
      <c r="X13" s="271">
        <v>25</v>
      </c>
      <c r="Y13" s="283">
        <v>65218.85</v>
      </c>
      <c r="Z13" s="283">
        <v>18035</v>
      </c>
      <c r="AA13" s="290">
        <v>716618.69</v>
      </c>
      <c r="AB13" s="283">
        <v>33266</v>
      </c>
      <c r="AC13" s="290">
        <v>9641007.9499999993</v>
      </c>
    </row>
    <row r="14" spans="1:29" s="265" customFormat="1" ht="18" customHeight="1" x14ac:dyDescent="0.2">
      <c r="A14" s="266" t="s">
        <v>646</v>
      </c>
      <c r="B14" s="283">
        <v>9492</v>
      </c>
      <c r="C14" s="290">
        <v>3138204.89</v>
      </c>
      <c r="D14" s="271">
        <v>64</v>
      </c>
      <c r="E14" s="290">
        <v>325175.14</v>
      </c>
      <c r="F14" s="283">
        <v>1788</v>
      </c>
      <c r="G14" s="290">
        <v>818430.91</v>
      </c>
      <c r="H14" s="283">
        <v>196</v>
      </c>
      <c r="I14" s="283">
        <v>36815.050000000003</v>
      </c>
      <c r="J14" s="283">
        <v>24</v>
      </c>
      <c r="K14" s="283">
        <v>1960.49</v>
      </c>
      <c r="L14" s="283">
        <v>518</v>
      </c>
      <c r="M14" s="283">
        <v>3353.92</v>
      </c>
      <c r="N14" s="283">
        <v>1713</v>
      </c>
      <c r="O14" s="290">
        <v>2144981.42</v>
      </c>
      <c r="P14" s="283">
        <v>479</v>
      </c>
      <c r="Q14" s="283">
        <v>91237.86</v>
      </c>
      <c r="R14" s="283">
        <v>118</v>
      </c>
      <c r="S14" s="290">
        <v>336972.02</v>
      </c>
      <c r="T14" s="271">
        <v>771</v>
      </c>
      <c r="U14" s="290">
        <v>1655213.92</v>
      </c>
      <c r="V14" s="271">
        <v>120</v>
      </c>
      <c r="W14" s="290">
        <v>394058.22</v>
      </c>
      <c r="X14" s="271">
        <v>25</v>
      </c>
      <c r="Y14" s="283">
        <v>65266.18</v>
      </c>
      <c r="Z14" s="283">
        <v>18368</v>
      </c>
      <c r="AA14" s="290">
        <v>738926.4</v>
      </c>
      <c r="AB14" s="283">
        <v>33676</v>
      </c>
      <c r="AC14" s="290">
        <v>9750596.4199999999</v>
      </c>
    </row>
    <row r="15" spans="1:29" s="265" customFormat="1" ht="18" customHeight="1" x14ac:dyDescent="0.2">
      <c r="A15" s="266" t="s">
        <v>648</v>
      </c>
      <c r="B15" s="283">
        <v>9546</v>
      </c>
      <c r="C15" s="290">
        <v>3090507.58</v>
      </c>
      <c r="D15" s="271">
        <v>64</v>
      </c>
      <c r="E15" s="290">
        <v>329951.21999999997</v>
      </c>
      <c r="F15" s="283">
        <v>1816</v>
      </c>
      <c r="G15" s="290">
        <v>783831.11</v>
      </c>
      <c r="H15" s="283">
        <v>197</v>
      </c>
      <c r="I15" s="283">
        <v>36740.339999999997</v>
      </c>
      <c r="J15" s="283">
        <v>24</v>
      </c>
      <c r="K15" s="283">
        <v>1792.18</v>
      </c>
      <c r="L15" s="283">
        <v>530</v>
      </c>
      <c r="M15" s="283">
        <v>3137.45</v>
      </c>
      <c r="N15" s="283">
        <v>1736</v>
      </c>
      <c r="O15" s="290">
        <v>2193231.58</v>
      </c>
      <c r="P15" s="283">
        <v>486</v>
      </c>
      <c r="Q15" s="283">
        <v>90119.86</v>
      </c>
      <c r="R15" s="283">
        <v>117</v>
      </c>
      <c r="S15" s="290">
        <v>343035.26</v>
      </c>
      <c r="T15" s="271">
        <v>773</v>
      </c>
      <c r="U15" s="290">
        <v>1651975.3</v>
      </c>
      <c r="V15" s="271">
        <v>120</v>
      </c>
      <c r="W15" s="290">
        <v>406735.15</v>
      </c>
      <c r="X15" s="271">
        <v>25</v>
      </c>
      <c r="Y15" s="283">
        <v>68114.899999999994</v>
      </c>
      <c r="Z15" s="283">
        <v>18745</v>
      </c>
      <c r="AA15" s="290">
        <v>749913.72</v>
      </c>
      <c r="AB15" s="283">
        <v>34179</v>
      </c>
      <c r="AC15" s="290">
        <v>9749085.6500000004</v>
      </c>
    </row>
    <row r="16" spans="1:29" s="265" customFormat="1" ht="18" customHeight="1" x14ac:dyDescent="0.2">
      <c r="A16" s="266" t="s">
        <v>649</v>
      </c>
      <c r="B16" s="283">
        <v>9541</v>
      </c>
      <c r="C16" s="290">
        <v>3089601.78</v>
      </c>
      <c r="D16" s="271">
        <v>64</v>
      </c>
      <c r="E16" s="290">
        <v>325403.37</v>
      </c>
      <c r="F16" s="283">
        <v>1842</v>
      </c>
      <c r="G16" s="290">
        <v>784803.12</v>
      </c>
      <c r="H16" s="283">
        <v>198</v>
      </c>
      <c r="I16" s="283">
        <v>37062.57</v>
      </c>
      <c r="J16" s="283">
        <v>24</v>
      </c>
      <c r="K16" s="283">
        <v>1210.93</v>
      </c>
      <c r="L16" s="283">
        <v>536</v>
      </c>
      <c r="M16" s="283">
        <v>3204.01</v>
      </c>
      <c r="N16" s="283">
        <v>1760</v>
      </c>
      <c r="O16" s="290">
        <v>2183721.59</v>
      </c>
      <c r="P16" s="283">
        <v>494</v>
      </c>
      <c r="Q16" s="283">
        <v>87835.79</v>
      </c>
      <c r="R16" s="283">
        <v>117</v>
      </c>
      <c r="S16" s="290">
        <v>336197.18</v>
      </c>
      <c r="T16" s="271">
        <v>772</v>
      </c>
      <c r="U16" s="290">
        <v>1649797.32</v>
      </c>
      <c r="V16" s="271">
        <v>120</v>
      </c>
      <c r="W16" s="290">
        <v>414257.96</v>
      </c>
      <c r="X16" s="271">
        <v>25</v>
      </c>
      <c r="Y16" s="283">
        <v>57995.94</v>
      </c>
      <c r="Z16" s="283">
        <v>18962</v>
      </c>
      <c r="AA16" s="290">
        <v>755417.1</v>
      </c>
      <c r="AB16" s="283">
        <v>34455</v>
      </c>
      <c r="AC16" s="290">
        <v>9726508.6600000001</v>
      </c>
    </row>
    <row r="17" spans="1:29" s="265" customFormat="1" ht="18" customHeight="1" x14ac:dyDescent="0.2">
      <c r="A17" s="266" t="s">
        <v>647</v>
      </c>
      <c r="B17" s="283">
        <v>9556</v>
      </c>
      <c r="C17" s="290">
        <v>3342680.32</v>
      </c>
      <c r="D17" s="271">
        <v>64</v>
      </c>
      <c r="E17" s="290">
        <v>354339.64</v>
      </c>
      <c r="F17" s="283">
        <v>1867</v>
      </c>
      <c r="G17" s="290">
        <v>802859.99</v>
      </c>
      <c r="H17" s="283">
        <v>201</v>
      </c>
      <c r="I17" s="283">
        <v>37261.17</v>
      </c>
      <c r="J17" s="283">
        <v>24</v>
      </c>
      <c r="K17" s="283">
        <v>1948.99</v>
      </c>
      <c r="L17" s="283">
        <v>547</v>
      </c>
      <c r="M17" s="283">
        <v>3485.82</v>
      </c>
      <c r="N17" s="283">
        <v>1755</v>
      </c>
      <c r="O17" s="290">
        <v>2278220.41</v>
      </c>
      <c r="P17" s="283">
        <v>499</v>
      </c>
      <c r="Q17" s="290">
        <v>104563.22</v>
      </c>
      <c r="R17" s="283">
        <v>117</v>
      </c>
      <c r="S17" s="290">
        <v>320444.7</v>
      </c>
      <c r="T17" s="271">
        <v>781</v>
      </c>
      <c r="U17" s="290">
        <v>1732888.97</v>
      </c>
      <c r="V17" s="271">
        <v>120</v>
      </c>
      <c r="W17" s="290">
        <v>422316.79</v>
      </c>
      <c r="X17" s="271">
        <v>25</v>
      </c>
      <c r="Y17" s="283">
        <v>60865.9</v>
      </c>
      <c r="Z17" s="283">
        <v>19018</v>
      </c>
      <c r="AA17" s="290">
        <v>791087.54</v>
      </c>
      <c r="AB17" s="283">
        <v>34574</v>
      </c>
      <c r="AC17" s="301">
        <v>10252963.460000001</v>
      </c>
    </row>
    <row r="18" spans="1:29" s="265" customFormat="1" ht="14.25" customHeight="1" x14ac:dyDescent="0.2">
      <c r="A18" s="373" t="s">
        <v>650</v>
      </c>
      <c r="B18" s="373"/>
      <c r="C18" s="373"/>
      <c r="D18" s="373"/>
      <c r="E18" s="373"/>
      <c r="F18" s="373"/>
      <c r="G18" s="373"/>
      <c r="H18" s="373"/>
      <c r="I18" s="373"/>
      <c r="J18" s="373"/>
      <c r="K18" s="373"/>
      <c r="L18" s="373"/>
      <c r="M18" s="373"/>
      <c r="N18" s="373"/>
      <c r="O18" s="373"/>
      <c r="P18" s="373"/>
      <c r="Q18" s="373"/>
      <c r="R18" s="373"/>
      <c r="S18" s="373"/>
      <c r="T18" s="373"/>
      <c r="U18" s="373"/>
      <c r="V18" s="373"/>
      <c r="W18" s="373"/>
      <c r="X18" s="373"/>
      <c r="Y18" s="373"/>
      <c r="Z18" s="373"/>
    </row>
    <row r="19" spans="1:29" s="265" customFormat="1" ht="13.5" customHeight="1" x14ac:dyDescent="0.2">
      <c r="A19" s="373" t="s">
        <v>651</v>
      </c>
      <c r="B19" s="373"/>
      <c r="C19" s="373"/>
      <c r="D19" s="373"/>
      <c r="E19" s="373"/>
      <c r="F19" s="373"/>
      <c r="G19" s="373"/>
      <c r="H19" s="373"/>
      <c r="I19" s="373"/>
      <c r="J19" s="373"/>
      <c r="K19" s="373"/>
      <c r="L19" s="373"/>
      <c r="M19" s="373"/>
      <c r="N19" s="373"/>
      <c r="O19" s="373"/>
      <c r="P19" s="373"/>
      <c r="Q19" s="373"/>
      <c r="R19" s="373"/>
      <c r="S19" s="373"/>
      <c r="T19" s="373"/>
      <c r="U19" s="373"/>
      <c r="V19" s="373"/>
      <c r="W19" s="373"/>
      <c r="X19" s="373"/>
      <c r="Y19" s="373"/>
      <c r="Z19" s="373"/>
    </row>
    <row r="20" spans="1:29" s="265" customFormat="1" ht="13.5" customHeight="1" x14ac:dyDescent="0.2">
      <c r="A20" s="373" t="s">
        <v>106</v>
      </c>
      <c r="B20" s="373"/>
      <c r="C20" s="373"/>
      <c r="D20" s="373"/>
      <c r="E20" s="373"/>
      <c r="F20" s="373"/>
      <c r="G20" s="373"/>
      <c r="H20" s="373"/>
      <c r="I20" s="373"/>
      <c r="J20" s="373"/>
      <c r="K20" s="373"/>
      <c r="L20" s="373"/>
      <c r="M20" s="373"/>
      <c r="N20" s="373"/>
      <c r="O20" s="373"/>
      <c r="P20" s="373"/>
      <c r="Q20" s="373"/>
      <c r="R20" s="373"/>
      <c r="S20" s="373"/>
      <c r="T20" s="373"/>
      <c r="U20" s="373"/>
      <c r="V20" s="373"/>
      <c r="W20" s="373"/>
      <c r="X20" s="373"/>
      <c r="Y20" s="373"/>
      <c r="Z20" s="373"/>
    </row>
    <row r="21" spans="1:29" s="265" customFormat="1" ht="13.5" customHeight="1" x14ac:dyDescent="0.2">
      <c r="A21" s="373" t="s">
        <v>652</v>
      </c>
      <c r="B21" s="373"/>
      <c r="C21" s="373"/>
      <c r="D21" s="373"/>
      <c r="E21" s="373"/>
      <c r="F21" s="373"/>
      <c r="G21" s="373"/>
      <c r="H21" s="373"/>
      <c r="I21" s="373"/>
      <c r="J21" s="373"/>
      <c r="K21" s="373"/>
      <c r="L21" s="373"/>
      <c r="M21" s="373"/>
      <c r="N21" s="373"/>
      <c r="O21" s="373"/>
      <c r="P21" s="373"/>
      <c r="Q21" s="373"/>
      <c r="R21" s="373"/>
      <c r="S21" s="373"/>
      <c r="T21" s="373"/>
      <c r="U21" s="373"/>
      <c r="V21" s="373"/>
      <c r="W21" s="373"/>
      <c r="X21" s="373"/>
      <c r="Y21" s="373"/>
      <c r="Z21" s="373"/>
    </row>
    <row r="22" spans="1:29" s="265" customFormat="1" ht="28.35" customHeight="1" x14ac:dyDescent="0.2"/>
  </sheetData>
  <mergeCells count="20">
    <mergeCell ref="AB2:AC2"/>
    <mergeCell ref="A1:Z1"/>
    <mergeCell ref="A2:A3"/>
    <mergeCell ref="B2:C2"/>
    <mergeCell ref="D2:E2"/>
    <mergeCell ref="F2:G2"/>
    <mergeCell ref="H2:I2"/>
    <mergeCell ref="J2:K2"/>
    <mergeCell ref="L2:M2"/>
    <mergeCell ref="N2:O2"/>
    <mergeCell ref="P2:Q2"/>
    <mergeCell ref="A18:Z18"/>
    <mergeCell ref="A19:Z19"/>
    <mergeCell ref="A20:Z20"/>
    <mergeCell ref="A21:Z21"/>
    <mergeCell ref="R2:S2"/>
    <mergeCell ref="T2:U2"/>
    <mergeCell ref="V2:W2"/>
    <mergeCell ref="X2:Y2"/>
    <mergeCell ref="Z2:AA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tabColor rgb="FFFFFF00"/>
    <pageSetUpPr fitToPage="1"/>
  </sheetPr>
  <dimension ref="A1:K20"/>
  <sheetViews>
    <sheetView workbookViewId="0">
      <selection activeCell="J17" sqref="J17"/>
    </sheetView>
  </sheetViews>
  <sheetFormatPr defaultRowHeight="12.75" x14ac:dyDescent="0.2"/>
  <cols>
    <col min="1" max="11" width="14.7109375" style="262" bestFit="1" customWidth="1"/>
    <col min="12" max="12" width="4.7109375" style="262" bestFit="1" customWidth="1"/>
    <col min="13" max="256" width="9.140625" style="262"/>
    <col min="257" max="267" width="14.7109375" style="262" bestFit="1" customWidth="1"/>
    <col min="268" max="268" width="4.7109375" style="262" bestFit="1" customWidth="1"/>
    <col min="269" max="512" width="9.140625" style="262"/>
    <col min="513" max="523" width="14.7109375" style="262" bestFit="1" customWidth="1"/>
    <col min="524" max="524" width="4.7109375" style="262" bestFit="1" customWidth="1"/>
    <col min="525" max="768" width="9.140625" style="262"/>
    <col min="769" max="779" width="14.7109375" style="262" bestFit="1" customWidth="1"/>
    <col min="780" max="780" width="4.7109375" style="262" bestFit="1" customWidth="1"/>
    <col min="781" max="1024" width="9.140625" style="262"/>
    <col min="1025" max="1035" width="14.7109375" style="262" bestFit="1" customWidth="1"/>
    <col min="1036" max="1036" width="4.7109375" style="262" bestFit="1" customWidth="1"/>
    <col min="1037" max="1280" width="9.140625" style="262"/>
    <col min="1281" max="1291" width="14.7109375" style="262" bestFit="1" customWidth="1"/>
    <col min="1292" max="1292" width="4.7109375" style="262" bestFit="1" customWidth="1"/>
    <col min="1293" max="1536" width="9.140625" style="262"/>
    <col min="1537" max="1547" width="14.7109375" style="262" bestFit="1" customWidth="1"/>
    <col min="1548" max="1548" width="4.7109375" style="262" bestFit="1" customWidth="1"/>
    <col min="1549" max="1792" width="9.140625" style="262"/>
    <col min="1793" max="1803" width="14.7109375" style="262" bestFit="1" customWidth="1"/>
    <col min="1804" max="1804" width="4.7109375" style="262" bestFit="1" customWidth="1"/>
    <col min="1805" max="2048" width="9.140625" style="262"/>
    <col min="2049" max="2059" width="14.7109375" style="262" bestFit="1" customWidth="1"/>
    <col min="2060" max="2060" width="4.7109375" style="262" bestFit="1" customWidth="1"/>
    <col min="2061" max="2304" width="9.140625" style="262"/>
    <col min="2305" max="2315" width="14.7109375" style="262" bestFit="1" customWidth="1"/>
    <col min="2316" max="2316" width="4.7109375" style="262" bestFit="1" customWidth="1"/>
    <col min="2317" max="2560" width="9.140625" style="262"/>
    <col min="2561" max="2571" width="14.7109375" style="262" bestFit="1" customWidth="1"/>
    <col min="2572" max="2572" width="4.7109375" style="262" bestFit="1" customWidth="1"/>
    <col min="2573" max="2816" width="9.140625" style="262"/>
    <col min="2817" max="2827" width="14.7109375" style="262" bestFit="1" customWidth="1"/>
    <col min="2828" max="2828" width="4.7109375" style="262" bestFit="1" customWidth="1"/>
    <col min="2829" max="3072" width="9.140625" style="262"/>
    <col min="3073" max="3083" width="14.7109375" style="262" bestFit="1" customWidth="1"/>
    <col min="3084" max="3084" width="4.7109375" style="262" bestFit="1" customWidth="1"/>
    <col min="3085" max="3328" width="9.140625" style="262"/>
    <col min="3329" max="3339" width="14.7109375" style="262" bestFit="1" customWidth="1"/>
    <col min="3340" max="3340" width="4.7109375" style="262" bestFit="1" customWidth="1"/>
    <col min="3341" max="3584" width="9.140625" style="262"/>
    <col min="3585" max="3595" width="14.7109375" style="262" bestFit="1" customWidth="1"/>
    <col min="3596" max="3596" width="4.7109375" style="262" bestFit="1" customWidth="1"/>
    <col min="3597" max="3840" width="9.140625" style="262"/>
    <col min="3841" max="3851" width="14.7109375" style="262" bestFit="1" customWidth="1"/>
    <col min="3852" max="3852" width="4.7109375" style="262" bestFit="1" customWidth="1"/>
    <col min="3853" max="4096" width="9.140625" style="262"/>
    <col min="4097" max="4107" width="14.7109375" style="262" bestFit="1" customWidth="1"/>
    <col min="4108" max="4108" width="4.7109375" style="262" bestFit="1" customWidth="1"/>
    <col min="4109" max="4352" width="9.140625" style="262"/>
    <col min="4353" max="4363" width="14.7109375" style="262" bestFit="1" customWidth="1"/>
    <col min="4364" max="4364" width="4.7109375" style="262" bestFit="1" customWidth="1"/>
    <col min="4365" max="4608" width="9.140625" style="262"/>
    <col min="4609" max="4619" width="14.7109375" style="262" bestFit="1" customWidth="1"/>
    <col min="4620" max="4620" width="4.7109375" style="262" bestFit="1" customWidth="1"/>
    <col min="4621" max="4864" width="9.140625" style="262"/>
    <col min="4865" max="4875" width="14.7109375" style="262" bestFit="1" customWidth="1"/>
    <col min="4876" max="4876" width="4.7109375" style="262" bestFit="1" customWidth="1"/>
    <col min="4877" max="5120" width="9.140625" style="262"/>
    <col min="5121" max="5131" width="14.7109375" style="262" bestFit="1" customWidth="1"/>
    <col min="5132" max="5132" width="4.7109375" style="262" bestFit="1" customWidth="1"/>
    <col min="5133" max="5376" width="9.140625" style="262"/>
    <col min="5377" max="5387" width="14.7109375" style="262" bestFit="1" customWidth="1"/>
    <col min="5388" max="5388" width="4.7109375" style="262" bestFit="1" customWidth="1"/>
    <col min="5389" max="5632" width="9.140625" style="262"/>
    <col min="5633" max="5643" width="14.7109375" style="262" bestFit="1" customWidth="1"/>
    <col min="5644" max="5644" width="4.7109375" style="262" bestFit="1" customWidth="1"/>
    <col min="5645" max="5888" width="9.140625" style="262"/>
    <col min="5889" max="5899" width="14.7109375" style="262" bestFit="1" customWidth="1"/>
    <col min="5900" max="5900" width="4.7109375" style="262" bestFit="1" customWidth="1"/>
    <col min="5901" max="6144" width="9.140625" style="262"/>
    <col min="6145" max="6155" width="14.7109375" style="262" bestFit="1" customWidth="1"/>
    <col min="6156" max="6156" width="4.7109375" style="262" bestFit="1" customWidth="1"/>
    <col min="6157" max="6400" width="9.140625" style="262"/>
    <col min="6401" max="6411" width="14.7109375" style="262" bestFit="1" customWidth="1"/>
    <col min="6412" max="6412" width="4.7109375" style="262" bestFit="1" customWidth="1"/>
    <col min="6413" max="6656" width="9.140625" style="262"/>
    <col min="6657" max="6667" width="14.7109375" style="262" bestFit="1" customWidth="1"/>
    <col min="6668" max="6668" width="4.7109375" style="262" bestFit="1" customWidth="1"/>
    <col min="6669" max="6912" width="9.140625" style="262"/>
    <col min="6913" max="6923" width="14.7109375" style="262" bestFit="1" customWidth="1"/>
    <col min="6924" max="6924" width="4.7109375" style="262" bestFit="1" customWidth="1"/>
    <col min="6925" max="7168" width="9.140625" style="262"/>
    <col min="7169" max="7179" width="14.7109375" style="262" bestFit="1" customWidth="1"/>
    <col min="7180" max="7180" width="4.7109375" style="262" bestFit="1" customWidth="1"/>
    <col min="7181" max="7424" width="9.140625" style="262"/>
    <col min="7425" max="7435" width="14.7109375" style="262" bestFit="1" customWidth="1"/>
    <col min="7436" max="7436" width="4.7109375" style="262" bestFit="1" customWidth="1"/>
    <col min="7437" max="7680" width="9.140625" style="262"/>
    <col min="7681" max="7691" width="14.7109375" style="262" bestFit="1" customWidth="1"/>
    <col min="7692" max="7692" width="4.7109375" style="262" bestFit="1" customWidth="1"/>
    <col min="7693" max="7936" width="9.140625" style="262"/>
    <col min="7937" max="7947" width="14.7109375" style="262" bestFit="1" customWidth="1"/>
    <col min="7948" max="7948" width="4.7109375" style="262" bestFit="1" customWidth="1"/>
    <col min="7949" max="8192" width="9.140625" style="262"/>
    <col min="8193" max="8203" width="14.7109375" style="262" bestFit="1" customWidth="1"/>
    <col min="8204" max="8204" width="4.7109375" style="262" bestFit="1" customWidth="1"/>
    <col min="8205" max="8448" width="9.140625" style="262"/>
    <col min="8449" max="8459" width="14.7109375" style="262" bestFit="1" customWidth="1"/>
    <col min="8460" max="8460" width="4.7109375" style="262" bestFit="1" customWidth="1"/>
    <col min="8461" max="8704" width="9.140625" style="262"/>
    <col min="8705" max="8715" width="14.7109375" style="262" bestFit="1" customWidth="1"/>
    <col min="8716" max="8716" width="4.7109375" style="262" bestFit="1" customWidth="1"/>
    <col min="8717" max="8960" width="9.140625" style="262"/>
    <col min="8961" max="8971" width="14.7109375" style="262" bestFit="1" customWidth="1"/>
    <col min="8972" max="8972" width="4.7109375" style="262" bestFit="1" customWidth="1"/>
    <col min="8973" max="9216" width="9.140625" style="262"/>
    <col min="9217" max="9227" width="14.7109375" style="262" bestFit="1" customWidth="1"/>
    <col min="9228" max="9228" width="4.7109375" style="262" bestFit="1" customWidth="1"/>
    <col min="9229" max="9472" width="9.140625" style="262"/>
    <col min="9473" max="9483" width="14.7109375" style="262" bestFit="1" customWidth="1"/>
    <col min="9484" max="9484" width="4.7109375" style="262" bestFit="1" customWidth="1"/>
    <col min="9485" max="9728" width="9.140625" style="262"/>
    <col min="9729" max="9739" width="14.7109375" style="262" bestFit="1" customWidth="1"/>
    <col min="9740" max="9740" width="4.7109375" style="262" bestFit="1" customWidth="1"/>
    <col min="9741" max="9984" width="9.140625" style="262"/>
    <col min="9985" max="9995" width="14.7109375" style="262" bestFit="1" customWidth="1"/>
    <col min="9996" max="9996" width="4.7109375" style="262" bestFit="1" customWidth="1"/>
    <col min="9997" max="10240" width="9.140625" style="262"/>
    <col min="10241" max="10251" width="14.7109375" style="262" bestFit="1" customWidth="1"/>
    <col min="10252" max="10252" width="4.7109375" style="262" bestFit="1" customWidth="1"/>
    <col min="10253" max="10496" width="9.140625" style="262"/>
    <col min="10497" max="10507" width="14.7109375" style="262" bestFit="1" customWidth="1"/>
    <col min="10508" max="10508" width="4.7109375" style="262" bestFit="1" customWidth="1"/>
    <col min="10509" max="10752" width="9.140625" style="262"/>
    <col min="10753" max="10763" width="14.7109375" style="262" bestFit="1" customWidth="1"/>
    <col min="10764" max="10764" width="4.7109375" style="262" bestFit="1" customWidth="1"/>
    <col min="10765" max="11008" width="9.140625" style="262"/>
    <col min="11009" max="11019" width="14.7109375" style="262" bestFit="1" customWidth="1"/>
    <col min="11020" max="11020" width="4.7109375" style="262" bestFit="1" customWidth="1"/>
    <col min="11021" max="11264" width="9.140625" style="262"/>
    <col min="11265" max="11275" width="14.7109375" style="262" bestFit="1" customWidth="1"/>
    <col min="11276" max="11276" width="4.7109375" style="262" bestFit="1" customWidth="1"/>
    <col min="11277" max="11520" width="9.140625" style="262"/>
    <col min="11521" max="11531" width="14.7109375" style="262" bestFit="1" customWidth="1"/>
    <col min="11532" max="11532" width="4.7109375" style="262" bestFit="1" customWidth="1"/>
    <col min="11533" max="11776" width="9.140625" style="262"/>
    <col min="11777" max="11787" width="14.7109375" style="262" bestFit="1" customWidth="1"/>
    <col min="11788" max="11788" width="4.7109375" style="262" bestFit="1" customWidth="1"/>
    <col min="11789" max="12032" width="9.140625" style="262"/>
    <col min="12033" max="12043" width="14.7109375" style="262" bestFit="1" customWidth="1"/>
    <col min="12044" max="12044" width="4.7109375" style="262" bestFit="1" customWidth="1"/>
    <col min="12045" max="12288" width="9.140625" style="262"/>
    <col min="12289" max="12299" width="14.7109375" style="262" bestFit="1" customWidth="1"/>
    <col min="12300" max="12300" width="4.7109375" style="262" bestFit="1" customWidth="1"/>
    <col min="12301" max="12544" width="9.140625" style="262"/>
    <col min="12545" max="12555" width="14.7109375" style="262" bestFit="1" customWidth="1"/>
    <col min="12556" max="12556" width="4.7109375" style="262" bestFit="1" customWidth="1"/>
    <col min="12557" max="12800" width="9.140625" style="262"/>
    <col min="12801" max="12811" width="14.7109375" style="262" bestFit="1" customWidth="1"/>
    <col min="12812" max="12812" width="4.7109375" style="262" bestFit="1" customWidth="1"/>
    <col min="12813" max="13056" width="9.140625" style="262"/>
    <col min="13057" max="13067" width="14.7109375" style="262" bestFit="1" customWidth="1"/>
    <col min="13068" max="13068" width="4.7109375" style="262" bestFit="1" customWidth="1"/>
    <col min="13069" max="13312" width="9.140625" style="262"/>
    <col min="13313" max="13323" width="14.7109375" style="262" bestFit="1" customWidth="1"/>
    <col min="13324" max="13324" width="4.7109375" style="262" bestFit="1" customWidth="1"/>
    <col min="13325" max="13568" width="9.140625" style="262"/>
    <col min="13569" max="13579" width="14.7109375" style="262" bestFit="1" customWidth="1"/>
    <col min="13580" max="13580" width="4.7109375" style="262" bestFit="1" customWidth="1"/>
    <col min="13581" max="13824" width="9.140625" style="262"/>
    <col min="13825" max="13835" width="14.7109375" style="262" bestFit="1" customWidth="1"/>
    <col min="13836" max="13836" width="4.7109375" style="262" bestFit="1" customWidth="1"/>
    <col min="13837" max="14080" width="9.140625" style="262"/>
    <col min="14081" max="14091" width="14.7109375" style="262" bestFit="1" customWidth="1"/>
    <col min="14092" max="14092" width="4.7109375" style="262" bestFit="1" customWidth="1"/>
    <col min="14093" max="14336" width="9.140625" style="262"/>
    <col min="14337" max="14347" width="14.7109375" style="262" bestFit="1" customWidth="1"/>
    <col min="14348" max="14348" width="4.7109375" style="262" bestFit="1" customWidth="1"/>
    <col min="14349" max="14592" width="9.140625" style="262"/>
    <col min="14593" max="14603" width="14.7109375" style="262" bestFit="1" customWidth="1"/>
    <col min="14604" max="14604" width="4.7109375" style="262" bestFit="1" customWidth="1"/>
    <col min="14605" max="14848" width="9.140625" style="262"/>
    <col min="14849" max="14859" width="14.7109375" style="262" bestFit="1" customWidth="1"/>
    <col min="14860" max="14860" width="4.7109375" style="262" bestFit="1" customWidth="1"/>
    <col min="14861" max="15104" width="9.140625" style="262"/>
    <col min="15105" max="15115" width="14.7109375" style="262" bestFit="1" customWidth="1"/>
    <col min="15116" max="15116" width="4.7109375" style="262" bestFit="1" customWidth="1"/>
    <col min="15117" max="15360" width="9.140625" style="262"/>
    <col min="15361" max="15371" width="14.7109375" style="262" bestFit="1" customWidth="1"/>
    <col min="15372" max="15372" width="4.7109375" style="262" bestFit="1" customWidth="1"/>
    <col min="15373" max="15616" width="9.140625" style="262"/>
    <col min="15617" max="15627" width="14.7109375" style="262" bestFit="1" customWidth="1"/>
    <col min="15628" max="15628" width="4.7109375" style="262" bestFit="1" customWidth="1"/>
    <col min="15629" max="15872" width="9.140625" style="262"/>
    <col min="15873" max="15883" width="14.7109375" style="262" bestFit="1" customWidth="1"/>
    <col min="15884" max="15884" width="4.7109375" style="262" bestFit="1" customWidth="1"/>
    <col min="15885" max="16128" width="9.140625" style="262"/>
    <col min="16129" max="16139" width="14.7109375" style="262" bestFit="1" customWidth="1"/>
    <col min="16140" max="16140" width="4.7109375" style="262" bestFit="1" customWidth="1"/>
    <col min="16141" max="16384" width="9.140625" style="262"/>
  </cols>
  <sheetData>
    <row r="1" spans="1:11" ht="13.5" customHeight="1" x14ac:dyDescent="0.2">
      <c r="A1" s="458" t="s">
        <v>653</v>
      </c>
      <c r="B1" s="458"/>
      <c r="C1" s="458"/>
      <c r="D1" s="458"/>
      <c r="E1" s="458"/>
    </row>
    <row r="2" spans="1:11" s="265" customFormat="1" ht="16.5" customHeight="1" x14ac:dyDescent="0.2">
      <c r="A2" s="363" t="s">
        <v>147</v>
      </c>
      <c r="B2" s="357" t="s">
        <v>654</v>
      </c>
      <c r="C2" s="408"/>
      <c r="D2" s="358"/>
      <c r="E2" s="375" t="s">
        <v>655</v>
      </c>
      <c r="F2" s="376"/>
      <c r="G2" s="377"/>
      <c r="H2" s="357" t="s">
        <v>656</v>
      </c>
      <c r="I2" s="408"/>
      <c r="J2" s="358"/>
      <c r="K2" s="428" t="s">
        <v>657</v>
      </c>
    </row>
    <row r="3" spans="1:11" s="265" customFormat="1" ht="27.75" customHeight="1" x14ac:dyDescent="0.2">
      <c r="A3" s="365"/>
      <c r="B3" s="269" t="s">
        <v>658</v>
      </c>
      <c r="C3" s="269" t="s">
        <v>659</v>
      </c>
      <c r="D3" s="269" t="s">
        <v>150</v>
      </c>
      <c r="E3" s="269" t="s">
        <v>658</v>
      </c>
      <c r="F3" s="269" t="s">
        <v>659</v>
      </c>
      <c r="G3" s="269" t="s">
        <v>150</v>
      </c>
      <c r="H3" s="269" t="s">
        <v>658</v>
      </c>
      <c r="I3" s="269" t="s">
        <v>659</v>
      </c>
      <c r="J3" s="269" t="s">
        <v>150</v>
      </c>
      <c r="K3" s="429"/>
    </row>
    <row r="4" spans="1:11" s="265" customFormat="1" ht="18" customHeight="1" x14ac:dyDescent="0.2">
      <c r="A4" s="266" t="s">
        <v>69</v>
      </c>
      <c r="B4" s="301">
        <v>17382188.937598199</v>
      </c>
      <c r="C4" s="290">
        <v>3616463.0173009299</v>
      </c>
      <c r="D4" s="301">
        <v>20998651.954899099</v>
      </c>
      <c r="E4" s="301">
        <v>17153718.1371799</v>
      </c>
      <c r="F4" s="290">
        <v>3573137.2169523002</v>
      </c>
      <c r="G4" s="301">
        <v>20726855.354132202</v>
      </c>
      <c r="H4" s="290">
        <v>228470.800418256</v>
      </c>
      <c r="I4" s="283">
        <v>43325.800348627003</v>
      </c>
      <c r="J4" s="290">
        <v>271796.60076688201</v>
      </c>
      <c r="K4" s="290">
        <v>2136035.7519891299</v>
      </c>
    </row>
    <row r="5" spans="1:11" s="265" customFormat="1" ht="18" customHeight="1" x14ac:dyDescent="0.2">
      <c r="A5" s="266" t="s">
        <v>70</v>
      </c>
      <c r="B5" s="301">
        <v>19652988.73</v>
      </c>
      <c r="C5" s="290">
        <v>4741373.7489999998</v>
      </c>
      <c r="D5" s="301">
        <v>24394362.48</v>
      </c>
      <c r="E5" s="301">
        <v>19591483.43</v>
      </c>
      <c r="F5" s="290">
        <v>4693177.6440000003</v>
      </c>
      <c r="G5" s="301">
        <v>24284661.079999998</v>
      </c>
      <c r="H5" s="283">
        <v>61505.297250000003</v>
      </c>
      <c r="I5" s="283">
        <v>48196.106100999998</v>
      </c>
      <c r="J5" s="290">
        <v>109701.40330000001</v>
      </c>
      <c r="K5" s="290">
        <v>2379662.9470000002</v>
      </c>
    </row>
    <row r="6" spans="1:11" s="265" customFormat="1" ht="18" customHeight="1" x14ac:dyDescent="0.2">
      <c r="A6" s="266" t="s">
        <v>156</v>
      </c>
      <c r="B6" s="290">
        <v>1416279.7660000001</v>
      </c>
      <c r="C6" s="290">
        <v>302048.59039999999</v>
      </c>
      <c r="D6" s="290">
        <v>1718328.3559999999</v>
      </c>
      <c r="E6" s="290">
        <v>1312070.3459999999</v>
      </c>
      <c r="F6" s="290">
        <v>268829.3676</v>
      </c>
      <c r="G6" s="290">
        <v>1580899.7139999999</v>
      </c>
      <c r="H6" s="290">
        <v>104209.4192</v>
      </c>
      <c r="I6" s="283">
        <v>33219.222835</v>
      </c>
      <c r="J6" s="290">
        <v>137428.64199999999</v>
      </c>
      <c r="K6" s="290">
        <v>2325505.2149999999</v>
      </c>
    </row>
    <row r="7" spans="1:11" s="265" customFormat="1" ht="18" customHeight="1" x14ac:dyDescent="0.2">
      <c r="A7" s="266" t="s">
        <v>157</v>
      </c>
      <c r="B7" s="290">
        <v>1580004.09256196</v>
      </c>
      <c r="C7" s="290">
        <v>358422.45319356001</v>
      </c>
      <c r="D7" s="290">
        <v>1938426.54615552</v>
      </c>
      <c r="E7" s="290">
        <v>1626220.7075958</v>
      </c>
      <c r="F7" s="290">
        <v>362206.82733723999</v>
      </c>
      <c r="G7" s="290">
        <v>1988427.5345330399</v>
      </c>
      <c r="H7" s="283">
        <v>-46216.614233840002</v>
      </c>
      <c r="I7" s="283">
        <v>-3784.3741786800001</v>
      </c>
      <c r="J7" s="283">
        <v>-50000.98837752</v>
      </c>
      <c r="K7" s="290">
        <v>2259578.3408380798</v>
      </c>
    </row>
    <row r="8" spans="1:11" s="265" customFormat="1" ht="18" customHeight="1" x14ac:dyDescent="0.2">
      <c r="A8" s="266" t="s">
        <v>158</v>
      </c>
      <c r="B8" s="290">
        <v>1687434.78922306</v>
      </c>
      <c r="C8" s="290">
        <v>381015.27117361699</v>
      </c>
      <c r="D8" s="290">
        <v>2068450.0603966799</v>
      </c>
      <c r="E8" s="290">
        <v>1651020.53020082</v>
      </c>
      <c r="F8" s="290">
        <v>370954.26343081403</v>
      </c>
      <c r="G8" s="290">
        <v>2021974.79363164</v>
      </c>
      <c r="H8" s="283">
        <v>36414.259022238999</v>
      </c>
      <c r="I8" s="283">
        <v>10061.007742804</v>
      </c>
      <c r="J8" s="283">
        <v>46475.266765043001</v>
      </c>
      <c r="K8" s="290">
        <v>2286400.4995154501</v>
      </c>
    </row>
    <row r="9" spans="1:11" s="265" customFormat="1" ht="18" customHeight="1" x14ac:dyDescent="0.2">
      <c r="A9" s="266" t="s">
        <v>159</v>
      </c>
      <c r="B9" s="290">
        <v>1799448.54255172</v>
      </c>
      <c r="C9" s="290">
        <v>401957.654185049</v>
      </c>
      <c r="D9" s="290">
        <v>2201406.1967367702</v>
      </c>
      <c r="E9" s="290">
        <v>1835653.2608665901</v>
      </c>
      <c r="F9" s="290">
        <v>398380.98202869599</v>
      </c>
      <c r="G9" s="290">
        <v>2234034.24289528</v>
      </c>
      <c r="H9" s="283">
        <v>-36204.718314869002</v>
      </c>
      <c r="I9" s="283">
        <v>3576.672156353</v>
      </c>
      <c r="J9" s="283">
        <v>-32628.046158516001</v>
      </c>
      <c r="K9" s="290">
        <v>2305538.1783008701</v>
      </c>
    </row>
    <row r="10" spans="1:11" s="265" customFormat="1" ht="18" customHeight="1" x14ac:dyDescent="0.2">
      <c r="A10" s="266" t="s">
        <v>160</v>
      </c>
      <c r="B10" s="290">
        <v>1622019.75972244</v>
      </c>
      <c r="C10" s="290">
        <v>357759.54662877799</v>
      </c>
      <c r="D10" s="290">
        <v>1979779.30635121</v>
      </c>
      <c r="E10" s="290">
        <v>1481851.2532011</v>
      </c>
      <c r="F10" s="290">
        <v>323279.09830014099</v>
      </c>
      <c r="G10" s="290">
        <v>1805130.3515012399</v>
      </c>
      <c r="H10" s="290">
        <v>140168.50652134299</v>
      </c>
      <c r="I10" s="283">
        <v>34480.448328635001</v>
      </c>
      <c r="J10" s="290">
        <v>174648.95484997801</v>
      </c>
      <c r="K10" s="290">
        <v>2520429.7517707399</v>
      </c>
    </row>
    <row r="11" spans="1:11" s="265" customFormat="1" ht="18" customHeight="1" x14ac:dyDescent="0.2">
      <c r="A11" s="266" t="s">
        <v>161</v>
      </c>
      <c r="B11" s="290">
        <v>1361955.46907206</v>
      </c>
      <c r="C11" s="290">
        <v>331024.75384053699</v>
      </c>
      <c r="D11" s="290">
        <v>1692980.2229126201</v>
      </c>
      <c r="E11" s="290">
        <v>1560352.3679168201</v>
      </c>
      <c r="F11" s="290">
        <v>362787.02889752702</v>
      </c>
      <c r="G11" s="290">
        <v>1923139.3968143</v>
      </c>
      <c r="H11" s="283">
        <v>-198396.898844757</v>
      </c>
      <c r="I11" s="283">
        <v>-31762.275056990999</v>
      </c>
      <c r="J11" s="283">
        <v>-230159.173901748</v>
      </c>
      <c r="K11" s="290">
        <v>2204422.7037557699</v>
      </c>
    </row>
    <row r="12" spans="1:11" s="265" customFormat="1" ht="18" customHeight="1" x14ac:dyDescent="0.2">
      <c r="A12" s="266" t="s">
        <v>162</v>
      </c>
      <c r="B12" s="290">
        <v>1757449.28798716</v>
      </c>
      <c r="C12" s="290">
        <v>575530.08507155895</v>
      </c>
      <c r="D12" s="290">
        <v>2332979.3730587</v>
      </c>
      <c r="E12" s="290">
        <v>1738122.7857464701</v>
      </c>
      <c r="F12" s="290">
        <v>559326.71465692203</v>
      </c>
      <c r="G12" s="290">
        <v>2297449.5004034</v>
      </c>
      <c r="H12" s="283">
        <v>19326.502240661001</v>
      </c>
      <c r="I12" s="283">
        <v>16203.370414644</v>
      </c>
      <c r="J12" s="283">
        <v>35529.872655304003</v>
      </c>
      <c r="K12" s="290">
        <v>2223559.9199040802</v>
      </c>
    </row>
    <row r="13" spans="1:11" s="265" customFormat="1" ht="18" customHeight="1" x14ac:dyDescent="0.2">
      <c r="A13" s="266" t="s">
        <v>163</v>
      </c>
      <c r="B13" s="290">
        <v>1588398.3200421999</v>
      </c>
      <c r="C13" s="290">
        <v>351181.89506168</v>
      </c>
      <c r="D13" s="290">
        <v>1939580.2151037999</v>
      </c>
      <c r="E13" s="290">
        <v>1462592.7658333001</v>
      </c>
      <c r="F13" s="290">
        <v>334628.9440584</v>
      </c>
      <c r="G13" s="290">
        <v>1797221.7098918001</v>
      </c>
      <c r="H13" s="290">
        <v>125805.55420886401</v>
      </c>
      <c r="I13" s="283">
        <v>16552.951003275</v>
      </c>
      <c r="J13" s="290">
        <v>142358.50521213899</v>
      </c>
      <c r="K13" s="290">
        <v>2403134.38804089</v>
      </c>
    </row>
    <row r="14" spans="1:11" s="265" customFormat="1" ht="18" customHeight="1" x14ac:dyDescent="0.2">
      <c r="A14" s="266" t="s">
        <v>164</v>
      </c>
      <c r="B14" s="290">
        <v>1656191.0642386</v>
      </c>
      <c r="C14" s="290">
        <v>385549.93679372</v>
      </c>
      <c r="D14" s="290">
        <v>2041741.0010323999</v>
      </c>
      <c r="E14" s="290">
        <v>1764970.2309034001</v>
      </c>
      <c r="F14" s="290">
        <v>413721.33083411999</v>
      </c>
      <c r="G14" s="290">
        <v>2178691.5617375001</v>
      </c>
      <c r="H14" s="283">
        <v>-108779.16666477401</v>
      </c>
      <c r="I14" s="283">
        <v>-28171.394040396</v>
      </c>
      <c r="J14" s="283">
        <v>-136950.56070517001</v>
      </c>
      <c r="K14" s="290">
        <v>2285911.71053654</v>
      </c>
    </row>
    <row r="15" spans="1:11" s="265" customFormat="1" ht="18" customHeight="1" x14ac:dyDescent="0.2">
      <c r="A15" s="266" t="s">
        <v>165</v>
      </c>
      <c r="B15" s="290">
        <v>1942529.6331533999</v>
      </c>
      <c r="C15" s="290">
        <v>480153.77714451001</v>
      </c>
      <c r="D15" s="290">
        <v>2422683.4102979</v>
      </c>
      <c r="E15" s="290">
        <v>1899862.4844001001</v>
      </c>
      <c r="F15" s="290">
        <v>457382.28380554001</v>
      </c>
      <c r="G15" s="290">
        <v>2357244.7682055999</v>
      </c>
      <c r="H15" s="283">
        <v>42667.148753351001</v>
      </c>
      <c r="I15" s="283">
        <v>22771.493338966</v>
      </c>
      <c r="J15" s="283">
        <v>65438.642092317998</v>
      </c>
      <c r="K15" s="290">
        <v>2337117.9621591498</v>
      </c>
    </row>
    <row r="16" spans="1:11" s="265" customFormat="1" ht="18" customHeight="1" x14ac:dyDescent="0.2">
      <c r="A16" s="266" t="s">
        <v>166</v>
      </c>
      <c r="B16" s="290">
        <v>1537592.8817133494</v>
      </c>
      <c r="C16" s="290">
        <v>413232.19501420669</v>
      </c>
      <c r="D16" s="290">
        <v>1950825.0767275579</v>
      </c>
      <c r="E16" s="290">
        <v>1557020.533495076</v>
      </c>
      <c r="F16" s="290">
        <v>413887.44505800679</v>
      </c>
      <c r="G16" s="290">
        <v>1970907.9785530828</v>
      </c>
      <c r="H16" s="283">
        <v>-19427.651781726629</v>
      </c>
      <c r="I16" s="283">
        <v>-655.25004380010068</v>
      </c>
      <c r="J16" s="283">
        <v>-20082.901825524867</v>
      </c>
      <c r="K16" s="290">
        <v>2316403.47080294</v>
      </c>
    </row>
    <row r="17" spans="1:11" s="265" customFormat="1" ht="18" customHeight="1" x14ac:dyDescent="0.2">
      <c r="A17" s="266" t="s">
        <v>167</v>
      </c>
      <c r="B17" s="290">
        <v>1703696.7225550413</v>
      </c>
      <c r="C17" s="290">
        <v>403497.59104051813</v>
      </c>
      <c r="D17" s="290">
        <v>2107194.3135955557</v>
      </c>
      <c r="E17" s="290">
        <v>1701757.7654434144</v>
      </c>
      <c r="F17" s="290">
        <v>427793.35744243674</v>
      </c>
      <c r="G17" s="290">
        <v>2129551.1228858493</v>
      </c>
      <c r="H17" s="283">
        <v>1938.9571116268635</v>
      </c>
      <c r="I17" s="283">
        <v>-24295.766401918605</v>
      </c>
      <c r="J17" s="283">
        <v>-22356.809290293604</v>
      </c>
      <c r="K17" s="290">
        <v>2379662.9470000002</v>
      </c>
    </row>
    <row r="18" spans="1:11" s="265" customFormat="1" ht="18.75" customHeight="1" x14ac:dyDescent="0.2">
      <c r="A18" s="353" t="s">
        <v>106</v>
      </c>
      <c r="B18" s="353"/>
      <c r="C18" s="353"/>
      <c r="D18" s="353"/>
      <c r="E18" s="353"/>
    </row>
    <row r="19" spans="1:11" s="265" customFormat="1" ht="18" customHeight="1" x14ac:dyDescent="0.2">
      <c r="A19" s="353" t="s">
        <v>133</v>
      </c>
      <c r="B19" s="353"/>
      <c r="C19" s="353"/>
      <c r="D19" s="353"/>
      <c r="E19" s="353"/>
    </row>
    <row r="20" spans="1:11" s="265" customFormat="1" ht="28.35" customHeight="1" x14ac:dyDescent="0.2"/>
  </sheetData>
  <mergeCells count="8">
    <mergeCell ref="H2:J2"/>
    <mergeCell ref="K2:K3"/>
    <mergeCell ref="A18:E18"/>
    <mergeCell ref="A19:E19"/>
    <mergeCell ref="A1:E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M10"/>
  <sheetViews>
    <sheetView workbookViewId="0">
      <selection activeCell="K6" sqref="K6"/>
    </sheetView>
  </sheetViews>
  <sheetFormatPr defaultRowHeight="12.75" x14ac:dyDescent="0.2"/>
  <cols>
    <col min="1" max="10" width="14.7109375" style="262" bestFit="1" customWidth="1"/>
    <col min="11" max="11" width="14.85546875" style="262" bestFit="1" customWidth="1"/>
    <col min="12" max="12" width="0.28515625" style="262" bestFit="1" customWidth="1"/>
    <col min="13" max="13" width="2.7109375" style="262" bestFit="1" customWidth="1"/>
    <col min="14" max="14" width="4.7109375" style="262" bestFit="1" customWidth="1"/>
    <col min="15" max="256" width="9.140625" style="262"/>
    <col min="257" max="266" width="14.7109375" style="262" bestFit="1" customWidth="1"/>
    <col min="267" max="267" width="14.85546875" style="262" bestFit="1" customWidth="1"/>
    <col min="268" max="268" width="0.28515625" style="262" bestFit="1" customWidth="1"/>
    <col min="269" max="269" width="2.7109375" style="262" bestFit="1" customWidth="1"/>
    <col min="270" max="270" width="4.7109375" style="262" bestFit="1" customWidth="1"/>
    <col min="271" max="512" width="9.140625" style="262"/>
    <col min="513" max="522" width="14.7109375" style="262" bestFit="1" customWidth="1"/>
    <col min="523" max="523" width="14.85546875" style="262" bestFit="1" customWidth="1"/>
    <col min="524" max="524" width="0.28515625" style="262" bestFit="1" customWidth="1"/>
    <col min="525" max="525" width="2.7109375" style="262" bestFit="1" customWidth="1"/>
    <col min="526" max="526" width="4.7109375" style="262" bestFit="1" customWidth="1"/>
    <col min="527" max="768" width="9.140625" style="262"/>
    <col min="769" max="778" width="14.7109375" style="262" bestFit="1" customWidth="1"/>
    <col min="779" max="779" width="14.85546875" style="262" bestFit="1" customWidth="1"/>
    <col min="780" max="780" width="0.28515625" style="262" bestFit="1" customWidth="1"/>
    <col min="781" max="781" width="2.7109375" style="262" bestFit="1" customWidth="1"/>
    <col min="782" max="782" width="4.7109375" style="262" bestFit="1" customWidth="1"/>
    <col min="783" max="1024" width="9.140625" style="262"/>
    <col min="1025" max="1034" width="14.7109375" style="262" bestFit="1" customWidth="1"/>
    <col min="1035" max="1035" width="14.85546875" style="262" bestFit="1" customWidth="1"/>
    <col min="1036" max="1036" width="0.28515625" style="262" bestFit="1" customWidth="1"/>
    <col min="1037" max="1037" width="2.7109375" style="262" bestFit="1" customWidth="1"/>
    <col min="1038" max="1038" width="4.7109375" style="262" bestFit="1" customWidth="1"/>
    <col min="1039" max="1280" width="9.140625" style="262"/>
    <col min="1281" max="1290" width="14.7109375" style="262" bestFit="1" customWidth="1"/>
    <col min="1291" max="1291" width="14.85546875" style="262" bestFit="1" customWidth="1"/>
    <col min="1292" max="1292" width="0.28515625" style="262" bestFit="1" customWidth="1"/>
    <col min="1293" max="1293" width="2.7109375" style="262" bestFit="1" customWidth="1"/>
    <col min="1294" max="1294" width="4.7109375" style="262" bestFit="1" customWidth="1"/>
    <col min="1295" max="1536" width="9.140625" style="262"/>
    <col min="1537" max="1546" width="14.7109375" style="262" bestFit="1" customWidth="1"/>
    <col min="1547" max="1547" width="14.85546875" style="262" bestFit="1" customWidth="1"/>
    <col min="1548" max="1548" width="0.28515625" style="262" bestFit="1" customWidth="1"/>
    <col min="1549" max="1549" width="2.7109375" style="262" bestFit="1" customWidth="1"/>
    <col min="1550" max="1550" width="4.7109375" style="262" bestFit="1" customWidth="1"/>
    <col min="1551" max="1792" width="9.140625" style="262"/>
    <col min="1793" max="1802" width="14.7109375" style="262" bestFit="1" customWidth="1"/>
    <col min="1803" max="1803" width="14.85546875" style="262" bestFit="1" customWidth="1"/>
    <col min="1804" max="1804" width="0.28515625" style="262" bestFit="1" customWidth="1"/>
    <col min="1805" max="1805" width="2.7109375" style="262" bestFit="1" customWidth="1"/>
    <col min="1806" max="1806" width="4.7109375" style="262" bestFit="1" customWidth="1"/>
    <col min="1807" max="2048" width="9.140625" style="262"/>
    <col min="2049" max="2058" width="14.7109375" style="262" bestFit="1" customWidth="1"/>
    <col min="2059" max="2059" width="14.85546875" style="262" bestFit="1" customWidth="1"/>
    <col min="2060" max="2060" width="0.28515625" style="262" bestFit="1" customWidth="1"/>
    <col min="2061" max="2061" width="2.7109375" style="262" bestFit="1" customWidth="1"/>
    <col min="2062" max="2062" width="4.7109375" style="262" bestFit="1" customWidth="1"/>
    <col min="2063" max="2304" width="9.140625" style="262"/>
    <col min="2305" max="2314" width="14.7109375" style="262" bestFit="1" customWidth="1"/>
    <col min="2315" max="2315" width="14.85546875" style="262" bestFit="1" customWidth="1"/>
    <col min="2316" max="2316" width="0.28515625" style="262" bestFit="1" customWidth="1"/>
    <col min="2317" max="2317" width="2.7109375" style="262" bestFit="1" customWidth="1"/>
    <col min="2318" max="2318" width="4.7109375" style="262" bestFit="1" customWidth="1"/>
    <col min="2319" max="2560" width="9.140625" style="262"/>
    <col min="2561" max="2570" width="14.7109375" style="262" bestFit="1" customWidth="1"/>
    <col min="2571" max="2571" width="14.85546875" style="262" bestFit="1" customWidth="1"/>
    <col min="2572" max="2572" width="0.28515625" style="262" bestFit="1" customWidth="1"/>
    <col min="2573" max="2573" width="2.7109375" style="262" bestFit="1" customWidth="1"/>
    <col min="2574" max="2574" width="4.7109375" style="262" bestFit="1" customWidth="1"/>
    <col min="2575" max="2816" width="9.140625" style="262"/>
    <col min="2817" max="2826" width="14.7109375" style="262" bestFit="1" customWidth="1"/>
    <col min="2827" max="2827" width="14.85546875" style="262" bestFit="1" customWidth="1"/>
    <col min="2828" max="2828" width="0.28515625" style="262" bestFit="1" customWidth="1"/>
    <col min="2829" max="2829" width="2.7109375" style="262" bestFit="1" customWidth="1"/>
    <col min="2830" max="2830" width="4.7109375" style="262" bestFit="1" customWidth="1"/>
    <col min="2831" max="3072" width="9.140625" style="262"/>
    <col min="3073" max="3082" width="14.7109375" style="262" bestFit="1" customWidth="1"/>
    <col min="3083" max="3083" width="14.85546875" style="262" bestFit="1" customWidth="1"/>
    <col min="3084" max="3084" width="0.28515625" style="262" bestFit="1" customWidth="1"/>
    <col min="3085" max="3085" width="2.7109375" style="262" bestFit="1" customWidth="1"/>
    <col min="3086" max="3086" width="4.7109375" style="262" bestFit="1" customWidth="1"/>
    <col min="3087" max="3328" width="9.140625" style="262"/>
    <col min="3329" max="3338" width="14.7109375" style="262" bestFit="1" customWidth="1"/>
    <col min="3339" max="3339" width="14.85546875" style="262" bestFit="1" customWidth="1"/>
    <col min="3340" max="3340" width="0.28515625" style="262" bestFit="1" customWidth="1"/>
    <col min="3341" max="3341" width="2.7109375" style="262" bestFit="1" customWidth="1"/>
    <col min="3342" max="3342" width="4.7109375" style="262" bestFit="1" customWidth="1"/>
    <col min="3343" max="3584" width="9.140625" style="262"/>
    <col min="3585" max="3594" width="14.7109375" style="262" bestFit="1" customWidth="1"/>
    <col min="3595" max="3595" width="14.85546875" style="262" bestFit="1" customWidth="1"/>
    <col min="3596" max="3596" width="0.28515625" style="262" bestFit="1" customWidth="1"/>
    <col min="3597" max="3597" width="2.7109375" style="262" bestFit="1" customWidth="1"/>
    <col min="3598" max="3598" width="4.7109375" style="262" bestFit="1" customWidth="1"/>
    <col min="3599" max="3840" width="9.140625" style="262"/>
    <col min="3841" max="3850" width="14.7109375" style="262" bestFit="1" customWidth="1"/>
    <col min="3851" max="3851" width="14.85546875" style="262" bestFit="1" customWidth="1"/>
    <col min="3852" max="3852" width="0.28515625" style="262" bestFit="1" customWidth="1"/>
    <col min="3853" max="3853" width="2.7109375" style="262" bestFit="1" customWidth="1"/>
    <col min="3854" max="3854" width="4.7109375" style="262" bestFit="1" customWidth="1"/>
    <col min="3855" max="4096" width="9.140625" style="262"/>
    <col min="4097" max="4106" width="14.7109375" style="262" bestFit="1" customWidth="1"/>
    <col min="4107" max="4107" width="14.85546875" style="262" bestFit="1" customWidth="1"/>
    <col min="4108" max="4108" width="0.28515625" style="262" bestFit="1" customWidth="1"/>
    <col min="4109" max="4109" width="2.7109375" style="262" bestFit="1" customWidth="1"/>
    <col min="4110" max="4110" width="4.7109375" style="262" bestFit="1" customWidth="1"/>
    <col min="4111" max="4352" width="9.140625" style="262"/>
    <col min="4353" max="4362" width="14.7109375" style="262" bestFit="1" customWidth="1"/>
    <col min="4363" max="4363" width="14.85546875" style="262" bestFit="1" customWidth="1"/>
    <col min="4364" max="4364" width="0.28515625" style="262" bestFit="1" customWidth="1"/>
    <col min="4365" max="4365" width="2.7109375" style="262" bestFit="1" customWidth="1"/>
    <col min="4366" max="4366" width="4.7109375" style="262" bestFit="1" customWidth="1"/>
    <col min="4367" max="4608" width="9.140625" style="262"/>
    <col min="4609" max="4618" width="14.7109375" style="262" bestFit="1" customWidth="1"/>
    <col min="4619" max="4619" width="14.85546875" style="262" bestFit="1" customWidth="1"/>
    <col min="4620" max="4620" width="0.28515625" style="262" bestFit="1" customWidth="1"/>
    <col min="4621" max="4621" width="2.7109375" style="262" bestFit="1" customWidth="1"/>
    <col min="4622" max="4622" width="4.7109375" style="262" bestFit="1" customWidth="1"/>
    <col min="4623" max="4864" width="9.140625" style="262"/>
    <col min="4865" max="4874" width="14.7109375" style="262" bestFit="1" customWidth="1"/>
    <col min="4875" max="4875" width="14.85546875" style="262" bestFit="1" customWidth="1"/>
    <col min="4876" max="4876" width="0.28515625" style="262" bestFit="1" customWidth="1"/>
    <col min="4877" max="4877" width="2.7109375" style="262" bestFit="1" customWidth="1"/>
    <col min="4878" max="4878" width="4.7109375" style="262" bestFit="1" customWidth="1"/>
    <col min="4879" max="5120" width="9.140625" style="262"/>
    <col min="5121" max="5130" width="14.7109375" style="262" bestFit="1" customWidth="1"/>
    <col min="5131" max="5131" width="14.85546875" style="262" bestFit="1" customWidth="1"/>
    <col min="5132" max="5132" width="0.28515625" style="262" bestFit="1" customWidth="1"/>
    <col min="5133" max="5133" width="2.7109375" style="262" bestFit="1" customWidth="1"/>
    <col min="5134" max="5134" width="4.7109375" style="262" bestFit="1" customWidth="1"/>
    <col min="5135" max="5376" width="9.140625" style="262"/>
    <col min="5377" max="5386" width="14.7109375" style="262" bestFit="1" customWidth="1"/>
    <col min="5387" max="5387" width="14.85546875" style="262" bestFit="1" customWidth="1"/>
    <col min="5388" max="5388" width="0.28515625" style="262" bestFit="1" customWidth="1"/>
    <col min="5389" max="5389" width="2.7109375" style="262" bestFit="1" customWidth="1"/>
    <col min="5390" max="5390" width="4.7109375" style="262" bestFit="1" customWidth="1"/>
    <col min="5391" max="5632" width="9.140625" style="262"/>
    <col min="5633" max="5642" width="14.7109375" style="262" bestFit="1" customWidth="1"/>
    <col min="5643" max="5643" width="14.85546875" style="262" bestFit="1" customWidth="1"/>
    <col min="5644" max="5644" width="0.28515625" style="262" bestFit="1" customWidth="1"/>
    <col min="5645" max="5645" width="2.7109375" style="262" bestFit="1" customWidth="1"/>
    <col min="5646" max="5646" width="4.7109375" style="262" bestFit="1" customWidth="1"/>
    <col min="5647" max="5888" width="9.140625" style="262"/>
    <col min="5889" max="5898" width="14.7109375" style="262" bestFit="1" customWidth="1"/>
    <col min="5899" max="5899" width="14.85546875" style="262" bestFit="1" customWidth="1"/>
    <col min="5900" max="5900" width="0.28515625" style="262" bestFit="1" customWidth="1"/>
    <col min="5901" max="5901" width="2.7109375" style="262" bestFit="1" customWidth="1"/>
    <col min="5902" max="5902" width="4.7109375" style="262" bestFit="1" customWidth="1"/>
    <col min="5903" max="6144" width="9.140625" style="262"/>
    <col min="6145" max="6154" width="14.7109375" style="262" bestFit="1" customWidth="1"/>
    <col min="6155" max="6155" width="14.85546875" style="262" bestFit="1" customWidth="1"/>
    <col min="6156" max="6156" width="0.28515625" style="262" bestFit="1" customWidth="1"/>
    <col min="6157" max="6157" width="2.7109375" style="262" bestFit="1" customWidth="1"/>
    <col min="6158" max="6158" width="4.7109375" style="262" bestFit="1" customWidth="1"/>
    <col min="6159" max="6400" width="9.140625" style="262"/>
    <col min="6401" max="6410" width="14.7109375" style="262" bestFit="1" customWidth="1"/>
    <col min="6411" max="6411" width="14.85546875" style="262" bestFit="1" customWidth="1"/>
    <col min="6412" max="6412" width="0.28515625" style="262" bestFit="1" customWidth="1"/>
    <col min="6413" max="6413" width="2.7109375" style="262" bestFit="1" customWidth="1"/>
    <col min="6414" max="6414" width="4.7109375" style="262" bestFit="1" customWidth="1"/>
    <col min="6415" max="6656" width="9.140625" style="262"/>
    <col min="6657" max="6666" width="14.7109375" style="262" bestFit="1" customWidth="1"/>
    <col min="6667" max="6667" width="14.85546875" style="262" bestFit="1" customWidth="1"/>
    <col min="6668" max="6668" width="0.28515625" style="262" bestFit="1" customWidth="1"/>
    <col min="6669" max="6669" width="2.7109375" style="262" bestFit="1" customWidth="1"/>
    <col min="6670" max="6670" width="4.7109375" style="262" bestFit="1" customWidth="1"/>
    <col min="6671" max="6912" width="9.140625" style="262"/>
    <col min="6913" max="6922" width="14.7109375" style="262" bestFit="1" customWidth="1"/>
    <col min="6923" max="6923" width="14.85546875" style="262" bestFit="1" customWidth="1"/>
    <col min="6924" max="6924" width="0.28515625" style="262" bestFit="1" customWidth="1"/>
    <col min="6925" max="6925" width="2.7109375" style="262" bestFit="1" customWidth="1"/>
    <col min="6926" max="6926" width="4.7109375" style="262" bestFit="1" customWidth="1"/>
    <col min="6927" max="7168" width="9.140625" style="262"/>
    <col min="7169" max="7178" width="14.7109375" style="262" bestFit="1" customWidth="1"/>
    <col min="7179" max="7179" width="14.85546875" style="262" bestFit="1" customWidth="1"/>
    <col min="7180" max="7180" width="0.28515625" style="262" bestFit="1" customWidth="1"/>
    <col min="7181" max="7181" width="2.7109375" style="262" bestFit="1" customWidth="1"/>
    <col min="7182" max="7182" width="4.7109375" style="262" bestFit="1" customWidth="1"/>
    <col min="7183" max="7424" width="9.140625" style="262"/>
    <col min="7425" max="7434" width="14.7109375" style="262" bestFit="1" customWidth="1"/>
    <col min="7435" max="7435" width="14.85546875" style="262" bestFit="1" customWidth="1"/>
    <col min="7436" max="7436" width="0.28515625" style="262" bestFit="1" customWidth="1"/>
    <col min="7437" max="7437" width="2.7109375" style="262" bestFit="1" customWidth="1"/>
    <col min="7438" max="7438" width="4.7109375" style="262" bestFit="1" customWidth="1"/>
    <col min="7439" max="7680" width="9.140625" style="262"/>
    <col min="7681" max="7690" width="14.7109375" style="262" bestFit="1" customWidth="1"/>
    <col min="7691" max="7691" width="14.85546875" style="262" bestFit="1" customWidth="1"/>
    <col min="7692" max="7692" width="0.28515625" style="262" bestFit="1" customWidth="1"/>
    <col min="7693" max="7693" width="2.7109375" style="262" bestFit="1" customWidth="1"/>
    <col min="7694" max="7694" width="4.7109375" style="262" bestFit="1" customWidth="1"/>
    <col min="7695" max="7936" width="9.140625" style="262"/>
    <col min="7937" max="7946" width="14.7109375" style="262" bestFit="1" customWidth="1"/>
    <col min="7947" max="7947" width="14.85546875" style="262" bestFit="1" customWidth="1"/>
    <col min="7948" max="7948" width="0.28515625" style="262" bestFit="1" customWidth="1"/>
    <col min="7949" max="7949" width="2.7109375" style="262" bestFit="1" customWidth="1"/>
    <col min="7950" max="7950" width="4.7109375" style="262" bestFit="1" customWidth="1"/>
    <col min="7951" max="8192" width="9.140625" style="262"/>
    <col min="8193" max="8202" width="14.7109375" style="262" bestFit="1" customWidth="1"/>
    <col min="8203" max="8203" width="14.85546875" style="262" bestFit="1" customWidth="1"/>
    <col min="8204" max="8204" width="0.28515625" style="262" bestFit="1" customWidth="1"/>
    <col min="8205" max="8205" width="2.7109375" style="262" bestFit="1" customWidth="1"/>
    <col min="8206" max="8206" width="4.7109375" style="262" bestFit="1" customWidth="1"/>
    <col min="8207" max="8448" width="9.140625" style="262"/>
    <col min="8449" max="8458" width="14.7109375" style="262" bestFit="1" customWidth="1"/>
    <col min="8459" max="8459" width="14.85546875" style="262" bestFit="1" customWidth="1"/>
    <col min="8460" max="8460" width="0.28515625" style="262" bestFit="1" customWidth="1"/>
    <col min="8461" max="8461" width="2.7109375" style="262" bestFit="1" customWidth="1"/>
    <col min="8462" max="8462" width="4.7109375" style="262" bestFit="1" customWidth="1"/>
    <col min="8463" max="8704" width="9.140625" style="262"/>
    <col min="8705" max="8714" width="14.7109375" style="262" bestFit="1" customWidth="1"/>
    <col min="8715" max="8715" width="14.85546875" style="262" bestFit="1" customWidth="1"/>
    <col min="8716" max="8716" width="0.28515625" style="262" bestFit="1" customWidth="1"/>
    <col min="8717" max="8717" width="2.7109375" style="262" bestFit="1" customWidth="1"/>
    <col min="8718" max="8718" width="4.7109375" style="262" bestFit="1" customWidth="1"/>
    <col min="8719" max="8960" width="9.140625" style="262"/>
    <col min="8961" max="8970" width="14.7109375" style="262" bestFit="1" customWidth="1"/>
    <col min="8971" max="8971" width="14.85546875" style="262" bestFit="1" customWidth="1"/>
    <col min="8972" max="8972" width="0.28515625" style="262" bestFit="1" customWidth="1"/>
    <col min="8973" max="8973" width="2.7109375" style="262" bestFit="1" customWidth="1"/>
    <col min="8974" max="8974" width="4.7109375" style="262" bestFit="1" customWidth="1"/>
    <col min="8975" max="9216" width="9.140625" style="262"/>
    <col min="9217" max="9226" width="14.7109375" style="262" bestFit="1" customWidth="1"/>
    <col min="9227" max="9227" width="14.85546875" style="262" bestFit="1" customWidth="1"/>
    <col min="9228" max="9228" width="0.28515625" style="262" bestFit="1" customWidth="1"/>
    <col min="9229" max="9229" width="2.7109375" style="262" bestFit="1" customWidth="1"/>
    <col min="9230" max="9230" width="4.7109375" style="262" bestFit="1" customWidth="1"/>
    <col min="9231" max="9472" width="9.140625" style="262"/>
    <col min="9473" max="9482" width="14.7109375" style="262" bestFit="1" customWidth="1"/>
    <col min="9483" max="9483" width="14.85546875" style="262" bestFit="1" customWidth="1"/>
    <col min="9484" max="9484" width="0.28515625" style="262" bestFit="1" customWidth="1"/>
    <col min="9485" max="9485" width="2.7109375" style="262" bestFit="1" customWidth="1"/>
    <col min="9486" max="9486" width="4.7109375" style="262" bestFit="1" customWidth="1"/>
    <col min="9487" max="9728" width="9.140625" style="262"/>
    <col min="9729" max="9738" width="14.7109375" style="262" bestFit="1" customWidth="1"/>
    <col min="9739" max="9739" width="14.85546875" style="262" bestFit="1" customWidth="1"/>
    <col min="9740" max="9740" width="0.28515625" style="262" bestFit="1" customWidth="1"/>
    <col min="9741" max="9741" width="2.7109375" style="262" bestFit="1" customWidth="1"/>
    <col min="9742" max="9742" width="4.7109375" style="262" bestFit="1" customWidth="1"/>
    <col min="9743" max="9984" width="9.140625" style="262"/>
    <col min="9985" max="9994" width="14.7109375" style="262" bestFit="1" customWidth="1"/>
    <col min="9995" max="9995" width="14.85546875" style="262" bestFit="1" customWidth="1"/>
    <col min="9996" max="9996" width="0.28515625" style="262" bestFit="1" customWidth="1"/>
    <col min="9997" max="9997" width="2.7109375" style="262" bestFit="1" customWidth="1"/>
    <col min="9998" max="9998" width="4.7109375" style="262" bestFit="1" customWidth="1"/>
    <col min="9999" max="10240" width="9.140625" style="262"/>
    <col min="10241" max="10250" width="14.7109375" style="262" bestFit="1" customWidth="1"/>
    <col min="10251" max="10251" width="14.85546875" style="262" bestFit="1" customWidth="1"/>
    <col min="10252" max="10252" width="0.28515625" style="262" bestFit="1" customWidth="1"/>
    <col min="10253" max="10253" width="2.7109375" style="262" bestFit="1" customWidth="1"/>
    <col min="10254" max="10254" width="4.7109375" style="262" bestFit="1" customWidth="1"/>
    <col min="10255" max="10496" width="9.140625" style="262"/>
    <col min="10497" max="10506" width="14.7109375" style="262" bestFit="1" customWidth="1"/>
    <col min="10507" max="10507" width="14.85546875" style="262" bestFit="1" customWidth="1"/>
    <col min="10508" max="10508" width="0.28515625" style="262" bestFit="1" customWidth="1"/>
    <col min="10509" max="10509" width="2.7109375" style="262" bestFit="1" customWidth="1"/>
    <col min="10510" max="10510" width="4.7109375" style="262" bestFit="1" customWidth="1"/>
    <col min="10511" max="10752" width="9.140625" style="262"/>
    <col min="10753" max="10762" width="14.7109375" style="262" bestFit="1" customWidth="1"/>
    <col min="10763" max="10763" width="14.85546875" style="262" bestFit="1" customWidth="1"/>
    <col min="10764" max="10764" width="0.28515625" style="262" bestFit="1" customWidth="1"/>
    <col min="10765" max="10765" width="2.7109375" style="262" bestFit="1" customWidth="1"/>
    <col min="10766" max="10766" width="4.7109375" style="262" bestFit="1" customWidth="1"/>
    <col min="10767" max="11008" width="9.140625" style="262"/>
    <col min="11009" max="11018" width="14.7109375" style="262" bestFit="1" customWidth="1"/>
    <col min="11019" max="11019" width="14.85546875" style="262" bestFit="1" customWidth="1"/>
    <col min="11020" max="11020" width="0.28515625" style="262" bestFit="1" customWidth="1"/>
    <col min="11021" max="11021" width="2.7109375" style="262" bestFit="1" customWidth="1"/>
    <col min="11022" max="11022" width="4.7109375" style="262" bestFit="1" customWidth="1"/>
    <col min="11023" max="11264" width="9.140625" style="262"/>
    <col min="11265" max="11274" width="14.7109375" style="262" bestFit="1" customWidth="1"/>
    <col min="11275" max="11275" width="14.85546875" style="262" bestFit="1" customWidth="1"/>
    <col min="11276" max="11276" width="0.28515625" style="262" bestFit="1" customWidth="1"/>
    <col min="11277" max="11277" width="2.7109375" style="262" bestFit="1" customWidth="1"/>
    <col min="11278" max="11278" width="4.7109375" style="262" bestFit="1" customWidth="1"/>
    <col min="11279" max="11520" width="9.140625" style="262"/>
    <col min="11521" max="11530" width="14.7109375" style="262" bestFit="1" customWidth="1"/>
    <col min="11531" max="11531" width="14.85546875" style="262" bestFit="1" customWidth="1"/>
    <col min="11532" max="11532" width="0.28515625" style="262" bestFit="1" customWidth="1"/>
    <col min="11533" max="11533" width="2.7109375" style="262" bestFit="1" customWidth="1"/>
    <col min="11534" max="11534" width="4.7109375" style="262" bestFit="1" customWidth="1"/>
    <col min="11535" max="11776" width="9.140625" style="262"/>
    <col min="11777" max="11786" width="14.7109375" style="262" bestFit="1" customWidth="1"/>
    <col min="11787" max="11787" width="14.85546875" style="262" bestFit="1" customWidth="1"/>
    <col min="11788" max="11788" width="0.28515625" style="262" bestFit="1" customWidth="1"/>
    <col min="11789" max="11789" width="2.7109375" style="262" bestFit="1" customWidth="1"/>
    <col min="11790" max="11790" width="4.7109375" style="262" bestFit="1" customWidth="1"/>
    <col min="11791" max="12032" width="9.140625" style="262"/>
    <col min="12033" max="12042" width="14.7109375" style="262" bestFit="1" customWidth="1"/>
    <col min="12043" max="12043" width="14.85546875" style="262" bestFit="1" customWidth="1"/>
    <col min="12044" max="12044" width="0.28515625" style="262" bestFit="1" customWidth="1"/>
    <col min="12045" max="12045" width="2.7109375" style="262" bestFit="1" customWidth="1"/>
    <col min="12046" max="12046" width="4.7109375" style="262" bestFit="1" customWidth="1"/>
    <col min="12047" max="12288" width="9.140625" style="262"/>
    <col min="12289" max="12298" width="14.7109375" style="262" bestFit="1" customWidth="1"/>
    <col min="12299" max="12299" width="14.85546875" style="262" bestFit="1" customWidth="1"/>
    <col min="12300" max="12300" width="0.28515625" style="262" bestFit="1" customWidth="1"/>
    <col min="12301" max="12301" width="2.7109375" style="262" bestFit="1" customWidth="1"/>
    <col min="12302" max="12302" width="4.7109375" style="262" bestFit="1" customWidth="1"/>
    <col min="12303" max="12544" width="9.140625" style="262"/>
    <col min="12545" max="12554" width="14.7109375" style="262" bestFit="1" customWidth="1"/>
    <col min="12555" max="12555" width="14.85546875" style="262" bestFit="1" customWidth="1"/>
    <col min="12556" max="12556" width="0.28515625" style="262" bestFit="1" customWidth="1"/>
    <col min="12557" max="12557" width="2.7109375" style="262" bestFit="1" customWidth="1"/>
    <col min="12558" max="12558" width="4.7109375" style="262" bestFit="1" customWidth="1"/>
    <col min="12559" max="12800" width="9.140625" style="262"/>
    <col min="12801" max="12810" width="14.7109375" style="262" bestFit="1" customWidth="1"/>
    <col min="12811" max="12811" width="14.85546875" style="262" bestFit="1" customWidth="1"/>
    <col min="12812" max="12812" width="0.28515625" style="262" bestFit="1" customWidth="1"/>
    <col min="12813" max="12813" width="2.7109375" style="262" bestFit="1" customWidth="1"/>
    <col min="12814" max="12814" width="4.7109375" style="262" bestFit="1" customWidth="1"/>
    <col min="12815" max="13056" width="9.140625" style="262"/>
    <col min="13057" max="13066" width="14.7109375" style="262" bestFit="1" customWidth="1"/>
    <col min="13067" max="13067" width="14.85546875" style="262" bestFit="1" customWidth="1"/>
    <col min="13068" max="13068" width="0.28515625" style="262" bestFit="1" customWidth="1"/>
    <col min="13069" max="13069" width="2.7109375" style="262" bestFit="1" customWidth="1"/>
    <col min="13070" max="13070" width="4.7109375" style="262" bestFit="1" customWidth="1"/>
    <col min="13071" max="13312" width="9.140625" style="262"/>
    <col min="13313" max="13322" width="14.7109375" style="262" bestFit="1" customWidth="1"/>
    <col min="13323" max="13323" width="14.85546875" style="262" bestFit="1" customWidth="1"/>
    <col min="13324" max="13324" width="0.28515625" style="262" bestFit="1" customWidth="1"/>
    <col min="13325" max="13325" width="2.7109375" style="262" bestFit="1" customWidth="1"/>
    <col min="13326" max="13326" width="4.7109375" style="262" bestFit="1" customWidth="1"/>
    <col min="13327" max="13568" width="9.140625" style="262"/>
    <col min="13569" max="13578" width="14.7109375" style="262" bestFit="1" customWidth="1"/>
    <col min="13579" max="13579" width="14.85546875" style="262" bestFit="1" customWidth="1"/>
    <col min="13580" max="13580" width="0.28515625" style="262" bestFit="1" customWidth="1"/>
    <col min="13581" max="13581" width="2.7109375" style="262" bestFit="1" customWidth="1"/>
    <col min="13582" max="13582" width="4.7109375" style="262" bestFit="1" customWidth="1"/>
    <col min="13583" max="13824" width="9.140625" style="262"/>
    <col min="13825" max="13834" width="14.7109375" style="262" bestFit="1" customWidth="1"/>
    <col min="13835" max="13835" width="14.85546875" style="262" bestFit="1" customWidth="1"/>
    <col min="13836" max="13836" width="0.28515625" style="262" bestFit="1" customWidth="1"/>
    <col min="13837" max="13837" width="2.7109375" style="262" bestFit="1" customWidth="1"/>
    <col min="13838" max="13838" width="4.7109375" style="262" bestFit="1" customWidth="1"/>
    <col min="13839" max="14080" width="9.140625" style="262"/>
    <col min="14081" max="14090" width="14.7109375" style="262" bestFit="1" customWidth="1"/>
    <col min="14091" max="14091" width="14.85546875" style="262" bestFit="1" customWidth="1"/>
    <col min="14092" max="14092" width="0.28515625" style="262" bestFit="1" customWidth="1"/>
    <col min="14093" max="14093" width="2.7109375" style="262" bestFit="1" customWidth="1"/>
    <col min="14094" max="14094" width="4.7109375" style="262" bestFit="1" customWidth="1"/>
    <col min="14095" max="14336" width="9.140625" style="262"/>
    <col min="14337" max="14346" width="14.7109375" style="262" bestFit="1" customWidth="1"/>
    <col min="14347" max="14347" width="14.85546875" style="262" bestFit="1" customWidth="1"/>
    <col min="14348" max="14348" width="0.28515625" style="262" bestFit="1" customWidth="1"/>
    <col min="14349" max="14349" width="2.7109375" style="262" bestFit="1" customWidth="1"/>
    <col min="14350" max="14350" width="4.7109375" style="262" bestFit="1" customWidth="1"/>
    <col min="14351" max="14592" width="9.140625" style="262"/>
    <col min="14593" max="14602" width="14.7109375" style="262" bestFit="1" customWidth="1"/>
    <col min="14603" max="14603" width="14.85546875" style="262" bestFit="1" customWidth="1"/>
    <col min="14604" max="14604" width="0.28515625" style="262" bestFit="1" customWidth="1"/>
    <col min="14605" max="14605" width="2.7109375" style="262" bestFit="1" customWidth="1"/>
    <col min="14606" max="14606" width="4.7109375" style="262" bestFit="1" customWidth="1"/>
    <col min="14607" max="14848" width="9.140625" style="262"/>
    <col min="14849" max="14858" width="14.7109375" style="262" bestFit="1" customWidth="1"/>
    <col min="14859" max="14859" width="14.85546875" style="262" bestFit="1" customWidth="1"/>
    <col min="14860" max="14860" width="0.28515625" style="262" bestFit="1" customWidth="1"/>
    <col min="14861" max="14861" width="2.7109375" style="262" bestFit="1" customWidth="1"/>
    <col min="14862" max="14862" width="4.7109375" style="262" bestFit="1" customWidth="1"/>
    <col min="14863" max="15104" width="9.140625" style="262"/>
    <col min="15105" max="15114" width="14.7109375" style="262" bestFit="1" customWidth="1"/>
    <col min="15115" max="15115" width="14.85546875" style="262" bestFit="1" customWidth="1"/>
    <col min="15116" max="15116" width="0.28515625" style="262" bestFit="1" customWidth="1"/>
    <col min="15117" max="15117" width="2.7109375" style="262" bestFit="1" customWidth="1"/>
    <col min="15118" max="15118" width="4.7109375" style="262" bestFit="1" customWidth="1"/>
    <col min="15119" max="15360" width="9.140625" style="262"/>
    <col min="15361" max="15370" width="14.7109375" style="262" bestFit="1" customWidth="1"/>
    <col min="15371" max="15371" width="14.85546875" style="262" bestFit="1" customWidth="1"/>
    <col min="15372" max="15372" width="0.28515625" style="262" bestFit="1" customWidth="1"/>
    <col min="15373" max="15373" width="2.7109375" style="262" bestFit="1" customWidth="1"/>
    <col min="15374" max="15374" width="4.7109375" style="262" bestFit="1" customWidth="1"/>
    <col min="15375" max="15616" width="9.140625" style="262"/>
    <col min="15617" max="15626" width="14.7109375" style="262" bestFit="1" customWidth="1"/>
    <col min="15627" max="15627" width="14.85546875" style="262" bestFit="1" customWidth="1"/>
    <col min="15628" max="15628" width="0.28515625" style="262" bestFit="1" customWidth="1"/>
    <col min="15629" max="15629" width="2.7109375" style="262" bestFit="1" customWidth="1"/>
    <col min="15630" max="15630" width="4.7109375" style="262" bestFit="1" customWidth="1"/>
    <col min="15631" max="15872" width="9.140625" style="262"/>
    <col min="15873" max="15882" width="14.7109375" style="262" bestFit="1" customWidth="1"/>
    <col min="15883" max="15883" width="14.85546875" style="262" bestFit="1" customWidth="1"/>
    <col min="15884" max="15884" width="0.28515625" style="262" bestFit="1" customWidth="1"/>
    <col min="15885" max="15885" width="2.7109375" style="262" bestFit="1" customWidth="1"/>
    <col min="15886" max="15886" width="4.7109375" style="262" bestFit="1" customWidth="1"/>
    <col min="15887" max="16128" width="9.140625" style="262"/>
    <col min="16129" max="16138" width="14.7109375" style="262" bestFit="1" customWidth="1"/>
    <col min="16139" max="16139" width="14.85546875" style="262" bestFit="1" customWidth="1"/>
    <col min="16140" max="16140" width="0.28515625" style="262" bestFit="1" customWidth="1"/>
    <col min="16141" max="16141" width="2.7109375" style="262" bestFit="1" customWidth="1"/>
    <col min="16142" max="16142" width="4.7109375" style="262" bestFit="1" customWidth="1"/>
    <col min="16143" max="16384" width="9.140625" style="262"/>
  </cols>
  <sheetData>
    <row r="1" spans="1:13" ht="15" customHeight="1" x14ac:dyDescent="0.2">
      <c r="A1" s="430" t="s">
        <v>660</v>
      </c>
      <c r="B1" s="430"/>
      <c r="C1" s="430"/>
      <c r="D1" s="430"/>
      <c r="E1" s="430"/>
      <c r="F1" s="430"/>
      <c r="G1" s="430"/>
      <c r="H1" s="430"/>
      <c r="I1" s="430"/>
      <c r="J1" s="430"/>
      <c r="K1" s="430"/>
      <c r="L1" s="430"/>
      <c r="M1" s="430"/>
    </row>
    <row r="2" spans="1:13" s="265" customFormat="1" ht="19.5" customHeight="1" x14ac:dyDescent="0.2">
      <c r="A2" s="363" t="s">
        <v>661</v>
      </c>
      <c r="B2" s="375" t="s">
        <v>69</v>
      </c>
      <c r="C2" s="376"/>
      <c r="D2" s="377"/>
      <c r="E2" s="375" t="s">
        <v>70</v>
      </c>
      <c r="F2" s="376"/>
      <c r="G2" s="377"/>
      <c r="H2" s="375" t="s">
        <v>198</v>
      </c>
      <c r="I2" s="376"/>
      <c r="J2" s="377"/>
      <c r="K2" s="459" t="s">
        <v>662</v>
      </c>
      <c r="L2" s="461"/>
    </row>
    <row r="3" spans="1:13" s="265" customFormat="1" ht="30.75" customHeight="1" x14ac:dyDescent="0.2">
      <c r="A3" s="365"/>
      <c r="B3" s="263" t="s">
        <v>663</v>
      </c>
      <c r="C3" s="263" t="s">
        <v>664</v>
      </c>
      <c r="D3" s="263" t="s">
        <v>665</v>
      </c>
      <c r="E3" s="263" t="s">
        <v>663</v>
      </c>
      <c r="F3" s="263" t="s">
        <v>664</v>
      </c>
      <c r="G3" s="263" t="s">
        <v>665</v>
      </c>
      <c r="H3" s="263" t="s">
        <v>663</v>
      </c>
      <c r="I3" s="263" t="s">
        <v>664</v>
      </c>
      <c r="J3" s="263" t="s">
        <v>665</v>
      </c>
      <c r="K3" s="460"/>
      <c r="L3" s="462"/>
    </row>
    <row r="4" spans="1:13" s="265" customFormat="1" ht="18.75" customHeight="1" x14ac:dyDescent="0.2">
      <c r="A4" s="266" t="s">
        <v>666</v>
      </c>
      <c r="B4" s="301">
        <v>20652260.422160301</v>
      </c>
      <c r="C4" s="301">
        <v>20922378.716793399</v>
      </c>
      <c r="D4" s="290">
        <v>270118.294633093</v>
      </c>
      <c r="E4" s="301">
        <v>24212668.82</v>
      </c>
      <c r="F4" s="301">
        <v>24313936.260000002</v>
      </c>
      <c r="G4" s="290">
        <v>101267.4388</v>
      </c>
      <c r="H4" s="290">
        <v>2127351.3802536</v>
      </c>
      <c r="I4" s="290">
        <v>2101107.2327945</v>
      </c>
      <c r="J4" s="283">
        <v>-26244.148659066999</v>
      </c>
      <c r="K4" s="337">
        <v>2167749.861</v>
      </c>
      <c r="L4" s="338"/>
    </row>
    <row r="5" spans="1:13" s="265" customFormat="1" ht="18.75" customHeight="1" x14ac:dyDescent="0.2">
      <c r="A5" s="266" t="s">
        <v>667</v>
      </c>
      <c r="B5" s="283">
        <v>71872.776880192003</v>
      </c>
      <c r="C5" s="283">
        <v>73963.334367759002</v>
      </c>
      <c r="D5" s="283">
        <v>2090.557487567</v>
      </c>
      <c r="E5" s="283">
        <v>65710.358340000006</v>
      </c>
      <c r="F5" s="283">
        <v>76377.955820000003</v>
      </c>
      <c r="G5" s="283">
        <v>10667.59748</v>
      </c>
      <c r="H5" s="283">
        <v>2149.8630311020001</v>
      </c>
      <c r="I5" s="283">
        <v>6019.7605652080001</v>
      </c>
      <c r="J5" s="283">
        <v>3869.897534106</v>
      </c>
      <c r="K5" s="337">
        <v>209421.42310000001</v>
      </c>
      <c r="L5" s="338"/>
    </row>
    <row r="6" spans="1:13" s="265" customFormat="1" ht="18.75" customHeight="1" x14ac:dyDescent="0.2">
      <c r="A6" s="266" t="s">
        <v>668</v>
      </c>
      <c r="B6" s="283">
        <v>2722.155091741</v>
      </c>
      <c r="C6" s="283">
        <v>2309.9037379649999</v>
      </c>
      <c r="D6" s="283">
        <v>-412.25135377599997</v>
      </c>
      <c r="E6" s="283">
        <v>6281.8964050000004</v>
      </c>
      <c r="F6" s="283">
        <v>4048.2634440000002</v>
      </c>
      <c r="G6" s="283">
        <v>-2233.6329599999999</v>
      </c>
      <c r="H6" s="283">
        <v>38.279293484</v>
      </c>
      <c r="I6" s="283">
        <v>55.721131145000001</v>
      </c>
      <c r="J6" s="283">
        <v>17.441838660999998</v>
      </c>
      <c r="K6" s="339">
        <v>2491.662448</v>
      </c>
      <c r="L6" s="338"/>
    </row>
    <row r="7" spans="1:13" s="265" customFormat="1" ht="18.75" customHeight="1" x14ac:dyDescent="0.2">
      <c r="A7" s="266" t="s">
        <v>150</v>
      </c>
      <c r="B7" s="301">
        <v>20726855.354132202</v>
      </c>
      <c r="C7" s="301">
        <v>20998651.954899099</v>
      </c>
      <c r="D7" s="290">
        <v>271796.60076688399</v>
      </c>
      <c r="E7" s="301">
        <v>24284661.079999998</v>
      </c>
      <c r="F7" s="301">
        <v>24394362.48</v>
      </c>
      <c r="G7" s="290">
        <v>109701.40330000001</v>
      </c>
      <c r="H7" s="290">
        <v>2129539.5278332001</v>
      </c>
      <c r="I7" s="290">
        <v>2107182.7152268998</v>
      </c>
      <c r="J7" s="283">
        <v>-22356.809306300001</v>
      </c>
      <c r="K7" s="337">
        <v>2379662.9470000002</v>
      </c>
      <c r="L7" s="340"/>
    </row>
    <row r="8" spans="1:13" s="265" customFormat="1" ht="18.75" customHeight="1" x14ac:dyDescent="0.2">
      <c r="A8" s="353" t="s">
        <v>106</v>
      </c>
      <c r="B8" s="353"/>
      <c r="C8" s="353"/>
      <c r="D8" s="353"/>
      <c r="E8" s="353"/>
      <c r="F8" s="353"/>
      <c r="G8" s="353"/>
      <c r="H8" s="353"/>
      <c r="I8" s="353"/>
      <c r="J8" s="353"/>
      <c r="K8" s="353"/>
      <c r="L8" s="353"/>
    </row>
    <row r="9" spans="1:13" s="265" customFormat="1" ht="18" customHeight="1" x14ac:dyDescent="0.2">
      <c r="A9" s="353" t="s">
        <v>133</v>
      </c>
      <c r="B9" s="353"/>
      <c r="C9" s="353"/>
      <c r="D9" s="353"/>
      <c r="E9" s="353"/>
      <c r="F9" s="353"/>
      <c r="G9" s="353"/>
      <c r="H9" s="353"/>
      <c r="I9" s="353"/>
      <c r="J9" s="353"/>
      <c r="K9" s="353"/>
      <c r="L9" s="353"/>
    </row>
    <row r="10" spans="1:13" s="265" customFormat="1" ht="28.35" customHeight="1" x14ac:dyDescent="0.2"/>
  </sheetData>
  <mergeCells count="9">
    <mergeCell ref="A8:L8"/>
    <mergeCell ref="A9:L9"/>
    <mergeCell ref="A1:M1"/>
    <mergeCell ref="A2:A3"/>
    <mergeCell ref="B2:D2"/>
    <mergeCell ref="E2:G2"/>
    <mergeCell ref="H2:J2"/>
    <mergeCell ref="K2:K3"/>
    <mergeCell ref="L2:L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L21"/>
  <sheetViews>
    <sheetView workbookViewId="0">
      <pane xSplit="1" ySplit="3" topLeftCell="D4" activePane="bottomRight" state="frozen"/>
      <selection pane="topRight" activeCell="B1" sqref="B1"/>
      <selection pane="bottomLeft" activeCell="A4" sqref="A4"/>
      <selection pane="bottomRight" activeCell="B4" sqref="B4"/>
    </sheetView>
  </sheetViews>
  <sheetFormatPr defaultRowHeight="12.75" x14ac:dyDescent="0.2"/>
  <cols>
    <col min="1" max="1" width="35.5703125" style="262" bestFit="1" customWidth="1"/>
    <col min="2" max="12" width="14.7109375" style="262" bestFit="1" customWidth="1"/>
    <col min="13" max="13" width="5" style="262" bestFit="1" customWidth="1"/>
    <col min="14" max="256" width="9.140625" style="262"/>
    <col min="257" max="257" width="35.5703125" style="262" bestFit="1" customWidth="1"/>
    <col min="258" max="268" width="14.7109375" style="262" bestFit="1" customWidth="1"/>
    <col min="269" max="269" width="5" style="262" bestFit="1" customWidth="1"/>
    <col min="270" max="512" width="9.140625" style="262"/>
    <col min="513" max="513" width="35.5703125" style="262" bestFit="1" customWidth="1"/>
    <col min="514" max="524" width="14.7109375" style="262" bestFit="1" customWidth="1"/>
    <col min="525" max="525" width="5" style="262" bestFit="1" customWidth="1"/>
    <col min="526" max="768" width="9.140625" style="262"/>
    <col min="769" max="769" width="35.5703125" style="262" bestFit="1" customWidth="1"/>
    <col min="770" max="780" width="14.7109375" style="262" bestFit="1" customWidth="1"/>
    <col min="781" max="781" width="5" style="262" bestFit="1" customWidth="1"/>
    <col min="782" max="1024" width="9.140625" style="262"/>
    <col min="1025" max="1025" width="35.5703125" style="262" bestFit="1" customWidth="1"/>
    <col min="1026" max="1036" width="14.7109375" style="262" bestFit="1" customWidth="1"/>
    <col min="1037" max="1037" width="5" style="262" bestFit="1" customWidth="1"/>
    <col min="1038" max="1280" width="9.140625" style="262"/>
    <col min="1281" max="1281" width="35.5703125" style="262" bestFit="1" customWidth="1"/>
    <col min="1282" max="1292" width="14.7109375" style="262" bestFit="1" customWidth="1"/>
    <col min="1293" max="1293" width="5" style="262" bestFit="1" customWidth="1"/>
    <col min="1294" max="1536" width="9.140625" style="262"/>
    <col min="1537" max="1537" width="35.5703125" style="262" bestFit="1" customWidth="1"/>
    <col min="1538" max="1548" width="14.7109375" style="262" bestFit="1" customWidth="1"/>
    <col min="1549" max="1549" width="5" style="262" bestFit="1" customWidth="1"/>
    <col min="1550" max="1792" width="9.140625" style="262"/>
    <col min="1793" max="1793" width="35.5703125" style="262" bestFit="1" customWidth="1"/>
    <col min="1794" max="1804" width="14.7109375" style="262" bestFit="1" customWidth="1"/>
    <col min="1805" max="1805" width="5" style="262" bestFit="1" customWidth="1"/>
    <col min="1806" max="2048" width="9.140625" style="262"/>
    <col min="2049" max="2049" width="35.5703125" style="262" bestFit="1" customWidth="1"/>
    <col min="2050" max="2060" width="14.7109375" style="262" bestFit="1" customWidth="1"/>
    <col min="2061" max="2061" width="5" style="262" bestFit="1" customWidth="1"/>
    <col min="2062" max="2304" width="9.140625" style="262"/>
    <col min="2305" max="2305" width="35.5703125" style="262" bestFit="1" customWidth="1"/>
    <col min="2306" max="2316" width="14.7109375" style="262" bestFit="1" customWidth="1"/>
    <col min="2317" max="2317" width="5" style="262" bestFit="1" customWidth="1"/>
    <col min="2318" max="2560" width="9.140625" style="262"/>
    <col min="2561" max="2561" width="35.5703125" style="262" bestFit="1" customWidth="1"/>
    <col min="2562" max="2572" width="14.7109375" style="262" bestFit="1" customWidth="1"/>
    <col min="2573" max="2573" width="5" style="262" bestFit="1" customWidth="1"/>
    <col min="2574" max="2816" width="9.140625" style="262"/>
    <col min="2817" max="2817" width="35.5703125" style="262" bestFit="1" customWidth="1"/>
    <col min="2818" max="2828" width="14.7109375" style="262" bestFit="1" customWidth="1"/>
    <col min="2829" max="2829" width="5" style="262" bestFit="1" customWidth="1"/>
    <col min="2830" max="3072" width="9.140625" style="262"/>
    <col min="3073" max="3073" width="35.5703125" style="262" bestFit="1" customWidth="1"/>
    <col min="3074" max="3084" width="14.7109375" style="262" bestFit="1" customWidth="1"/>
    <col min="3085" max="3085" width="5" style="262" bestFit="1" customWidth="1"/>
    <col min="3086" max="3328" width="9.140625" style="262"/>
    <col min="3329" max="3329" width="35.5703125" style="262" bestFit="1" customWidth="1"/>
    <col min="3330" max="3340" width="14.7109375" style="262" bestFit="1" customWidth="1"/>
    <col min="3341" max="3341" width="5" style="262" bestFit="1" customWidth="1"/>
    <col min="3342" max="3584" width="9.140625" style="262"/>
    <col min="3585" max="3585" width="35.5703125" style="262" bestFit="1" customWidth="1"/>
    <col min="3586" max="3596" width="14.7109375" style="262" bestFit="1" customWidth="1"/>
    <col min="3597" max="3597" width="5" style="262" bestFit="1" customWidth="1"/>
    <col min="3598" max="3840" width="9.140625" style="262"/>
    <col min="3841" max="3841" width="35.5703125" style="262" bestFit="1" customWidth="1"/>
    <col min="3842" max="3852" width="14.7109375" style="262" bestFit="1" customWidth="1"/>
    <col min="3853" max="3853" width="5" style="262" bestFit="1" customWidth="1"/>
    <col min="3854" max="4096" width="9.140625" style="262"/>
    <col min="4097" max="4097" width="35.5703125" style="262" bestFit="1" customWidth="1"/>
    <col min="4098" max="4108" width="14.7109375" style="262" bestFit="1" customWidth="1"/>
    <col min="4109" max="4109" width="5" style="262" bestFit="1" customWidth="1"/>
    <col min="4110" max="4352" width="9.140625" style="262"/>
    <col min="4353" max="4353" width="35.5703125" style="262" bestFit="1" customWidth="1"/>
    <col min="4354" max="4364" width="14.7109375" style="262" bestFit="1" customWidth="1"/>
    <col min="4365" max="4365" width="5" style="262" bestFit="1" customWidth="1"/>
    <col min="4366" max="4608" width="9.140625" style="262"/>
    <col min="4609" max="4609" width="35.5703125" style="262" bestFit="1" customWidth="1"/>
    <col min="4610" max="4620" width="14.7109375" style="262" bestFit="1" customWidth="1"/>
    <col min="4621" max="4621" width="5" style="262" bestFit="1" customWidth="1"/>
    <col min="4622" max="4864" width="9.140625" style="262"/>
    <col min="4865" max="4865" width="35.5703125" style="262" bestFit="1" customWidth="1"/>
    <col min="4866" max="4876" width="14.7109375" style="262" bestFit="1" customWidth="1"/>
    <col min="4877" max="4877" width="5" style="262" bestFit="1" customWidth="1"/>
    <col min="4878" max="5120" width="9.140625" style="262"/>
    <col min="5121" max="5121" width="35.5703125" style="262" bestFit="1" customWidth="1"/>
    <col min="5122" max="5132" width="14.7109375" style="262" bestFit="1" customWidth="1"/>
    <col min="5133" max="5133" width="5" style="262" bestFit="1" customWidth="1"/>
    <col min="5134" max="5376" width="9.140625" style="262"/>
    <col min="5377" max="5377" width="35.5703125" style="262" bestFit="1" customWidth="1"/>
    <col min="5378" max="5388" width="14.7109375" style="262" bestFit="1" customWidth="1"/>
    <col min="5389" max="5389" width="5" style="262" bestFit="1" customWidth="1"/>
    <col min="5390" max="5632" width="9.140625" style="262"/>
    <col min="5633" max="5633" width="35.5703125" style="262" bestFit="1" customWidth="1"/>
    <col min="5634" max="5644" width="14.7109375" style="262" bestFit="1" customWidth="1"/>
    <col min="5645" max="5645" width="5" style="262" bestFit="1" customWidth="1"/>
    <col min="5646" max="5888" width="9.140625" style="262"/>
    <col min="5889" max="5889" width="35.5703125" style="262" bestFit="1" customWidth="1"/>
    <col min="5890" max="5900" width="14.7109375" style="262" bestFit="1" customWidth="1"/>
    <col min="5901" max="5901" width="5" style="262" bestFit="1" customWidth="1"/>
    <col min="5902" max="6144" width="9.140625" style="262"/>
    <col min="6145" max="6145" width="35.5703125" style="262" bestFit="1" customWidth="1"/>
    <col min="6146" max="6156" width="14.7109375" style="262" bestFit="1" customWidth="1"/>
    <col min="6157" max="6157" width="5" style="262" bestFit="1" customWidth="1"/>
    <col min="6158" max="6400" width="9.140625" style="262"/>
    <col min="6401" max="6401" width="35.5703125" style="262" bestFit="1" customWidth="1"/>
    <col min="6402" max="6412" width="14.7109375" style="262" bestFit="1" customWidth="1"/>
    <col min="6413" max="6413" width="5" style="262" bestFit="1" customWidth="1"/>
    <col min="6414" max="6656" width="9.140625" style="262"/>
    <col min="6657" max="6657" width="35.5703125" style="262" bestFit="1" customWidth="1"/>
    <col min="6658" max="6668" width="14.7109375" style="262" bestFit="1" customWidth="1"/>
    <col min="6669" max="6669" width="5" style="262" bestFit="1" customWidth="1"/>
    <col min="6670" max="6912" width="9.140625" style="262"/>
    <col min="6913" max="6913" width="35.5703125" style="262" bestFit="1" customWidth="1"/>
    <col min="6914" max="6924" width="14.7109375" style="262" bestFit="1" customWidth="1"/>
    <col min="6925" max="6925" width="5" style="262" bestFit="1" customWidth="1"/>
    <col min="6926" max="7168" width="9.140625" style="262"/>
    <col min="7169" max="7169" width="35.5703125" style="262" bestFit="1" customWidth="1"/>
    <col min="7170" max="7180" width="14.7109375" style="262" bestFit="1" customWidth="1"/>
    <col min="7181" max="7181" width="5" style="262" bestFit="1" customWidth="1"/>
    <col min="7182" max="7424" width="9.140625" style="262"/>
    <col min="7425" max="7425" width="35.5703125" style="262" bestFit="1" customWidth="1"/>
    <col min="7426" max="7436" width="14.7109375" style="262" bestFit="1" customWidth="1"/>
    <col min="7437" max="7437" width="5" style="262" bestFit="1" customWidth="1"/>
    <col min="7438" max="7680" width="9.140625" style="262"/>
    <col min="7681" max="7681" width="35.5703125" style="262" bestFit="1" customWidth="1"/>
    <col min="7682" max="7692" width="14.7109375" style="262" bestFit="1" customWidth="1"/>
    <col min="7693" max="7693" width="5" style="262" bestFit="1" customWidth="1"/>
    <col min="7694" max="7936" width="9.140625" style="262"/>
    <col min="7937" max="7937" width="35.5703125" style="262" bestFit="1" customWidth="1"/>
    <col min="7938" max="7948" width="14.7109375" style="262" bestFit="1" customWidth="1"/>
    <col min="7949" max="7949" width="5" style="262" bestFit="1" customWidth="1"/>
    <col min="7950" max="8192" width="9.140625" style="262"/>
    <col min="8193" max="8193" width="35.5703125" style="262" bestFit="1" customWidth="1"/>
    <col min="8194" max="8204" width="14.7109375" style="262" bestFit="1" customWidth="1"/>
    <col min="8205" max="8205" width="5" style="262" bestFit="1" customWidth="1"/>
    <col min="8206" max="8448" width="9.140625" style="262"/>
    <col min="8449" max="8449" width="35.5703125" style="262" bestFit="1" customWidth="1"/>
    <col min="8450" max="8460" width="14.7109375" style="262" bestFit="1" customWidth="1"/>
    <col min="8461" max="8461" width="5" style="262" bestFit="1" customWidth="1"/>
    <col min="8462" max="8704" width="9.140625" style="262"/>
    <col min="8705" max="8705" width="35.5703125" style="262" bestFit="1" customWidth="1"/>
    <col min="8706" max="8716" width="14.7109375" style="262" bestFit="1" customWidth="1"/>
    <col min="8717" max="8717" width="5" style="262" bestFit="1" customWidth="1"/>
    <col min="8718" max="8960" width="9.140625" style="262"/>
    <col min="8961" max="8961" width="35.5703125" style="262" bestFit="1" customWidth="1"/>
    <col min="8962" max="8972" width="14.7109375" style="262" bestFit="1" customWidth="1"/>
    <col min="8973" max="8973" width="5" style="262" bestFit="1" customWidth="1"/>
    <col min="8974" max="9216" width="9.140625" style="262"/>
    <col min="9217" max="9217" width="35.5703125" style="262" bestFit="1" customWidth="1"/>
    <col min="9218" max="9228" width="14.7109375" style="262" bestFit="1" customWidth="1"/>
    <col min="9229" max="9229" width="5" style="262" bestFit="1" customWidth="1"/>
    <col min="9230" max="9472" width="9.140625" style="262"/>
    <col min="9473" max="9473" width="35.5703125" style="262" bestFit="1" customWidth="1"/>
    <col min="9474" max="9484" width="14.7109375" style="262" bestFit="1" customWidth="1"/>
    <col min="9485" max="9485" width="5" style="262" bestFit="1" customWidth="1"/>
    <col min="9486" max="9728" width="9.140625" style="262"/>
    <col min="9729" max="9729" width="35.5703125" style="262" bestFit="1" customWidth="1"/>
    <col min="9730" max="9740" width="14.7109375" style="262" bestFit="1" customWidth="1"/>
    <col min="9741" max="9741" width="5" style="262" bestFit="1" customWidth="1"/>
    <col min="9742" max="9984" width="9.140625" style="262"/>
    <col min="9985" max="9985" width="35.5703125" style="262" bestFit="1" customWidth="1"/>
    <col min="9986" max="9996" width="14.7109375" style="262" bestFit="1" customWidth="1"/>
    <col min="9997" max="9997" width="5" style="262" bestFit="1" customWidth="1"/>
    <col min="9998" max="10240" width="9.140625" style="262"/>
    <col min="10241" max="10241" width="35.5703125" style="262" bestFit="1" customWidth="1"/>
    <col min="10242" max="10252" width="14.7109375" style="262" bestFit="1" customWidth="1"/>
    <col min="10253" max="10253" width="5" style="262" bestFit="1" customWidth="1"/>
    <col min="10254" max="10496" width="9.140625" style="262"/>
    <col min="10497" max="10497" width="35.5703125" style="262" bestFit="1" customWidth="1"/>
    <col min="10498" max="10508" width="14.7109375" style="262" bestFit="1" customWidth="1"/>
    <col min="10509" max="10509" width="5" style="262" bestFit="1" customWidth="1"/>
    <col min="10510" max="10752" width="9.140625" style="262"/>
    <col min="10753" max="10753" width="35.5703125" style="262" bestFit="1" customWidth="1"/>
    <col min="10754" max="10764" width="14.7109375" style="262" bestFit="1" customWidth="1"/>
    <col min="10765" max="10765" width="5" style="262" bestFit="1" customWidth="1"/>
    <col min="10766" max="11008" width="9.140625" style="262"/>
    <col min="11009" max="11009" width="35.5703125" style="262" bestFit="1" customWidth="1"/>
    <col min="11010" max="11020" width="14.7109375" style="262" bestFit="1" customWidth="1"/>
    <col min="11021" max="11021" width="5" style="262" bestFit="1" customWidth="1"/>
    <col min="11022" max="11264" width="9.140625" style="262"/>
    <col min="11265" max="11265" width="35.5703125" style="262" bestFit="1" customWidth="1"/>
    <col min="11266" max="11276" width="14.7109375" style="262" bestFit="1" customWidth="1"/>
    <col min="11277" max="11277" width="5" style="262" bestFit="1" customWidth="1"/>
    <col min="11278" max="11520" width="9.140625" style="262"/>
    <col min="11521" max="11521" width="35.5703125" style="262" bestFit="1" customWidth="1"/>
    <col min="11522" max="11532" width="14.7109375" style="262" bestFit="1" customWidth="1"/>
    <col min="11533" max="11533" width="5" style="262" bestFit="1" customWidth="1"/>
    <col min="11534" max="11776" width="9.140625" style="262"/>
    <col min="11777" max="11777" width="35.5703125" style="262" bestFit="1" customWidth="1"/>
    <col min="11778" max="11788" width="14.7109375" style="262" bestFit="1" customWidth="1"/>
    <col min="11789" max="11789" width="5" style="262" bestFit="1" customWidth="1"/>
    <col min="11790" max="12032" width="9.140625" style="262"/>
    <col min="12033" max="12033" width="35.5703125" style="262" bestFit="1" customWidth="1"/>
    <col min="12034" max="12044" width="14.7109375" style="262" bestFit="1" customWidth="1"/>
    <col min="12045" max="12045" width="5" style="262" bestFit="1" customWidth="1"/>
    <col min="12046" max="12288" width="9.140625" style="262"/>
    <col min="12289" max="12289" width="35.5703125" style="262" bestFit="1" customWidth="1"/>
    <col min="12290" max="12300" width="14.7109375" style="262" bestFit="1" customWidth="1"/>
    <col min="12301" max="12301" width="5" style="262" bestFit="1" customWidth="1"/>
    <col min="12302" max="12544" width="9.140625" style="262"/>
    <col min="12545" max="12545" width="35.5703125" style="262" bestFit="1" customWidth="1"/>
    <col min="12546" max="12556" width="14.7109375" style="262" bestFit="1" customWidth="1"/>
    <col min="12557" max="12557" width="5" style="262" bestFit="1" customWidth="1"/>
    <col min="12558" max="12800" width="9.140625" style="262"/>
    <col min="12801" max="12801" width="35.5703125" style="262" bestFit="1" customWidth="1"/>
    <col min="12802" max="12812" width="14.7109375" style="262" bestFit="1" customWidth="1"/>
    <col min="12813" max="12813" width="5" style="262" bestFit="1" customWidth="1"/>
    <col min="12814" max="13056" width="9.140625" style="262"/>
    <col min="13057" max="13057" width="35.5703125" style="262" bestFit="1" customWidth="1"/>
    <col min="13058" max="13068" width="14.7109375" style="262" bestFit="1" customWidth="1"/>
    <col min="13069" max="13069" width="5" style="262" bestFit="1" customWidth="1"/>
    <col min="13070" max="13312" width="9.140625" style="262"/>
    <col min="13313" max="13313" width="35.5703125" style="262" bestFit="1" customWidth="1"/>
    <col min="13314" max="13324" width="14.7109375" style="262" bestFit="1" customWidth="1"/>
    <col min="13325" max="13325" width="5" style="262" bestFit="1" customWidth="1"/>
    <col min="13326" max="13568" width="9.140625" style="262"/>
    <col min="13569" max="13569" width="35.5703125" style="262" bestFit="1" customWidth="1"/>
    <col min="13570" max="13580" width="14.7109375" style="262" bestFit="1" customWidth="1"/>
    <col min="13581" max="13581" width="5" style="262" bestFit="1" customWidth="1"/>
    <col min="13582" max="13824" width="9.140625" style="262"/>
    <col min="13825" max="13825" width="35.5703125" style="262" bestFit="1" customWidth="1"/>
    <col min="13826" max="13836" width="14.7109375" style="262" bestFit="1" customWidth="1"/>
    <col min="13837" max="13837" width="5" style="262" bestFit="1" customWidth="1"/>
    <col min="13838" max="14080" width="9.140625" style="262"/>
    <col min="14081" max="14081" width="35.5703125" style="262" bestFit="1" customWidth="1"/>
    <col min="14082" max="14092" width="14.7109375" style="262" bestFit="1" customWidth="1"/>
    <col min="14093" max="14093" width="5" style="262" bestFit="1" customWidth="1"/>
    <col min="14094" max="14336" width="9.140625" style="262"/>
    <col min="14337" max="14337" width="35.5703125" style="262" bestFit="1" customWidth="1"/>
    <col min="14338" max="14348" width="14.7109375" style="262" bestFit="1" customWidth="1"/>
    <col min="14349" max="14349" width="5" style="262" bestFit="1" customWidth="1"/>
    <col min="14350" max="14592" width="9.140625" style="262"/>
    <col min="14593" max="14593" width="35.5703125" style="262" bestFit="1" customWidth="1"/>
    <col min="14594" max="14604" width="14.7109375" style="262" bestFit="1" customWidth="1"/>
    <col min="14605" max="14605" width="5" style="262" bestFit="1" customWidth="1"/>
    <col min="14606" max="14848" width="9.140625" style="262"/>
    <col min="14849" max="14849" width="35.5703125" style="262" bestFit="1" customWidth="1"/>
    <col min="14850" max="14860" width="14.7109375" style="262" bestFit="1" customWidth="1"/>
    <col min="14861" max="14861" width="5" style="262" bestFit="1" customWidth="1"/>
    <col min="14862" max="15104" width="9.140625" style="262"/>
    <col min="15105" max="15105" width="35.5703125" style="262" bestFit="1" customWidth="1"/>
    <col min="15106" max="15116" width="14.7109375" style="262" bestFit="1" customWidth="1"/>
    <col min="15117" max="15117" width="5" style="262" bestFit="1" customWidth="1"/>
    <col min="15118" max="15360" width="9.140625" style="262"/>
    <col min="15361" max="15361" width="35.5703125" style="262" bestFit="1" customWidth="1"/>
    <col min="15362" max="15372" width="14.7109375" style="262" bestFit="1" customWidth="1"/>
    <col min="15373" max="15373" width="5" style="262" bestFit="1" customWidth="1"/>
    <col min="15374" max="15616" width="9.140625" style="262"/>
    <col min="15617" max="15617" width="35.5703125" style="262" bestFit="1" customWidth="1"/>
    <col min="15618" max="15628" width="14.7109375" style="262" bestFit="1" customWidth="1"/>
    <col min="15629" max="15629" width="5" style="262" bestFit="1" customWidth="1"/>
    <col min="15630" max="15872" width="9.140625" style="262"/>
    <col min="15873" max="15873" width="35.5703125" style="262" bestFit="1" customWidth="1"/>
    <col min="15874" max="15884" width="14.7109375" style="262" bestFit="1" customWidth="1"/>
    <col min="15885" max="15885" width="5" style="262" bestFit="1" customWidth="1"/>
    <col min="15886" max="16128" width="9.140625" style="262"/>
    <col min="16129" max="16129" width="35.5703125" style="262" bestFit="1" customWidth="1"/>
    <col min="16130" max="16140" width="14.7109375" style="262" bestFit="1" customWidth="1"/>
    <col min="16141" max="16141" width="5" style="262" bestFit="1" customWidth="1"/>
    <col min="16142" max="16384" width="9.140625" style="262"/>
  </cols>
  <sheetData>
    <row r="1" spans="1:12" ht="15" customHeight="1" x14ac:dyDescent="0.2">
      <c r="A1" s="430" t="s">
        <v>669</v>
      </c>
      <c r="B1" s="430"/>
      <c r="C1" s="430"/>
      <c r="D1" s="430"/>
      <c r="E1" s="430"/>
      <c r="F1" s="430"/>
      <c r="G1" s="430"/>
      <c r="H1" s="430"/>
      <c r="I1" s="430"/>
      <c r="J1" s="430"/>
      <c r="K1" s="430"/>
    </row>
    <row r="2" spans="1:12" s="265" customFormat="1" ht="18" customHeight="1" x14ac:dyDescent="0.2">
      <c r="A2" s="403" t="s">
        <v>670</v>
      </c>
      <c r="B2" s="405" t="s">
        <v>671</v>
      </c>
      <c r="C2" s="406"/>
      <c r="D2" s="406"/>
      <c r="E2" s="407"/>
      <c r="F2" s="405" t="s">
        <v>70</v>
      </c>
      <c r="G2" s="406"/>
      <c r="H2" s="406"/>
      <c r="I2" s="407"/>
      <c r="J2" s="405" t="s">
        <v>672</v>
      </c>
      <c r="K2" s="406"/>
      <c r="L2" s="407"/>
    </row>
    <row r="3" spans="1:12" s="265" customFormat="1" ht="24" customHeight="1" x14ac:dyDescent="0.2">
      <c r="A3" s="404"/>
      <c r="B3" s="304" t="s">
        <v>663</v>
      </c>
      <c r="C3" s="304" t="s">
        <v>664</v>
      </c>
      <c r="D3" s="304" t="s">
        <v>665</v>
      </c>
      <c r="E3" s="304" t="s">
        <v>673</v>
      </c>
      <c r="F3" s="304" t="s">
        <v>663</v>
      </c>
      <c r="G3" s="304" t="s">
        <v>664</v>
      </c>
      <c r="H3" s="304" t="s">
        <v>665</v>
      </c>
      <c r="I3" s="304" t="s">
        <v>673</v>
      </c>
      <c r="J3" s="304" t="s">
        <v>663</v>
      </c>
      <c r="K3" s="304" t="s">
        <v>664</v>
      </c>
      <c r="L3" s="304" t="s">
        <v>665</v>
      </c>
    </row>
    <row r="4" spans="1:12" s="265" customFormat="1" ht="18" customHeight="1" x14ac:dyDescent="0.2">
      <c r="A4" s="288" t="s">
        <v>674</v>
      </c>
      <c r="B4" s="305">
        <v>20432029.269386936</v>
      </c>
      <c r="C4" s="305">
        <v>20420304.722268537</v>
      </c>
      <c r="D4" s="267">
        <v>-11724.547118406999</v>
      </c>
      <c r="E4" s="303">
        <v>1134949.7105709789</v>
      </c>
      <c r="F4" s="305">
        <v>23986370.896419998</v>
      </c>
      <c r="G4" s="305">
        <v>23938051.281516001</v>
      </c>
      <c r="H4" s="267">
        <v>-48319.610443999998</v>
      </c>
      <c r="I4" s="303">
        <v>1165969.842249</v>
      </c>
      <c r="J4" s="303">
        <v>2093418.9904745859</v>
      </c>
      <c r="K4" s="303">
        <v>2055969.4656233329</v>
      </c>
      <c r="L4" s="267">
        <v>-37449.520391217004</v>
      </c>
    </row>
    <row r="5" spans="1:12" s="265" customFormat="1" ht="18" customHeight="1" x14ac:dyDescent="0.2">
      <c r="A5" s="288" t="s">
        <v>675</v>
      </c>
      <c r="B5" s="305">
        <v>19505850.3990409</v>
      </c>
      <c r="C5" s="305">
        <v>19502914.1412265</v>
      </c>
      <c r="D5" s="267">
        <v>-2936.2578144069998</v>
      </c>
      <c r="E5" s="303">
        <v>335524.82189830701</v>
      </c>
      <c r="F5" s="305">
        <v>23310191.390000001</v>
      </c>
      <c r="G5" s="305">
        <v>23386284.300000001</v>
      </c>
      <c r="H5" s="267">
        <v>76092.91446</v>
      </c>
      <c r="I5" s="303">
        <v>436223.60359999997</v>
      </c>
      <c r="J5" s="303">
        <v>2042879.7906372</v>
      </c>
      <c r="K5" s="303">
        <v>1991536.6717211001</v>
      </c>
      <c r="L5" s="267">
        <v>-51343.114456064999</v>
      </c>
    </row>
    <row r="6" spans="1:12" s="265" customFormat="1" ht="18" customHeight="1" x14ac:dyDescent="0.2">
      <c r="A6" s="288" t="s">
        <v>676</v>
      </c>
      <c r="B6" s="267">
        <v>11254.743316751001</v>
      </c>
      <c r="C6" s="267">
        <v>7977.3015841160004</v>
      </c>
      <c r="D6" s="267">
        <v>-3277.4417326339999</v>
      </c>
      <c r="E6" s="267">
        <v>11404.162072792</v>
      </c>
      <c r="F6" s="267">
        <v>5546.7901199999997</v>
      </c>
      <c r="G6" s="267">
        <v>2105.7120159999999</v>
      </c>
      <c r="H6" s="267">
        <v>-3441.0781040000002</v>
      </c>
      <c r="I6" s="267">
        <v>8099.1059450000002</v>
      </c>
      <c r="J6" s="267">
        <v>305.19820042100002</v>
      </c>
      <c r="K6" s="267">
        <v>342.55808680600001</v>
      </c>
      <c r="L6" s="267">
        <v>37.359886385999999</v>
      </c>
    </row>
    <row r="7" spans="1:12" s="265" customFormat="1" ht="18" customHeight="1" x14ac:dyDescent="0.2">
      <c r="A7" s="288" t="s">
        <v>677</v>
      </c>
      <c r="B7" s="303">
        <v>914924.127029286</v>
      </c>
      <c r="C7" s="303">
        <v>909073.27945792</v>
      </c>
      <c r="D7" s="267">
        <v>-5850.847571366</v>
      </c>
      <c r="E7" s="303">
        <v>785552.93716160802</v>
      </c>
      <c r="F7" s="303">
        <v>670632.71629999997</v>
      </c>
      <c r="G7" s="303">
        <v>549508.26950000005</v>
      </c>
      <c r="H7" s="267">
        <v>-121124.44680000001</v>
      </c>
      <c r="I7" s="303">
        <v>718918.70759999997</v>
      </c>
      <c r="J7" s="267">
        <v>50234.001636964997</v>
      </c>
      <c r="K7" s="267">
        <v>64090.235815426997</v>
      </c>
      <c r="L7" s="267">
        <v>13856.234178462</v>
      </c>
    </row>
    <row r="8" spans="1:12" s="265" customFormat="1" ht="18" customHeight="1" x14ac:dyDescent="0.2">
      <c r="A8" s="288" t="s">
        <v>678</v>
      </c>
      <c r="B8" s="267">
        <v>0</v>
      </c>
      <c r="C8" s="267">
        <v>0</v>
      </c>
      <c r="D8" s="267">
        <v>0</v>
      </c>
      <c r="E8" s="267">
        <v>0</v>
      </c>
      <c r="F8" s="267">
        <v>0</v>
      </c>
      <c r="G8" s="267">
        <v>0</v>
      </c>
      <c r="H8" s="267">
        <v>0</v>
      </c>
      <c r="I8" s="267">
        <v>0</v>
      </c>
      <c r="J8" s="267">
        <v>0</v>
      </c>
      <c r="K8" s="267">
        <v>0</v>
      </c>
      <c r="L8" s="267">
        <v>0</v>
      </c>
    </row>
    <row r="9" spans="1:12" s="265" customFormat="1" ht="18" customHeight="1" x14ac:dyDescent="0.2">
      <c r="A9" s="288" t="s">
        <v>679</v>
      </c>
      <c r="B9" s="267">
        <v>0</v>
      </c>
      <c r="C9" s="267">
        <v>340</v>
      </c>
      <c r="D9" s="267">
        <v>340</v>
      </c>
      <c r="E9" s="267">
        <v>2467.7894382720001</v>
      </c>
      <c r="F9" s="267">
        <v>0</v>
      </c>
      <c r="G9" s="267">
        <v>153</v>
      </c>
      <c r="H9" s="267">
        <v>153</v>
      </c>
      <c r="I9" s="267">
        <v>2728.4251039999999</v>
      </c>
      <c r="J9" s="267">
        <v>0</v>
      </c>
      <c r="K9" s="267">
        <v>0</v>
      </c>
      <c r="L9" s="267">
        <v>0</v>
      </c>
    </row>
    <row r="10" spans="1:12" s="265" customFormat="1" ht="18" customHeight="1" x14ac:dyDescent="0.2">
      <c r="A10" s="288" t="s">
        <v>680</v>
      </c>
      <c r="B10" s="303">
        <v>229382.46339660301</v>
      </c>
      <c r="C10" s="303">
        <v>400451.36173162702</v>
      </c>
      <c r="D10" s="303">
        <v>171068.89833502399</v>
      </c>
      <c r="E10" s="303">
        <v>749789.73411921703</v>
      </c>
      <c r="F10" s="303">
        <v>195834.740861</v>
      </c>
      <c r="G10" s="303">
        <v>303805.16730999999</v>
      </c>
      <c r="H10" s="303">
        <v>107970.42642</v>
      </c>
      <c r="I10" s="303">
        <v>892101.02127000003</v>
      </c>
      <c r="J10" s="267">
        <v>23709.145907996</v>
      </c>
      <c r="K10" s="267">
        <v>31467.789613839999</v>
      </c>
      <c r="L10" s="267">
        <v>7758.6436768439999</v>
      </c>
    </row>
    <row r="11" spans="1:12" s="265" customFormat="1" ht="18" customHeight="1" x14ac:dyDescent="0.2">
      <c r="A11" s="288" t="s">
        <v>681</v>
      </c>
      <c r="B11" s="267">
        <v>7976.0731168129996</v>
      </c>
      <c r="C11" s="267">
        <v>22291.473888861001</v>
      </c>
      <c r="D11" s="267">
        <v>14315.400772048</v>
      </c>
      <c r="E11" s="267">
        <v>80582.994457944005</v>
      </c>
      <c r="F11" s="267">
        <v>7610.823461</v>
      </c>
      <c r="G11" s="267">
        <v>20381.540710000001</v>
      </c>
      <c r="H11" s="267">
        <v>12770.71725</v>
      </c>
      <c r="I11" s="267">
        <v>96018.813070000004</v>
      </c>
      <c r="J11" s="267">
        <v>887.86452210899995</v>
      </c>
      <c r="K11" s="267">
        <v>3629.4401947649999</v>
      </c>
      <c r="L11" s="267">
        <v>2741.5756736560002</v>
      </c>
    </row>
    <row r="12" spans="1:12" s="265" customFormat="1" ht="18" customHeight="1" x14ac:dyDescent="0.2">
      <c r="A12" s="288" t="s">
        <v>682</v>
      </c>
      <c r="B12" s="303">
        <v>221406.39027979001</v>
      </c>
      <c r="C12" s="303">
        <v>378159.88784276601</v>
      </c>
      <c r="D12" s="303">
        <v>156753.497562976</v>
      </c>
      <c r="E12" s="303">
        <v>669206.73966127296</v>
      </c>
      <c r="F12" s="303">
        <v>188223.91740000001</v>
      </c>
      <c r="G12" s="303">
        <v>283423.62660000002</v>
      </c>
      <c r="H12" s="267">
        <v>95199.709170000002</v>
      </c>
      <c r="I12" s="303">
        <v>796082.20819999999</v>
      </c>
      <c r="J12" s="267">
        <v>22821.281385886999</v>
      </c>
      <c r="K12" s="267">
        <v>27838.349419074999</v>
      </c>
      <c r="L12" s="267">
        <v>5017.0680031880001</v>
      </c>
    </row>
    <row r="13" spans="1:12" s="265" customFormat="1" ht="18" customHeight="1" x14ac:dyDescent="0.2">
      <c r="A13" s="288" t="s">
        <v>683</v>
      </c>
      <c r="B13" s="267">
        <v>29568.580283931999</v>
      </c>
      <c r="C13" s="303">
        <v>119325.960226023</v>
      </c>
      <c r="D13" s="267">
        <v>89757.379942091007</v>
      </c>
      <c r="E13" s="303">
        <v>172151.24990376999</v>
      </c>
      <c r="F13" s="267">
        <v>44756.38738</v>
      </c>
      <c r="G13" s="267">
        <v>51620.757319999997</v>
      </c>
      <c r="H13" s="267">
        <v>6864.3699459999998</v>
      </c>
      <c r="I13" s="303">
        <v>180648.41320000001</v>
      </c>
      <c r="J13" s="267">
        <v>6107.3066032590004</v>
      </c>
      <c r="K13" s="267">
        <v>2925.8603689860001</v>
      </c>
      <c r="L13" s="267">
        <v>-3181.4462282730001</v>
      </c>
    </row>
    <row r="14" spans="1:12" s="265" customFormat="1" ht="18" customHeight="1" x14ac:dyDescent="0.2">
      <c r="A14" s="288" t="s">
        <v>684</v>
      </c>
      <c r="B14" s="267">
        <v>35248.693014017001</v>
      </c>
      <c r="C14" s="267">
        <v>58371.767337493002</v>
      </c>
      <c r="D14" s="267">
        <v>23123.074323476001</v>
      </c>
      <c r="E14" s="267">
        <v>77694.062402337004</v>
      </c>
      <c r="F14" s="267">
        <v>57345.809210599997</v>
      </c>
      <c r="G14" s="303">
        <v>100285.567587</v>
      </c>
      <c r="H14" s="267">
        <v>42939.7584164</v>
      </c>
      <c r="I14" s="303">
        <v>139072.28495900001</v>
      </c>
      <c r="J14" s="267">
        <v>6272.7871746889996</v>
      </c>
      <c r="K14" s="267">
        <v>16775.458380625001</v>
      </c>
      <c r="L14" s="267">
        <v>10502.671245936001</v>
      </c>
    </row>
    <row r="15" spans="1:12" s="265" customFormat="1" ht="18" customHeight="1" x14ac:dyDescent="0.2">
      <c r="A15" s="288" t="s">
        <v>685</v>
      </c>
      <c r="B15" s="267">
        <v>865.88554256400005</v>
      </c>
      <c r="C15" s="267">
        <v>31.45812243</v>
      </c>
      <c r="D15" s="267">
        <v>-834.42742013400004</v>
      </c>
      <c r="E15" s="267">
        <v>4806.0582168569999</v>
      </c>
      <c r="F15" s="267">
        <v>538.96530059999998</v>
      </c>
      <c r="G15" s="267">
        <v>127.58098699999999</v>
      </c>
      <c r="H15" s="267">
        <v>-411.38431359999998</v>
      </c>
      <c r="I15" s="267">
        <v>4446.6708589999998</v>
      </c>
      <c r="J15" s="267">
        <v>46.240023839000003</v>
      </c>
      <c r="K15" s="267">
        <v>8.8612847680000009</v>
      </c>
      <c r="L15" s="267">
        <v>-37.378739070999998</v>
      </c>
    </row>
    <row r="16" spans="1:12" s="265" customFormat="1" ht="18" customHeight="1" x14ac:dyDescent="0.2">
      <c r="A16" s="288" t="s">
        <v>686</v>
      </c>
      <c r="B16" s="267">
        <v>34382.807471453001</v>
      </c>
      <c r="C16" s="267">
        <v>58340.309215062996</v>
      </c>
      <c r="D16" s="267">
        <v>23957.501743609999</v>
      </c>
      <c r="E16" s="267">
        <v>72888.004185479993</v>
      </c>
      <c r="F16" s="267">
        <v>56806.843910000003</v>
      </c>
      <c r="G16" s="303">
        <v>100157.9866</v>
      </c>
      <c r="H16" s="267">
        <v>43351.14273</v>
      </c>
      <c r="I16" s="303">
        <v>134625.61410000001</v>
      </c>
      <c r="J16" s="267">
        <v>6226.5471508500004</v>
      </c>
      <c r="K16" s="267">
        <v>16766.597095857</v>
      </c>
      <c r="L16" s="267">
        <v>10540.049985006999</v>
      </c>
    </row>
    <row r="17" spans="1:12" s="265" customFormat="1" ht="18" customHeight="1" x14ac:dyDescent="0.2">
      <c r="A17" s="288" t="s">
        <v>687</v>
      </c>
      <c r="B17" s="267">
        <v>626.34805069699996</v>
      </c>
      <c r="C17" s="267">
        <v>198.14333539699999</v>
      </c>
      <c r="D17" s="267">
        <v>-428.20471529999998</v>
      </c>
      <c r="E17" s="267">
        <v>1450.9949928230001</v>
      </c>
      <c r="F17" s="267">
        <v>353.24583799999999</v>
      </c>
      <c r="G17" s="267">
        <v>599.70487249999996</v>
      </c>
      <c r="H17" s="267">
        <v>246.4590345</v>
      </c>
      <c r="I17" s="267">
        <v>1871.385458</v>
      </c>
      <c r="J17" s="267">
        <v>31.297382233</v>
      </c>
      <c r="K17" s="267">
        <v>44.139845542000003</v>
      </c>
      <c r="L17" s="267">
        <v>12.842463308999999</v>
      </c>
    </row>
    <row r="18" spans="1:12" s="265" customFormat="1" ht="18" customHeight="1" x14ac:dyDescent="0.2">
      <c r="A18" s="288" t="s">
        <v>688</v>
      </c>
      <c r="B18" s="305">
        <v>20726855.354132202</v>
      </c>
      <c r="C18" s="305">
        <v>20998651.954899099</v>
      </c>
      <c r="D18" s="303">
        <v>271796.60076688399</v>
      </c>
      <c r="E18" s="303">
        <v>2136035.7519891299</v>
      </c>
      <c r="F18" s="305">
        <v>24284661.079999998</v>
      </c>
      <c r="G18" s="305">
        <v>24394362.48</v>
      </c>
      <c r="H18" s="303">
        <v>109701.40330000001</v>
      </c>
      <c r="I18" s="303">
        <v>2379662.9470000002</v>
      </c>
      <c r="J18" s="303">
        <v>2129539.5278332001</v>
      </c>
      <c r="K18" s="303">
        <v>2107182.7152268998</v>
      </c>
      <c r="L18" s="267">
        <v>-22356.809306300001</v>
      </c>
    </row>
    <row r="19" spans="1:12" s="265" customFormat="1" ht="19.5" customHeight="1" x14ac:dyDescent="0.2">
      <c r="A19" s="353" t="s">
        <v>106</v>
      </c>
      <c r="B19" s="353"/>
      <c r="C19" s="353"/>
      <c r="D19" s="353"/>
      <c r="E19" s="353"/>
      <c r="F19" s="353"/>
      <c r="G19" s="353"/>
      <c r="H19" s="353"/>
      <c r="I19" s="353"/>
      <c r="J19" s="353"/>
      <c r="K19" s="353"/>
      <c r="L19" s="353"/>
    </row>
    <row r="20" spans="1:12" s="265" customFormat="1" ht="18.75" customHeight="1" x14ac:dyDescent="0.2">
      <c r="A20" s="353" t="s">
        <v>133</v>
      </c>
      <c r="B20" s="353"/>
      <c r="C20" s="353"/>
      <c r="D20" s="353"/>
      <c r="E20" s="353"/>
      <c r="F20" s="353"/>
      <c r="G20" s="353"/>
      <c r="H20" s="353"/>
      <c r="I20" s="353"/>
      <c r="J20" s="353"/>
      <c r="K20" s="353"/>
      <c r="L20" s="353"/>
    </row>
    <row r="21" spans="1:12" s="265" customFormat="1" ht="28.35" customHeight="1" x14ac:dyDescent="0.2"/>
  </sheetData>
  <mergeCells count="7">
    <mergeCell ref="A20:L20"/>
    <mergeCell ref="A1:K1"/>
    <mergeCell ref="A2:A3"/>
    <mergeCell ref="B2:E2"/>
    <mergeCell ref="F2:I2"/>
    <mergeCell ref="J2:L2"/>
    <mergeCell ref="A19:L19"/>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tabColor rgb="FFFFFF00"/>
    <pageSetUpPr fitToPage="1"/>
  </sheetPr>
  <dimension ref="A1:Q22"/>
  <sheetViews>
    <sheetView zoomScale="85" zoomScaleNormal="85" workbookViewId="0">
      <selection activeCell="C12" sqref="C12"/>
    </sheetView>
  </sheetViews>
  <sheetFormatPr defaultRowHeight="12.75" x14ac:dyDescent="0.2"/>
  <cols>
    <col min="1" max="1" width="30" style="262" bestFit="1" customWidth="1"/>
    <col min="2" max="13" width="14.7109375" style="262" bestFit="1" customWidth="1"/>
    <col min="14" max="14" width="11.7109375" style="262" bestFit="1" customWidth="1"/>
    <col min="15" max="15" width="17.7109375" style="262" bestFit="1" customWidth="1"/>
    <col min="16" max="17" width="14.7109375" style="262" bestFit="1" customWidth="1"/>
    <col min="18" max="18" width="4.7109375" style="262" bestFit="1" customWidth="1"/>
    <col min="19" max="256" width="9.140625" style="262"/>
    <col min="257" max="257" width="30" style="262" bestFit="1" customWidth="1"/>
    <col min="258" max="269" width="14.7109375" style="262" bestFit="1" customWidth="1"/>
    <col min="270" max="270" width="11.7109375" style="262" bestFit="1" customWidth="1"/>
    <col min="271" max="271" width="17.7109375" style="262" bestFit="1" customWidth="1"/>
    <col min="272" max="273" width="14.7109375" style="262" bestFit="1" customWidth="1"/>
    <col min="274" max="274" width="4.7109375" style="262" bestFit="1" customWidth="1"/>
    <col min="275" max="512" width="9.140625" style="262"/>
    <col min="513" max="513" width="30" style="262" bestFit="1" customWidth="1"/>
    <col min="514" max="525" width="14.7109375" style="262" bestFit="1" customWidth="1"/>
    <col min="526" max="526" width="11.7109375" style="262" bestFit="1" customWidth="1"/>
    <col min="527" max="527" width="17.7109375" style="262" bestFit="1" customWidth="1"/>
    <col min="528" max="529" width="14.7109375" style="262" bestFit="1" customWidth="1"/>
    <col min="530" max="530" width="4.7109375" style="262" bestFit="1" customWidth="1"/>
    <col min="531" max="768" width="9.140625" style="262"/>
    <col min="769" max="769" width="30" style="262" bestFit="1" customWidth="1"/>
    <col min="770" max="781" width="14.7109375" style="262" bestFit="1" customWidth="1"/>
    <col min="782" max="782" width="11.7109375" style="262" bestFit="1" customWidth="1"/>
    <col min="783" max="783" width="17.7109375" style="262" bestFit="1" customWidth="1"/>
    <col min="784" max="785" width="14.7109375" style="262" bestFit="1" customWidth="1"/>
    <col min="786" max="786" width="4.7109375" style="262" bestFit="1" customWidth="1"/>
    <col min="787" max="1024" width="9.140625" style="262"/>
    <col min="1025" max="1025" width="30" style="262" bestFit="1" customWidth="1"/>
    <col min="1026" max="1037" width="14.7109375" style="262" bestFit="1" customWidth="1"/>
    <col min="1038" max="1038" width="11.7109375" style="262" bestFit="1" customWidth="1"/>
    <col min="1039" max="1039" width="17.7109375" style="262" bestFit="1" customWidth="1"/>
    <col min="1040" max="1041" width="14.7109375" style="262" bestFit="1" customWidth="1"/>
    <col min="1042" max="1042" width="4.7109375" style="262" bestFit="1" customWidth="1"/>
    <col min="1043" max="1280" width="9.140625" style="262"/>
    <col min="1281" max="1281" width="30" style="262" bestFit="1" customWidth="1"/>
    <col min="1282" max="1293" width="14.7109375" style="262" bestFit="1" customWidth="1"/>
    <col min="1294" max="1294" width="11.7109375" style="262" bestFit="1" customWidth="1"/>
    <col min="1295" max="1295" width="17.7109375" style="262" bestFit="1" customWidth="1"/>
    <col min="1296" max="1297" width="14.7109375" style="262" bestFit="1" customWidth="1"/>
    <col min="1298" max="1298" width="4.7109375" style="262" bestFit="1" customWidth="1"/>
    <col min="1299" max="1536" width="9.140625" style="262"/>
    <col min="1537" max="1537" width="30" style="262" bestFit="1" customWidth="1"/>
    <col min="1538" max="1549" width="14.7109375" style="262" bestFit="1" customWidth="1"/>
    <col min="1550" max="1550" width="11.7109375" style="262" bestFit="1" customWidth="1"/>
    <col min="1551" max="1551" width="17.7109375" style="262" bestFit="1" customWidth="1"/>
    <col min="1552" max="1553" width="14.7109375" style="262" bestFit="1" customWidth="1"/>
    <col min="1554" max="1554" width="4.7109375" style="262" bestFit="1" customWidth="1"/>
    <col min="1555" max="1792" width="9.140625" style="262"/>
    <col min="1793" max="1793" width="30" style="262" bestFit="1" customWidth="1"/>
    <col min="1794" max="1805" width="14.7109375" style="262" bestFit="1" customWidth="1"/>
    <col min="1806" max="1806" width="11.7109375" style="262" bestFit="1" customWidth="1"/>
    <col min="1807" max="1807" width="17.7109375" style="262" bestFit="1" customWidth="1"/>
    <col min="1808" max="1809" width="14.7109375" style="262" bestFit="1" customWidth="1"/>
    <col min="1810" max="1810" width="4.7109375" style="262" bestFit="1" customWidth="1"/>
    <col min="1811" max="2048" width="9.140625" style="262"/>
    <col min="2049" max="2049" width="30" style="262" bestFit="1" customWidth="1"/>
    <col min="2050" max="2061" width="14.7109375" style="262" bestFit="1" customWidth="1"/>
    <col min="2062" max="2062" width="11.7109375" style="262" bestFit="1" customWidth="1"/>
    <col min="2063" max="2063" width="17.7109375" style="262" bestFit="1" customWidth="1"/>
    <col min="2064" max="2065" width="14.7109375" style="262" bestFit="1" customWidth="1"/>
    <col min="2066" max="2066" width="4.7109375" style="262" bestFit="1" customWidth="1"/>
    <col min="2067" max="2304" width="9.140625" style="262"/>
    <col min="2305" max="2305" width="30" style="262" bestFit="1" customWidth="1"/>
    <col min="2306" max="2317" width="14.7109375" style="262" bestFit="1" customWidth="1"/>
    <col min="2318" max="2318" width="11.7109375" style="262" bestFit="1" customWidth="1"/>
    <col min="2319" max="2319" width="17.7109375" style="262" bestFit="1" customWidth="1"/>
    <col min="2320" max="2321" width="14.7109375" style="262" bestFit="1" customWidth="1"/>
    <col min="2322" max="2322" width="4.7109375" style="262" bestFit="1" customWidth="1"/>
    <col min="2323" max="2560" width="9.140625" style="262"/>
    <col min="2561" max="2561" width="30" style="262" bestFit="1" customWidth="1"/>
    <col min="2562" max="2573" width="14.7109375" style="262" bestFit="1" customWidth="1"/>
    <col min="2574" max="2574" width="11.7109375" style="262" bestFit="1" customWidth="1"/>
    <col min="2575" max="2575" width="17.7109375" style="262" bestFit="1" customWidth="1"/>
    <col min="2576" max="2577" width="14.7109375" style="262" bestFit="1" customWidth="1"/>
    <col min="2578" max="2578" width="4.7109375" style="262" bestFit="1" customWidth="1"/>
    <col min="2579" max="2816" width="9.140625" style="262"/>
    <col min="2817" max="2817" width="30" style="262" bestFit="1" customWidth="1"/>
    <col min="2818" max="2829" width="14.7109375" style="262" bestFit="1" customWidth="1"/>
    <col min="2830" max="2830" width="11.7109375" style="262" bestFit="1" customWidth="1"/>
    <col min="2831" max="2831" width="17.7109375" style="262" bestFit="1" customWidth="1"/>
    <col min="2832" max="2833" width="14.7109375" style="262" bestFit="1" customWidth="1"/>
    <col min="2834" max="2834" width="4.7109375" style="262" bestFit="1" customWidth="1"/>
    <col min="2835" max="3072" width="9.140625" style="262"/>
    <col min="3073" max="3073" width="30" style="262" bestFit="1" customWidth="1"/>
    <col min="3074" max="3085" width="14.7109375" style="262" bestFit="1" customWidth="1"/>
    <col min="3086" max="3086" width="11.7109375" style="262" bestFit="1" customWidth="1"/>
    <col min="3087" max="3087" width="17.7109375" style="262" bestFit="1" customWidth="1"/>
    <col min="3088" max="3089" width="14.7109375" style="262" bestFit="1" customWidth="1"/>
    <col min="3090" max="3090" width="4.7109375" style="262" bestFit="1" customWidth="1"/>
    <col min="3091" max="3328" width="9.140625" style="262"/>
    <col min="3329" max="3329" width="30" style="262" bestFit="1" customWidth="1"/>
    <col min="3330" max="3341" width="14.7109375" style="262" bestFit="1" customWidth="1"/>
    <col min="3342" max="3342" width="11.7109375" style="262" bestFit="1" customWidth="1"/>
    <col min="3343" max="3343" width="17.7109375" style="262" bestFit="1" customWidth="1"/>
    <col min="3344" max="3345" width="14.7109375" style="262" bestFit="1" customWidth="1"/>
    <col min="3346" max="3346" width="4.7109375" style="262" bestFit="1" customWidth="1"/>
    <col min="3347" max="3584" width="9.140625" style="262"/>
    <col min="3585" max="3585" width="30" style="262" bestFit="1" customWidth="1"/>
    <col min="3586" max="3597" width="14.7109375" style="262" bestFit="1" customWidth="1"/>
    <col min="3598" max="3598" width="11.7109375" style="262" bestFit="1" customWidth="1"/>
    <col min="3599" max="3599" width="17.7109375" style="262" bestFit="1" customWidth="1"/>
    <col min="3600" max="3601" width="14.7109375" style="262" bestFit="1" customWidth="1"/>
    <col min="3602" max="3602" width="4.7109375" style="262" bestFit="1" customWidth="1"/>
    <col min="3603" max="3840" width="9.140625" style="262"/>
    <col min="3841" max="3841" width="30" style="262" bestFit="1" customWidth="1"/>
    <col min="3842" max="3853" width="14.7109375" style="262" bestFit="1" customWidth="1"/>
    <col min="3854" max="3854" width="11.7109375" style="262" bestFit="1" customWidth="1"/>
    <col min="3855" max="3855" width="17.7109375" style="262" bestFit="1" customWidth="1"/>
    <col min="3856" max="3857" width="14.7109375" style="262" bestFit="1" customWidth="1"/>
    <col min="3858" max="3858" width="4.7109375" style="262" bestFit="1" customWidth="1"/>
    <col min="3859" max="4096" width="9.140625" style="262"/>
    <col min="4097" max="4097" width="30" style="262" bestFit="1" customWidth="1"/>
    <col min="4098" max="4109" width="14.7109375" style="262" bestFit="1" customWidth="1"/>
    <col min="4110" max="4110" width="11.7109375" style="262" bestFit="1" customWidth="1"/>
    <col min="4111" max="4111" width="17.7109375" style="262" bestFit="1" customWidth="1"/>
    <col min="4112" max="4113" width="14.7109375" style="262" bestFit="1" customWidth="1"/>
    <col min="4114" max="4114" width="4.7109375" style="262" bestFit="1" customWidth="1"/>
    <col min="4115" max="4352" width="9.140625" style="262"/>
    <col min="4353" max="4353" width="30" style="262" bestFit="1" customWidth="1"/>
    <col min="4354" max="4365" width="14.7109375" style="262" bestFit="1" customWidth="1"/>
    <col min="4366" max="4366" width="11.7109375" style="262" bestFit="1" customWidth="1"/>
    <col min="4367" max="4367" width="17.7109375" style="262" bestFit="1" customWidth="1"/>
    <col min="4368" max="4369" width="14.7109375" style="262" bestFit="1" customWidth="1"/>
    <col min="4370" max="4370" width="4.7109375" style="262" bestFit="1" customWidth="1"/>
    <col min="4371" max="4608" width="9.140625" style="262"/>
    <col min="4609" max="4609" width="30" style="262" bestFit="1" customWidth="1"/>
    <col min="4610" max="4621" width="14.7109375" style="262" bestFit="1" customWidth="1"/>
    <col min="4622" max="4622" width="11.7109375" style="262" bestFit="1" customWidth="1"/>
    <col min="4623" max="4623" width="17.7109375" style="262" bestFit="1" customWidth="1"/>
    <col min="4624" max="4625" width="14.7109375" style="262" bestFit="1" customWidth="1"/>
    <col min="4626" max="4626" width="4.7109375" style="262" bestFit="1" customWidth="1"/>
    <col min="4627" max="4864" width="9.140625" style="262"/>
    <col min="4865" max="4865" width="30" style="262" bestFit="1" customWidth="1"/>
    <col min="4866" max="4877" width="14.7109375" style="262" bestFit="1" customWidth="1"/>
    <col min="4878" max="4878" width="11.7109375" style="262" bestFit="1" customWidth="1"/>
    <col min="4879" max="4879" width="17.7109375" style="262" bestFit="1" customWidth="1"/>
    <col min="4880" max="4881" width="14.7109375" style="262" bestFit="1" customWidth="1"/>
    <col min="4882" max="4882" width="4.7109375" style="262" bestFit="1" customWidth="1"/>
    <col min="4883" max="5120" width="9.140625" style="262"/>
    <col min="5121" max="5121" width="30" style="262" bestFit="1" customWidth="1"/>
    <col min="5122" max="5133" width="14.7109375" style="262" bestFit="1" customWidth="1"/>
    <col min="5134" max="5134" width="11.7109375" style="262" bestFit="1" customWidth="1"/>
    <col min="5135" max="5135" width="17.7109375" style="262" bestFit="1" customWidth="1"/>
    <col min="5136" max="5137" width="14.7109375" style="262" bestFit="1" customWidth="1"/>
    <col min="5138" max="5138" width="4.7109375" style="262" bestFit="1" customWidth="1"/>
    <col min="5139" max="5376" width="9.140625" style="262"/>
    <col min="5377" max="5377" width="30" style="262" bestFit="1" customWidth="1"/>
    <col min="5378" max="5389" width="14.7109375" style="262" bestFit="1" customWidth="1"/>
    <col min="5390" max="5390" width="11.7109375" style="262" bestFit="1" customWidth="1"/>
    <col min="5391" max="5391" width="17.7109375" style="262" bestFit="1" customWidth="1"/>
    <col min="5392" max="5393" width="14.7109375" style="262" bestFit="1" customWidth="1"/>
    <col min="5394" max="5394" width="4.7109375" style="262" bestFit="1" customWidth="1"/>
    <col min="5395" max="5632" width="9.140625" style="262"/>
    <col min="5633" max="5633" width="30" style="262" bestFit="1" customWidth="1"/>
    <col min="5634" max="5645" width="14.7109375" style="262" bestFit="1" customWidth="1"/>
    <col min="5646" max="5646" width="11.7109375" style="262" bestFit="1" customWidth="1"/>
    <col min="5647" max="5647" width="17.7109375" style="262" bestFit="1" customWidth="1"/>
    <col min="5648" max="5649" width="14.7109375" style="262" bestFit="1" customWidth="1"/>
    <col min="5650" max="5650" width="4.7109375" style="262" bestFit="1" customWidth="1"/>
    <col min="5651" max="5888" width="9.140625" style="262"/>
    <col min="5889" max="5889" width="30" style="262" bestFit="1" customWidth="1"/>
    <col min="5890" max="5901" width="14.7109375" style="262" bestFit="1" customWidth="1"/>
    <col min="5902" max="5902" width="11.7109375" style="262" bestFit="1" customWidth="1"/>
    <col min="5903" max="5903" width="17.7109375" style="262" bestFit="1" customWidth="1"/>
    <col min="5904" max="5905" width="14.7109375" style="262" bestFit="1" customWidth="1"/>
    <col min="5906" max="5906" width="4.7109375" style="262" bestFit="1" customWidth="1"/>
    <col min="5907" max="6144" width="9.140625" style="262"/>
    <col min="6145" max="6145" width="30" style="262" bestFit="1" customWidth="1"/>
    <col min="6146" max="6157" width="14.7109375" style="262" bestFit="1" customWidth="1"/>
    <col min="6158" max="6158" width="11.7109375" style="262" bestFit="1" customWidth="1"/>
    <col min="6159" max="6159" width="17.7109375" style="262" bestFit="1" customWidth="1"/>
    <col min="6160" max="6161" width="14.7109375" style="262" bestFit="1" customWidth="1"/>
    <col min="6162" max="6162" width="4.7109375" style="262" bestFit="1" customWidth="1"/>
    <col min="6163" max="6400" width="9.140625" style="262"/>
    <col min="6401" max="6401" width="30" style="262" bestFit="1" customWidth="1"/>
    <col min="6402" max="6413" width="14.7109375" style="262" bestFit="1" customWidth="1"/>
    <col min="6414" max="6414" width="11.7109375" style="262" bestFit="1" customWidth="1"/>
    <col min="6415" max="6415" width="17.7109375" style="262" bestFit="1" customWidth="1"/>
    <col min="6416" max="6417" width="14.7109375" style="262" bestFit="1" customWidth="1"/>
    <col min="6418" max="6418" width="4.7109375" style="262" bestFit="1" customWidth="1"/>
    <col min="6419" max="6656" width="9.140625" style="262"/>
    <col min="6657" max="6657" width="30" style="262" bestFit="1" customWidth="1"/>
    <col min="6658" max="6669" width="14.7109375" style="262" bestFit="1" customWidth="1"/>
    <col min="6670" max="6670" width="11.7109375" style="262" bestFit="1" customWidth="1"/>
    <col min="6671" max="6671" width="17.7109375" style="262" bestFit="1" customWidth="1"/>
    <col min="6672" max="6673" width="14.7109375" style="262" bestFit="1" customWidth="1"/>
    <col min="6674" max="6674" width="4.7109375" style="262" bestFit="1" customWidth="1"/>
    <col min="6675" max="6912" width="9.140625" style="262"/>
    <col min="6913" max="6913" width="30" style="262" bestFit="1" customWidth="1"/>
    <col min="6914" max="6925" width="14.7109375" style="262" bestFit="1" customWidth="1"/>
    <col min="6926" max="6926" width="11.7109375" style="262" bestFit="1" customWidth="1"/>
    <col min="6927" max="6927" width="17.7109375" style="262" bestFit="1" customWidth="1"/>
    <col min="6928" max="6929" width="14.7109375" style="262" bestFit="1" customWidth="1"/>
    <col min="6930" max="6930" width="4.7109375" style="262" bestFit="1" customWidth="1"/>
    <col min="6931" max="7168" width="9.140625" style="262"/>
    <col min="7169" max="7169" width="30" style="262" bestFit="1" customWidth="1"/>
    <col min="7170" max="7181" width="14.7109375" style="262" bestFit="1" customWidth="1"/>
    <col min="7182" max="7182" width="11.7109375" style="262" bestFit="1" customWidth="1"/>
    <col min="7183" max="7183" width="17.7109375" style="262" bestFit="1" customWidth="1"/>
    <col min="7184" max="7185" width="14.7109375" style="262" bestFit="1" customWidth="1"/>
    <col min="7186" max="7186" width="4.7109375" style="262" bestFit="1" customWidth="1"/>
    <col min="7187" max="7424" width="9.140625" style="262"/>
    <col min="7425" max="7425" width="30" style="262" bestFit="1" customWidth="1"/>
    <col min="7426" max="7437" width="14.7109375" style="262" bestFit="1" customWidth="1"/>
    <col min="7438" max="7438" width="11.7109375" style="262" bestFit="1" customWidth="1"/>
    <col min="7439" max="7439" width="17.7109375" style="262" bestFit="1" customWidth="1"/>
    <col min="7440" max="7441" width="14.7109375" style="262" bestFit="1" customWidth="1"/>
    <col min="7442" max="7442" width="4.7109375" style="262" bestFit="1" customWidth="1"/>
    <col min="7443" max="7680" width="9.140625" style="262"/>
    <col min="7681" max="7681" width="30" style="262" bestFit="1" customWidth="1"/>
    <col min="7682" max="7693" width="14.7109375" style="262" bestFit="1" customWidth="1"/>
    <col min="7694" max="7694" width="11.7109375" style="262" bestFit="1" customWidth="1"/>
    <col min="7695" max="7695" width="17.7109375" style="262" bestFit="1" customWidth="1"/>
    <col min="7696" max="7697" width="14.7109375" style="262" bestFit="1" customWidth="1"/>
    <col min="7698" max="7698" width="4.7109375" style="262" bestFit="1" customWidth="1"/>
    <col min="7699" max="7936" width="9.140625" style="262"/>
    <col min="7937" max="7937" width="30" style="262" bestFit="1" customWidth="1"/>
    <col min="7938" max="7949" width="14.7109375" style="262" bestFit="1" customWidth="1"/>
    <col min="7950" max="7950" width="11.7109375" style="262" bestFit="1" customWidth="1"/>
    <col min="7951" max="7951" width="17.7109375" style="262" bestFit="1" customWidth="1"/>
    <col min="7952" max="7953" width="14.7109375" style="262" bestFit="1" customWidth="1"/>
    <col min="7954" max="7954" width="4.7109375" style="262" bestFit="1" customWidth="1"/>
    <col min="7955" max="8192" width="9.140625" style="262"/>
    <col min="8193" max="8193" width="30" style="262" bestFit="1" customWidth="1"/>
    <col min="8194" max="8205" width="14.7109375" style="262" bestFit="1" customWidth="1"/>
    <col min="8206" max="8206" width="11.7109375" style="262" bestFit="1" customWidth="1"/>
    <col min="8207" max="8207" width="17.7109375" style="262" bestFit="1" customWidth="1"/>
    <col min="8208" max="8209" width="14.7109375" style="262" bestFit="1" customWidth="1"/>
    <col min="8210" max="8210" width="4.7109375" style="262" bestFit="1" customWidth="1"/>
    <col min="8211" max="8448" width="9.140625" style="262"/>
    <col min="8449" max="8449" width="30" style="262" bestFit="1" customWidth="1"/>
    <col min="8450" max="8461" width="14.7109375" style="262" bestFit="1" customWidth="1"/>
    <col min="8462" max="8462" width="11.7109375" style="262" bestFit="1" customWidth="1"/>
    <col min="8463" max="8463" width="17.7109375" style="262" bestFit="1" customWidth="1"/>
    <col min="8464" max="8465" width="14.7109375" style="262" bestFit="1" customWidth="1"/>
    <col min="8466" max="8466" width="4.7109375" style="262" bestFit="1" customWidth="1"/>
    <col min="8467" max="8704" width="9.140625" style="262"/>
    <col min="8705" max="8705" width="30" style="262" bestFit="1" customWidth="1"/>
    <col min="8706" max="8717" width="14.7109375" style="262" bestFit="1" customWidth="1"/>
    <col min="8718" max="8718" width="11.7109375" style="262" bestFit="1" customWidth="1"/>
    <col min="8719" max="8719" width="17.7109375" style="262" bestFit="1" customWidth="1"/>
    <col min="8720" max="8721" width="14.7109375" style="262" bestFit="1" customWidth="1"/>
    <col min="8722" max="8722" width="4.7109375" style="262" bestFit="1" customWidth="1"/>
    <col min="8723" max="8960" width="9.140625" style="262"/>
    <col min="8961" max="8961" width="30" style="262" bestFit="1" customWidth="1"/>
    <col min="8962" max="8973" width="14.7109375" style="262" bestFit="1" customWidth="1"/>
    <col min="8974" max="8974" width="11.7109375" style="262" bestFit="1" customWidth="1"/>
    <col min="8975" max="8975" width="17.7109375" style="262" bestFit="1" customWidth="1"/>
    <col min="8976" max="8977" width="14.7109375" style="262" bestFit="1" customWidth="1"/>
    <col min="8978" max="8978" width="4.7109375" style="262" bestFit="1" customWidth="1"/>
    <col min="8979" max="9216" width="9.140625" style="262"/>
    <col min="9217" max="9217" width="30" style="262" bestFit="1" customWidth="1"/>
    <col min="9218" max="9229" width="14.7109375" style="262" bestFit="1" customWidth="1"/>
    <col min="9230" max="9230" width="11.7109375" style="262" bestFit="1" customWidth="1"/>
    <col min="9231" max="9231" width="17.7109375" style="262" bestFit="1" customWidth="1"/>
    <col min="9232" max="9233" width="14.7109375" style="262" bestFit="1" customWidth="1"/>
    <col min="9234" max="9234" width="4.7109375" style="262" bestFit="1" customWidth="1"/>
    <col min="9235" max="9472" width="9.140625" style="262"/>
    <col min="9473" max="9473" width="30" style="262" bestFit="1" customWidth="1"/>
    <col min="9474" max="9485" width="14.7109375" style="262" bestFit="1" customWidth="1"/>
    <col min="9486" max="9486" width="11.7109375" style="262" bestFit="1" customWidth="1"/>
    <col min="9487" max="9487" width="17.7109375" style="262" bestFit="1" customWidth="1"/>
    <col min="9488" max="9489" width="14.7109375" style="262" bestFit="1" customWidth="1"/>
    <col min="9490" max="9490" width="4.7109375" style="262" bestFit="1" customWidth="1"/>
    <col min="9491" max="9728" width="9.140625" style="262"/>
    <col min="9729" max="9729" width="30" style="262" bestFit="1" customWidth="1"/>
    <col min="9730" max="9741" width="14.7109375" style="262" bestFit="1" customWidth="1"/>
    <col min="9742" max="9742" width="11.7109375" style="262" bestFit="1" customWidth="1"/>
    <col min="9743" max="9743" width="17.7109375" style="262" bestFit="1" customWidth="1"/>
    <col min="9744" max="9745" width="14.7109375" style="262" bestFit="1" customWidth="1"/>
    <col min="9746" max="9746" width="4.7109375" style="262" bestFit="1" customWidth="1"/>
    <col min="9747" max="9984" width="9.140625" style="262"/>
    <col min="9985" max="9985" width="30" style="262" bestFit="1" customWidth="1"/>
    <col min="9986" max="9997" width="14.7109375" style="262" bestFit="1" customWidth="1"/>
    <col min="9998" max="9998" width="11.7109375" style="262" bestFit="1" customWidth="1"/>
    <col min="9999" max="9999" width="17.7109375" style="262" bestFit="1" customWidth="1"/>
    <col min="10000" max="10001" width="14.7109375" style="262" bestFit="1" customWidth="1"/>
    <col min="10002" max="10002" width="4.7109375" style="262" bestFit="1" customWidth="1"/>
    <col min="10003" max="10240" width="9.140625" style="262"/>
    <col min="10241" max="10241" width="30" style="262" bestFit="1" customWidth="1"/>
    <col min="10242" max="10253" width="14.7109375" style="262" bestFit="1" customWidth="1"/>
    <col min="10254" max="10254" width="11.7109375" style="262" bestFit="1" customWidth="1"/>
    <col min="10255" max="10255" width="17.7109375" style="262" bestFit="1" customWidth="1"/>
    <col min="10256" max="10257" width="14.7109375" style="262" bestFit="1" customWidth="1"/>
    <col min="10258" max="10258" width="4.7109375" style="262" bestFit="1" customWidth="1"/>
    <col min="10259" max="10496" width="9.140625" style="262"/>
    <col min="10497" max="10497" width="30" style="262" bestFit="1" customWidth="1"/>
    <col min="10498" max="10509" width="14.7109375" style="262" bestFit="1" customWidth="1"/>
    <col min="10510" max="10510" width="11.7109375" style="262" bestFit="1" customWidth="1"/>
    <col min="10511" max="10511" width="17.7109375" style="262" bestFit="1" customWidth="1"/>
    <col min="10512" max="10513" width="14.7109375" style="262" bestFit="1" customWidth="1"/>
    <col min="10514" max="10514" width="4.7109375" style="262" bestFit="1" customWidth="1"/>
    <col min="10515" max="10752" width="9.140625" style="262"/>
    <col min="10753" max="10753" width="30" style="262" bestFit="1" customWidth="1"/>
    <col min="10754" max="10765" width="14.7109375" style="262" bestFit="1" customWidth="1"/>
    <col min="10766" max="10766" width="11.7109375" style="262" bestFit="1" customWidth="1"/>
    <col min="10767" max="10767" width="17.7109375" style="262" bestFit="1" customWidth="1"/>
    <col min="10768" max="10769" width="14.7109375" style="262" bestFit="1" customWidth="1"/>
    <col min="10770" max="10770" width="4.7109375" style="262" bestFit="1" customWidth="1"/>
    <col min="10771" max="11008" width="9.140625" style="262"/>
    <col min="11009" max="11009" width="30" style="262" bestFit="1" customWidth="1"/>
    <col min="11010" max="11021" width="14.7109375" style="262" bestFit="1" customWidth="1"/>
    <col min="11022" max="11022" width="11.7109375" style="262" bestFit="1" customWidth="1"/>
    <col min="11023" max="11023" width="17.7109375" style="262" bestFit="1" customWidth="1"/>
    <col min="11024" max="11025" width="14.7109375" style="262" bestFit="1" customWidth="1"/>
    <col min="11026" max="11026" width="4.7109375" style="262" bestFit="1" customWidth="1"/>
    <col min="11027" max="11264" width="9.140625" style="262"/>
    <col min="11265" max="11265" width="30" style="262" bestFit="1" customWidth="1"/>
    <col min="11266" max="11277" width="14.7109375" style="262" bestFit="1" customWidth="1"/>
    <col min="11278" max="11278" width="11.7109375" style="262" bestFit="1" customWidth="1"/>
    <col min="11279" max="11279" width="17.7109375" style="262" bestFit="1" customWidth="1"/>
    <col min="11280" max="11281" width="14.7109375" style="262" bestFit="1" customWidth="1"/>
    <col min="11282" max="11282" width="4.7109375" style="262" bestFit="1" customWidth="1"/>
    <col min="11283" max="11520" width="9.140625" style="262"/>
    <col min="11521" max="11521" width="30" style="262" bestFit="1" customWidth="1"/>
    <col min="11522" max="11533" width="14.7109375" style="262" bestFit="1" customWidth="1"/>
    <col min="11534" max="11534" width="11.7109375" style="262" bestFit="1" customWidth="1"/>
    <col min="11535" max="11535" width="17.7109375" style="262" bestFit="1" customWidth="1"/>
    <col min="11536" max="11537" width="14.7109375" style="262" bestFit="1" customWidth="1"/>
    <col min="11538" max="11538" width="4.7109375" style="262" bestFit="1" customWidth="1"/>
    <col min="11539" max="11776" width="9.140625" style="262"/>
    <col min="11777" max="11777" width="30" style="262" bestFit="1" customWidth="1"/>
    <col min="11778" max="11789" width="14.7109375" style="262" bestFit="1" customWidth="1"/>
    <col min="11790" max="11790" width="11.7109375" style="262" bestFit="1" customWidth="1"/>
    <col min="11791" max="11791" width="17.7109375" style="262" bestFit="1" customWidth="1"/>
    <col min="11792" max="11793" width="14.7109375" style="262" bestFit="1" customWidth="1"/>
    <col min="11794" max="11794" width="4.7109375" style="262" bestFit="1" customWidth="1"/>
    <col min="11795" max="12032" width="9.140625" style="262"/>
    <col min="12033" max="12033" width="30" style="262" bestFit="1" customWidth="1"/>
    <col min="12034" max="12045" width="14.7109375" style="262" bestFit="1" customWidth="1"/>
    <col min="12046" max="12046" width="11.7109375" style="262" bestFit="1" customWidth="1"/>
    <col min="12047" max="12047" width="17.7109375" style="262" bestFit="1" customWidth="1"/>
    <col min="12048" max="12049" width="14.7109375" style="262" bestFit="1" customWidth="1"/>
    <col min="12050" max="12050" width="4.7109375" style="262" bestFit="1" customWidth="1"/>
    <col min="12051" max="12288" width="9.140625" style="262"/>
    <col min="12289" max="12289" width="30" style="262" bestFit="1" customWidth="1"/>
    <col min="12290" max="12301" width="14.7109375" style="262" bestFit="1" customWidth="1"/>
    <col min="12302" max="12302" width="11.7109375" style="262" bestFit="1" customWidth="1"/>
    <col min="12303" max="12303" width="17.7109375" style="262" bestFit="1" customWidth="1"/>
    <col min="12304" max="12305" width="14.7109375" style="262" bestFit="1" customWidth="1"/>
    <col min="12306" max="12306" width="4.7109375" style="262" bestFit="1" customWidth="1"/>
    <col min="12307" max="12544" width="9.140625" style="262"/>
    <col min="12545" max="12545" width="30" style="262" bestFit="1" customWidth="1"/>
    <col min="12546" max="12557" width="14.7109375" style="262" bestFit="1" customWidth="1"/>
    <col min="12558" max="12558" width="11.7109375" style="262" bestFit="1" customWidth="1"/>
    <col min="12559" max="12559" width="17.7109375" style="262" bestFit="1" customWidth="1"/>
    <col min="12560" max="12561" width="14.7109375" style="262" bestFit="1" customWidth="1"/>
    <col min="12562" max="12562" width="4.7109375" style="262" bestFit="1" customWidth="1"/>
    <col min="12563" max="12800" width="9.140625" style="262"/>
    <col min="12801" max="12801" width="30" style="262" bestFit="1" customWidth="1"/>
    <col min="12802" max="12813" width="14.7109375" style="262" bestFit="1" customWidth="1"/>
    <col min="12814" max="12814" width="11.7109375" style="262" bestFit="1" customWidth="1"/>
    <col min="12815" max="12815" width="17.7109375" style="262" bestFit="1" customWidth="1"/>
    <col min="12816" max="12817" width="14.7109375" style="262" bestFit="1" customWidth="1"/>
    <col min="12818" max="12818" width="4.7109375" style="262" bestFit="1" customWidth="1"/>
    <col min="12819" max="13056" width="9.140625" style="262"/>
    <col min="13057" max="13057" width="30" style="262" bestFit="1" customWidth="1"/>
    <col min="13058" max="13069" width="14.7109375" style="262" bestFit="1" customWidth="1"/>
    <col min="13070" max="13070" width="11.7109375" style="262" bestFit="1" customWidth="1"/>
    <col min="13071" max="13071" width="17.7109375" style="262" bestFit="1" customWidth="1"/>
    <col min="13072" max="13073" width="14.7109375" style="262" bestFit="1" customWidth="1"/>
    <col min="13074" max="13074" width="4.7109375" style="262" bestFit="1" customWidth="1"/>
    <col min="13075" max="13312" width="9.140625" style="262"/>
    <col min="13313" max="13313" width="30" style="262" bestFit="1" customWidth="1"/>
    <col min="13314" max="13325" width="14.7109375" style="262" bestFit="1" customWidth="1"/>
    <col min="13326" max="13326" width="11.7109375" style="262" bestFit="1" customWidth="1"/>
    <col min="13327" max="13327" width="17.7109375" style="262" bestFit="1" customWidth="1"/>
    <col min="13328" max="13329" width="14.7109375" style="262" bestFit="1" customWidth="1"/>
    <col min="13330" max="13330" width="4.7109375" style="262" bestFit="1" customWidth="1"/>
    <col min="13331" max="13568" width="9.140625" style="262"/>
    <col min="13569" max="13569" width="30" style="262" bestFit="1" customWidth="1"/>
    <col min="13570" max="13581" width="14.7109375" style="262" bestFit="1" customWidth="1"/>
    <col min="13582" max="13582" width="11.7109375" style="262" bestFit="1" customWidth="1"/>
    <col min="13583" max="13583" width="17.7109375" style="262" bestFit="1" customWidth="1"/>
    <col min="13584" max="13585" width="14.7109375" style="262" bestFit="1" customWidth="1"/>
    <col min="13586" max="13586" width="4.7109375" style="262" bestFit="1" customWidth="1"/>
    <col min="13587" max="13824" width="9.140625" style="262"/>
    <col min="13825" max="13825" width="30" style="262" bestFit="1" customWidth="1"/>
    <col min="13826" max="13837" width="14.7109375" style="262" bestFit="1" customWidth="1"/>
    <col min="13838" max="13838" width="11.7109375" style="262" bestFit="1" customWidth="1"/>
    <col min="13839" max="13839" width="17.7109375" style="262" bestFit="1" customWidth="1"/>
    <col min="13840" max="13841" width="14.7109375" style="262" bestFit="1" customWidth="1"/>
    <col min="13842" max="13842" width="4.7109375" style="262" bestFit="1" customWidth="1"/>
    <col min="13843" max="14080" width="9.140625" style="262"/>
    <col min="14081" max="14081" width="30" style="262" bestFit="1" customWidth="1"/>
    <col min="14082" max="14093" width="14.7109375" style="262" bestFit="1" customWidth="1"/>
    <col min="14094" max="14094" width="11.7109375" style="262" bestFit="1" customWidth="1"/>
    <col min="14095" max="14095" width="17.7109375" style="262" bestFit="1" customWidth="1"/>
    <col min="14096" max="14097" width="14.7109375" style="262" bestFit="1" customWidth="1"/>
    <col min="14098" max="14098" width="4.7109375" style="262" bestFit="1" customWidth="1"/>
    <col min="14099" max="14336" width="9.140625" style="262"/>
    <col min="14337" max="14337" width="30" style="262" bestFit="1" customWidth="1"/>
    <col min="14338" max="14349" width="14.7109375" style="262" bestFit="1" customWidth="1"/>
    <col min="14350" max="14350" width="11.7109375" style="262" bestFit="1" customWidth="1"/>
    <col min="14351" max="14351" width="17.7109375" style="262" bestFit="1" customWidth="1"/>
    <col min="14352" max="14353" width="14.7109375" style="262" bestFit="1" customWidth="1"/>
    <col min="14354" max="14354" width="4.7109375" style="262" bestFit="1" customWidth="1"/>
    <col min="14355" max="14592" width="9.140625" style="262"/>
    <col min="14593" max="14593" width="30" style="262" bestFit="1" customWidth="1"/>
    <col min="14594" max="14605" width="14.7109375" style="262" bestFit="1" customWidth="1"/>
    <col min="14606" max="14606" width="11.7109375" style="262" bestFit="1" customWidth="1"/>
    <col min="14607" max="14607" width="17.7109375" style="262" bestFit="1" customWidth="1"/>
    <col min="14608" max="14609" width="14.7109375" style="262" bestFit="1" customWidth="1"/>
    <col min="14610" max="14610" width="4.7109375" style="262" bestFit="1" customWidth="1"/>
    <col min="14611" max="14848" width="9.140625" style="262"/>
    <col min="14849" max="14849" width="30" style="262" bestFit="1" customWidth="1"/>
    <col min="14850" max="14861" width="14.7109375" style="262" bestFit="1" customWidth="1"/>
    <col min="14862" max="14862" width="11.7109375" style="262" bestFit="1" customWidth="1"/>
    <col min="14863" max="14863" width="17.7109375" style="262" bestFit="1" customWidth="1"/>
    <col min="14864" max="14865" width="14.7109375" style="262" bestFit="1" customWidth="1"/>
    <col min="14866" max="14866" width="4.7109375" style="262" bestFit="1" customWidth="1"/>
    <col min="14867" max="15104" width="9.140625" style="262"/>
    <col min="15105" max="15105" width="30" style="262" bestFit="1" customWidth="1"/>
    <col min="15106" max="15117" width="14.7109375" style="262" bestFit="1" customWidth="1"/>
    <col min="15118" max="15118" width="11.7109375" style="262" bestFit="1" customWidth="1"/>
    <col min="15119" max="15119" width="17.7109375" style="262" bestFit="1" customWidth="1"/>
    <col min="15120" max="15121" width="14.7109375" style="262" bestFit="1" customWidth="1"/>
    <col min="15122" max="15122" width="4.7109375" style="262" bestFit="1" customWidth="1"/>
    <col min="15123" max="15360" width="9.140625" style="262"/>
    <col min="15361" max="15361" width="30" style="262" bestFit="1" customWidth="1"/>
    <col min="15362" max="15373" width="14.7109375" style="262" bestFit="1" customWidth="1"/>
    <col min="15374" max="15374" width="11.7109375" style="262" bestFit="1" customWidth="1"/>
    <col min="15375" max="15375" width="17.7109375" style="262" bestFit="1" customWidth="1"/>
    <col min="15376" max="15377" width="14.7109375" style="262" bestFit="1" customWidth="1"/>
    <col min="15378" max="15378" width="4.7109375" style="262" bestFit="1" customWidth="1"/>
    <col min="15379" max="15616" width="9.140625" style="262"/>
    <col min="15617" max="15617" width="30" style="262" bestFit="1" customWidth="1"/>
    <col min="15618" max="15629" width="14.7109375" style="262" bestFit="1" customWidth="1"/>
    <col min="15630" max="15630" width="11.7109375" style="262" bestFit="1" customWidth="1"/>
    <col min="15631" max="15631" width="17.7109375" style="262" bestFit="1" customWidth="1"/>
    <col min="15632" max="15633" width="14.7109375" style="262" bestFit="1" customWidth="1"/>
    <col min="15634" max="15634" width="4.7109375" style="262" bestFit="1" customWidth="1"/>
    <col min="15635" max="15872" width="9.140625" style="262"/>
    <col min="15873" max="15873" width="30" style="262" bestFit="1" customWidth="1"/>
    <col min="15874" max="15885" width="14.7109375" style="262" bestFit="1" customWidth="1"/>
    <col min="15886" max="15886" width="11.7109375" style="262" bestFit="1" customWidth="1"/>
    <col min="15887" max="15887" width="17.7109375" style="262" bestFit="1" customWidth="1"/>
    <col min="15888" max="15889" width="14.7109375" style="262" bestFit="1" customWidth="1"/>
    <col min="15890" max="15890" width="4.7109375" style="262" bestFit="1" customWidth="1"/>
    <col min="15891" max="16128" width="9.140625" style="262"/>
    <col min="16129" max="16129" width="30" style="262" bestFit="1" customWidth="1"/>
    <col min="16130" max="16141" width="14.7109375" style="262" bestFit="1" customWidth="1"/>
    <col min="16142" max="16142" width="11.7109375" style="262" bestFit="1" customWidth="1"/>
    <col min="16143" max="16143" width="17.7109375" style="262" bestFit="1" customWidth="1"/>
    <col min="16144" max="16145" width="14.7109375" style="262" bestFit="1" customWidth="1"/>
    <col min="16146" max="16146" width="4.7109375" style="262" bestFit="1" customWidth="1"/>
    <col min="16147" max="16384" width="9.140625" style="262"/>
  </cols>
  <sheetData>
    <row r="1" spans="1:17" ht="16.5" customHeight="1" x14ac:dyDescent="0.2">
      <c r="A1" s="385" t="s">
        <v>689</v>
      </c>
      <c r="B1" s="385"/>
      <c r="C1" s="385"/>
      <c r="D1" s="385"/>
      <c r="E1" s="385"/>
      <c r="F1" s="385"/>
      <c r="G1" s="385"/>
      <c r="H1" s="385"/>
      <c r="I1" s="385"/>
      <c r="J1" s="385"/>
      <c r="K1" s="385"/>
      <c r="L1" s="385"/>
      <c r="M1" s="385"/>
      <c r="N1" s="385"/>
      <c r="O1" s="385"/>
      <c r="P1" s="385"/>
      <c r="Q1" s="385"/>
    </row>
    <row r="2" spans="1:17" s="265" customFormat="1" ht="18" customHeight="1" x14ac:dyDescent="0.2">
      <c r="A2" s="363" t="s">
        <v>670</v>
      </c>
      <c r="B2" s="375" t="s">
        <v>69</v>
      </c>
      <c r="C2" s="376"/>
      <c r="D2" s="376"/>
      <c r="E2" s="376"/>
      <c r="F2" s="376"/>
      <c r="G2" s="376"/>
      <c r="H2" s="376"/>
      <c r="I2" s="377"/>
      <c r="J2" s="375" t="s">
        <v>70</v>
      </c>
      <c r="K2" s="376"/>
      <c r="L2" s="376"/>
      <c r="M2" s="376"/>
      <c r="N2" s="376"/>
      <c r="O2" s="376"/>
      <c r="P2" s="376"/>
      <c r="Q2" s="377"/>
    </row>
    <row r="3" spans="1:17" s="265" customFormat="1" ht="18" customHeight="1" x14ac:dyDescent="0.2">
      <c r="A3" s="364"/>
      <c r="B3" s="375" t="s">
        <v>690</v>
      </c>
      <c r="C3" s="376"/>
      <c r="D3" s="376"/>
      <c r="E3" s="377"/>
      <c r="F3" s="375" t="s">
        <v>691</v>
      </c>
      <c r="G3" s="376"/>
      <c r="H3" s="376"/>
      <c r="I3" s="377"/>
      <c r="J3" s="375" t="s">
        <v>690</v>
      </c>
      <c r="K3" s="376"/>
      <c r="L3" s="376"/>
      <c r="M3" s="377"/>
      <c r="N3" s="375" t="s">
        <v>691</v>
      </c>
      <c r="O3" s="376"/>
      <c r="P3" s="376"/>
      <c r="Q3" s="377"/>
    </row>
    <row r="4" spans="1:17" s="265" customFormat="1" ht="17.25" customHeight="1" x14ac:dyDescent="0.2">
      <c r="A4" s="365"/>
      <c r="B4" s="263" t="s">
        <v>692</v>
      </c>
      <c r="C4" s="263" t="s">
        <v>693</v>
      </c>
      <c r="D4" s="263" t="s">
        <v>668</v>
      </c>
      <c r="E4" s="269" t="s">
        <v>150</v>
      </c>
      <c r="F4" s="269" t="s">
        <v>692</v>
      </c>
      <c r="G4" s="269" t="s">
        <v>693</v>
      </c>
      <c r="H4" s="269" t="s">
        <v>668</v>
      </c>
      <c r="I4" s="269" t="s">
        <v>150</v>
      </c>
      <c r="J4" s="263" t="s">
        <v>692</v>
      </c>
      <c r="K4" s="263" t="s">
        <v>693</v>
      </c>
      <c r="L4" s="263" t="s">
        <v>668</v>
      </c>
      <c r="M4" s="269" t="s">
        <v>150</v>
      </c>
      <c r="N4" s="269" t="s">
        <v>692</v>
      </c>
      <c r="O4" s="269" t="s">
        <v>693</v>
      </c>
      <c r="P4" s="269" t="s">
        <v>668</v>
      </c>
      <c r="Q4" s="269" t="s">
        <v>150</v>
      </c>
    </row>
    <row r="5" spans="1:17" s="265" customFormat="1" ht="28.5" customHeight="1" x14ac:dyDescent="0.2">
      <c r="A5" s="272" t="s">
        <v>674</v>
      </c>
      <c r="B5" s="283">
        <v>343</v>
      </c>
      <c r="C5" s="283">
        <v>983</v>
      </c>
      <c r="D5" s="283">
        <v>31</v>
      </c>
      <c r="E5" s="283">
        <v>1357</v>
      </c>
      <c r="F5" s="290">
        <v>9504514</v>
      </c>
      <c r="G5" s="290">
        <v>1237976</v>
      </c>
      <c r="H5" s="283">
        <v>5592</v>
      </c>
      <c r="I5" s="301">
        <v>10748082</v>
      </c>
      <c r="J5" s="283">
        <v>338</v>
      </c>
      <c r="K5" s="283">
        <v>988</v>
      </c>
      <c r="L5" s="283">
        <v>28</v>
      </c>
      <c r="M5" s="283">
        <v>1354</v>
      </c>
      <c r="N5" s="301">
        <v>10397930</v>
      </c>
      <c r="O5" s="290">
        <v>1267426</v>
      </c>
      <c r="P5" s="283">
        <v>4694</v>
      </c>
      <c r="Q5" s="301">
        <v>11670050</v>
      </c>
    </row>
    <row r="6" spans="1:17" s="265" customFormat="1" ht="28.5" customHeight="1" x14ac:dyDescent="0.2">
      <c r="A6" s="272" t="s">
        <v>675</v>
      </c>
      <c r="B6" s="283">
        <v>52</v>
      </c>
      <c r="C6" s="283">
        <v>0</v>
      </c>
      <c r="D6" s="283">
        <v>0</v>
      </c>
      <c r="E6" s="283">
        <v>52</v>
      </c>
      <c r="F6" s="290">
        <v>1095226</v>
      </c>
      <c r="G6" s="283">
        <v>0</v>
      </c>
      <c r="H6" s="283">
        <v>0</v>
      </c>
      <c r="I6" s="290">
        <v>1095226</v>
      </c>
      <c r="J6" s="283">
        <v>64</v>
      </c>
      <c r="K6" s="283">
        <v>0</v>
      </c>
      <c r="L6" s="283">
        <v>0</v>
      </c>
      <c r="M6" s="283">
        <v>64</v>
      </c>
      <c r="N6" s="290">
        <v>1669013</v>
      </c>
      <c r="O6" s="283">
        <v>0</v>
      </c>
      <c r="P6" s="283">
        <v>0</v>
      </c>
      <c r="Q6" s="290">
        <v>1669013</v>
      </c>
    </row>
    <row r="7" spans="1:17" s="265" customFormat="1" ht="28.5" customHeight="1" x14ac:dyDescent="0.2">
      <c r="A7" s="272" t="s">
        <v>676</v>
      </c>
      <c r="B7" s="283">
        <v>38</v>
      </c>
      <c r="C7" s="283">
        <v>0</v>
      </c>
      <c r="D7" s="283">
        <v>0</v>
      </c>
      <c r="E7" s="283">
        <v>38</v>
      </c>
      <c r="F7" s="283">
        <v>75553</v>
      </c>
      <c r="G7" s="283">
        <v>0</v>
      </c>
      <c r="H7" s="283">
        <v>0</v>
      </c>
      <c r="I7" s="283">
        <v>75553</v>
      </c>
      <c r="J7" s="283">
        <v>27</v>
      </c>
      <c r="K7" s="283">
        <v>0</v>
      </c>
      <c r="L7" s="283">
        <v>0</v>
      </c>
      <c r="M7" s="283">
        <v>27</v>
      </c>
      <c r="N7" s="283">
        <v>73775</v>
      </c>
      <c r="O7" s="283">
        <v>0</v>
      </c>
      <c r="P7" s="283">
        <v>0</v>
      </c>
      <c r="Q7" s="283">
        <v>73775</v>
      </c>
    </row>
    <row r="8" spans="1:17" s="265" customFormat="1" ht="28.5" customHeight="1" x14ac:dyDescent="0.2">
      <c r="A8" s="272" t="s">
        <v>1050</v>
      </c>
      <c r="B8" s="283">
        <v>253</v>
      </c>
      <c r="C8" s="283">
        <v>974</v>
      </c>
      <c r="D8" s="283">
        <v>31</v>
      </c>
      <c r="E8" s="283">
        <v>1258</v>
      </c>
      <c r="F8" s="290">
        <v>8333735</v>
      </c>
      <c r="G8" s="290">
        <v>1237891</v>
      </c>
      <c r="H8" s="283">
        <v>5592</v>
      </c>
      <c r="I8" s="290">
        <v>9577218</v>
      </c>
      <c r="J8" s="283">
        <v>247</v>
      </c>
      <c r="K8" s="283">
        <v>978</v>
      </c>
      <c r="L8" s="283">
        <v>28</v>
      </c>
      <c r="M8" s="283">
        <v>1253</v>
      </c>
      <c r="N8" s="290">
        <v>8655142</v>
      </c>
      <c r="O8" s="290">
        <v>1267329</v>
      </c>
      <c r="P8" s="283">
        <v>4694</v>
      </c>
      <c r="Q8" s="290">
        <v>9927165</v>
      </c>
    </row>
    <row r="9" spans="1:17" s="265" customFormat="1" ht="28.5" customHeight="1" x14ac:dyDescent="0.2">
      <c r="A9" s="272" t="s">
        <v>679</v>
      </c>
      <c r="B9" s="283">
        <v>0</v>
      </c>
      <c r="C9" s="283">
        <v>9</v>
      </c>
      <c r="D9" s="283">
        <v>0</v>
      </c>
      <c r="E9" s="283">
        <v>9</v>
      </c>
      <c r="F9" s="283">
        <v>0</v>
      </c>
      <c r="G9" s="283">
        <v>85</v>
      </c>
      <c r="H9" s="283">
        <v>0</v>
      </c>
      <c r="I9" s="283">
        <v>85</v>
      </c>
      <c r="J9" s="283">
        <v>0</v>
      </c>
      <c r="K9" s="283">
        <v>10</v>
      </c>
      <c r="L9" s="283">
        <v>0</v>
      </c>
      <c r="M9" s="283">
        <v>10</v>
      </c>
      <c r="N9" s="283">
        <v>0</v>
      </c>
      <c r="O9" s="283">
        <v>97</v>
      </c>
      <c r="P9" s="283">
        <v>0</v>
      </c>
      <c r="Q9" s="283">
        <v>97</v>
      </c>
    </row>
    <row r="10" spans="1:17" s="265" customFormat="1" ht="28.5" customHeight="1" x14ac:dyDescent="0.2">
      <c r="A10" s="272" t="s">
        <v>680</v>
      </c>
      <c r="B10" s="283">
        <v>370</v>
      </c>
      <c r="C10" s="283">
        <v>144</v>
      </c>
      <c r="D10" s="283">
        <v>0</v>
      </c>
      <c r="E10" s="283">
        <v>514</v>
      </c>
      <c r="F10" s="301">
        <v>51633997</v>
      </c>
      <c r="G10" s="290">
        <v>1900988</v>
      </c>
      <c r="H10" s="283">
        <v>0</v>
      </c>
      <c r="I10" s="301">
        <v>53534985</v>
      </c>
      <c r="J10" s="283">
        <v>422</v>
      </c>
      <c r="K10" s="283">
        <v>131</v>
      </c>
      <c r="L10" s="283">
        <v>1</v>
      </c>
      <c r="M10" s="283">
        <v>554</v>
      </c>
      <c r="N10" s="301">
        <v>61059454</v>
      </c>
      <c r="O10" s="290">
        <v>1803025</v>
      </c>
      <c r="P10" s="283">
        <v>12017</v>
      </c>
      <c r="Q10" s="301">
        <v>62874496</v>
      </c>
    </row>
    <row r="11" spans="1:17" s="265" customFormat="1" ht="28.5" customHeight="1" x14ac:dyDescent="0.2">
      <c r="A11" s="272" t="s">
        <v>681</v>
      </c>
      <c r="B11" s="283">
        <v>44</v>
      </c>
      <c r="C11" s="283">
        <v>28</v>
      </c>
      <c r="D11" s="283">
        <v>0</v>
      </c>
      <c r="E11" s="283">
        <v>72</v>
      </c>
      <c r="F11" s="290">
        <v>9781472</v>
      </c>
      <c r="G11" s="290">
        <v>633215</v>
      </c>
      <c r="H11" s="283">
        <v>0</v>
      </c>
      <c r="I11" s="301">
        <v>10414687</v>
      </c>
      <c r="J11" s="283">
        <v>43</v>
      </c>
      <c r="K11" s="283">
        <v>26</v>
      </c>
      <c r="L11" s="283">
        <v>0</v>
      </c>
      <c r="M11" s="283">
        <v>69</v>
      </c>
      <c r="N11" s="301">
        <v>11406410</v>
      </c>
      <c r="O11" s="290">
        <v>507684</v>
      </c>
      <c r="P11" s="283">
        <v>0</v>
      </c>
      <c r="Q11" s="301">
        <v>11914094</v>
      </c>
    </row>
    <row r="12" spans="1:17" s="265" customFormat="1" ht="28.5" customHeight="1" x14ac:dyDescent="0.2">
      <c r="A12" s="272" t="s">
        <v>682</v>
      </c>
      <c r="B12" s="283">
        <v>326</v>
      </c>
      <c r="C12" s="283">
        <v>116</v>
      </c>
      <c r="D12" s="283">
        <v>0</v>
      </c>
      <c r="E12" s="283">
        <v>442</v>
      </c>
      <c r="F12" s="301">
        <v>41852525</v>
      </c>
      <c r="G12" s="290">
        <v>1267773</v>
      </c>
      <c r="H12" s="283">
        <v>0</v>
      </c>
      <c r="I12" s="301">
        <v>43120298</v>
      </c>
      <c r="J12" s="283">
        <v>379</v>
      </c>
      <c r="K12" s="283">
        <v>105</v>
      </c>
      <c r="L12" s="283">
        <v>1</v>
      </c>
      <c r="M12" s="283">
        <v>485</v>
      </c>
      <c r="N12" s="301">
        <v>49653044</v>
      </c>
      <c r="O12" s="290">
        <v>1295341</v>
      </c>
      <c r="P12" s="283">
        <v>12017</v>
      </c>
      <c r="Q12" s="301">
        <v>50960402</v>
      </c>
    </row>
    <row r="13" spans="1:17" s="265" customFormat="1" ht="28.5" customHeight="1" x14ac:dyDescent="0.2">
      <c r="A13" s="272" t="s">
        <v>683</v>
      </c>
      <c r="B13" s="283">
        <v>31</v>
      </c>
      <c r="C13" s="283">
        <v>0</v>
      </c>
      <c r="D13" s="283">
        <v>0</v>
      </c>
      <c r="E13" s="283">
        <v>31</v>
      </c>
      <c r="F13" s="290">
        <v>5889085</v>
      </c>
      <c r="G13" s="283">
        <v>0</v>
      </c>
      <c r="H13" s="283">
        <v>0</v>
      </c>
      <c r="I13" s="290">
        <v>5889085</v>
      </c>
      <c r="J13" s="283">
        <v>27</v>
      </c>
      <c r="K13" s="283">
        <v>0</v>
      </c>
      <c r="L13" s="283">
        <v>0</v>
      </c>
      <c r="M13" s="283">
        <v>27</v>
      </c>
      <c r="N13" s="290">
        <v>6395013</v>
      </c>
      <c r="O13" s="283">
        <v>0</v>
      </c>
      <c r="P13" s="283">
        <v>0</v>
      </c>
      <c r="Q13" s="290">
        <v>6395013</v>
      </c>
    </row>
    <row r="14" spans="1:17" s="265" customFormat="1" ht="28.5" customHeight="1" x14ac:dyDescent="0.2">
      <c r="A14" s="272" t="s">
        <v>694</v>
      </c>
      <c r="B14" s="283">
        <v>68</v>
      </c>
      <c r="C14" s="283">
        <v>0</v>
      </c>
      <c r="D14" s="283">
        <v>0</v>
      </c>
      <c r="E14" s="283">
        <v>68</v>
      </c>
      <c r="F14" s="290">
        <v>1081290</v>
      </c>
      <c r="G14" s="283">
        <v>0</v>
      </c>
      <c r="H14" s="283">
        <v>0</v>
      </c>
      <c r="I14" s="290">
        <v>1081290</v>
      </c>
      <c r="J14" s="283">
        <v>78</v>
      </c>
      <c r="K14" s="283">
        <v>0</v>
      </c>
      <c r="L14" s="283">
        <v>0</v>
      </c>
      <c r="M14" s="283">
        <v>78</v>
      </c>
      <c r="N14" s="290">
        <v>1391635</v>
      </c>
      <c r="O14" s="283">
        <v>0</v>
      </c>
      <c r="P14" s="283">
        <v>0</v>
      </c>
      <c r="Q14" s="290">
        <v>1391635</v>
      </c>
    </row>
    <row r="15" spans="1:17" s="265" customFormat="1" ht="28.5" customHeight="1" x14ac:dyDescent="0.2">
      <c r="A15" s="272" t="s">
        <v>685</v>
      </c>
      <c r="B15" s="283">
        <v>12</v>
      </c>
      <c r="C15" s="283">
        <v>0</v>
      </c>
      <c r="D15" s="283">
        <v>0</v>
      </c>
      <c r="E15" s="283">
        <v>12</v>
      </c>
      <c r="F15" s="290">
        <v>329343</v>
      </c>
      <c r="G15" s="283">
        <v>0</v>
      </c>
      <c r="H15" s="283">
        <v>0</v>
      </c>
      <c r="I15" s="290">
        <v>329343</v>
      </c>
      <c r="J15" s="283">
        <v>12</v>
      </c>
      <c r="K15" s="283">
        <v>0</v>
      </c>
      <c r="L15" s="283">
        <v>0</v>
      </c>
      <c r="M15" s="283">
        <v>12</v>
      </c>
      <c r="N15" s="290">
        <v>320620</v>
      </c>
      <c r="O15" s="283">
        <v>0</v>
      </c>
      <c r="P15" s="283">
        <v>0</v>
      </c>
      <c r="Q15" s="290">
        <v>320620</v>
      </c>
    </row>
    <row r="16" spans="1:17" s="265" customFormat="1" ht="28.5" customHeight="1" x14ac:dyDescent="0.2">
      <c r="A16" s="272" t="s">
        <v>686</v>
      </c>
      <c r="B16" s="283">
        <v>56</v>
      </c>
      <c r="C16" s="283">
        <v>0</v>
      </c>
      <c r="D16" s="283">
        <v>0</v>
      </c>
      <c r="E16" s="283">
        <v>56</v>
      </c>
      <c r="F16" s="290">
        <v>751947</v>
      </c>
      <c r="G16" s="283">
        <v>0</v>
      </c>
      <c r="H16" s="283">
        <v>0</v>
      </c>
      <c r="I16" s="290">
        <v>751947</v>
      </c>
      <c r="J16" s="283">
        <v>66</v>
      </c>
      <c r="K16" s="283">
        <v>0</v>
      </c>
      <c r="L16" s="283">
        <v>0</v>
      </c>
      <c r="M16" s="283">
        <v>66</v>
      </c>
      <c r="N16" s="290">
        <v>1071015</v>
      </c>
      <c r="O16" s="283">
        <v>0</v>
      </c>
      <c r="P16" s="283">
        <v>0</v>
      </c>
      <c r="Q16" s="290">
        <v>1071015</v>
      </c>
    </row>
    <row r="17" spans="1:17" s="265" customFormat="1" ht="28.5" customHeight="1" x14ac:dyDescent="0.2">
      <c r="A17" s="272" t="s">
        <v>687</v>
      </c>
      <c r="B17" s="283">
        <v>28</v>
      </c>
      <c r="C17" s="283">
        <v>0</v>
      </c>
      <c r="D17" s="283">
        <v>0</v>
      </c>
      <c r="E17" s="283">
        <v>28</v>
      </c>
      <c r="F17" s="283">
        <v>93859</v>
      </c>
      <c r="G17" s="283">
        <v>0</v>
      </c>
      <c r="H17" s="283">
        <v>0</v>
      </c>
      <c r="I17" s="283">
        <v>93859</v>
      </c>
      <c r="J17" s="283">
        <v>29</v>
      </c>
      <c r="K17" s="283">
        <v>0</v>
      </c>
      <c r="L17" s="283">
        <v>0</v>
      </c>
      <c r="M17" s="283">
        <v>29</v>
      </c>
      <c r="N17" s="290">
        <v>125217</v>
      </c>
      <c r="O17" s="283">
        <v>0</v>
      </c>
      <c r="P17" s="283">
        <v>0</v>
      </c>
      <c r="Q17" s="290">
        <v>125217</v>
      </c>
    </row>
    <row r="18" spans="1:17" s="265" customFormat="1" ht="28.5" customHeight="1" x14ac:dyDescent="0.2">
      <c r="A18" s="272" t="s">
        <v>688</v>
      </c>
      <c r="B18" s="283">
        <v>840</v>
      </c>
      <c r="C18" s="283">
        <v>1127</v>
      </c>
      <c r="D18" s="283">
        <v>31</v>
      </c>
      <c r="E18" s="283">
        <v>1998</v>
      </c>
      <c r="F18" s="301">
        <v>68202745</v>
      </c>
      <c r="G18" s="290">
        <v>3138964</v>
      </c>
      <c r="H18" s="283">
        <v>5592</v>
      </c>
      <c r="I18" s="301">
        <v>71347301</v>
      </c>
      <c r="J18" s="283">
        <v>894</v>
      </c>
      <c r="K18" s="283">
        <v>1119</v>
      </c>
      <c r="L18" s="283">
        <v>29</v>
      </c>
      <c r="M18" s="283">
        <v>2042</v>
      </c>
      <c r="N18" s="301">
        <v>79369249</v>
      </c>
      <c r="O18" s="290">
        <v>3070451</v>
      </c>
      <c r="P18" s="283">
        <v>16711</v>
      </c>
      <c r="Q18" s="301">
        <v>82456411</v>
      </c>
    </row>
    <row r="19" spans="1:17" s="265" customFormat="1" ht="14.25" customHeight="1" x14ac:dyDescent="0.2">
      <c r="A19" s="373" t="s">
        <v>695</v>
      </c>
      <c r="B19" s="373"/>
      <c r="C19" s="373"/>
      <c r="D19" s="373"/>
      <c r="E19" s="373"/>
      <c r="F19" s="373"/>
      <c r="G19" s="373"/>
      <c r="H19" s="373"/>
      <c r="I19" s="373"/>
      <c r="J19" s="373"/>
      <c r="K19" s="373"/>
      <c r="L19" s="373"/>
      <c r="M19" s="373"/>
      <c r="N19" s="373"/>
    </row>
    <row r="20" spans="1:17" s="265" customFormat="1" ht="13.5" customHeight="1" x14ac:dyDescent="0.2">
      <c r="A20" s="373" t="s">
        <v>106</v>
      </c>
      <c r="B20" s="373"/>
      <c r="C20" s="373"/>
      <c r="D20" s="373"/>
      <c r="E20" s="373"/>
      <c r="F20" s="373"/>
      <c r="G20" s="373"/>
      <c r="H20" s="373"/>
      <c r="I20" s="373"/>
      <c r="J20" s="373"/>
      <c r="K20" s="373"/>
      <c r="L20" s="373"/>
      <c r="M20" s="373"/>
      <c r="N20" s="373"/>
    </row>
    <row r="21" spans="1:17" s="265" customFormat="1" ht="13.5" customHeight="1" x14ac:dyDescent="0.2">
      <c r="A21" s="373" t="s">
        <v>133</v>
      </c>
      <c r="B21" s="373"/>
      <c r="C21" s="373"/>
      <c r="D21" s="373"/>
      <c r="E21" s="373"/>
      <c r="F21" s="373"/>
      <c r="G21" s="373"/>
      <c r="H21" s="373"/>
      <c r="I21" s="373"/>
      <c r="J21" s="373"/>
      <c r="K21" s="373"/>
      <c r="L21" s="373"/>
      <c r="M21" s="373"/>
      <c r="N21" s="373"/>
    </row>
    <row r="22" spans="1:17" s="265" customFormat="1" ht="26.85" customHeight="1" x14ac:dyDescent="0.2"/>
  </sheetData>
  <mergeCells count="11">
    <mergeCell ref="A19:N19"/>
    <mergeCell ref="A20:N20"/>
    <mergeCell ref="A21:N21"/>
    <mergeCell ref="A1:Q1"/>
    <mergeCell ref="A2:A4"/>
    <mergeCell ref="B2:I2"/>
    <mergeCell ref="J2:Q2"/>
    <mergeCell ref="B3:E3"/>
    <mergeCell ref="F3:I3"/>
    <mergeCell ref="J3:M3"/>
    <mergeCell ref="N3:Q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J20"/>
  <sheetViews>
    <sheetView workbookViewId="0">
      <selection activeCell="J17" sqref="J17"/>
    </sheetView>
  </sheetViews>
  <sheetFormatPr defaultRowHeight="12.75" x14ac:dyDescent="0.2"/>
  <cols>
    <col min="1" max="1" width="11.5703125" style="262" bestFit="1" customWidth="1"/>
    <col min="2" max="7" width="12.140625" style="262" bestFit="1" customWidth="1"/>
    <col min="8" max="8" width="15" style="262" bestFit="1" customWidth="1"/>
    <col min="9" max="9" width="9.7109375" style="262" bestFit="1" customWidth="1"/>
    <col min="10" max="10" width="19.42578125" style="262" bestFit="1" customWidth="1"/>
    <col min="11" max="11" width="4.7109375" style="262" bestFit="1" customWidth="1"/>
    <col min="12" max="256" width="9.140625" style="262"/>
    <col min="257" max="257" width="11.5703125" style="262" bestFit="1" customWidth="1"/>
    <col min="258" max="263" width="12.140625" style="262" bestFit="1" customWidth="1"/>
    <col min="264" max="264" width="15" style="262" bestFit="1" customWidth="1"/>
    <col min="265" max="265" width="9.7109375" style="262" bestFit="1" customWidth="1"/>
    <col min="266" max="266" width="19.42578125" style="262" bestFit="1" customWidth="1"/>
    <col min="267" max="267" width="4.7109375" style="262" bestFit="1" customWidth="1"/>
    <col min="268" max="512" width="9.140625" style="262"/>
    <col min="513" max="513" width="11.5703125" style="262" bestFit="1" customWidth="1"/>
    <col min="514" max="519" width="12.140625" style="262" bestFit="1" customWidth="1"/>
    <col min="520" max="520" width="15" style="262" bestFit="1" customWidth="1"/>
    <col min="521" max="521" width="9.7109375" style="262" bestFit="1" customWidth="1"/>
    <col min="522" max="522" width="19.42578125" style="262" bestFit="1" customWidth="1"/>
    <col min="523" max="523" width="4.7109375" style="262" bestFit="1" customWidth="1"/>
    <col min="524" max="768" width="9.140625" style="262"/>
    <col min="769" max="769" width="11.5703125" style="262" bestFit="1" customWidth="1"/>
    <col min="770" max="775" width="12.140625" style="262" bestFit="1" customWidth="1"/>
    <col min="776" max="776" width="15" style="262" bestFit="1" customWidth="1"/>
    <col min="777" max="777" width="9.7109375" style="262" bestFit="1" customWidth="1"/>
    <col min="778" max="778" width="19.42578125" style="262" bestFit="1" customWidth="1"/>
    <col min="779" max="779" width="4.7109375" style="262" bestFit="1" customWidth="1"/>
    <col min="780" max="1024" width="9.140625" style="262"/>
    <col min="1025" max="1025" width="11.5703125" style="262" bestFit="1" customWidth="1"/>
    <col min="1026" max="1031" width="12.140625" style="262" bestFit="1" customWidth="1"/>
    <col min="1032" max="1032" width="15" style="262" bestFit="1" customWidth="1"/>
    <col min="1033" max="1033" width="9.7109375" style="262" bestFit="1" customWidth="1"/>
    <col min="1034" max="1034" width="19.42578125" style="262" bestFit="1" customWidth="1"/>
    <col min="1035" max="1035" width="4.7109375" style="262" bestFit="1" customWidth="1"/>
    <col min="1036" max="1280" width="9.140625" style="262"/>
    <col min="1281" max="1281" width="11.5703125" style="262" bestFit="1" customWidth="1"/>
    <col min="1282" max="1287" width="12.140625" style="262" bestFit="1" customWidth="1"/>
    <col min="1288" max="1288" width="15" style="262" bestFit="1" customWidth="1"/>
    <col min="1289" max="1289" width="9.7109375" style="262" bestFit="1" customWidth="1"/>
    <col min="1290" max="1290" width="19.42578125" style="262" bestFit="1" customWidth="1"/>
    <col min="1291" max="1291" width="4.7109375" style="262" bestFit="1" customWidth="1"/>
    <col min="1292" max="1536" width="9.140625" style="262"/>
    <col min="1537" max="1537" width="11.5703125" style="262" bestFit="1" customWidth="1"/>
    <col min="1538" max="1543" width="12.140625" style="262" bestFit="1" customWidth="1"/>
    <col min="1544" max="1544" width="15" style="262" bestFit="1" customWidth="1"/>
    <col min="1545" max="1545" width="9.7109375" style="262" bestFit="1" customWidth="1"/>
    <col min="1546" max="1546" width="19.42578125" style="262" bestFit="1" customWidth="1"/>
    <col min="1547" max="1547" width="4.7109375" style="262" bestFit="1" customWidth="1"/>
    <col min="1548" max="1792" width="9.140625" style="262"/>
    <col min="1793" max="1793" width="11.5703125" style="262" bestFit="1" customWidth="1"/>
    <col min="1794" max="1799" width="12.140625" style="262" bestFit="1" customWidth="1"/>
    <col min="1800" max="1800" width="15" style="262" bestFit="1" customWidth="1"/>
    <col min="1801" max="1801" width="9.7109375" style="262" bestFit="1" customWidth="1"/>
    <col min="1802" max="1802" width="19.42578125" style="262" bestFit="1" customWidth="1"/>
    <col min="1803" max="1803" width="4.7109375" style="262" bestFit="1" customWidth="1"/>
    <col min="1804" max="2048" width="9.140625" style="262"/>
    <col min="2049" max="2049" width="11.5703125" style="262" bestFit="1" customWidth="1"/>
    <col min="2050" max="2055" width="12.140625" style="262" bestFit="1" customWidth="1"/>
    <col min="2056" max="2056" width="15" style="262" bestFit="1" customWidth="1"/>
    <col min="2057" max="2057" width="9.7109375" style="262" bestFit="1" customWidth="1"/>
    <col min="2058" max="2058" width="19.42578125" style="262" bestFit="1" customWidth="1"/>
    <col min="2059" max="2059" width="4.7109375" style="262" bestFit="1" customWidth="1"/>
    <col min="2060" max="2304" width="9.140625" style="262"/>
    <col min="2305" max="2305" width="11.5703125" style="262" bestFit="1" customWidth="1"/>
    <col min="2306" max="2311" width="12.140625" style="262" bestFit="1" customWidth="1"/>
    <col min="2312" max="2312" width="15" style="262" bestFit="1" customWidth="1"/>
    <col min="2313" max="2313" width="9.7109375" style="262" bestFit="1" customWidth="1"/>
    <col min="2314" max="2314" width="19.42578125" style="262" bestFit="1" customWidth="1"/>
    <col min="2315" max="2315" width="4.7109375" style="262" bestFit="1" customWidth="1"/>
    <col min="2316" max="2560" width="9.140625" style="262"/>
    <col min="2561" max="2561" width="11.5703125" style="262" bestFit="1" customWidth="1"/>
    <col min="2562" max="2567" width="12.140625" style="262" bestFit="1" customWidth="1"/>
    <col min="2568" max="2568" width="15" style="262" bestFit="1" customWidth="1"/>
    <col min="2569" max="2569" width="9.7109375" style="262" bestFit="1" customWidth="1"/>
    <col min="2570" max="2570" width="19.42578125" style="262" bestFit="1" customWidth="1"/>
    <col min="2571" max="2571" width="4.7109375" style="262" bestFit="1" customWidth="1"/>
    <col min="2572" max="2816" width="9.140625" style="262"/>
    <col min="2817" max="2817" width="11.5703125" style="262" bestFit="1" customWidth="1"/>
    <col min="2818" max="2823" width="12.140625" style="262" bestFit="1" customWidth="1"/>
    <col min="2824" max="2824" width="15" style="262" bestFit="1" customWidth="1"/>
    <col min="2825" max="2825" width="9.7109375" style="262" bestFit="1" customWidth="1"/>
    <col min="2826" max="2826" width="19.42578125" style="262" bestFit="1" customWidth="1"/>
    <col min="2827" max="2827" width="4.7109375" style="262" bestFit="1" customWidth="1"/>
    <col min="2828" max="3072" width="9.140625" style="262"/>
    <col min="3073" max="3073" width="11.5703125" style="262" bestFit="1" customWidth="1"/>
    <col min="3074" max="3079" width="12.140625" style="262" bestFit="1" customWidth="1"/>
    <col min="3080" max="3080" width="15" style="262" bestFit="1" customWidth="1"/>
    <col min="3081" max="3081" width="9.7109375" style="262" bestFit="1" customWidth="1"/>
    <col min="3082" max="3082" width="19.42578125" style="262" bestFit="1" customWidth="1"/>
    <col min="3083" max="3083" width="4.7109375" style="262" bestFit="1" customWidth="1"/>
    <col min="3084" max="3328" width="9.140625" style="262"/>
    <col min="3329" max="3329" width="11.5703125" style="262" bestFit="1" customWidth="1"/>
    <col min="3330" max="3335" width="12.140625" style="262" bestFit="1" customWidth="1"/>
    <col min="3336" max="3336" width="15" style="262" bestFit="1" customWidth="1"/>
    <col min="3337" max="3337" width="9.7109375" style="262" bestFit="1" customWidth="1"/>
    <col min="3338" max="3338" width="19.42578125" style="262" bestFit="1" customWidth="1"/>
    <col min="3339" max="3339" width="4.7109375" style="262" bestFit="1" customWidth="1"/>
    <col min="3340" max="3584" width="9.140625" style="262"/>
    <col min="3585" max="3585" width="11.5703125" style="262" bestFit="1" customWidth="1"/>
    <col min="3586" max="3591" width="12.140625" style="262" bestFit="1" customWidth="1"/>
    <col min="3592" max="3592" width="15" style="262" bestFit="1" customWidth="1"/>
    <col min="3593" max="3593" width="9.7109375" style="262" bestFit="1" customWidth="1"/>
    <col min="3594" max="3594" width="19.42578125" style="262" bestFit="1" customWidth="1"/>
    <col min="3595" max="3595" width="4.7109375" style="262" bestFit="1" customWidth="1"/>
    <col min="3596" max="3840" width="9.140625" style="262"/>
    <col min="3841" max="3841" width="11.5703125" style="262" bestFit="1" customWidth="1"/>
    <col min="3842" max="3847" width="12.140625" style="262" bestFit="1" customWidth="1"/>
    <col min="3848" max="3848" width="15" style="262" bestFit="1" customWidth="1"/>
    <col min="3849" max="3849" width="9.7109375" style="262" bestFit="1" customWidth="1"/>
    <col min="3850" max="3850" width="19.42578125" style="262" bestFit="1" customWidth="1"/>
    <col min="3851" max="3851" width="4.7109375" style="262" bestFit="1" customWidth="1"/>
    <col min="3852" max="4096" width="9.140625" style="262"/>
    <col min="4097" max="4097" width="11.5703125" style="262" bestFit="1" customWidth="1"/>
    <col min="4098" max="4103" width="12.140625" style="262" bestFit="1" customWidth="1"/>
    <col min="4104" max="4104" width="15" style="262" bestFit="1" customWidth="1"/>
    <col min="4105" max="4105" width="9.7109375" style="262" bestFit="1" customWidth="1"/>
    <col min="4106" max="4106" width="19.42578125" style="262" bestFit="1" customWidth="1"/>
    <col min="4107" max="4107" width="4.7109375" style="262" bestFit="1" customWidth="1"/>
    <col min="4108" max="4352" width="9.140625" style="262"/>
    <col min="4353" max="4353" width="11.5703125" style="262" bestFit="1" customWidth="1"/>
    <col min="4354" max="4359" width="12.140625" style="262" bestFit="1" customWidth="1"/>
    <col min="4360" max="4360" width="15" style="262" bestFit="1" customWidth="1"/>
    <col min="4361" max="4361" width="9.7109375" style="262" bestFit="1" customWidth="1"/>
    <col min="4362" max="4362" width="19.42578125" style="262" bestFit="1" customWidth="1"/>
    <col min="4363" max="4363" width="4.7109375" style="262" bestFit="1" customWidth="1"/>
    <col min="4364" max="4608" width="9.140625" style="262"/>
    <col min="4609" max="4609" width="11.5703125" style="262" bestFit="1" customWidth="1"/>
    <col min="4610" max="4615" width="12.140625" style="262" bestFit="1" customWidth="1"/>
    <col min="4616" max="4616" width="15" style="262" bestFit="1" customWidth="1"/>
    <col min="4617" max="4617" width="9.7109375" style="262" bestFit="1" customWidth="1"/>
    <col min="4618" max="4618" width="19.42578125" style="262" bestFit="1" customWidth="1"/>
    <col min="4619" max="4619" width="4.7109375" style="262" bestFit="1" customWidth="1"/>
    <col min="4620" max="4864" width="9.140625" style="262"/>
    <col min="4865" max="4865" width="11.5703125" style="262" bestFit="1" customWidth="1"/>
    <col min="4866" max="4871" width="12.140625" style="262" bestFit="1" customWidth="1"/>
    <col min="4872" max="4872" width="15" style="262" bestFit="1" customWidth="1"/>
    <col min="4873" max="4873" width="9.7109375" style="262" bestFit="1" customWidth="1"/>
    <col min="4874" max="4874" width="19.42578125" style="262" bestFit="1" customWidth="1"/>
    <col min="4875" max="4875" width="4.7109375" style="262" bestFit="1" customWidth="1"/>
    <col min="4876" max="5120" width="9.140625" style="262"/>
    <col min="5121" max="5121" width="11.5703125" style="262" bestFit="1" customWidth="1"/>
    <col min="5122" max="5127" width="12.140625" style="262" bestFit="1" customWidth="1"/>
    <col min="5128" max="5128" width="15" style="262" bestFit="1" customWidth="1"/>
    <col min="5129" max="5129" width="9.7109375" style="262" bestFit="1" customWidth="1"/>
    <col min="5130" max="5130" width="19.42578125" style="262" bestFit="1" customWidth="1"/>
    <col min="5131" max="5131" width="4.7109375" style="262" bestFit="1" customWidth="1"/>
    <col min="5132" max="5376" width="9.140625" style="262"/>
    <col min="5377" max="5377" width="11.5703125" style="262" bestFit="1" customWidth="1"/>
    <col min="5378" max="5383" width="12.140625" style="262" bestFit="1" customWidth="1"/>
    <col min="5384" max="5384" width="15" style="262" bestFit="1" customWidth="1"/>
    <col min="5385" max="5385" width="9.7109375" style="262" bestFit="1" customWidth="1"/>
    <col min="5386" max="5386" width="19.42578125" style="262" bestFit="1" customWidth="1"/>
    <col min="5387" max="5387" width="4.7109375" style="262" bestFit="1" customWidth="1"/>
    <col min="5388" max="5632" width="9.140625" style="262"/>
    <col min="5633" max="5633" width="11.5703125" style="262" bestFit="1" customWidth="1"/>
    <col min="5634" max="5639" width="12.140625" style="262" bestFit="1" customWidth="1"/>
    <col min="5640" max="5640" width="15" style="262" bestFit="1" customWidth="1"/>
    <col min="5641" max="5641" width="9.7109375" style="262" bestFit="1" customWidth="1"/>
    <col min="5642" max="5642" width="19.42578125" style="262" bestFit="1" customWidth="1"/>
    <col min="5643" max="5643" width="4.7109375" style="262" bestFit="1" customWidth="1"/>
    <col min="5644" max="5888" width="9.140625" style="262"/>
    <col min="5889" max="5889" width="11.5703125" style="262" bestFit="1" customWidth="1"/>
    <col min="5890" max="5895" width="12.140625" style="262" bestFit="1" customWidth="1"/>
    <col min="5896" max="5896" width="15" style="262" bestFit="1" customWidth="1"/>
    <col min="5897" max="5897" width="9.7109375" style="262" bestFit="1" customWidth="1"/>
    <col min="5898" max="5898" width="19.42578125" style="262" bestFit="1" customWidth="1"/>
    <col min="5899" max="5899" width="4.7109375" style="262" bestFit="1" customWidth="1"/>
    <col min="5900" max="6144" width="9.140625" style="262"/>
    <col min="6145" max="6145" width="11.5703125" style="262" bestFit="1" customWidth="1"/>
    <col min="6146" max="6151" width="12.140625" style="262" bestFit="1" customWidth="1"/>
    <col min="6152" max="6152" width="15" style="262" bestFit="1" customWidth="1"/>
    <col min="6153" max="6153" width="9.7109375" style="262" bestFit="1" customWidth="1"/>
    <col min="6154" max="6154" width="19.42578125" style="262" bestFit="1" customWidth="1"/>
    <col min="6155" max="6155" width="4.7109375" style="262" bestFit="1" customWidth="1"/>
    <col min="6156" max="6400" width="9.140625" style="262"/>
    <col min="6401" max="6401" width="11.5703125" style="262" bestFit="1" customWidth="1"/>
    <col min="6402" max="6407" width="12.140625" style="262" bestFit="1" customWidth="1"/>
    <col min="6408" max="6408" width="15" style="262" bestFit="1" customWidth="1"/>
    <col min="6409" max="6409" width="9.7109375" style="262" bestFit="1" customWidth="1"/>
    <col min="6410" max="6410" width="19.42578125" style="262" bestFit="1" customWidth="1"/>
    <col min="6411" max="6411" width="4.7109375" style="262" bestFit="1" customWidth="1"/>
    <col min="6412" max="6656" width="9.140625" style="262"/>
    <col min="6657" max="6657" width="11.5703125" style="262" bestFit="1" customWidth="1"/>
    <col min="6658" max="6663" width="12.140625" style="262" bestFit="1" customWidth="1"/>
    <col min="6664" max="6664" width="15" style="262" bestFit="1" customWidth="1"/>
    <col min="6665" max="6665" width="9.7109375" style="262" bestFit="1" customWidth="1"/>
    <col min="6666" max="6666" width="19.42578125" style="262" bestFit="1" customWidth="1"/>
    <col min="6667" max="6667" width="4.7109375" style="262" bestFit="1" customWidth="1"/>
    <col min="6668" max="6912" width="9.140625" style="262"/>
    <col min="6913" max="6913" width="11.5703125" style="262" bestFit="1" customWidth="1"/>
    <col min="6914" max="6919" width="12.140625" style="262" bestFit="1" customWidth="1"/>
    <col min="6920" max="6920" width="15" style="262" bestFit="1" customWidth="1"/>
    <col min="6921" max="6921" width="9.7109375" style="262" bestFit="1" customWidth="1"/>
    <col min="6922" max="6922" width="19.42578125" style="262" bestFit="1" customWidth="1"/>
    <col min="6923" max="6923" width="4.7109375" style="262" bestFit="1" customWidth="1"/>
    <col min="6924" max="7168" width="9.140625" style="262"/>
    <col min="7169" max="7169" width="11.5703125" style="262" bestFit="1" customWidth="1"/>
    <col min="7170" max="7175" width="12.140625" style="262" bestFit="1" customWidth="1"/>
    <col min="7176" max="7176" width="15" style="262" bestFit="1" customWidth="1"/>
    <col min="7177" max="7177" width="9.7109375" style="262" bestFit="1" customWidth="1"/>
    <col min="7178" max="7178" width="19.42578125" style="262" bestFit="1" customWidth="1"/>
    <col min="7179" max="7179" width="4.7109375" style="262" bestFit="1" customWidth="1"/>
    <col min="7180" max="7424" width="9.140625" style="262"/>
    <col min="7425" max="7425" width="11.5703125" style="262" bestFit="1" customWidth="1"/>
    <col min="7426" max="7431" width="12.140625" style="262" bestFit="1" customWidth="1"/>
    <col min="7432" max="7432" width="15" style="262" bestFit="1" customWidth="1"/>
    <col min="7433" max="7433" width="9.7109375" style="262" bestFit="1" customWidth="1"/>
    <col min="7434" max="7434" width="19.42578125" style="262" bestFit="1" customWidth="1"/>
    <col min="7435" max="7435" width="4.7109375" style="262" bestFit="1" customWidth="1"/>
    <col min="7436" max="7680" width="9.140625" style="262"/>
    <col min="7681" max="7681" width="11.5703125" style="262" bestFit="1" customWidth="1"/>
    <col min="7682" max="7687" width="12.140625" style="262" bestFit="1" customWidth="1"/>
    <col min="7688" max="7688" width="15" style="262" bestFit="1" customWidth="1"/>
    <col min="7689" max="7689" width="9.7109375" style="262" bestFit="1" customWidth="1"/>
    <col min="7690" max="7690" width="19.42578125" style="262" bestFit="1" customWidth="1"/>
    <col min="7691" max="7691" width="4.7109375" style="262" bestFit="1" customWidth="1"/>
    <col min="7692" max="7936" width="9.140625" style="262"/>
    <col min="7937" max="7937" width="11.5703125" style="262" bestFit="1" customWidth="1"/>
    <col min="7938" max="7943" width="12.140625" style="262" bestFit="1" customWidth="1"/>
    <col min="7944" max="7944" width="15" style="262" bestFit="1" customWidth="1"/>
    <col min="7945" max="7945" width="9.7109375" style="262" bestFit="1" customWidth="1"/>
    <col min="7946" max="7946" width="19.42578125" style="262" bestFit="1" customWidth="1"/>
    <col min="7947" max="7947" width="4.7109375" style="262" bestFit="1" customWidth="1"/>
    <col min="7948" max="8192" width="9.140625" style="262"/>
    <col min="8193" max="8193" width="11.5703125" style="262" bestFit="1" customWidth="1"/>
    <col min="8194" max="8199" width="12.140625" style="262" bestFit="1" customWidth="1"/>
    <col min="8200" max="8200" width="15" style="262" bestFit="1" customWidth="1"/>
    <col min="8201" max="8201" width="9.7109375" style="262" bestFit="1" customWidth="1"/>
    <col min="8202" max="8202" width="19.42578125" style="262" bestFit="1" customWidth="1"/>
    <col min="8203" max="8203" width="4.7109375" style="262" bestFit="1" customWidth="1"/>
    <col min="8204" max="8448" width="9.140625" style="262"/>
    <col min="8449" max="8449" width="11.5703125" style="262" bestFit="1" customWidth="1"/>
    <col min="8450" max="8455" width="12.140625" style="262" bestFit="1" customWidth="1"/>
    <col min="8456" max="8456" width="15" style="262" bestFit="1" customWidth="1"/>
    <col min="8457" max="8457" width="9.7109375" style="262" bestFit="1" customWidth="1"/>
    <col min="8458" max="8458" width="19.42578125" style="262" bestFit="1" customWidth="1"/>
    <col min="8459" max="8459" width="4.7109375" style="262" bestFit="1" customWidth="1"/>
    <col min="8460" max="8704" width="9.140625" style="262"/>
    <col min="8705" max="8705" width="11.5703125" style="262" bestFit="1" customWidth="1"/>
    <col min="8706" max="8711" width="12.140625" style="262" bestFit="1" customWidth="1"/>
    <col min="8712" max="8712" width="15" style="262" bestFit="1" customWidth="1"/>
    <col min="8713" max="8713" width="9.7109375" style="262" bestFit="1" customWidth="1"/>
    <col min="8714" max="8714" width="19.42578125" style="262" bestFit="1" customWidth="1"/>
    <col min="8715" max="8715" width="4.7109375" style="262" bestFit="1" customWidth="1"/>
    <col min="8716" max="8960" width="9.140625" style="262"/>
    <col min="8961" max="8961" width="11.5703125" style="262" bestFit="1" customWidth="1"/>
    <col min="8962" max="8967" width="12.140625" style="262" bestFit="1" customWidth="1"/>
    <col min="8968" max="8968" width="15" style="262" bestFit="1" customWidth="1"/>
    <col min="8969" max="8969" width="9.7109375" style="262" bestFit="1" customWidth="1"/>
    <col min="8970" max="8970" width="19.42578125" style="262" bestFit="1" customWidth="1"/>
    <col min="8971" max="8971" width="4.7109375" style="262" bestFit="1" customWidth="1"/>
    <col min="8972" max="9216" width="9.140625" style="262"/>
    <col min="9217" max="9217" width="11.5703125" style="262" bestFit="1" customWidth="1"/>
    <col min="9218" max="9223" width="12.140625" style="262" bestFit="1" customWidth="1"/>
    <col min="9224" max="9224" width="15" style="262" bestFit="1" customWidth="1"/>
    <col min="9225" max="9225" width="9.7109375" style="262" bestFit="1" customWidth="1"/>
    <col min="9226" max="9226" width="19.42578125" style="262" bestFit="1" customWidth="1"/>
    <col min="9227" max="9227" width="4.7109375" style="262" bestFit="1" customWidth="1"/>
    <col min="9228" max="9472" width="9.140625" style="262"/>
    <col min="9473" max="9473" width="11.5703125" style="262" bestFit="1" customWidth="1"/>
    <col min="9474" max="9479" width="12.140625" style="262" bestFit="1" customWidth="1"/>
    <col min="9480" max="9480" width="15" style="262" bestFit="1" customWidth="1"/>
    <col min="9481" max="9481" width="9.7109375" style="262" bestFit="1" customWidth="1"/>
    <col min="9482" max="9482" width="19.42578125" style="262" bestFit="1" customWidth="1"/>
    <col min="9483" max="9483" width="4.7109375" style="262" bestFit="1" customWidth="1"/>
    <col min="9484" max="9728" width="9.140625" style="262"/>
    <col min="9729" max="9729" width="11.5703125" style="262" bestFit="1" customWidth="1"/>
    <col min="9730" max="9735" width="12.140625" style="262" bestFit="1" customWidth="1"/>
    <col min="9736" max="9736" width="15" style="262" bestFit="1" customWidth="1"/>
    <col min="9737" max="9737" width="9.7109375" style="262" bestFit="1" customWidth="1"/>
    <col min="9738" max="9738" width="19.42578125" style="262" bestFit="1" customWidth="1"/>
    <col min="9739" max="9739" width="4.7109375" style="262" bestFit="1" customWidth="1"/>
    <col min="9740" max="9984" width="9.140625" style="262"/>
    <col min="9985" max="9985" width="11.5703125" style="262" bestFit="1" customWidth="1"/>
    <col min="9986" max="9991" width="12.140625" style="262" bestFit="1" customWidth="1"/>
    <col min="9992" max="9992" width="15" style="262" bestFit="1" customWidth="1"/>
    <col min="9993" max="9993" width="9.7109375" style="262" bestFit="1" customWidth="1"/>
    <col min="9994" max="9994" width="19.42578125" style="262" bestFit="1" customWidth="1"/>
    <col min="9995" max="9995" width="4.7109375" style="262" bestFit="1" customWidth="1"/>
    <col min="9996" max="10240" width="9.140625" style="262"/>
    <col min="10241" max="10241" width="11.5703125" style="262" bestFit="1" customWidth="1"/>
    <col min="10242" max="10247" width="12.140625" style="262" bestFit="1" customWidth="1"/>
    <col min="10248" max="10248" width="15" style="262" bestFit="1" customWidth="1"/>
    <col min="10249" max="10249" width="9.7109375" style="262" bestFit="1" customWidth="1"/>
    <col min="10250" max="10250" width="19.42578125" style="262" bestFit="1" customWidth="1"/>
    <col min="10251" max="10251" width="4.7109375" style="262" bestFit="1" customWidth="1"/>
    <col min="10252" max="10496" width="9.140625" style="262"/>
    <col min="10497" max="10497" width="11.5703125" style="262" bestFit="1" customWidth="1"/>
    <col min="10498" max="10503" width="12.140625" style="262" bestFit="1" customWidth="1"/>
    <col min="10504" max="10504" width="15" style="262" bestFit="1" customWidth="1"/>
    <col min="10505" max="10505" width="9.7109375" style="262" bestFit="1" customWidth="1"/>
    <col min="10506" max="10506" width="19.42578125" style="262" bestFit="1" customWidth="1"/>
    <col min="10507" max="10507" width="4.7109375" style="262" bestFit="1" customWidth="1"/>
    <col min="10508" max="10752" width="9.140625" style="262"/>
    <col min="10753" max="10753" width="11.5703125" style="262" bestFit="1" customWidth="1"/>
    <col min="10754" max="10759" width="12.140625" style="262" bestFit="1" customWidth="1"/>
    <col min="10760" max="10760" width="15" style="262" bestFit="1" customWidth="1"/>
    <col min="10761" max="10761" width="9.7109375" style="262" bestFit="1" customWidth="1"/>
    <col min="10762" max="10762" width="19.42578125" style="262" bestFit="1" customWidth="1"/>
    <col min="10763" max="10763" width="4.7109375" style="262" bestFit="1" customWidth="1"/>
    <col min="10764" max="11008" width="9.140625" style="262"/>
    <col min="11009" max="11009" width="11.5703125" style="262" bestFit="1" customWidth="1"/>
    <col min="11010" max="11015" width="12.140625" style="262" bestFit="1" customWidth="1"/>
    <col min="11016" max="11016" width="15" style="262" bestFit="1" customWidth="1"/>
    <col min="11017" max="11017" width="9.7109375" style="262" bestFit="1" customWidth="1"/>
    <col min="11018" max="11018" width="19.42578125" style="262" bestFit="1" customWidth="1"/>
    <col min="11019" max="11019" width="4.7109375" style="262" bestFit="1" customWidth="1"/>
    <col min="11020" max="11264" width="9.140625" style="262"/>
    <col min="11265" max="11265" width="11.5703125" style="262" bestFit="1" customWidth="1"/>
    <col min="11266" max="11271" width="12.140625" style="262" bestFit="1" customWidth="1"/>
    <col min="11272" max="11272" width="15" style="262" bestFit="1" customWidth="1"/>
    <col min="11273" max="11273" width="9.7109375" style="262" bestFit="1" customWidth="1"/>
    <col min="11274" max="11274" width="19.42578125" style="262" bestFit="1" customWidth="1"/>
    <col min="11275" max="11275" width="4.7109375" style="262" bestFit="1" customWidth="1"/>
    <col min="11276" max="11520" width="9.140625" style="262"/>
    <col min="11521" max="11521" width="11.5703125" style="262" bestFit="1" customWidth="1"/>
    <col min="11522" max="11527" width="12.140625" style="262" bestFit="1" customWidth="1"/>
    <col min="11528" max="11528" width="15" style="262" bestFit="1" customWidth="1"/>
    <col min="11529" max="11529" width="9.7109375" style="262" bestFit="1" customWidth="1"/>
    <col min="11530" max="11530" width="19.42578125" style="262" bestFit="1" customWidth="1"/>
    <col min="11531" max="11531" width="4.7109375" style="262" bestFit="1" customWidth="1"/>
    <col min="11532" max="11776" width="9.140625" style="262"/>
    <col min="11777" max="11777" width="11.5703125" style="262" bestFit="1" customWidth="1"/>
    <col min="11778" max="11783" width="12.140625" style="262" bestFit="1" customWidth="1"/>
    <col min="11784" max="11784" width="15" style="262" bestFit="1" customWidth="1"/>
    <col min="11785" max="11785" width="9.7109375" style="262" bestFit="1" customWidth="1"/>
    <col min="11786" max="11786" width="19.42578125" style="262" bestFit="1" customWidth="1"/>
    <col min="11787" max="11787" width="4.7109375" style="262" bestFit="1" customWidth="1"/>
    <col min="11788" max="12032" width="9.140625" style="262"/>
    <col min="12033" max="12033" width="11.5703125" style="262" bestFit="1" customWidth="1"/>
    <col min="12034" max="12039" width="12.140625" style="262" bestFit="1" customWidth="1"/>
    <col min="12040" max="12040" width="15" style="262" bestFit="1" customWidth="1"/>
    <col min="12041" max="12041" width="9.7109375" style="262" bestFit="1" customWidth="1"/>
    <col min="12042" max="12042" width="19.42578125" style="262" bestFit="1" customWidth="1"/>
    <col min="12043" max="12043" width="4.7109375" style="262" bestFit="1" customWidth="1"/>
    <col min="12044" max="12288" width="9.140625" style="262"/>
    <col min="12289" max="12289" width="11.5703125" style="262" bestFit="1" customWidth="1"/>
    <col min="12290" max="12295" width="12.140625" style="262" bestFit="1" customWidth="1"/>
    <col min="12296" max="12296" width="15" style="262" bestFit="1" customWidth="1"/>
    <col min="12297" max="12297" width="9.7109375" style="262" bestFit="1" customWidth="1"/>
    <col min="12298" max="12298" width="19.42578125" style="262" bestFit="1" customWidth="1"/>
    <col min="12299" max="12299" width="4.7109375" style="262" bestFit="1" customWidth="1"/>
    <col min="12300" max="12544" width="9.140625" style="262"/>
    <col min="12545" max="12545" width="11.5703125" style="262" bestFit="1" customWidth="1"/>
    <col min="12546" max="12551" width="12.140625" style="262" bestFit="1" customWidth="1"/>
    <col min="12552" max="12552" width="15" style="262" bestFit="1" customWidth="1"/>
    <col min="12553" max="12553" width="9.7109375" style="262" bestFit="1" customWidth="1"/>
    <col min="12554" max="12554" width="19.42578125" style="262" bestFit="1" customWidth="1"/>
    <col min="12555" max="12555" width="4.7109375" style="262" bestFit="1" customWidth="1"/>
    <col min="12556" max="12800" width="9.140625" style="262"/>
    <col min="12801" max="12801" width="11.5703125" style="262" bestFit="1" customWidth="1"/>
    <col min="12802" max="12807" width="12.140625" style="262" bestFit="1" customWidth="1"/>
    <col min="12808" max="12808" width="15" style="262" bestFit="1" customWidth="1"/>
    <col min="12809" max="12809" width="9.7109375" style="262" bestFit="1" customWidth="1"/>
    <col min="12810" max="12810" width="19.42578125" style="262" bestFit="1" customWidth="1"/>
    <col min="12811" max="12811" width="4.7109375" style="262" bestFit="1" customWidth="1"/>
    <col min="12812" max="13056" width="9.140625" style="262"/>
    <col min="13057" max="13057" width="11.5703125" style="262" bestFit="1" customWidth="1"/>
    <col min="13058" max="13063" width="12.140625" style="262" bestFit="1" customWidth="1"/>
    <col min="13064" max="13064" width="15" style="262" bestFit="1" customWidth="1"/>
    <col min="13065" max="13065" width="9.7109375" style="262" bestFit="1" customWidth="1"/>
    <col min="13066" max="13066" width="19.42578125" style="262" bestFit="1" customWidth="1"/>
    <col min="13067" max="13067" width="4.7109375" style="262" bestFit="1" customWidth="1"/>
    <col min="13068" max="13312" width="9.140625" style="262"/>
    <col min="13313" max="13313" width="11.5703125" style="262" bestFit="1" customWidth="1"/>
    <col min="13314" max="13319" width="12.140625" style="262" bestFit="1" customWidth="1"/>
    <col min="13320" max="13320" width="15" style="262" bestFit="1" customWidth="1"/>
    <col min="13321" max="13321" width="9.7109375" style="262" bestFit="1" customWidth="1"/>
    <col min="13322" max="13322" width="19.42578125" style="262" bestFit="1" customWidth="1"/>
    <col min="13323" max="13323" width="4.7109375" style="262" bestFit="1" customWidth="1"/>
    <col min="13324" max="13568" width="9.140625" style="262"/>
    <col min="13569" max="13569" width="11.5703125" style="262" bestFit="1" customWidth="1"/>
    <col min="13570" max="13575" width="12.140625" style="262" bestFit="1" customWidth="1"/>
    <col min="13576" max="13576" width="15" style="262" bestFit="1" customWidth="1"/>
    <col min="13577" max="13577" width="9.7109375" style="262" bestFit="1" customWidth="1"/>
    <col min="13578" max="13578" width="19.42578125" style="262" bestFit="1" customWidth="1"/>
    <col min="13579" max="13579" width="4.7109375" style="262" bestFit="1" customWidth="1"/>
    <col min="13580" max="13824" width="9.140625" style="262"/>
    <col min="13825" max="13825" width="11.5703125" style="262" bestFit="1" customWidth="1"/>
    <col min="13826" max="13831" width="12.140625" style="262" bestFit="1" customWidth="1"/>
    <col min="13832" max="13832" width="15" style="262" bestFit="1" customWidth="1"/>
    <col min="13833" max="13833" width="9.7109375" style="262" bestFit="1" customWidth="1"/>
    <col min="13834" max="13834" width="19.42578125" style="262" bestFit="1" customWidth="1"/>
    <col min="13835" max="13835" width="4.7109375" style="262" bestFit="1" customWidth="1"/>
    <col min="13836" max="14080" width="9.140625" style="262"/>
    <col min="14081" max="14081" width="11.5703125" style="262" bestFit="1" customWidth="1"/>
    <col min="14082" max="14087" width="12.140625" style="262" bestFit="1" customWidth="1"/>
    <col min="14088" max="14088" width="15" style="262" bestFit="1" customWidth="1"/>
    <col min="14089" max="14089" width="9.7109375" style="262" bestFit="1" customWidth="1"/>
    <col min="14090" max="14090" width="19.42578125" style="262" bestFit="1" customWidth="1"/>
    <col min="14091" max="14091" width="4.7109375" style="262" bestFit="1" customWidth="1"/>
    <col min="14092" max="14336" width="9.140625" style="262"/>
    <col min="14337" max="14337" width="11.5703125" style="262" bestFit="1" customWidth="1"/>
    <col min="14338" max="14343" width="12.140625" style="262" bestFit="1" customWidth="1"/>
    <col min="14344" max="14344" width="15" style="262" bestFit="1" customWidth="1"/>
    <col min="14345" max="14345" width="9.7109375" style="262" bestFit="1" customWidth="1"/>
    <col min="14346" max="14346" width="19.42578125" style="262" bestFit="1" customWidth="1"/>
    <col min="14347" max="14347" width="4.7109375" style="262" bestFit="1" customWidth="1"/>
    <col min="14348" max="14592" width="9.140625" style="262"/>
    <col min="14593" max="14593" width="11.5703125" style="262" bestFit="1" customWidth="1"/>
    <col min="14594" max="14599" width="12.140625" style="262" bestFit="1" customWidth="1"/>
    <col min="14600" max="14600" width="15" style="262" bestFit="1" customWidth="1"/>
    <col min="14601" max="14601" width="9.7109375" style="262" bestFit="1" customWidth="1"/>
    <col min="14602" max="14602" width="19.42578125" style="262" bestFit="1" customWidth="1"/>
    <col min="14603" max="14603" width="4.7109375" style="262" bestFit="1" customWidth="1"/>
    <col min="14604" max="14848" width="9.140625" style="262"/>
    <col min="14849" max="14849" width="11.5703125" style="262" bestFit="1" customWidth="1"/>
    <col min="14850" max="14855" width="12.140625" style="262" bestFit="1" customWidth="1"/>
    <col min="14856" max="14856" width="15" style="262" bestFit="1" customWidth="1"/>
    <col min="14857" max="14857" width="9.7109375" style="262" bestFit="1" customWidth="1"/>
    <col min="14858" max="14858" width="19.42578125" style="262" bestFit="1" customWidth="1"/>
    <col min="14859" max="14859" width="4.7109375" style="262" bestFit="1" customWidth="1"/>
    <col min="14860" max="15104" width="9.140625" style="262"/>
    <col min="15105" max="15105" width="11.5703125" style="262" bestFit="1" customWidth="1"/>
    <col min="15106" max="15111" width="12.140625" style="262" bestFit="1" customWidth="1"/>
    <col min="15112" max="15112" width="15" style="262" bestFit="1" customWidth="1"/>
    <col min="15113" max="15113" width="9.7109375" style="262" bestFit="1" customWidth="1"/>
    <col min="15114" max="15114" width="19.42578125" style="262" bestFit="1" customWidth="1"/>
    <col min="15115" max="15115" width="4.7109375" style="262" bestFit="1" customWidth="1"/>
    <col min="15116" max="15360" width="9.140625" style="262"/>
    <col min="15361" max="15361" width="11.5703125" style="262" bestFit="1" customWidth="1"/>
    <col min="15362" max="15367" width="12.140625" style="262" bestFit="1" customWidth="1"/>
    <col min="15368" max="15368" width="15" style="262" bestFit="1" customWidth="1"/>
    <col min="15369" max="15369" width="9.7109375" style="262" bestFit="1" customWidth="1"/>
    <col min="15370" max="15370" width="19.42578125" style="262" bestFit="1" customWidth="1"/>
    <col min="15371" max="15371" width="4.7109375" style="262" bestFit="1" customWidth="1"/>
    <col min="15372" max="15616" width="9.140625" style="262"/>
    <col min="15617" max="15617" width="11.5703125" style="262" bestFit="1" customWidth="1"/>
    <col min="15618" max="15623" width="12.140625" style="262" bestFit="1" customWidth="1"/>
    <col min="15624" max="15624" width="15" style="262" bestFit="1" customWidth="1"/>
    <col min="15625" max="15625" width="9.7109375" style="262" bestFit="1" customWidth="1"/>
    <col min="15626" max="15626" width="19.42578125" style="262" bestFit="1" customWidth="1"/>
    <col min="15627" max="15627" width="4.7109375" style="262" bestFit="1" customWidth="1"/>
    <col min="15628" max="15872" width="9.140625" style="262"/>
    <col min="15873" max="15873" width="11.5703125" style="262" bestFit="1" customWidth="1"/>
    <col min="15874" max="15879" width="12.140625" style="262" bestFit="1" customWidth="1"/>
    <col min="15880" max="15880" width="15" style="262" bestFit="1" customWidth="1"/>
    <col min="15881" max="15881" width="9.7109375" style="262" bestFit="1" customWidth="1"/>
    <col min="15882" max="15882" width="19.42578125" style="262" bestFit="1" customWidth="1"/>
    <col min="15883" max="15883" width="4.7109375" style="262" bestFit="1" customWidth="1"/>
    <col min="15884" max="16128" width="9.140625" style="262"/>
    <col min="16129" max="16129" width="11.5703125" style="262" bestFit="1" customWidth="1"/>
    <col min="16130" max="16135" width="12.140625" style="262" bestFit="1" customWidth="1"/>
    <col min="16136" max="16136" width="15" style="262" bestFit="1" customWidth="1"/>
    <col min="16137" max="16137" width="9.7109375" style="262" bestFit="1" customWidth="1"/>
    <col min="16138" max="16138" width="19.42578125" style="262" bestFit="1" customWidth="1"/>
    <col min="16139" max="16139" width="4.7109375" style="262" bestFit="1" customWidth="1"/>
    <col min="16140" max="16384" width="9.140625" style="262"/>
  </cols>
  <sheetData>
    <row r="1" spans="1:10" ht="15.75" customHeight="1" x14ac:dyDescent="0.2">
      <c r="A1" s="463" t="s">
        <v>696</v>
      </c>
      <c r="B1" s="463"/>
      <c r="C1" s="463"/>
      <c r="D1" s="463"/>
      <c r="E1" s="463"/>
      <c r="F1" s="463"/>
      <c r="G1" s="463"/>
      <c r="H1" s="463"/>
      <c r="I1" s="463"/>
    </row>
    <row r="2" spans="1:10" s="265" customFormat="1" ht="18.75" customHeight="1" x14ac:dyDescent="0.2">
      <c r="A2" s="403" t="s">
        <v>697</v>
      </c>
      <c r="B2" s="386" t="s">
        <v>120</v>
      </c>
      <c r="C2" s="445"/>
      <c r="D2" s="387"/>
      <c r="E2" s="386" t="s">
        <v>177</v>
      </c>
      <c r="F2" s="445"/>
      <c r="G2" s="387"/>
      <c r="H2" s="386" t="s">
        <v>150</v>
      </c>
      <c r="I2" s="445"/>
      <c r="J2" s="387"/>
    </row>
    <row r="3" spans="1:10" s="265" customFormat="1" ht="34.5" customHeight="1" x14ac:dyDescent="0.2">
      <c r="A3" s="404"/>
      <c r="B3" s="304" t="s">
        <v>698</v>
      </c>
      <c r="C3" s="304" t="s">
        <v>699</v>
      </c>
      <c r="D3" s="304" t="s">
        <v>700</v>
      </c>
      <c r="E3" s="304" t="s">
        <v>698</v>
      </c>
      <c r="F3" s="304" t="s">
        <v>699</v>
      </c>
      <c r="G3" s="304" t="s">
        <v>700</v>
      </c>
      <c r="H3" s="304" t="s">
        <v>698</v>
      </c>
      <c r="I3" s="304" t="s">
        <v>699</v>
      </c>
      <c r="J3" s="304" t="s">
        <v>701</v>
      </c>
    </row>
    <row r="4" spans="1:10" s="265" customFormat="1" ht="22.5" customHeight="1" x14ac:dyDescent="0.2">
      <c r="A4" s="316" t="s">
        <v>69</v>
      </c>
      <c r="B4" s="313">
        <v>667008.81999999995</v>
      </c>
      <c r="C4" s="313">
        <v>525239.54</v>
      </c>
      <c r="D4" s="313">
        <v>141769.28</v>
      </c>
      <c r="E4" s="313">
        <v>1825230.98</v>
      </c>
      <c r="F4" s="313">
        <v>1454514.96</v>
      </c>
      <c r="G4" s="313">
        <v>370715.95</v>
      </c>
      <c r="H4" s="313">
        <v>2492239.7999999998</v>
      </c>
      <c r="I4" s="313">
        <v>1979754.5</v>
      </c>
      <c r="J4" s="313">
        <v>512485.23</v>
      </c>
    </row>
    <row r="5" spans="1:10" s="265" customFormat="1" ht="22.5" customHeight="1" x14ac:dyDescent="0.2">
      <c r="A5" s="316" t="s">
        <v>70</v>
      </c>
      <c r="B5" s="313">
        <v>708991.25</v>
      </c>
      <c r="C5" s="313">
        <v>621112.49</v>
      </c>
      <c r="D5" s="312">
        <v>87878.76</v>
      </c>
      <c r="E5" s="313">
        <v>2267415.52</v>
      </c>
      <c r="F5" s="313">
        <v>1877490.31</v>
      </c>
      <c r="G5" s="313">
        <v>418096.31</v>
      </c>
      <c r="H5" s="313">
        <v>2976406.77</v>
      </c>
      <c r="I5" s="313">
        <v>2498602.7999999998</v>
      </c>
      <c r="J5" s="313">
        <v>505975.07</v>
      </c>
    </row>
    <row r="6" spans="1:10" s="265" customFormat="1" ht="22.5" customHeight="1" x14ac:dyDescent="0.2">
      <c r="A6" s="316" t="s">
        <v>156</v>
      </c>
      <c r="B6" s="312">
        <v>57598.19</v>
      </c>
      <c r="C6" s="312">
        <v>46304.73</v>
      </c>
      <c r="D6" s="312">
        <v>11293.46</v>
      </c>
      <c r="E6" s="313">
        <v>171450.16</v>
      </c>
      <c r="F6" s="313">
        <v>151285.34</v>
      </c>
      <c r="G6" s="312">
        <v>20164.82</v>
      </c>
      <c r="H6" s="313">
        <v>229048.35</v>
      </c>
      <c r="I6" s="313">
        <v>197590.07</v>
      </c>
      <c r="J6" s="312">
        <v>31458.28</v>
      </c>
    </row>
    <row r="7" spans="1:10" s="265" customFormat="1" ht="22.5" customHeight="1" x14ac:dyDescent="0.2">
      <c r="A7" s="316" t="s">
        <v>157</v>
      </c>
      <c r="B7" s="312">
        <v>68739.62</v>
      </c>
      <c r="C7" s="312">
        <v>55120.800000000003</v>
      </c>
      <c r="D7" s="312">
        <v>13618.82</v>
      </c>
      <c r="E7" s="313">
        <v>174469.22</v>
      </c>
      <c r="F7" s="313">
        <v>188554.77</v>
      </c>
      <c r="G7" s="312">
        <v>14085.55</v>
      </c>
      <c r="H7" s="313">
        <v>243208.84</v>
      </c>
      <c r="I7" s="313">
        <v>243675.57</v>
      </c>
      <c r="J7" s="312">
        <v>27704.37</v>
      </c>
    </row>
    <row r="8" spans="1:10" s="265" customFormat="1" ht="22.5" customHeight="1" x14ac:dyDescent="0.2">
      <c r="A8" s="316" t="s">
        <v>158</v>
      </c>
      <c r="B8" s="312">
        <v>57543.15</v>
      </c>
      <c r="C8" s="312">
        <v>48100.59</v>
      </c>
      <c r="D8" s="312">
        <v>9442.56</v>
      </c>
      <c r="E8" s="313">
        <v>185365.02</v>
      </c>
      <c r="F8" s="313">
        <v>144950.09</v>
      </c>
      <c r="G8" s="312">
        <v>40414.93</v>
      </c>
      <c r="H8" s="313">
        <v>242908.17</v>
      </c>
      <c r="I8" s="313">
        <v>193050.68</v>
      </c>
      <c r="J8" s="312">
        <v>49857.49</v>
      </c>
    </row>
    <row r="9" spans="1:10" s="265" customFormat="1" ht="22.5" customHeight="1" x14ac:dyDescent="0.2">
      <c r="A9" s="316" t="s">
        <v>159</v>
      </c>
      <c r="B9" s="312">
        <v>59897.02</v>
      </c>
      <c r="C9" s="312">
        <v>55977.87</v>
      </c>
      <c r="D9" s="312">
        <v>3919.15</v>
      </c>
      <c r="E9" s="313">
        <v>142717.37</v>
      </c>
      <c r="F9" s="313">
        <v>146352.57999999999</v>
      </c>
      <c r="G9" s="312">
        <v>-3635.21</v>
      </c>
      <c r="H9" s="313">
        <v>202614.39</v>
      </c>
      <c r="I9" s="313">
        <v>202330.45</v>
      </c>
      <c r="J9" s="312">
        <v>283.94</v>
      </c>
    </row>
    <row r="10" spans="1:10" s="265" customFormat="1" ht="22.5" customHeight="1" x14ac:dyDescent="0.2">
      <c r="A10" s="316" t="s">
        <v>160</v>
      </c>
      <c r="B10" s="312">
        <v>57455.32</v>
      </c>
      <c r="C10" s="312">
        <v>53360.79</v>
      </c>
      <c r="D10" s="312">
        <v>4094.53</v>
      </c>
      <c r="E10" s="313">
        <v>161151.51</v>
      </c>
      <c r="F10" s="313">
        <v>125407.15</v>
      </c>
      <c r="G10" s="312">
        <v>35744.36</v>
      </c>
      <c r="H10" s="313">
        <v>218606.83</v>
      </c>
      <c r="I10" s="313">
        <v>178767.94</v>
      </c>
      <c r="J10" s="312">
        <v>39838.89</v>
      </c>
    </row>
    <row r="11" spans="1:10" s="265" customFormat="1" ht="22.5" customHeight="1" x14ac:dyDescent="0.2">
      <c r="A11" s="316" t="s">
        <v>161</v>
      </c>
      <c r="B11" s="312">
        <v>61772.13</v>
      </c>
      <c r="C11" s="312">
        <v>50133.95</v>
      </c>
      <c r="D11" s="312">
        <v>11638.18</v>
      </c>
      <c r="E11" s="313">
        <v>170019.25</v>
      </c>
      <c r="F11" s="313">
        <v>151332.76999999999</v>
      </c>
      <c r="G11" s="312">
        <v>18686.48</v>
      </c>
      <c r="H11" s="313">
        <v>231791.38</v>
      </c>
      <c r="I11" s="313">
        <v>201466.72</v>
      </c>
      <c r="J11" s="312">
        <v>30324.66</v>
      </c>
    </row>
    <row r="12" spans="1:10" s="265" customFormat="1" ht="22.5" customHeight="1" x14ac:dyDescent="0.2">
      <c r="A12" s="316" t="s">
        <v>162</v>
      </c>
      <c r="B12" s="312">
        <v>78340.33</v>
      </c>
      <c r="C12" s="312">
        <v>54293.01</v>
      </c>
      <c r="D12" s="312">
        <v>24047.32</v>
      </c>
      <c r="E12" s="313">
        <v>144356.66</v>
      </c>
      <c r="F12" s="313">
        <v>116992.15</v>
      </c>
      <c r="G12" s="312">
        <v>27364.51</v>
      </c>
      <c r="H12" s="313">
        <v>222696.99</v>
      </c>
      <c r="I12" s="313">
        <v>171285.16</v>
      </c>
      <c r="J12" s="312">
        <v>51411.83</v>
      </c>
    </row>
    <row r="13" spans="1:10" s="265" customFormat="1" ht="22.5" customHeight="1" x14ac:dyDescent="0.2">
      <c r="A13" s="316" t="s">
        <v>163</v>
      </c>
      <c r="B13" s="312">
        <v>53828.26</v>
      </c>
      <c r="C13" s="312">
        <v>48591.78</v>
      </c>
      <c r="D13" s="312">
        <v>5236.4799999999996</v>
      </c>
      <c r="E13" s="313">
        <v>180633.86</v>
      </c>
      <c r="F13" s="313">
        <v>129241.29</v>
      </c>
      <c r="G13" s="312">
        <v>51392.57</v>
      </c>
      <c r="H13" s="313">
        <v>234462.12</v>
      </c>
      <c r="I13" s="313">
        <v>177833.07</v>
      </c>
      <c r="J13" s="312">
        <v>56629.05</v>
      </c>
    </row>
    <row r="14" spans="1:10" s="265" customFormat="1" ht="22.5" customHeight="1" x14ac:dyDescent="0.2">
      <c r="A14" s="316" t="s">
        <v>164</v>
      </c>
      <c r="B14" s="312">
        <v>48199.59</v>
      </c>
      <c r="C14" s="312">
        <v>45280.62</v>
      </c>
      <c r="D14" s="312">
        <v>2918.97</v>
      </c>
      <c r="E14" s="313">
        <v>241205.45</v>
      </c>
      <c r="F14" s="313">
        <v>175970.45</v>
      </c>
      <c r="G14" s="312">
        <v>65235</v>
      </c>
      <c r="H14" s="313">
        <v>289405.03999999998</v>
      </c>
      <c r="I14" s="313">
        <v>221251.07</v>
      </c>
      <c r="J14" s="312">
        <v>68153.97</v>
      </c>
    </row>
    <row r="15" spans="1:10" s="265" customFormat="1" ht="22.5" customHeight="1" x14ac:dyDescent="0.2">
      <c r="A15" s="316" t="s">
        <v>165</v>
      </c>
      <c r="B15" s="312">
        <v>57222.37</v>
      </c>
      <c r="C15" s="312">
        <v>50061.760000000002</v>
      </c>
      <c r="D15" s="312">
        <v>7160.61</v>
      </c>
      <c r="E15" s="313">
        <v>220033</v>
      </c>
      <c r="F15" s="313">
        <v>172881.06</v>
      </c>
      <c r="G15" s="312">
        <v>47151.94</v>
      </c>
      <c r="H15" s="313">
        <v>277255.37</v>
      </c>
      <c r="I15" s="313">
        <v>222942.82</v>
      </c>
      <c r="J15" s="312">
        <v>54312.55</v>
      </c>
    </row>
    <row r="16" spans="1:10" s="265" customFormat="1" ht="22.5" customHeight="1" x14ac:dyDescent="0.2">
      <c r="A16" s="316" t="s">
        <v>166</v>
      </c>
      <c r="B16" s="312">
        <v>51530.67</v>
      </c>
      <c r="C16" s="312">
        <v>49357.06</v>
      </c>
      <c r="D16" s="312">
        <v>2173.61</v>
      </c>
      <c r="E16" s="313">
        <v>164664.14000000001</v>
      </c>
      <c r="F16" s="313">
        <v>138213.93</v>
      </c>
      <c r="G16" s="312">
        <v>26450.21</v>
      </c>
      <c r="H16" s="313">
        <v>216194.81</v>
      </c>
      <c r="I16" s="313">
        <v>187570.99</v>
      </c>
      <c r="J16" s="312">
        <v>28623.82</v>
      </c>
    </row>
    <row r="17" spans="1:10" s="265" customFormat="1" ht="22.5" customHeight="1" x14ac:dyDescent="0.2">
      <c r="A17" s="316" t="s">
        <v>167</v>
      </c>
      <c r="B17" s="312">
        <v>56864.6</v>
      </c>
      <c r="C17" s="312">
        <v>64529.53</v>
      </c>
      <c r="D17" s="312">
        <v>-7664.93</v>
      </c>
      <c r="E17" s="313">
        <v>311349.88</v>
      </c>
      <c r="F17" s="313">
        <v>236308.73</v>
      </c>
      <c r="G17" s="312">
        <v>75041.149999999994</v>
      </c>
      <c r="H17" s="313">
        <v>368214.48</v>
      </c>
      <c r="I17" s="313">
        <v>300838.26</v>
      </c>
      <c r="J17" s="312">
        <v>67376.22</v>
      </c>
    </row>
    <row r="18" spans="1:10" s="265" customFormat="1" ht="18.75" customHeight="1" x14ac:dyDescent="0.2">
      <c r="A18" s="353" t="s">
        <v>303</v>
      </c>
      <c r="B18" s="353"/>
      <c r="C18" s="353"/>
      <c r="D18" s="353"/>
      <c r="E18" s="353"/>
      <c r="F18" s="353"/>
      <c r="G18" s="353"/>
    </row>
    <row r="19" spans="1:10" s="265" customFormat="1" ht="18" customHeight="1" x14ac:dyDescent="0.2">
      <c r="A19" s="353" t="s">
        <v>199</v>
      </c>
      <c r="B19" s="353"/>
      <c r="C19" s="353"/>
      <c r="D19" s="353"/>
      <c r="E19" s="353"/>
      <c r="F19" s="353"/>
      <c r="G19" s="353"/>
    </row>
    <row r="20" spans="1:10" s="265" customFormat="1" ht="28.35" customHeight="1" x14ac:dyDescent="0.2"/>
  </sheetData>
  <mergeCells count="7">
    <mergeCell ref="A19:G19"/>
    <mergeCell ref="A1:I1"/>
    <mergeCell ref="A2:A3"/>
    <mergeCell ref="B2:D2"/>
    <mergeCell ref="E2:G2"/>
    <mergeCell ref="H2:J2"/>
    <mergeCell ref="A18:G1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tabColor rgb="FFFFFF00"/>
    <pageSetUpPr fitToPage="1"/>
  </sheetPr>
  <dimension ref="A1:G17"/>
  <sheetViews>
    <sheetView workbookViewId="0">
      <selection activeCell="D19" sqref="D19"/>
    </sheetView>
  </sheetViews>
  <sheetFormatPr defaultRowHeight="12.75" x14ac:dyDescent="0.2"/>
  <cols>
    <col min="1" max="1" width="21.140625" style="262" bestFit="1" customWidth="1"/>
    <col min="2" max="6" width="17.7109375" style="262" bestFit="1" customWidth="1"/>
    <col min="7" max="7" width="14.140625" style="262" bestFit="1" customWidth="1"/>
    <col min="8" max="8" width="8.28515625" style="262" bestFit="1" customWidth="1"/>
    <col min="9" max="256" width="9.140625" style="262"/>
    <col min="257" max="257" width="21.140625" style="262" bestFit="1" customWidth="1"/>
    <col min="258" max="262" width="17.7109375" style="262" bestFit="1" customWidth="1"/>
    <col min="263" max="263" width="14.140625" style="262" bestFit="1" customWidth="1"/>
    <col min="264" max="264" width="8.28515625" style="262" bestFit="1" customWidth="1"/>
    <col min="265" max="512" width="9.140625" style="262"/>
    <col min="513" max="513" width="21.140625" style="262" bestFit="1" customWidth="1"/>
    <col min="514" max="518" width="17.7109375" style="262" bestFit="1" customWidth="1"/>
    <col min="519" max="519" width="14.140625" style="262" bestFit="1" customWidth="1"/>
    <col min="520" max="520" width="8.28515625" style="262" bestFit="1" customWidth="1"/>
    <col min="521" max="768" width="9.140625" style="262"/>
    <col min="769" max="769" width="21.140625" style="262" bestFit="1" customWidth="1"/>
    <col min="770" max="774" width="17.7109375" style="262" bestFit="1" customWidth="1"/>
    <col min="775" max="775" width="14.140625" style="262" bestFit="1" customWidth="1"/>
    <col min="776" max="776" width="8.28515625" style="262" bestFit="1" customWidth="1"/>
    <col min="777" max="1024" width="9.140625" style="262"/>
    <col min="1025" max="1025" width="21.140625" style="262" bestFit="1" customWidth="1"/>
    <col min="1026" max="1030" width="17.7109375" style="262" bestFit="1" customWidth="1"/>
    <col min="1031" max="1031" width="14.140625" style="262" bestFit="1" customWidth="1"/>
    <col min="1032" max="1032" width="8.28515625" style="262" bestFit="1" customWidth="1"/>
    <col min="1033" max="1280" width="9.140625" style="262"/>
    <col min="1281" max="1281" width="21.140625" style="262" bestFit="1" customWidth="1"/>
    <col min="1282" max="1286" width="17.7109375" style="262" bestFit="1" customWidth="1"/>
    <col min="1287" max="1287" width="14.140625" style="262" bestFit="1" customWidth="1"/>
    <col min="1288" max="1288" width="8.28515625" style="262" bestFit="1" customWidth="1"/>
    <col min="1289" max="1536" width="9.140625" style="262"/>
    <col min="1537" max="1537" width="21.140625" style="262" bestFit="1" customWidth="1"/>
    <col min="1538" max="1542" width="17.7109375" style="262" bestFit="1" customWidth="1"/>
    <col min="1543" max="1543" width="14.140625" style="262" bestFit="1" customWidth="1"/>
    <col min="1544" max="1544" width="8.28515625" style="262" bestFit="1" customWidth="1"/>
    <col min="1545" max="1792" width="9.140625" style="262"/>
    <col min="1793" max="1793" width="21.140625" style="262" bestFit="1" customWidth="1"/>
    <col min="1794" max="1798" width="17.7109375" style="262" bestFit="1" customWidth="1"/>
    <col min="1799" max="1799" width="14.140625" style="262" bestFit="1" customWidth="1"/>
    <col min="1800" max="1800" width="8.28515625" style="262" bestFit="1" customWidth="1"/>
    <col min="1801" max="2048" width="9.140625" style="262"/>
    <col min="2049" max="2049" width="21.140625" style="262" bestFit="1" customWidth="1"/>
    <col min="2050" max="2054" width="17.7109375" style="262" bestFit="1" customWidth="1"/>
    <col min="2055" max="2055" width="14.140625" style="262" bestFit="1" customWidth="1"/>
    <col min="2056" max="2056" width="8.28515625" style="262" bestFit="1" customWidth="1"/>
    <col min="2057" max="2304" width="9.140625" style="262"/>
    <col min="2305" max="2305" width="21.140625" style="262" bestFit="1" customWidth="1"/>
    <col min="2306" max="2310" width="17.7109375" style="262" bestFit="1" customWidth="1"/>
    <col min="2311" max="2311" width="14.140625" style="262" bestFit="1" customWidth="1"/>
    <col min="2312" max="2312" width="8.28515625" style="262" bestFit="1" customWidth="1"/>
    <col min="2313" max="2560" width="9.140625" style="262"/>
    <col min="2561" max="2561" width="21.140625" style="262" bestFit="1" customWidth="1"/>
    <col min="2562" max="2566" width="17.7109375" style="262" bestFit="1" customWidth="1"/>
    <col min="2567" max="2567" width="14.140625" style="262" bestFit="1" customWidth="1"/>
    <col min="2568" max="2568" width="8.28515625" style="262" bestFit="1" customWidth="1"/>
    <col min="2569" max="2816" width="9.140625" style="262"/>
    <col min="2817" max="2817" width="21.140625" style="262" bestFit="1" customWidth="1"/>
    <col min="2818" max="2822" width="17.7109375" style="262" bestFit="1" customWidth="1"/>
    <col min="2823" max="2823" width="14.140625" style="262" bestFit="1" customWidth="1"/>
    <col min="2824" max="2824" width="8.28515625" style="262" bestFit="1" customWidth="1"/>
    <col min="2825" max="3072" width="9.140625" style="262"/>
    <col min="3073" max="3073" width="21.140625" style="262" bestFit="1" customWidth="1"/>
    <col min="3074" max="3078" width="17.7109375" style="262" bestFit="1" customWidth="1"/>
    <col min="3079" max="3079" width="14.140625" style="262" bestFit="1" customWidth="1"/>
    <col min="3080" max="3080" width="8.28515625" style="262" bestFit="1" customWidth="1"/>
    <col min="3081" max="3328" width="9.140625" style="262"/>
    <col min="3329" max="3329" width="21.140625" style="262" bestFit="1" customWidth="1"/>
    <col min="3330" max="3334" width="17.7109375" style="262" bestFit="1" customWidth="1"/>
    <col min="3335" max="3335" width="14.140625" style="262" bestFit="1" customWidth="1"/>
    <col min="3336" max="3336" width="8.28515625" style="262" bestFit="1" customWidth="1"/>
    <col min="3337" max="3584" width="9.140625" style="262"/>
    <col min="3585" max="3585" width="21.140625" style="262" bestFit="1" customWidth="1"/>
    <col min="3586" max="3590" width="17.7109375" style="262" bestFit="1" customWidth="1"/>
    <col min="3591" max="3591" width="14.140625" style="262" bestFit="1" customWidth="1"/>
    <col min="3592" max="3592" width="8.28515625" style="262" bestFit="1" customWidth="1"/>
    <col min="3593" max="3840" width="9.140625" style="262"/>
    <col min="3841" max="3841" width="21.140625" style="262" bestFit="1" customWidth="1"/>
    <col min="3842" max="3846" width="17.7109375" style="262" bestFit="1" customWidth="1"/>
    <col min="3847" max="3847" width="14.140625" style="262" bestFit="1" customWidth="1"/>
    <col min="3848" max="3848" width="8.28515625" style="262" bestFit="1" customWidth="1"/>
    <col min="3849" max="4096" width="9.140625" style="262"/>
    <col min="4097" max="4097" width="21.140625" style="262" bestFit="1" customWidth="1"/>
    <col min="4098" max="4102" width="17.7109375" style="262" bestFit="1" customWidth="1"/>
    <col min="4103" max="4103" width="14.140625" style="262" bestFit="1" customWidth="1"/>
    <col min="4104" max="4104" width="8.28515625" style="262" bestFit="1" customWidth="1"/>
    <col min="4105" max="4352" width="9.140625" style="262"/>
    <col min="4353" max="4353" width="21.140625" style="262" bestFit="1" customWidth="1"/>
    <col min="4354" max="4358" width="17.7109375" style="262" bestFit="1" customWidth="1"/>
    <col min="4359" max="4359" width="14.140625" style="262" bestFit="1" customWidth="1"/>
    <col min="4360" max="4360" width="8.28515625" style="262" bestFit="1" customWidth="1"/>
    <col min="4361" max="4608" width="9.140625" style="262"/>
    <col min="4609" max="4609" width="21.140625" style="262" bestFit="1" customWidth="1"/>
    <col min="4610" max="4614" width="17.7109375" style="262" bestFit="1" customWidth="1"/>
    <col min="4615" max="4615" width="14.140625" style="262" bestFit="1" customWidth="1"/>
    <col min="4616" max="4616" width="8.28515625" style="262" bestFit="1" customWidth="1"/>
    <col min="4617" max="4864" width="9.140625" style="262"/>
    <col min="4865" max="4865" width="21.140625" style="262" bestFit="1" customWidth="1"/>
    <col min="4866" max="4870" width="17.7109375" style="262" bestFit="1" customWidth="1"/>
    <col min="4871" max="4871" width="14.140625" style="262" bestFit="1" customWidth="1"/>
    <col min="4872" max="4872" width="8.28515625" style="262" bestFit="1" customWidth="1"/>
    <col min="4873" max="5120" width="9.140625" style="262"/>
    <col min="5121" max="5121" width="21.140625" style="262" bestFit="1" customWidth="1"/>
    <col min="5122" max="5126" width="17.7109375" style="262" bestFit="1" customWidth="1"/>
    <col min="5127" max="5127" width="14.140625" style="262" bestFit="1" customWidth="1"/>
    <col min="5128" max="5128" width="8.28515625" style="262" bestFit="1" customWidth="1"/>
    <col min="5129" max="5376" width="9.140625" style="262"/>
    <col min="5377" max="5377" width="21.140625" style="262" bestFit="1" customWidth="1"/>
    <col min="5378" max="5382" width="17.7109375" style="262" bestFit="1" customWidth="1"/>
    <col min="5383" max="5383" width="14.140625" style="262" bestFit="1" customWidth="1"/>
    <col min="5384" max="5384" width="8.28515625" style="262" bestFit="1" customWidth="1"/>
    <col min="5385" max="5632" width="9.140625" style="262"/>
    <col min="5633" max="5633" width="21.140625" style="262" bestFit="1" customWidth="1"/>
    <col min="5634" max="5638" width="17.7109375" style="262" bestFit="1" customWidth="1"/>
    <col min="5639" max="5639" width="14.140625" style="262" bestFit="1" customWidth="1"/>
    <col min="5640" max="5640" width="8.28515625" style="262" bestFit="1" customWidth="1"/>
    <col min="5641" max="5888" width="9.140625" style="262"/>
    <col min="5889" max="5889" width="21.140625" style="262" bestFit="1" customWidth="1"/>
    <col min="5890" max="5894" width="17.7109375" style="262" bestFit="1" customWidth="1"/>
    <col min="5895" max="5895" width="14.140625" style="262" bestFit="1" customWidth="1"/>
    <col min="5896" max="5896" width="8.28515625" style="262" bestFit="1" customWidth="1"/>
    <col min="5897" max="6144" width="9.140625" style="262"/>
    <col min="6145" max="6145" width="21.140625" style="262" bestFit="1" customWidth="1"/>
    <col min="6146" max="6150" width="17.7109375" style="262" bestFit="1" customWidth="1"/>
    <col min="6151" max="6151" width="14.140625" style="262" bestFit="1" customWidth="1"/>
    <col min="6152" max="6152" width="8.28515625" style="262" bestFit="1" customWidth="1"/>
    <col min="6153" max="6400" width="9.140625" style="262"/>
    <col min="6401" max="6401" width="21.140625" style="262" bestFit="1" customWidth="1"/>
    <col min="6402" max="6406" width="17.7109375" style="262" bestFit="1" customWidth="1"/>
    <col min="6407" max="6407" width="14.140625" style="262" bestFit="1" customWidth="1"/>
    <col min="6408" max="6408" width="8.28515625" style="262" bestFit="1" customWidth="1"/>
    <col min="6409" max="6656" width="9.140625" style="262"/>
    <col min="6657" max="6657" width="21.140625" style="262" bestFit="1" customWidth="1"/>
    <col min="6658" max="6662" width="17.7109375" style="262" bestFit="1" customWidth="1"/>
    <col min="6663" max="6663" width="14.140625" style="262" bestFit="1" customWidth="1"/>
    <col min="6664" max="6664" width="8.28515625" style="262" bestFit="1" customWidth="1"/>
    <col min="6665" max="6912" width="9.140625" style="262"/>
    <col min="6913" max="6913" width="21.140625" style="262" bestFit="1" customWidth="1"/>
    <col min="6914" max="6918" width="17.7109375" style="262" bestFit="1" customWidth="1"/>
    <col min="6919" max="6919" width="14.140625" style="262" bestFit="1" customWidth="1"/>
    <col min="6920" max="6920" width="8.28515625" style="262" bestFit="1" customWidth="1"/>
    <col min="6921" max="7168" width="9.140625" style="262"/>
    <col min="7169" max="7169" width="21.140625" style="262" bestFit="1" customWidth="1"/>
    <col min="7170" max="7174" width="17.7109375" style="262" bestFit="1" customWidth="1"/>
    <col min="7175" max="7175" width="14.140625" style="262" bestFit="1" customWidth="1"/>
    <col min="7176" max="7176" width="8.28515625" style="262" bestFit="1" customWidth="1"/>
    <col min="7177" max="7424" width="9.140625" style="262"/>
    <col min="7425" max="7425" width="21.140625" style="262" bestFit="1" customWidth="1"/>
    <col min="7426" max="7430" width="17.7109375" style="262" bestFit="1" customWidth="1"/>
    <col min="7431" max="7431" width="14.140625" style="262" bestFit="1" customWidth="1"/>
    <col min="7432" max="7432" width="8.28515625" style="262" bestFit="1" customWidth="1"/>
    <col min="7433" max="7680" width="9.140625" style="262"/>
    <col min="7681" max="7681" width="21.140625" style="262" bestFit="1" customWidth="1"/>
    <col min="7682" max="7686" width="17.7109375" style="262" bestFit="1" customWidth="1"/>
    <col min="7687" max="7687" width="14.140625" style="262" bestFit="1" customWidth="1"/>
    <col min="7688" max="7688" width="8.28515625" style="262" bestFit="1" customWidth="1"/>
    <col min="7689" max="7936" width="9.140625" style="262"/>
    <col min="7937" max="7937" width="21.140625" style="262" bestFit="1" customWidth="1"/>
    <col min="7938" max="7942" width="17.7109375" style="262" bestFit="1" customWidth="1"/>
    <col min="7943" max="7943" width="14.140625" style="262" bestFit="1" customWidth="1"/>
    <col min="7944" max="7944" width="8.28515625" style="262" bestFit="1" customWidth="1"/>
    <col min="7945" max="8192" width="9.140625" style="262"/>
    <col min="8193" max="8193" width="21.140625" style="262" bestFit="1" customWidth="1"/>
    <col min="8194" max="8198" width="17.7109375" style="262" bestFit="1" customWidth="1"/>
    <col min="8199" max="8199" width="14.140625" style="262" bestFit="1" customWidth="1"/>
    <col min="8200" max="8200" width="8.28515625" style="262" bestFit="1" customWidth="1"/>
    <col min="8201" max="8448" width="9.140625" style="262"/>
    <col min="8449" max="8449" width="21.140625" style="262" bestFit="1" customWidth="1"/>
    <col min="8450" max="8454" width="17.7109375" style="262" bestFit="1" customWidth="1"/>
    <col min="8455" max="8455" width="14.140625" style="262" bestFit="1" customWidth="1"/>
    <col min="8456" max="8456" width="8.28515625" style="262" bestFit="1" customWidth="1"/>
    <col min="8457" max="8704" width="9.140625" style="262"/>
    <col min="8705" max="8705" width="21.140625" style="262" bestFit="1" customWidth="1"/>
    <col min="8706" max="8710" width="17.7109375" style="262" bestFit="1" customWidth="1"/>
    <col min="8711" max="8711" width="14.140625" style="262" bestFit="1" customWidth="1"/>
    <col min="8712" max="8712" width="8.28515625" style="262" bestFit="1" customWidth="1"/>
    <col min="8713" max="8960" width="9.140625" style="262"/>
    <col min="8961" max="8961" width="21.140625" style="262" bestFit="1" customWidth="1"/>
    <col min="8962" max="8966" width="17.7109375" style="262" bestFit="1" customWidth="1"/>
    <col min="8967" max="8967" width="14.140625" style="262" bestFit="1" customWidth="1"/>
    <col min="8968" max="8968" width="8.28515625" style="262" bestFit="1" customWidth="1"/>
    <col min="8969" max="9216" width="9.140625" style="262"/>
    <col min="9217" max="9217" width="21.140625" style="262" bestFit="1" customWidth="1"/>
    <col min="9218" max="9222" width="17.7109375" style="262" bestFit="1" customWidth="1"/>
    <col min="9223" max="9223" width="14.140625" style="262" bestFit="1" customWidth="1"/>
    <col min="9224" max="9224" width="8.28515625" style="262" bestFit="1" customWidth="1"/>
    <col min="9225" max="9472" width="9.140625" style="262"/>
    <col min="9473" max="9473" width="21.140625" style="262" bestFit="1" customWidth="1"/>
    <col min="9474" max="9478" width="17.7109375" style="262" bestFit="1" customWidth="1"/>
    <col min="9479" max="9479" width="14.140625" style="262" bestFit="1" customWidth="1"/>
    <col min="9480" max="9480" width="8.28515625" style="262" bestFit="1" customWidth="1"/>
    <col min="9481" max="9728" width="9.140625" style="262"/>
    <col min="9729" max="9729" width="21.140625" style="262" bestFit="1" customWidth="1"/>
    <col min="9730" max="9734" width="17.7109375" style="262" bestFit="1" customWidth="1"/>
    <col min="9735" max="9735" width="14.140625" style="262" bestFit="1" customWidth="1"/>
    <col min="9736" max="9736" width="8.28515625" style="262" bestFit="1" customWidth="1"/>
    <col min="9737" max="9984" width="9.140625" style="262"/>
    <col min="9985" max="9985" width="21.140625" style="262" bestFit="1" customWidth="1"/>
    <col min="9986" max="9990" width="17.7109375" style="262" bestFit="1" customWidth="1"/>
    <col min="9991" max="9991" width="14.140625" style="262" bestFit="1" customWidth="1"/>
    <col min="9992" max="9992" width="8.28515625" style="262" bestFit="1" customWidth="1"/>
    <col min="9993" max="10240" width="9.140625" style="262"/>
    <col min="10241" max="10241" width="21.140625" style="262" bestFit="1" customWidth="1"/>
    <col min="10242" max="10246" width="17.7109375" style="262" bestFit="1" customWidth="1"/>
    <col min="10247" max="10247" width="14.140625" style="262" bestFit="1" customWidth="1"/>
    <col min="10248" max="10248" width="8.28515625" style="262" bestFit="1" customWidth="1"/>
    <col min="10249" max="10496" width="9.140625" style="262"/>
    <col min="10497" max="10497" width="21.140625" style="262" bestFit="1" customWidth="1"/>
    <col min="10498" max="10502" width="17.7109375" style="262" bestFit="1" customWidth="1"/>
    <col min="10503" max="10503" width="14.140625" style="262" bestFit="1" customWidth="1"/>
    <col min="10504" max="10504" width="8.28515625" style="262" bestFit="1" customWidth="1"/>
    <col min="10505" max="10752" width="9.140625" style="262"/>
    <col min="10753" max="10753" width="21.140625" style="262" bestFit="1" customWidth="1"/>
    <col min="10754" max="10758" width="17.7109375" style="262" bestFit="1" customWidth="1"/>
    <col min="10759" max="10759" width="14.140625" style="262" bestFit="1" customWidth="1"/>
    <col min="10760" max="10760" width="8.28515625" style="262" bestFit="1" customWidth="1"/>
    <col min="10761" max="11008" width="9.140625" style="262"/>
    <col min="11009" max="11009" width="21.140625" style="262" bestFit="1" customWidth="1"/>
    <col min="11010" max="11014" width="17.7109375" style="262" bestFit="1" customWidth="1"/>
    <col min="11015" max="11015" width="14.140625" style="262" bestFit="1" customWidth="1"/>
    <col min="11016" max="11016" width="8.28515625" style="262" bestFit="1" customWidth="1"/>
    <col min="11017" max="11264" width="9.140625" style="262"/>
    <col min="11265" max="11265" width="21.140625" style="262" bestFit="1" customWidth="1"/>
    <col min="11266" max="11270" width="17.7109375" style="262" bestFit="1" customWidth="1"/>
    <col min="11271" max="11271" width="14.140625" style="262" bestFit="1" customWidth="1"/>
    <col min="11272" max="11272" width="8.28515625" style="262" bestFit="1" customWidth="1"/>
    <col min="11273" max="11520" width="9.140625" style="262"/>
    <col min="11521" max="11521" width="21.140625" style="262" bestFit="1" customWidth="1"/>
    <col min="11522" max="11526" width="17.7109375" style="262" bestFit="1" customWidth="1"/>
    <col min="11527" max="11527" width="14.140625" style="262" bestFit="1" customWidth="1"/>
    <col min="11528" max="11528" width="8.28515625" style="262" bestFit="1" customWidth="1"/>
    <col min="11529" max="11776" width="9.140625" style="262"/>
    <col min="11777" max="11777" width="21.140625" style="262" bestFit="1" customWidth="1"/>
    <col min="11778" max="11782" width="17.7109375" style="262" bestFit="1" customWidth="1"/>
    <col min="11783" max="11783" width="14.140625" style="262" bestFit="1" customWidth="1"/>
    <col min="11784" max="11784" width="8.28515625" style="262" bestFit="1" customWidth="1"/>
    <col min="11785" max="12032" width="9.140625" style="262"/>
    <col min="12033" max="12033" width="21.140625" style="262" bestFit="1" customWidth="1"/>
    <col min="12034" max="12038" width="17.7109375" style="262" bestFit="1" customWidth="1"/>
    <col min="12039" max="12039" width="14.140625" style="262" bestFit="1" customWidth="1"/>
    <col min="12040" max="12040" width="8.28515625" style="262" bestFit="1" customWidth="1"/>
    <col min="12041" max="12288" width="9.140625" style="262"/>
    <col min="12289" max="12289" width="21.140625" style="262" bestFit="1" customWidth="1"/>
    <col min="12290" max="12294" width="17.7109375" style="262" bestFit="1" customWidth="1"/>
    <col min="12295" max="12295" width="14.140625" style="262" bestFit="1" customWidth="1"/>
    <col min="12296" max="12296" width="8.28515625" style="262" bestFit="1" customWidth="1"/>
    <col min="12297" max="12544" width="9.140625" style="262"/>
    <col min="12545" max="12545" width="21.140625" style="262" bestFit="1" customWidth="1"/>
    <col min="12546" max="12550" width="17.7109375" style="262" bestFit="1" customWidth="1"/>
    <col min="12551" max="12551" width="14.140625" style="262" bestFit="1" customWidth="1"/>
    <col min="12552" max="12552" width="8.28515625" style="262" bestFit="1" customWidth="1"/>
    <col min="12553" max="12800" width="9.140625" style="262"/>
    <col min="12801" max="12801" width="21.140625" style="262" bestFit="1" customWidth="1"/>
    <col min="12802" max="12806" width="17.7109375" style="262" bestFit="1" customWidth="1"/>
    <col min="12807" max="12807" width="14.140625" style="262" bestFit="1" customWidth="1"/>
    <col min="12808" max="12808" width="8.28515625" style="262" bestFit="1" customWidth="1"/>
    <col min="12809" max="13056" width="9.140625" style="262"/>
    <col min="13057" max="13057" width="21.140625" style="262" bestFit="1" customWidth="1"/>
    <col min="13058" max="13062" width="17.7109375" style="262" bestFit="1" customWidth="1"/>
    <col min="13063" max="13063" width="14.140625" style="262" bestFit="1" customWidth="1"/>
    <col min="13064" max="13064" width="8.28515625" style="262" bestFit="1" customWidth="1"/>
    <col min="13065" max="13312" width="9.140625" style="262"/>
    <col min="13313" max="13313" width="21.140625" style="262" bestFit="1" customWidth="1"/>
    <col min="13314" max="13318" width="17.7109375" style="262" bestFit="1" customWidth="1"/>
    <col min="13319" max="13319" width="14.140625" style="262" bestFit="1" customWidth="1"/>
    <col min="13320" max="13320" width="8.28515625" style="262" bestFit="1" customWidth="1"/>
    <col min="13321" max="13568" width="9.140625" style="262"/>
    <col min="13569" max="13569" width="21.140625" style="262" bestFit="1" customWidth="1"/>
    <col min="13570" max="13574" width="17.7109375" style="262" bestFit="1" customWidth="1"/>
    <col min="13575" max="13575" width="14.140625" style="262" bestFit="1" customWidth="1"/>
    <col min="13576" max="13576" width="8.28515625" style="262" bestFit="1" customWidth="1"/>
    <col min="13577" max="13824" width="9.140625" style="262"/>
    <col min="13825" max="13825" width="21.140625" style="262" bestFit="1" customWidth="1"/>
    <col min="13826" max="13830" width="17.7109375" style="262" bestFit="1" customWidth="1"/>
    <col min="13831" max="13831" width="14.140625" style="262" bestFit="1" customWidth="1"/>
    <col min="13832" max="13832" width="8.28515625" style="262" bestFit="1" customWidth="1"/>
    <col min="13833" max="14080" width="9.140625" style="262"/>
    <col min="14081" max="14081" width="21.140625" style="262" bestFit="1" customWidth="1"/>
    <col min="14082" max="14086" width="17.7109375" style="262" bestFit="1" customWidth="1"/>
    <col min="14087" max="14087" width="14.140625" style="262" bestFit="1" customWidth="1"/>
    <col min="14088" max="14088" width="8.28515625" style="262" bestFit="1" customWidth="1"/>
    <col min="14089" max="14336" width="9.140625" style="262"/>
    <col min="14337" max="14337" width="21.140625" style="262" bestFit="1" customWidth="1"/>
    <col min="14338" max="14342" width="17.7109375" style="262" bestFit="1" customWidth="1"/>
    <col min="14343" max="14343" width="14.140625" style="262" bestFit="1" customWidth="1"/>
    <col min="14344" max="14344" width="8.28515625" style="262" bestFit="1" customWidth="1"/>
    <col min="14345" max="14592" width="9.140625" style="262"/>
    <col min="14593" max="14593" width="21.140625" style="262" bestFit="1" customWidth="1"/>
    <col min="14594" max="14598" width="17.7109375" style="262" bestFit="1" customWidth="1"/>
    <col min="14599" max="14599" width="14.140625" style="262" bestFit="1" customWidth="1"/>
    <col min="14600" max="14600" width="8.28515625" style="262" bestFit="1" customWidth="1"/>
    <col min="14601" max="14848" width="9.140625" style="262"/>
    <col min="14849" max="14849" width="21.140625" style="262" bestFit="1" customWidth="1"/>
    <col min="14850" max="14854" width="17.7109375" style="262" bestFit="1" customWidth="1"/>
    <col min="14855" max="14855" width="14.140625" style="262" bestFit="1" customWidth="1"/>
    <col min="14856" max="14856" width="8.28515625" style="262" bestFit="1" customWidth="1"/>
    <col min="14857" max="15104" width="9.140625" style="262"/>
    <col min="15105" max="15105" width="21.140625" style="262" bestFit="1" customWidth="1"/>
    <col min="15106" max="15110" width="17.7109375" style="262" bestFit="1" customWidth="1"/>
    <col min="15111" max="15111" width="14.140625" style="262" bestFit="1" customWidth="1"/>
    <col min="15112" max="15112" width="8.28515625" style="262" bestFit="1" customWidth="1"/>
    <col min="15113" max="15360" width="9.140625" style="262"/>
    <col min="15361" max="15361" width="21.140625" style="262" bestFit="1" customWidth="1"/>
    <col min="15362" max="15366" width="17.7109375" style="262" bestFit="1" customWidth="1"/>
    <col min="15367" max="15367" width="14.140625" style="262" bestFit="1" customWidth="1"/>
    <col min="15368" max="15368" width="8.28515625" style="262" bestFit="1" customWidth="1"/>
    <col min="15369" max="15616" width="9.140625" style="262"/>
    <col min="15617" max="15617" width="21.140625" style="262" bestFit="1" customWidth="1"/>
    <col min="15618" max="15622" width="17.7109375" style="262" bestFit="1" customWidth="1"/>
    <col min="15623" max="15623" width="14.140625" style="262" bestFit="1" customWidth="1"/>
    <col min="15624" max="15624" width="8.28515625" style="262" bestFit="1" customWidth="1"/>
    <col min="15625" max="15872" width="9.140625" style="262"/>
    <col min="15873" max="15873" width="21.140625" style="262" bestFit="1" customWidth="1"/>
    <col min="15874" max="15878" width="17.7109375" style="262" bestFit="1" customWidth="1"/>
    <col min="15879" max="15879" width="14.140625" style="262" bestFit="1" customWidth="1"/>
    <col min="15880" max="15880" width="8.28515625" style="262" bestFit="1" customWidth="1"/>
    <col min="15881" max="16128" width="9.140625" style="262"/>
    <col min="16129" max="16129" width="21.140625" style="262" bestFit="1" customWidth="1"/>
    <col min="16130" max="16134" width="17.7109375" style="262" bestFit="1" customWidth="1"/>
    <col min="16135" max="16135" width="14.140625" style="262" bestFit="1" customWidth="1"/>
    <col min="16136" max="16136" width="8.28515625" style="262" bestFit="1" customWidth="1"/>
    <col min="16137" max="16384" width="9.140625" style="262"/>
  </cols>
  <sheetData>
    <row r="1" spans="1:7" ht="15" customHeight="1" x14ac:dyDescent="0.2">
      <c r="A1" s="385" t="s">
        <v>702</v>
      </c>
      <c r="B1" s="385"/>
      <c r="C1" s="385"/>
      <c r="D1" s="385"/>
    </row>
    <row r="2" spans="1:7" s="265" customFormat="1" ht="18" customHeight="1" x14ac:dyDescent="0.2">
      <c r="A2" s="298" t="s">
        <v>147</v>
      </c>
      <c r="B2" s="263" t="s">
        <v>69</v>
      </c>
      <c r="C2" s="263" t="s">
        <v>69</v>
      </c>
      <c r="D2" s="263" t="s">
        <v>69</v>
      </c>
      <c r="E2" s="263" t="s">
        <v>70</v>
      </c>
      <c r="F2" s="263" t="s">
        <v>70</v>
      </c>
      <c r="G2" s="263" t="s">
        <v>70</v>
      </c>
    </row>
    <row r="3" spans="1:7" s="265" customFormat="1" ht="27" customHeight="1" x14ac:dyDescent="0.2">
      <c r="A3" s="299" t="s">
        <v>703</v>
      </c>
      <c r="B3" s="286" t="s">
        <v>704</v>
      </c>
      <c r="C3" s="286" t="s">
        <v>705</v>
      </c>
      <c r="D3" s="286" t="s">
        <v>706</v>
      </c>
      <c r="E3" s="286" t="s">
        <v>704</v>
      </c>
      <c r="F3" s="286" t="s">
        <v>705</v>
      </c>
      <c r="G3" s="286" t="s">
        <v>706</v>
      </c>
    </row>
    <row r="4" spans="1:7" s="265" customFormat="1" ht="18" customHeight="1" x14ac:dyDescent="0.2">
      <c r="A4" s="266" t="s">
        <v>707</v>
      </c>
      <c r="B4" s="290">
        <v>113776</v>
      </c>
      <c r="C4" s="283">
        <v>5427</v>
      </c>
      <c r="D4" s="283">
        <v>2158</v>
      </c>
      <c r="E4" s="290">
        <v>138829</v>
      </c>
      <c r="F4" s="283">
        <v>6853</v>
      </c>
      <c r="G4" s="283">
        <v>4038</v>
      </c>
    </row>
    <row r="5" spans="1:7" s="265" customFormat="1" ht="18" customHeight="1" x14ac:dyDescent="0.2">
      <c r="A5" s="341" t="s">
        <v>708</v>
      </c>
      <c r="B5" s="266"/>
      <c r="C5" s="266"/>
      <c r="D5" s="266"/>
      <c r="E5" s="266"/>
      <c r="F5" s="266"/>
      <c r="G5" s="266"/>
    </row>
    <row r="6" spans="1:7" s="265" customFormat="1" ht="18" customHeight="1" x14ac:dyDescent="0.2">
      <c r="A6" s="266" t="s">
        <v>709</v>
      </c>
      <c r="B6" s="290">
        <v>102587.34</v>
      </c>
      <c r="C6" s="283">
        <v>15278.95</v>
      </c>
      <c r="D6" s="464">
        <v>225131.32</v>
      </c>
      <c r="E6" s="290">
        <v>111995.61</v>
      </c>
      <c r="F6" s="283">
        <v>18477.080000000002</v>
      </c>
      <c r="G6" s="464">
        <v>193620</v>
      </c>
    </row>
    <row r="7" spans="1:7" s="265" customFormat="1" ht="18" customHeight="1" x14ac:dyDescent="0.2">
      <c r="A7" s="266" t="s">
        <v>710</v>
      </c>
      <c r="B7" s="283">
        <v>479.87</v>
      </c>
      <c r="C7" s="283">
        <v>127.54</v>
      </c>
      <c r="D7" s="465"/>
      <c r="E7" s="283">
        <v>458.85</v>
      </c>
      <c r="F7" s="283">
        <v>74.69</v>
      </c>
      <c r="G7" s="465"/>
    </row>
    <row r="8" spans="1:7" s="265" customFormat="1" ht="18" customHeight="1" x14ac:dyDescent="0.2">
      <c r="A8" s="266" t="s">
        <v>711</v>
      </c>
      <c r="B8" s="290">
        <v>1018735.82</v>
      </c>
      <c r="C8" s="283">
        <v>63135.72</v>
      </c>
      <c r="D8" s="465"/>
      <c r="E8" s="290">
        <v>1160856.72</v>
      </c>
      <c r="F8" s="283">
        <v>74701.850000000006</v>
      </c>
      <c r="G8" s="465"/>
    </row>
    <row r="9" spans="1:7" s="265" customFormat="1" ht="18" customHeight="1" x14ac:dyDescent="0.2">
      <c r="A9" s="266" t="s">
        <v>712</v>
      </c>
      <c r="B9" s="283">
        <v>386.37</v>
      </c>
      <c r="C9" s="283">
        <v>440.42</v>
      </c>
      <c r="D9" s="465"/>
      <c r="E9" s="283">
        <v>752.86</v>
      </c>
      <c r="F9" s="283">
        <v>530.57000000000005</v>
      </c>
      <c r="G9" s="465"/>
    </row>
    <row r="10" spans="1:7" s="265" customFormat="1" ht="18" customHeight="1" x14ac:dyDescent="0.2">
      <c r="A10" s="266" t="s">
        <v>713</v>
      </c>
      <c r="B10" s="283">
        <v>825.32</v>
      </c>
      <c r="C10" s="283">
        <v>-3.14</v>
      </c>
      <c r="D10" s="465"/>
      <c r="E10" s="283">
        <v>466.12</v>
      </c>
      <c r="F10" s="283">
        <v>-1.24</v>
      </c>
      <c r="G10" s="465"/>
    </row>
    <row r="11" spans="1:7" s="265" customFormat="1" ht="18" customHeight="1" x14ac:dyDescent="0.2">
      <c r="A11" s="266" t="s">
        <v>97</v>
      </c>
      <c r="B11" s="283">
        <v>11643.02</v>
      </c>
      <c r="C11" s="283">
        <v>9844.2900000000009</v>
      </c>
      <c r="D11" s="465"/>
      <c r="E11" s="283">
        <v>14112.76</v>
      </c>
      <c r="F11" s="283">
        <v>13856.15</v>
      </c>
      <c r="G11" s="465"/>
    </row>
    <row r="12" spans="1:7" s="265" customFormat="1" ht="18" customHeight="1" x14ac:dyDescent="0.2">
      <c r="A12" s="266" t="s">
        <v>336</v>
      </c>
      <c r="B12" s="283">
        <v>17465.29</v>
      </c>
      <c r="C12" s="283">
        <v>973.07</v>
      </c>
      <c r="D12" s="465"/>
      <c r="E12" s="283">
        <v>14498.29</v>
      </c>
      <c r="F12" s="283">
        <v>1392.08</v>
      </c>
      <c r="G12" s="465"/>
    </row>
    <row r="13" spans="1:7" s="265" customFormat="1" ht="18" customHeight="1" x14ac:dyDescent="0.2">
      <c r="A13" s="266" t="s">
        <v>150</v>
      </c>
      <c r="B13" s="290">
        <v>1152123.03</v>
      </c>
      <c r="C13" s="283">
        <v>89796.85</v>
      </c>
      <c r="D13" s="466"/>
      <c r="E13" s="290">
        <v>1303141.21</v>
      </c>
      <c r="F13" s="290">
        <v>109031.18</v>
      </c>
      <c r="G13" s="466"/>
    </row>
    <row r="14" spans="1:7" s="265" customFormat="1" ht="14.25" customHeight="1" x14ac:dyDescent="0.2">
      <c r="A14" s="373" t="s">
        <v>106</v>
      </c>
      <c r="B14" s="373"/>
      <c r="C14" s="373"/>
      <c r="D14" s="373"/>
      <c r="E14" s="373"/>
      <c r="F14" s="373"/>
      <c r="G14" s="373"/>
    </row>
    <row r="15" spans="1:7" s="265" customFormat="1" ht="13.5" customHeight="1" x14ac:dyDescent="0.2">
      <c r="A15" s="373" t="s">
        <v>133</v>
      </c>
      <c r="B15" s="373"/>
      <c r="C15" s="373"/>
      <c r="D15" s="373"/>
      <c r="E15" s="373"/>
      <c r="F15" s="373"/>
      <c r="G15" s="373"/>
    </row>
    <row r="16" spans="1:7" s="265" customFormat="1" ht="45" customHeight="1" x14ac:dyDescent="0.2">
      <c r="A16" s="373" t="s">
        <v>1051</v>
      </c>
      <c r="B16" s="373"/>
      <c r="C16" s="373"/>
      <c r="D16" s="373"/>
      <c r="E16" s="373"/>
      <c r="F16" s="373"/>
      <c r="G16" s="373"/>
    </row>
    <row r="17" s="265" customFormat="1" ht="28.35" customHeight="1" x14ac:dyDescent="0.2"/>
  </sheetData>
  <mergeCells count="6">
    <mergeCell ref="A1:D1"/>
    <mergeCell ref="A14:G14"/>
    <mergeCell ref="A15:G15"/>
    <mergeCell ref="A16:G16"/>
    <mergeCell ref="D6:D13"/>
    <mergeCell ref="G6:G1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pageSetUpPr fitToPage="1"/>
  </sheetPr>
  <dimension ref="A1:N20"/>
  <sheetViews>
    <sheetView workbookViewId="0"/>
  </sheetViews>
  <sheetFormatPr defaultRowHeight="12.75" x14ac:dyDescent="0.2"/>
  <cols>
    <col min="1" max="1" width="80.85546875" style="262" bestFit="1" customWidth="1"/>
    <col min="2" max="2" width="8.42578125" style="262" bestFit="1" customWidth="1"/>
    <col min="3" max="3" width="12.85546875" style="262" bestFit="1" customWidth="1"/>
    <col min="4" max="4" width="13.140625" style="262" bestFit="1" customWidth="1"/>
    <col min="5" max="7" width="12.28515625" style="262" bestFit="1" customWidth="1"/>
    <col min="8" max="8" width="10.140625" style="262" bestFit="1" customWidth="1"/>
    <col min="9" max="9" width="11" style="262" bestFit="1" customWidth="1"/>
    <col min="10" max="11" width="12.28515625" style="262" bestFit="1" customWidth="1"/>
    <col min="12" max="12" width="10" style="262" bestFit="1" customWidth="1"/>
    <col min="13" max="13" width="1.5703125" style="262" bestFit="1" customWidth="1"/>
    <col min="14" max="14" width="0.28515625" style="262" bestFit="1" customWidth="1"/>
    <col min="15" max="15" width="4.7109375" style="262" bestFit="1" customWidth="1"/>
    <col min="16" max="256" width="9.140625" style="262"/>
    <col min="257" max="257" width="80.85546875" style="262" bestFit="1" customWidth="1"/>
    <col min="258" max="258" width="8.42578125" style="262" bestFit="1" customWidth="1"/>
    <col min="259" max="259" width="12.85546875" style="262" bestFit="1" customWidth="1"/>
    <col min="260" max="260" width="13.140625" style="262" bestFit="1" customWidth="1"/>
    <col min="261" max="263" width="12.28515625" style="262" bestFit="1" customWidth="1"/>
    <col min="264" max="264" width="10.140625" style="262" bestFit="1" customWidth="1"/>
    <col min="265" max="265" width="11" style="262" bestFit="1" customWidth="1"/>
    <col min="266" max="267" width="12.28515625" style="262" bestFit="1" customWidth="1"/>
    <col min="268" max="268" width="10" style="262" bestFit="1" customWidth="1"/>
    <col min="269" max="269" width="1.5703125" style="262" bestFit="1" customWidth="1"/>
    <col min="270" max="270" width="0.28515625" style="262" bestFit="1" customWidth="1"/>
    <col min="271" max="271" width="4.7109375" style="262" bestFit="1" customWidth="1"/>
    <col min="272" max="512" width="9.140625" style="262"/>
    <col min="513" max="513" width="80.85546875" style="262" bestFit="1" customWidth="1"/>
    <col min="514" max="514" width="8.42578125" style="262" bestFit="1" customWidth="1"/>
    <col min="515" max="515" width="12.85546875" style="262" bestFit="1" customWidth="1"/>
    <col min="516" max="516" width="13.140625" style="262" bestFit="1" customWidth="1"/>
    <col min="517" max="519" width="12.28515625" style="262" bestFit="1" customWidth="1"/>
    <col min="520" max="520" width="10.140625" style="262" bestFit="1" customWidth="1"/>
    <col min="521" max="521" width="11" style="262" bestFit="1" customWidth="1"/>
    <col min="522" max="523" width="12.28515625" style="262" bestFit="1" customWidth="1"/>
    <col min="524" max="524" width="10" style="262" bestFit="1" customWidth="1"/>
    <col min="525" max="525" width="1.5703125" style="262" bestFit="1" customWidth="1"/>
    <col min="526" max="526" width="0.28515625" style="262" bestFit="1" customWidth="1"/>
    <col min="527" max="527" width="4.7109375" style="262" bestFit="1" customWidth="1"/>
    <col min="528" max="768" width="9.140625" style="262"/>
    <col min="769" max="769" width="80.85546875" style="262" bestFit="1" customWidth="1"/>
    <col min="770" max="770" width="8.42578125" style="262" bestFit="1" customWidth="1"/>
    <col min="771" max="771" width="12.85546875" style="262" bestFit="1" customWidth="1"/>
    <col min="772" max="772" width="13.140625" style="262" bestFit="1" customWidth="1"/>
    <col min="773" max="775" width="12.28515625" style="262" bestFit="1" customWidth="1"/>
    <col min="776" max="776" width="10.140625" style="262" bestFit="1" customWidth="1"/>
    <col min="777" max="777" width="11" style="262" bestFit="1" customWidth="1"/>
    <col min="778" max="779" width="12.28515625" style="262" bestFit="1" customWidth="1"/>
    <col min="780" max="780" width="10" style="262" bestFit="1" customWidth="1"/>
    <col min="781" max="781" width="1.5703125" style="262" bestFit="1" customWidth="1"/>
    <col min="782" max="782" width="0.28515625" style="262" bestFit="1" customWidth="1"/>
    <col min="783" max="783" width="4.7109375" style="262" bestFit="1" customWidth="1"/>
    <col min="784" max="1024" width="9.140625" style="262"/>
    <col min="1025" max="1025" width="80.85546875" style="262" bestFit="1" customWidth="1"/>
    <col min="1026" max="1026" width="8.42578125" style="262" bestFit="1" customWidth="1"/>
    <col min="1027" max="1027" width="12.85546875" style="262" bestFit="1" customWidth="1"/>
    <col min="1028" max="1028" width="13.140625" style="262" bestFit="1" customWidth="1"/>
    <col min="1029" max="1031" width="12.28515625" style="262" bestFit="1" customWidth="1"/>
    <col min="1032" max="1032" width="10.140625" style="262" bestFit="1" customWidth="1"/>
    <col min="1033" max="1033" width="11" style="262" bestFit="1" customWidth="1"/>
    <col min="1034" max="1035" width="12.28515625" style="262" bestFit="1" customWidth="1"/>
    <col min="1036" max="1036" width="10" style="262" bestFit="1" customWidth="1"/>
    <col min="1037" max="1037" width="1.5703125" style="262" bestFit="1" customWidth="1"/>
    <col min="1038" max="1038" width="0.28515625" style="262" bestFit="1" customWidth="1"/>
    <col min="1039" max="1039" width="4.7109375" style="262" bestFit="1" customWidth="1"/>
    <col min="1040" max="1280" width="9.140625" style="262"/>
    <col min="1281" max="1281" width="80.85546875" style="262" bestFit="1" customWidth="1"/>
    <col min="1282" max="1282" width="8.42578125" style="262" bestFit="1" customWidth="1"/>
    <col min="1283" max="1283" width="12.85546875" style="262" bestFit="1" customWidth="1"/>
    <col min="1284" max="1284" width="13.140625" style="262" bestFit="1" customWidth="1"/>
    <col min="1285" max="1287" width="12.28515625" style="262" bestFit="1" customWidth="1"/>
    <col min="1288" max="1288" width="10.140625" style="262" bestFit="1" customWidth="1"/>
    <col min="1289" max="1289" width="11" style="262" bestFit="1" customWidth="1"/>
    <col min="1290" max="1291" width="12.28515625" style="262" bestFit="1" customWidth="1"/>
    <col min="1292" max="1292" width="10" style="262" bestFit="1" customWidth="1"/>
    <col min="1293" max="1293" width="1.5703125" style="262" bestFit="1" customWidth="1"/>
    <col min="1294" max="1294" width="0.28515625" style="262" bestFit="1" customWidth="1"/>
    <col min="1295" max="1295" width="4.7109375" style="262" bestFit="1" customWidth="1"/>
    <col min="1296" max="1536" width="9.140625" style="262"/>
    <col min="1537" max="1537" width="80.85546875" style="262" bestFit="1" customWidth="1"/>
    <col min="1538" max="1538" width="8.42578125" style="262" bestFit="1" customWidth="1"/>
    <col min="1539" max="1539" width="12.85546875" style="262" bestFit="1" customWidth="1"/>
    <col min="1540" max="1540" width="13.140625" style="262" bestFit="1" customWidth="1"/>
    <col min="1541" max="1543" width="12.28515625" style="262" bestFit="1" customWidth="1"/>
    <col min="1544" max="1544" width="10.140625" style="262" bestFit="1" customWidth="1"/>
    <col min="1545" max="1545" width="11" style="262" bestFit="1" customWidth="1"/>
    <col min="1546" max="1547" width="12.28515625" style="262" bestFit="1" customWidth="1"/>
    <col min="1548" max="1548" width="10" style="262" bestFit="1" customWidth="1"/>
    <col min="1549" max="1549" width="1.5703125" style="262" bestFit="1" customWidth="1"/>
    <col min="1550" max="1550" width="0.28515625" style="262" bestFit="1" customWidth="1"/>
    <col min="1551" max="1551" width="4.7109375" style="262" bestFit="1" customWidth="1"/>
    <col min="1552" max="1792" width="9.140625" style="262"/>
    <col min="1793" max="1793" width="80.85546875" style="262" bestFit="1" customWidth="1"/>
    <col min="1794" max="1794" width="8.42578125" style="262" bestFit="1" customWidth="1"/>
    <col min="1795" max="1795" width="12.85546875" style="262" bestFit="1" customWidth="1"/>
    <col min="1796" max="1796" width="13.140625" style="262" bestFit="1" customWidth="1"/>
    <col min="1797" max="1799" width="12.28515625" style="262" bestFit="1" customWidth="1"/>
    <col min="1800" max="1800" width="10.140625" style="262" bestFit="1" customWidth="1"/>
    <col min="1801" max="1801" width="11" style="262" bestFit="1" customWidth="1"/>
    <col min="1802" max="1803" width="12.28515625" style="262" bestFit="1" customWidth="1"/>
    <col min="1804" max="1804" width="10" style="262" bestFit="1" customWidth="1"/>
    <col min="1805" max="1805" width="1.5703125" style="262" bestFit="1" customWidth="1"/>
    <col min="1806" max="1806" width="0.28515625" style="262" bestFit="1" customWidth="1"/>
    <col min="1807" max="1807" width="4.7109375" style="262" bestFit="1" customWidth="1"/>
    <col min="1808" max="2048" width="9.140625" style="262"/>
    <col min="2049" max="2049" width="80.85546875" style="262" bestFit="1" customWidth="1"/>
    <col min="2050" max="2050" width="8.42578125" style="262" bestFit="1" customWidth="1"/>
    <col min="2051" max="2051" width="12.85546875" style="262" bestFit="1" customWidth="1"/>
    <col min="2052" max="2052" width="13.140625" style="262" bestFit="1" customWidth="1"/>
    <col min="2053" max="2055" width="12.28515625" style="262" bestFit="1" customWidth="1"/>
    <col min="2056" max="2056" width="10.140625" style="262" bestFit="1" customWidth="1"/>
    <col min="2057" max="2057" width="11" style="262" bestFit="1" customWidth="1"/>
    <col min="2058" max="2059" width="12.28515625" style="262" bestFit="1" customWidth="1"/>
    <col min="2060" max="2060" width="10" style="262" bestFit="1" customWidth="1"/>
    <col min="2061" max="2061" width="1.5703125" style="262" bestFit="1" customWidth="1"/>
    <col min="2062" max="2062" width="0.28515625" style="262" bestFit="1" customWidth="1"/>
    <col min="2063" max="2063" width="4.7109375" style="262" bestFit="1" customWidth="1"/>
    <col min="2064" max="2304" width="9.140625" style="262"/>
    <col min="2305" max="2305" width="80.85546875" style="262" bestFit="1" customWidth="1"/>
    <col min="2306" max="2306" width="8.42578125" style="262" bestFit="1" customWidth="1"/>
    <col min="2307" max="2307" width="12.85546875" style="262" bestFit="1" customWidth="1"/>
    <col min="2308" max="2308" width="13.140625" style="262" bestFit="1" customWidth="1"/>
    <col min="2309" max="2311" width="12.28515625" style="262" bestFit="1" customWidth="1"/>
    <col min="2312" max="2312" width="10.140625" style="262" bestFit="1" customWidth="1"/>
    <col min="2313" max="2313" width="11" style="262" bestFit="1" customWidth="1"/>
    <col min="2314" max="2315" width="12.28515625" style="262" bestFit="1" customWidth="1"/>
    <col min="2316" max="2316" width="10" style="262" bestFit="1" customWidth="1"/>
    <col min="2317" max="2317" width="1.5703125" style="262" bestFit="1" customWidth="1"/>
    <col min="2318" max="2318" width="0.28515625" style="262" bestFit="1" customWidth="1"/>
    <col min="2319" max="2319" width="4.7109375" style="262" bestFit="1" customWidth="1"/>
    <col min="2320" max="2560" width="9.140625" style="262"/>
    <col min="2561" max="2561" width="80.85546875" style="262" bestFit="1" customWidth="1"/>
    <col min="2562" max="2562" width="8.42578125" style="262" bestFit="1" customWidth="1"/>
    <col min="2563" max="2563" width="12.85546875" style="262" bestFit="1" customWidth="1"/>
    <col min="2564" max="2564" width="13.140625" style="262" bestFit="1" customWidth="1"/>
    <col min="2565" max="2567" width="12.28515625" style="262" bestFit="1" customWidth="1"/>
    <col min="2568" max="2568" width="10.140625" style="262" bestFit="1" customWidth="1"/>
    <col min="2569" max="2569" width="11" style="262" bestFit="1" customWidth="1"/>
    <col min="2570" max="2571" width="12.28515625" style="262" bestFit="1" customWidth="1"/>
    <col min="2572" max="2572" width="10" style="262" bestFit="1" customWidth="1"/>
    <col min="2573" max="2573" width="1.5703125" style="262" bestFit="1" customWidth="1"/>
    <col min="2574" max="2574" width="0.28515625" style="262" bestFit="1" customWidth="1"/>
    <col min="2575" max="2575" width="4.7109375" style="262" bestFit="1" customWidth="1"/>
    <col min="2576" max="2816" width="9.140625" style="262"/>
    <col min="2817" max="2817" width="80.85546875" style="262" bestFit="1" customWidth="1"/>
    <col min="2818" max="2818" width="8.42578125" style="262" bestFit="1" customWidth="1"/>
    <col min="2819" max="2819" width="12.85546875" style="262" bestFit="1" customWidth="1"/>
    <col min="2820" max="2820" width="13.140625" style="262" bestFit="1" customWidth="1"/>
    <col min="2821" max="2823" width="12.28515625" style="262" bestFit="1" customWidth="1"/>
    <col min="2824" max="2824" width="10.140625" style="262" bestFit="1" customWidth="1"/>
    <col min="2825" max="2825" width="11" style="262" bestFit="1" customWidth="1"/>
    <col min="2826" max="2827" width="12.28515625" style="262" bestFit="1" customWidth="1"/>
    <col min="2828" max="2828" width="10" style="262" bestFit="1" customWidth="1"/>
    <col min="2829" max="2829" width="1.5703125" style="262" bestFit="1" customWidth="1"/>
    <col min="2830" max="2830" width="0.28515625" style="262" bestFit="1" customWidth="1"/>
    <col min="2831" max="2831" width="4.7109375" style="262" bestFit="1" customWidth="1"/>
    <col min="2832" max="3072" width="9.140625" style="262"/>
    <col min="3073" max="3073" width="80.85546875" style="262" bestFit="1" customWidth="1"/>
    <col min="3074" max="3074" width="8.42578125" style="262" bestFit="1" customWidth="1"/>
    <col min="3075" max="3075" width="12.85546875" style="262" bestFit="1" customWidth="1"/>
    <col min="3076" max="3076" width="13.140625" style="262" bestFit="1" customWidth="1"/>
    <col min="3077" max="3079" width="12.28515625" style="262" bestFit="1" customWidth="1"/>
    <col min="3080" max="3080" width="10.140625" style="262" bestFit="1" customWidth="1"/>
    <col min="3081" max="3081" width="11" style="262" bestFit="1" customWidth="1"/>
    <col min="3082" max="3083" width="12.28515625" style="262" bestFit="1" customWidth="1"/>
    <col min="3084" max="3084" width="10" style="262" bestFit="1" customWidth="1"/>
    <col min="3085" max="3085" width="1.5703125" style="262" bestFit="1" customWidth="1"/>
    <col min="3086" max="3086" width="0.28515625" style="262" bestFit="1" customWidth="1"/>
    <col min="3087" max="3087" width="4.7109375" style="262" bestFit="1" customWidth="1"/>
    <col min="3088" max="3328" width="9.140625" style="262"/>
    <col min="3329" max="3329" width="80.85546875" style="262" bestFit="1" customWidth="1"/>
    <col min="3330" max="3330" width="8.42578125" style="262" bestFit="1" customWidth="1"/>
    <col min="3331" max="3331" width="12.85546875" style="262" bestFit="1" customWidth="1"/>
    <col min="3332" max="3332" width="13.140625" style="262" bestFit="1" customWidth="1"/>
    <col min="3333" max="3335" width="12.28515625" style="262" bestFit="1" customWidth="1"/>
    <col min="3336" max="3336" width="10.140625" style="262" bestFit="1" customWidth="1"/>
    <col min="3337" max="3337" width="11" style="262" bestFit="1" customWidth="1"/>
    <col min="3338" max="3339" width="12.28515625" style="262" bestFit="1" customWidth="1"/>
    <col min="3340" max="3340" width="10" style="262" bestFit="1" customWidth="1"/>
    <col min="3341" max="3341" width="1.5703125" style="262" bestFit="1" customWidth="1"/>
    <col min="3342" max="3342" width="0.28515625" style="262" bestFit="1" customWidth="1"/>
    <col min="3343" max="3343" width="4.7109375" style="262" bestFit="1" customWidth="1"/>
    <col min="3344" max="3584" width="9.140625" style="262"/>
    <col min="3585" max="3585" width="80.85546875" style="262" bestFit="1" customWidth="1"/>
    <col min="3586" max="3586" width="8.42578125" style="262" bestFit="1" customWidth="1"/>
    <col min="3587" max="3587" width="12.85546875" style="262" bestFit="1" customWidth="1"/>
    <col min="3588" max="3588" width="13.140625" style="262" bestFit="1" customWidth="1"/>
    <col min="3589" max="3591" width="12.28515625" style="262" bestFit="1" customWidth="1"/>
    <col min="3592" max="3592" width="10.140625" style="262" bestFit="1" customWidth="1"/>
    <col min="3593" max="3593" width="11" style="262" bestFit="1" customWidth="1"/>
    <col min="3594" max="3595" width="12.28515625" style="262" bestFit="1" customWidth="1"/>
    <col min="3596" max="3596" width="10" style="262" bestFit="1" customWidth="1"/>
    <col min="3597" max="3597" width="1.5703125" style="262" bestFit="1" customWidth="1"/>
    <col min="3598" max="3598" width="0.28515625" style="262" bestFit="1" customWidth="1"/>
    <col min="3599" max="3599" width="4.7109375" style="262" bestFit="1" customWidth="1"/>
    <col min="3600" max="3840" width="9.140625" style="262"/>
    <col min="3841" max="3841" width="80.85546875" style="262" bestFit="1" customWidth="1"/>
    <col min="3842" max="3842" width="8.42578125" style="262" bestFit="1" customWidth="1"/>
    <col min="3843" max="3843" width="12.85546875" style="262" bestFit="1" customWidth="1"/>
    <col min="3844" max="3844" width="13.140625" style="262" bestFit="1" customWidth="1"/>
    <col min="3845" max="3847" width="12.28515625" style="262" bestFit="1" customWidth="1"/>
    <col min="3848" max="3848" width="10.140625" style="262" bestFit="1" customWidth="1"/>
    <col min="3849" max="3849" width="11" style="262" bestFit="1" customWidth="1"/>
    <col min="3850" max="3851" width="12.28515625" style="262" bestFit="1" customWidth="1"/>
    <col min="3852" max="3852" width="10" style="262" bestFit="1" customWidth="1"/>
    <col min="3853" max="3853" width="1.5703125" style="262" bestFit="1" customWidth="1"/>
    <col min="3854" max="3854" width="0.28515625" style="262" bestFit="1" customWidth="1"/>
    <col min="3855" max="3855" width="4.7109375" style="262" bestFit="1" customWidth="1"/>
    <col min="3856" max="4096" width="9.140625" style="262"/>
    <col min="4097" max="4097" width="80.85546875" style="262" bestFit="1" customWidth="1"/>
    <col min="4098" max="4098" width="8.42578125" style="262" bestFit="1" customWidth="1"/>
    <col min="4099" max="4099" width="12.85546875" style="262" bestFit="1" customWidth="1"/>
    <col min="4100" max="4100" width="13.140625" style="262" bestFit="1" customWidth="1"/>
    <col min="4101" max="4103" width="12.28515625" style="262" bestFit="1" customWidth="1"/>
    <col min="4104" max="4104" width="10.140625" style="262" bestFit="1" customWidth="1"/>
    <col min="4105" max="4105" width="11" style="262" bestFit="1" customWidth="1"/>
    <col min="4106" max="4107" width="12.28515625" style="262" bestFit="1" customWidth="1"/>
    <col min="4108" max="4108" width="10" style="262" bestFit="1" customWidth="1"/>
    <col min="4109" max="4109" width="1.5703125" style="262" bestFit="1" customWidth="1"/>
    <col min="4110" max="4110" width="0.28515625" style="262" bestFit="1" customWidth="1"/>
    <col min="4111" max="4111" width="4.7109375" style="262" bestFit="1" customWidth="1"/>
    <col min="4112" max="4352" width="9.140625" style="262"/>
    <col min="4353" max="4353" width="80.85546875" style="262" bestFit="1" customWidth="1"/>
    <col min="4354" max="4354" width="8.42578125" style="262" bestFit="1" customWidth="1"/>
    <col min="4355" max="4355" width="12.85546875" style="262" bestFit="1" customWidth="1"/>
    <col min="4356" max="4356" width="13.140625" style="262" bestFit="1" customWidth="1"/>
    <col min="4357" max="4359" width="12.28515625" style="262" bestFit="1" customWidth="1"/>
    <col min="4360" max="4360" width="10.140625" style="262" bestFit="1" customWidth="1"/>
    <col min="4361" max="4361" width="11" style="262" bestFit="1" customWidth="1"/>
    <col min="4362" max="4363" width="12.28515625" style="262" bestFit="1" customWidth="1"/>
    <col min="4364" max="4364" width="10" style="262" bestFit="1" customWidth="1"/>
    <col min="4365" max="4365" width="1.5703125" style="262" bestFit="1" customWidth="1"/>
    <col min="4366" max="4366" width="0.28515625" style="262" bestFit="1" customWidth="1"/>
    <col min="4367" max="4367" width="4.7109375" style="262" bestFit="1" customWidth="1"/>
    <col min="4368" max="4608" width="9.140625" style="262"/>
    <col min="4609" max="4609" width="80.85546875" style="262" bestFit="1" customWidth="1"/>
    <col min="4610" max="4610" width="8.42578125" style="262" bestFit="1" customWidth="1"/>
    <col min="4611" max="4611" width="12.85546875" style="262" bestFit="1" customWidth="1"/>
    <col min="4612" max="4612" width="13.140625" style="262" bestFit="1" customWidth="1"/>
    <col min="4613" max="4615" width="12.28515625" style="262" bestFit="1" customWidth="1"/>
    <col min="4616" max="4616" width="10.140625" style="262" bestFit="1" customWidth="1"/>
    <col min="4617" max="4617" width="11" style="262" bestFit="1" customWidth="1"/>
    <col min="4618" max="4619" width="12.28515625" style="262" bestFit="1" customWidth="1"/>
    <col min="4620" max="4620" width="10" style="262" bestFit="1" customWidth="1"/>
    <col min="4621" max="4621" width="1.5703125" style="262" bestFit="1" customWidth="1"/>
    <col min="4622" max="4622" width="0.28515625" style="262" bestFit="1" customWidth="1"/>
    <col min="4623" max="4623" width="4.7109375" style="262" bestFit="1" customWidth="1"/>
    <col min="4624" max="4864" width="9.140625" style="262"/>
    <col min="4865" max="4865" width="80.85546875" style="262" bestFit="1" customWidth="1"/>
    <col min="4866" max="4866" width="8.42578125" style="262" bestFit="1" customWidth="1"/>
    <col min="4867" max="4867" width="12.85546875" style="262" bestFit="1" customWidth="1"/>
    <col min="4868" max="4868" width="13.140625" style="262" bestFit="1" customWidth="1"/>
    <col min="4869" max="4871" width="12.28515625" style="262" bestFit="1" customWidth="1"/>
    <col min="4872" max="4872" width="10.140625" style="262" bestFit="1" customWidth="1"/>
    <col min="4873" max="4873" width="11" style="262" bestFit="1" customWidth="1"/>
    <col min="4874" max="4875" width="12.28515625" style="262" bestFit="1" customWidth="1"/>
    <col min="4876" max="4876" width="10" style="262" bestFit="1" customWidth="1"/>
    <col min="4877" max="4877" width="1.5703125" style="262" bestFit="1" customWidth="1"/>
    <col min="4878" max="4878" width="0.28515625" style="262" bestFit="1" customWidth="1"/>
    <col min="4879" max="4879" width="4.7109375" style="262" bestFit="1" customWidth="1"/>
    <col min="4880" max="5120" width="9.140625" style="262"/>
    <col min="5121" max="5121" width="80.85546875" style="262" bestFit="1" customWidth="1"/>
    <col min="5122" max="5122" width="8.42578125" style="262" bestFit="1" customWidth="1"/>
    <col min="5123" max="5123" width="12.85546875" style="262" bestFit="1" customWidth="1"/>
    <col min="5124" max="5124" width="13.140625" style="262" bestFit="1" customWidth="1"/>
    <col min="5125" max="5127" width="12.28515625" style="262" bestFit="1" customWidth="1"/>
    <col min="5128" max="5128" width="10.140625" style="262" bestFit="1" customWidth="1"/>
    <col min="5129" max="5129" width="11" style="262" bestFit="1" customWidth="1"/>
    <col min="5130" max="5131" width="12.28515625" style="262" bestFit="1" customWidth="1"/>
    <col min="5132" max="5132" width="10" style="262" bestFit="1" customWidth="1"/>
    <col min="5133" max="5133" width="1.5703125" style="262" bestFit="1" customWidth="1"/>
    <col min="5134" max="5134" width="0.28515625" style="262" bestFit="1" customWidth="1"/>
    <col min="5135" max="5135" width="4.7109375" style="262" bestFit="1" customWidth="1"/>
    <col min="5136" max="5376" width="9.140625" style="262"/>
    <col min="5377" max="5377" width="80.85546875" style="262" bestFit="1" customWidth="1"/>
    <col min="5378" max="5378" width="8.42578125" style="262" bestFit="1" customWidth="1"/>
    <col min="5379" max="5379" width="12.85546875" style="262" bestFit="1" customWidth="1"/>
    <col min="5380" max="5380" width="13.140625" style="262" bestFit="1" customWidth="1"/>
    <col min="5381" max="5383" width="12.28515625" style="262" bestFit="1" customWidth="1"/>
    <col min="5384" max="5384" width="10.140625" style="262" bestFit="1" customWidth="1"/>
    <col min="5385" max="5385" width="11" style="262" bestFit="1" customWidth="1"/>
    <col min="5386" max="5387" width="12.28515625" style="262" bestFit="1" customWidth="1"/>
    <col min="5388" max="5388" width="10" style="262" bestFit="1" customWidth="1"/>
    <col min="5389" max="5389" width="1.5703125" style="262" bestFit="1" customWidth="1"/>
    <col min="5390" max="5390" width="0.28515625" style="262" bestFit="1" customWidth="1"/>
    <col min="5391" max="5391" width="4.7109375" style="262" bestFit="1" customWidth="1"/>
    <col min="5392" max="5632" width="9.140625" style="262"/>
    <col min="5633" max="5633" width="80.85546875" style="262" bestFit="1" customWidth="1"/>
    <col min="5634" max="5634" width="8.42578125" style="262" bestFit="1" customWidth="1"/>
    <col min="5635" max="5635" width="12.85546875" style="262" bestFit="1" customWidth="1"/>
    <col min="5636" max="5636" width="13.140625" style="262" bestFit="1" customWidth="1"/>
    <col min="5637" max="5639" width="12.28515625" style="262" bestFit="1" customWidth="1"/>
    <col min="5640" max="5640" width="10.140625" style="262" bestFit="1" customWidth="1"/>
    <col min="5641" max="5641" width="11" style="262" bestFit="1" customWidth="1"/>
    <col min="5642" max="5643" width="12.28515625" style="262" bestFit="1" customWidth="1"/>
    <col min="5644" max="5644" width="10" style="262" bestFit="1" customWidth="1"/>
    <col min="5645" max="5645" width="1.5703125" style="262" bestFit="1" customWidth="1"/>
    <col min="5646" max="5646" width="0.28515625" style="262" bestFit="1" customWidth="1"/>
    <col min="5647" max="5647" width="4.7109375" style="262" bestFit="1" customWidth="1"/>
    <col min="5648" max="5888" width="9.140625" style="262"/>
    <col min="5889" max="5889" width="80.85546875" style="262" bestFit="1" customWidth="1"/>
    <col min="5890" max="5890" width="8.42578125" style="262" bestFit="1" customWidth="1"/>
    <col min="5891" max="5891" width="12.85546875" style="262" bestFit="1" customWidth="1"/>
    <col min="5892" max="5892" width="13.140625" style="262" bestFit="1" customWidth="1"/>
    <col min="5893" max="5895" width="12.28515625" style="262" bestFit="1" customWidth="1"/>
    <col min="5896" max="5896" width="10.140625" style="262" bestFit="1" customWidth="1"/>
    <col min="5897" max="5897" width="11" style="262" bestFit="1" customWidth="1"/>
    <col min="5898" max="5899" width="12.28515625" style="262" bestFit="1" customWidth="1"/>
    <col min="5900" max="5900" width="10" style="262" bestFit="1" customWidth="1"/>
    <col min="5901" max="5901" width="1.5703125" style="262" bestFit="1" customWidth="1"/>
    <col min="5902" max="5902" width="0.28515625" style="262" bestFit="1" customWidth="1"/>
    <col min="5903" max="5903" width="4.7109375" style="262" bestFit="1" customWidth="1"/>
    <col min="5904" max="6144" width="9.140625" style="262"/>
    <col min="6145" max="6145" width="80.85546875" style="262" bestFit="1" customWidth="1"/>
    <col min="6146" max="6146" width="8.42578125" style="262" bestFit="1" customWidth="1"/>
    <col min="6147" max="6147" width="12.85546875" style="262" bestFit="1" customWidth="1"/>
    <col min="6148" max="6148" width="13.140625" style="262" bestFit="1" customWidth="1"/>
    <col min="6149" max="6151" width="12.28515625" style="262" bestFit="1" customWidth="1"/>
    <col min="6152" max="6152" width="10.140625" style="262" bestFit="1" customWidth="1"/>
    <col min="6153" max="6153" width="11" style="262" bestFit="1" customWidth="1"/>
    <col min="6154" max="6155" width="12.28515625" style="262" bestFit="1" customWidth="1"/>
    <col min="6156" max="6156" width="10" style="262" bestFit="1" customWidth="1"/>
    <col min="6157" max="6157" width="1.5703125" style="262" bestFit="1" customWidth="1"/>
    <col min="6158" max="6158" width="0.28515625" style="262" bestFit="1" customWidth="1"/>
    <col min="6159" max="6159" width="4.7109375" style="262" bestFit="1" customWidth="1"/>
    <col min="6160" max="6400" width="9.140625" style="262"/>
    <col min="6401" max="6401" width="80.85546875" style="262" bestFit="1" customWidth="1"/>
    <col min="6402" max="6402" width="8.42578125" style="262" bestFit="1" customWidth="1"/>
    <col min="6403" max="6403" width="12.85546875" style="262" bestFit="1" customWidth="1"/>
    <col min="6404" max="6404" width="13.140625" style="262" bestFit="1" customWidth="1"/>
    <col min="6405" max="6407" width="12.28515625" style="262" bestFit="1" customWidth="1"/>
    <col min="6408" max="6408" width="10.140625" style="262" bestFit="1" customWidth="1"/>
    <col min="6409" max="6409" width="11" style="262" bestFit="1" customWidth="1"/>
    <col min="6410" max="6411" width="12.28515625" style="262" bestFit="1" customWidth="1"/>
    <col min="6412" max="6412" width="10" style="262" bestFit="1" customWidth="1"/>
    <col min="6413" max="6413" width="1.5703125" style="262" bestFit="1" customWidth="1"/>
    <col min="6414" max="6414" width="0.28515625" style="262" bestFit="1" customWidth="1"/>
    <col min="6415" max="6415" width="4.7109375" style="262" bestFit="1" customWidth="1"/>
    <col min="6416" max="6656" width="9.140625" style="262"/>
    <col min="6657" max="6657" width="80.85546875" style="262" bestFit="1" customWidth="1"/>
    <col min="6658" max="6658" width="8.42578125" style="262" bestFit="1" customWidth="1"/>
    <col min="6659" max="6659" width="12.85546875" style="262" bestFit="1" customWidth="1"/>
    <col min="6660" max="6660" width="13.140625" style="262" bestFit="1" customWidth="1"/>
    <col min="6661" max="6663" width="12.28515625" style="262" bestFit="1" customWidth="1"/>
    <col min="6664" max="6664" width="10.140625" style="262" bestFit="1" customWidth="1"/>
    <col min="6665" max="6665" width="11" style="262" bestFit="1" customWidth="1"/>
    <col min="6666" max="6667" width="12.28515625" style="262" bestFit="1" customWidth="1"/>
    <col min="6668" max="6668" width="10" style="262" bestFit="1" customWidth="1"/>
    <col min="6669" max="6669" width="1.5703125" style="262" bestFit="1" customWidth="1"/>
    <col min="6670" max="6670" width="0.28515625" style="262" bestFit="1" customWidth="1"/>
    <col min="6671" max="6671" width="4.7109375" style="262" bestFit="1" customWidth="1"/>
    <col min="6672" max="6912" width="9.140625" style="262"/>
    <col min="6913" max="6913" width="80.85546875" style="262" bestFit="1" customWidth="1"/>
    <col min="6914" max="6914" width="8.42578125" style="262" bestFit="1" customWidth="1"/>
    <col min="6915" max="6915" width="12.85546875" style="262" bestFit="1" customWidth="1"/>
    <col min="6916" max="6916" width="13.140625" style="262" bestFit="1" customWidth="1"/>
    <col min="6917" max="6919" width="12.28515625" style="262" bestFit="1" customWidth="1"/>
    <col min="6920" max="6920" width="10.140625" style="262" bestFit="1" customWidth="1"/>
    <col min="6921" max="6921" width="11" style="262" bestFit="1" customWidth="1"/>
    <col min="6922" max="6923" width="12.28515625" style="262" bestFit="1" customWidth="1"/>
    <col min="6924" max="6924" width="10" style="262" bestFit="1" customWidth="1"/>
    <col min="6925" max="6925" width="1.5703125" style="262" bestFit="1" customWidth="1"/>
    <col min="6926" max="6926" width="0.28515625" style="262" bestFit="1" customWidth="1"/>
    <col min="6927" max="6927" width="4.7109375" style="262" bestFit="1" customWidth="1"/>
    <col min="6928" max="7168" width="9.140625" style="262"/>
    <col min="7169" max="7169" width="80.85546875" style="262" bestFit="1" customWidth="1"/>
    <col min="7170" max="7170" width="8.42578125" style="262" bestFit="1" customWidth="1"/>
    <col min="7171" max="7171" width="12.85546875" style="262" bestFit="1" customWidth="1"/>
    <col min="7172" max="7172" width="13.140625" style="262" bestFit="1" customWidth="1"/>
    <col min="7173" max="7175" width="12.28515625" style="262" bestFit="1" customWidth="1"/>
    <col min="7176" max="7176" width="10.140625" style="262" bestFit="1" customWidth="1"/>
    <col min="7177" max="7177" width="11" style="262" bestFit="1" customWidth="1"/>
    <col min="7178" max="7179" width="12.28515625" style="262" bestFit="1" customWidth="1"/>
    <col min="7180" max="7180" width="10" style="262" bestFit="1" customWidth="1"/>
    <col min="7181" max="7181" width="1.5703125" style="262" bestFit="1" customWidth="1"/>
    <col min="7182" max="7182" width="0.28515625" style="262" bestFit="1" customWidth="1"/>
    <col min="7183" max="7183" width="4.7109375" style="262" bestFit="1" customWidth="1"/>
    <col min="7184" max="7424" width="9.140625" style="262"/>
    <col min="7425" max="7425" width="80.85546875" style="262" bestFit="1" customWidth="1"/>
    <col min="7426" max="7426" width="8.42578125" style="262" bestFit="1" customWidth="1"/>
    <col min="7427" max="7427" width="12.85546875" style="262" bestFit="1" customWidth="1"/>
    <col min="7428" max="7428" width="13.140625" style="262" bestFit="1" customWidth="1"/>
    <col min="7429" max="7431" width="12.28515625" style="262" bestFit="1" customWidth="1"/>
    <col min="7432" max="7432" width="10.140625" style="262" bestFit="1" customWidth="1"/>
    <col min="7433" max="7433" width="11" style="262" bestFit="1" customWidth="1"/>
    <col min="7434" max="7435" width="12.28515625" style="262" bestFit="1" customWidth="1"/>
    <col min="7436" max="7436" width="10" style="262" bestFit="1" customWidth="1"/>
    <col min="7437" max="7437" width="1.5703125" style="262" bestFit="1" customWidth="1"/>
    <col min="7438" max="7438" width="0.28515625" style="262" bestFit="1" customWidth="1"/>
    <col min="7439" max="7439" width="4.7109375" style="262" bestFit="1" customWidth="1"/>
    <col min="7440" max="7680" width="9.140625" style="262"/>
    <col min="7681" max="7681" width="80.85546875" style="262" bestFit="1" customWidth="1"/>
    <col min="7682" max="7682" width="8.42578125" style="262" bestFit="1" customWidth="1"/>
    <col min="7683" max="7683" width="12.85546875" style="262" bestFit="1" customWidth="1"/>
    <col min="7684" max="7684" width="13.140625" style="262" bestFit="1" customWidth="1"/>
    <col min="7685" max="7687" width="12.28515625" style="262" bestFit="1" customWidth="1"/>
    <col min="7688" max="7688" width="10.140625" style="262" bestFit="1" customWidth="1"/>
    <col min="7689" max="7689" width="11" style="262" bestFit="1" customWidth="1"/>
    <col min="7690" max="7691" width="12.28515625" style="262" bestFit="1" customWidth="1"/>
    <col min="7692" max="7692" width="10" style="262" bestFit="1" customWidth="1"/>
    <col min="7693" max="7693" width="1.5703125" style="262" bestFit="1" customWidth="1"/>
    <col min="7694" max="7694" width="0.28515625" style="262" bestFit="1" customWidth="1"/>
    <col min="7695" max="7695" width="4.7109375" style="262" bestFit="1" customWidth="1"/>
    <col min="7696" max="7936" width="9.140625" style="262"/>
    <col min="7937" max="7937" width="80.85546875" style="262" bestFit="1" customWidth="1"/>
    <col min="7938" max="7938" width="8.42578125" style="262" bestFit="1" customWidth="1"/>
    <col min="7939" max="7939" width="12.85546875" style="262" bestFit="1" customWidth="1"/>
    <col min="7940" max="7940" width="13.140625" style="262" bestFit="1" customWidth="1"/>
    <col min="7941" max="7943" width="12.28515625" style="262" bestFit="1" customWidth="1"/>
    <col min="7944" max="7944" width="10.140625" style="262" bestFit="1" customWidth="1"/>
    <col min="7945" max="7945" width="11" style="262" bestFit="1" customWidth="1"/>
    <col min="7946" max="7947" width="12.28515625" style="262" bestFit="1" customWidth="1"/>
    <col min="7948" max="7948" width="10" style="262" bestFit="1" customWidth="1"/>
    <col min="7949" max="7949" width="1.5703125" style="262" bestFit="1" customWidth="1"/>
    <col min="7950" max="7950" width="0.28515625" style="262" bestFit="1" customWidth="1"/>
    <col min="7951" max="7951" width="4.7109375" style="262" bestFit="1" customWidth="1"/>
    <col min="7952" max="8192" width="9.140625" style="262"/>
    <col min="8193" max="8193" width="80.85546875" style="262" bestFit="1" customWidth="1"/>
    <col min="8194" max="8194" width="8.42578125" style="262" bestFit="1" customWidth="1"/>
    <col min="8195" max="8195" width="12.85546875" style="262" bestFit="1" customWidth="1"/>
    <col min="8196" max="8196" width="13.140625" style="262" bestFit="1" customWidth="1"/>
    <col min="8197" max="8199" width="12.28515625" style="262" bestFit="1" customWidth="1"/>
    <col min="8200" max="8200" width="10.140625" style="262" bestFit="1" customWidth="1"/>
    <col min="8201" max="8201" width="11" style="262" bestFit="1" customWidth="1"/>
    <col min="8202" max="8203" width="12.28515625" style="262" bestFit="1" customWidth="1"/>
    <col min="8204" max="8204" width="10" style="262" bestFit="1" customWidth="1"/>
    <col min="8205" max="8205" width="1.5703125" style="262" bestFit="1" customWidth="1"/>
    <col min="8206" max="8206" width="0.28515625" style="262" bestFit="1" customWidth="1"/>
    <col min="8207" max="8207" width="4.7109375" style="262" bestFit="1" customWidth="1"/>
    <col min="8208" max="8448" width="9.140625" style="262"/>
    <col min="8449" max="8449" width="80.85546875" style="262" bestFit="1" customWidth="1"/>
    <col min="8450" max="8450" width="8.42578125" style="262" bestFit="1" customWidth="1"/>
    <col min="8451" max="8451" width="12.85546875" style="262" bestFit="1" customWidth="1"/>
    <col min="8452" max="8452" width="13.140625" style="262" bestFit="1" customWidth="1"/>
    <col min="8453" max="8455" width="12.28515625" style="262" bestFit="1" customWidth="1"/>
    <col min="8456" max="8456" width="10.140625" style="262" bestFit="1" customWidth="1"/>
    <col min="8457" max="8457" width="11" style="262" bestFit="1" customWidth="1"/>
    <col min="8458" max="8459" width="12.28515625" style="262" bestFit="1" customWidth="1"/>
    <col min="8460" max="8460" width="10" style="262" bestFit="1" customWidth="1"/>
    <col min="8461" max="8461" width="1.5703125" style="262" bestFit="1" customWidth="1"/>
    <col min="8462" max="8462" width="0.28515625" style="262" bestFit="1" customWidth="1"/>
    <col min="8463" max="8463" width="4.7109375" style="262" bestFit="1" customWidth="1"/>
    <col min="8464" max="8704" width="9.140625" style="262"/>
    <col min="8705" max="8705" width="80.85546875" style="262" bestFit="1" customWidth="1"/>
    <col min="8706" max="8706" width="8.42578125" style="262" bestFit="1" customWidth="1"/>
    <col min="8707" max="8707" width="12.85546875" style="262" bestFit="1" customWidth="1"/>
    <col min="8708" max="8708" width="13.140625" style="262" bestFit="1" customWidth="1"/>
    <col min="8709" max="8711" width="12.28515625" style="262" bestFit="1" customWidth="1"/>
    <col min="8712" max="8712" width="10.140625" style="262" bestFit="1" customWidth="1"/>
    <col min="8713" max="8713" width="11" style="262" bestFit="1" customWidth="1"/>
    <col min="8714" max="8715" width="12.28515625" style="262" bestFit="1" customWidth="1"/>
    <col min="8716" max="8716" width="10" style="262" bestFit="1" customWidth="1"/>
    <col min="8717" max="8717" width="1.5703125" style="262" bestFit="1" customWidth="1"/>
    <col min="8718" max="8718" width="0.28515625" style="262" bestFit="1" customWidth="1"/>
    <col min="8719" max="8719" width="4.7109375" style="262" bestFit="1" customWidth="1"/>
    <col min="8720" max="8960" width="9.140625" style="262"/>
    <col min="8961" max="8961" width="80.85546875" style="262" bestFit="1" customWidth="1"/>
    <col min="8962" max="8962" width="8.42578125" style="262" bestFit="1" customWidth="1"/>
    <col min="8963" max="8963" width="12.85546875" style="262" bestFit="1" customWidth="1"/>
    <col min="8964" max="8964" width="13.140625" style="262" bestFit="1" customWidth="1"/>
    <col min="8965" max="8967" width="12.28515625" style="262" bestFit="1" customWidth="1"/>
    <col min="8968" max="8968" width="10.140625" style="262" bestFit="1" customWidth="1"/>
    <col min="8969" max="8969" width="11" style="262" bestFit="1" customWidth="1"/>
    <col min="8970" max="8971" width="12.28515625" style="262" bestFit="1" customWidth="1"/>
    <col min="8972" max="8972" width="10" style="262" bestFit="1" customWidth="1"/>
    <col min="8973" max="8973" width="1.5703125" style="262" bestFit="1" customWidth="1"/>
    <col min="8974" max="8974" width="0.28515625" style="262" bestFit="1" customWidth="1"/>
    <col min="8975" max="8975" width="4.7109375" style="262" bestFit="1" customWidth="1"/>
    <col min="8976" max="9216" width="9.140625" style="262"/>
    <col min="9217" max="9217" width="80.85546875" style="262" bestFit="1" customWidth="1"/>
    <col min="9218" max="9218" width="8.42578125" style="262" bestFit="1" customWidth="1"/>
    <col min="9219" max="9219" width="12.85546875" style="262" bestFit="1" customWidth="1"/>
    <col min="9220" max="9220" width="13.140625" style="262" bestFit="1" customWidth="1"/>
    <col min="9221" max="9223" width="12.28515625" style="262" bestFit="1" customWidth="1"/>
    <col min="9224" max="9224" width="10.140625" style="262" bestFit="1" customWidth="1"/>
    <col min="9225" max="9225" width="11" style="262" bestFit="1" customWidth="1"/>
    <col min="9226" max="9227" width="12.28515625" style="262" bestFit="1" customWidth="1"/>
    <col min="9228" max="9228" width="10" style="262" bestFit="1" customWidth="1"/>
    <col min="9229" max="9229" width="1.5703125" style="262" bestFit="1" customWidth="1"/>
    <col min="9230" max="9230" width="0.28515625" style="262" bestFit="1" customWidth="1"/>
    <col min="9231" max="9231" width="4.7109375" style="262" bestFit="1" customWidth="1"/>
    <col min="9232" max="9472" width="9.140625" style="262"/>
    <col min="9473" max="9473" width="80.85546875" style="262" bestFit="1" customWidth="1"/>
    <col min="9474" max="9474" width="8.42578125" style="262" bestFit="1" customWidth="1"/>
    <col min="9475" max="9475" width="12.85546875" style="262" bestFit="1" customWidth="1"/>
    <col min="9476" max="9476" width="13.140625" style="262" bestFit="1" customWidth="1"/>
    <col min="9477" max="9479" width="12.28515625" style="262" bestFit="1" customWidth="1"/>
    <col min="9480" max="9480" width="10.140625" style="262" bestFit="1" customWidth="1"/>
    <col min="9481" max="9481" width="11" style="262" bestFit="1" customWidth="1"/>
    <col min="9482" max="9483" width="12.28515625" style="262" bestFit="1" customWidth="1"/>
    <col min="9484" max="9484" width="10" style="262" bestFit="1" customWidth="1"/>
    <col min="9485" max="9485" width="1.5703125" style="262" bestFit="1" customWidth="1"/>
    <col min="9486" max="9486" width="0.28515625" style="262" bestFit="1" customWidth="1"/>
    <col min="9487" max="9487" width="4.7109375" style="262" bestFit="1" customWidth="1"/>
    <col min="9488" max="9728" width="9.140625" style="262"/>
    <col min="9729" max="9729" width="80.85546875" style="262" bestFit="1" customWidth="1"/>
    <col min="9730" max="9730" width="8.42578125" style="262" bestFit="1" customWidth="1"/>
    <col min="9731" max="9731" width="12.85546875" style="262" bestFit="1" customWidth="1"/>
    <col min="9732" max="9732" width="13.140625" style="262" bestFit="1" customWidth="1"/>
    <col min="9733" max="9735" width="12.28515625" style="262" bestFit="1" customWidth="1"/>
    <col min="9736" max="9736" width="10.140625" style="262" bestFit="1" customWidth="1"/>
    <col min="9737" max="9737" width="11" style="262" bestFit="1" customWidth="1"/>
    <col min="9738" max="9739" width="12.28515625" style="262" bestFit="1" customWidth="1"/>
    <col min="9740" max="9740" width="10" style="262" bestFit="1" customWidth="1"/>
    <col min="9741" max="9741" width="1.5703125" style="262" bestFit="1" customWidth="1"/>
    <col min="9742" max="9742" width="0.28515625" style="262" bestFit="1" customWidth="1"/>
    <col min="9743" max="9743" width="4.7109375" style="262" bestFit="1" customWidth="1"/>
    <col min="9744" max="9984" width="9.140625" style="262"/>
    <col min="9985" max="9985" width="80.85546875" style="262" bestFit="1" customWidth="1"/>
    <col min="9986" max="9986" width="8.42578125" style="262" bestFit="1" customWidth="1"/>
    <col min="9987" max="9987" width="12.85546875" style="262" bestFit="1" customWidth="1"/>
    <col min="9988" max="9988" width="13.140625" style="262" bestFit="1" customWidth="1"/>
    <col min="9989" max="9991" width="12.28515625" style="262" bestFit="1" customWidth="1"/>
    <col min="9992" max="9992" width="10.140625" style="262" bestFit="1" customWidth="1"/>
    <col min="9993" max="9993" width="11" style="262" bestFit="1" customWidth="1"/>
    <col min="9994" max="9995" width="12.28515625" style="262" bestFit="1" customWidth="1"/>
    <col min="9996" max="9996" width="10" style="262" bestFit="1" customWidth="1"/>
    <col min="9997" max="9997" width="1.5703125" style="262" bestFit="1" customWidth="1"/>
    <col min="9998" max="9998" width="0.28515625" style="262" bestFit="1" customWidth="1"/>
    <col min="9999" max="9999" width="4.7109375" style="262" bestFit="1" customWidth="1"/>
    <col min="10000" max="10240" width="9.140625" style="262"/>
    <col min="10241" max="10241" width="80.85546875" style="262" bestFit="1" customWidth="1"/>
    <col min="10242" max="10242" width="8.42578125" style="262" bestFit="1" customWidth="1"/>
    <col min="10243" max="10243" width="12.85546875" style="262" bestFit="1" customWidth="1"/>
    <col min="10244" max="10244" width="13.140625" style="262" bestFit="1" customWidth="1"/>
    <col min="10245" max="10247" width="12.28515625" style="262" bestFit="1" customWidth="1"/>
    <col min="10248" max="10248" width="10.140625" style="262" bestFit="1" customWidth="1"/>
    <col min="10249" max="10249" width="11" style="262" bestFit="1" customWidth="1"/>
    <col min="10250" max="10251" width="12.28515625" style="262" bestFit="1" customWidth="1"/>
    <col min="10252" max="10252" width="10" style="262" bestFit="1" customWidth="1"/>
    <col min="10253" max="10253" width="1.5703125" style="262" bestFit="1" customWidth="1"/>
    <col min="10254" max="10254" width="0.28515625" style="262" bestFit="1" customWidth="1"/>
    <col min="10255" max="10255" width="4.7109375" style="262" bestFit="1" customWidth="1"/>
    <col min="10256" max="10496" width="9.140625" style="262"/>
    <col min="10497" max="10497" width="80.85546875" style="262" bestFit="1" customWidth="1"/>
    <col min="10498" max="10498" width="8.42578125" style="262" bestFit="1" customWidth="1"/>
    <col min="10499" max="10499" width="12.85546875" style="262" bestFit="1" customWidth="1"/>
    <col min="10500" max="10500" width="13.140625" style="262" bestFit="1" customWidth="1"/>
    <col min="10501" max="10503" width="12.28515625" style="262" bestFit="1" customWidth="1"/>
    <col min="10504" max="10504" width="10.140625" style="262" bestFit="1" customWidth="1"/>
    <col min="10505" max="10505" width="11" style="262" bestFit="1" customWidth="1"/>
    <col min="10506" max="10507" width="12.28515625" style="262" bestFit="1" customWidth="1"/>
    <col min="10508" max="10508" width="10" style="262" bestFit="1" customWidth="1"/>
    <col min="10509" max="10509" width="1.5703125" style="262" bestFit="1" customWidth="1"/>
    <col min="10510" max="10510" width="0.28515625" style="262" bestFit="1" customWidth="1"/>
    <col min="10511" max="10511" width="4.7109375" style="262" bestFit="1" customWidth="1"/>
    <col min="10512" max="10752" width="9.140625" style="262"/>
    <col min="10753" max="10753" width="80.85546875" style="262" bestFit="1" customWidth="1"/>
    <col min="10754" max="10754" width="8.42578125" style="262" bestFit="1" customWidth="1"/>
    <col min="10755" max="10755" width="12.85546875" style="262" bestFit="1" customWidth="1"/>
    <col min="10756" max="10756" width="13.140625" style="262" bestFit="1" customWidth="1"/>
    <col min="10757" max="10759" width="12.28515625" style="262" bestFit="1" customWidth="1"/>
    <col min="10760" max="10760" width="10.140625" style="262" bestFit="1" customWidth="1"/>
    <col min="10761" max="10761" width="11" style="262" bestFit="1" customWidth="1"/>
    <col min="10762" max="10763" width="12.28515625" style="262" bestFit="1" customWidth="1"/>
    <col min="10764" max="10764" width="10" style="262" bestFit="1" customWidth="1"/>
    <col min="10765" max="10765" width="1.5703125" style="262" bestFit="1" customWidth="1"/>
    <col min="10766" max="10766" width="0.28515625" style="262" bestFit="1" customWidth="1"/>
    <col min="10767" max="10767" width="4.7109375" style="262" bestFit="1" customWidth="1"/>
    <col min="10768" max="11008" width="9.140625" style="262"/>
    <col min="11009" max="11009" width="80.85546875" style="262" bestFit="1" customWidth="1"/>
    <col min="11010" max="11010" width="8.42578125" style="262" bestFit="1" customWidth="1"/>
    <col min="11011" max="11011" width="12.85546875" style="262" bestFit="1" customWidth="1"/>
    <col min="11012" max="11012" width="13.140625" style="262" bestFit="1" customWidth="1"/>
    <col min="11013" max="11015" width="12.28515625" style="262" bestFit="1" customWidth="1"/>
    <col min="11016" max="11016" width="10.140625" style="262" bestFit="1" customWidth="1"/>
    <col min="11017" max="11017" width="11" style="262" bestFit="1" customWidth="1"/>
    <col min="11018" max="11019" width="12.28515625" style="262" bestFit="1" customWidth="1"/>
    <col min="11020" max="11020" width="10" style="262" bestFit="1" customWidth="1"/>
    <col min="11021" max="11021" width="1.5703125" style="262" bestFit="1" customWidth="1"/>
    <col min="11022" max="11022" width="0.28515625" style="262" bestFit="1" customWidth="1"/>
    <col min="11023" max="11023" width="4.7109375" style="262" bestFit="1" customWidth="1"/>
    <col min="11024" max="11264" width="9.140625" style="262"/>
    <col min="11265" max="11265" width="80.85546875" style="262" bestFit="1" customWidth="1"/>
    <col min="11266" max="11266" width="8.42578125" style="262" bestFit="1" customWidth="1"/>
    <col min="11267" max="11267" width="12.85546875" style="262" bestFit="1" customWidth="1"/>
    <col min="11268" max="11268" width="13.140625" style="262" bestFit="1" customWidth="1"/>
    <col min="11269" max="11271" width="12.28515625" style="262" bestFit="1" customWidth="1"/>
    <col min="11272" max="11272" width="10.140625" style="262" bestFit="1" customWidth="1"/>
    <col min="11273" max="11273" width="11" style="262" bestFit="1" customWidth="1"/>
    <col min="11274" max="11275" width="12.28515625" style="262" bestFit="1" customWidth="1"/>
    <col min="11276" max="11276" width="10" style="262" bestFit="1" customWidth="1"/>
    <col min="11277" max="11277" width="1.5703125" style="262" bestFit="1" customWidth="1"/>
    <col min="11278" max="11278" width="0.28515625" style="262" bestFit="1" customWidth="1"/>
    <col min="11279" max="11279" width="4.7109375" style="262" bestFit="1" customWidth="1"/>
    <col min="11280" max="11520" width="9.140625" style="262"/>
    <col min="11521" max="11521" width="80.85546875" style="262" bestFit="1" customWidth="1"/>
    <col min="11522" max="11522" width="8.42578125" style="262" bestFit="1" customWidth="1"/>
    <col min="11523" max="11523" width="12.85546875" style="262" bestFit="1" customWidth="1"/>
    <col min="11524" max="11524" width="13.140625" style="262" bestFit="1" customWidth="1"/>
    <col min="11525" max="11527" width="12.28515625" style="262" bestFit="1" customWidth="1"/>
    <col min="11528" max="11528" width="10.140625" style="262" bestFit="1" customWidth="1"/>
    <col min="11529" max="11529" width="11" style="262" bestFit="1" customWidth="1"/>
    <col min="11530" max="11531" width="12.28515625" style="262" bestFit="1" customWidth="1"/>
    <col min="11532" max="11532" width="10" style="262" bestFit="1" customWidth="1"/>
    <col min="11533" max="11533" width="1.5703125" style="262" bestFit="1" customWidth="1"/>
    <col min="11534" max="11534" width="0.28515625" style="262" bestFit="1" customWidth="1"/>
    <col min="11535" max="11535" width="4.7109375" style="262" bestFit="1" customWidth="1"/>
    <col min="11536" max="11776" width="9.140625" style="262"/>
    <col min="11777" max="11777" width="80.85546875" style="262" bestFit="1" customWidth="1"/>
    <col min="11778" max="11778" width="8.42578125" style="262" bestFit="1" customWidth="1"/>
    <col min="11779" max="11779" width="12.85546875" style="262" bestFit="1" customWidth="1"/>
    <col min="11780" max="11780" width="13.140625" style="262" bestFit="1" customWidth="1"/>
    <col min="11781" max="11783" width="12.28515625" style="262" bestFit="1" customWidth="1"/>
    <col min="11784" max="11784" width="10.140625" style="262" bestFit="1" customWidth="1"/>
    <col min="11785" max="11785" width="11" style="262" bestFit="1" customWidth="1"/>
    <col min="11786" max="11787" width="12.28515625" style="262" bestFit="1" customWidth="1"/>
    <col min="11788" max="11788" width="10" style="262" bestFit="1" customWidth="1"/>
    <col min="11789" max="11789" width="1.5703125" style="262" bestFit="1" customWidth="1"/>
    <col min="11790" max="11790" width="0.28515625" style="262" bestFit="1" customWidth="1"/>
    <col min="11791" max="11791" width="4.7109375" style="262" bestFit="1" customWidth="1"/>
    <col min="11792" max="12032" width="9.140625" style="262"/>
    <col min="12033" max="12033" width="80.85546875" style="262" bestFit="1" customWidth="1"/>
    <col min="12034" max="12034" width="8.42578125" style="262" bestFit="1" customWidth="1"/>
    <col min="12035" max="12035" width="12.85546875" style="262" bestFit="1" customWidth="1"/>
    <col min="12036" max="12036" width="13.140625" style="262" bestFit="1" customWidth="1"/>
    <col min="12037" max="12039" width="12.28515625" style="262" bestFit="1" customWidth="1"/>
    <col min="12040" max="12040" width="10.140625" style="262" bestFit="1" customWidth="1"/>
    <col min="12041" max="12041" width="11" style="262" bestFit="1" customWidth="1"/>
    <col min="12042" max="12043" width="12.28515625" style="262" bestFit="1" customWidth="1"/>
    <col min="12044" max="12044" width="10" style="262" bestFit="1" customWidth="1"/>
    <col min="12045" max="12045" width="1.5703125" style="262" bestFit="1" customWidth="1"/>
    <col min="12046" max="12046" width="0.28515625" style="262" bestFit="1" customWidth="1"/>
    <col min="12047" max="12047" width="4.7109375" style="262" bestFit="1" customWidth="1"/>
    <col min="12048" max="12288" width="9.140625" style="262"/>
    <col min="12289" max="12289" width="80.85546875" style="262" bestFit="1" customWidth="1"/>
    <col min="12290" max="12290" width="8.42578125" style="262" bestFit="1" customWidth="1"/>
    <col min="12291" max="12291" width="12.85546875" style="262" bestFit="1" customWidth="1"/>
    <col min="12292" max="12292" width="13.140625" style="262" bestFit="1" customWidth="1"/>
    <col min="12293" max="12295" width="12.28515625" style="262" bestFit="1" customWidth="1"/>
    <col min="12296" max="12296" width="10.140625" style="262" bestFit="1" customWidth="1"/>
    <col min="12297" max="12297" width="11" style="262" bestFit="1" customWidth="1"/>
    <col min="12298" max="12299" width="12.28515625" style="262" bestFit="1" customWidth="1"/>
    <col min="12300" max="12300" width="10" style="262" bestFit="1" customWidth="1"/>
    <col min="12301" max="12301" width="1.5703125" style="262" bestFit="1" customWidth="1"/>
    <col min="12302" max="12302" width="0.28515625" style="262" bestFit="1" customWidth="1"/>
    <col min="12303" max="12303" width="4.7109375" style="262" bestFit="1" customWidth="1"/>
    <col min="12304" max="12544" width="9.140625" style="262"/>
    <col min="12545" max="12545" width="80.85546875" style="262" bestFit="1" customWidth="1"/>
    <col min="12546" max="12546" width="8.42578125" style="262" bestFit="1" customWidth="1"/>
    <col min="12547" max="12547" width="12.85546875" style="262" bestFit="1" customWidth="1"/>
    <col min="12548" max="12548" width="13.140625" style="262" bestFit="1" customWidth="1"/>
    <col min="12549" max="12551" width="12.28515625" style="262" bestFit="1" customWidth="1"/>
    <col min="12552" max="12552" width="10.140625" style="262" bestFit="1" customWidth="1"/>
    <col min="12553" max="12553" width="11" style="262" bestFit="1" customWidth="1"/>
    <col min="12554" max="12555" width="12.28515625" style="262" bestFit="1" customWidth="1"/>
    <col min="12556" max="12556" width="10" style="262" bestFit="1" customWidth="1"/>
    <col min="12557" max="12557" width="1.5703125" style="262" bestFit="1" customWidth="1"/>
    <col min="12558" max="12558" width="0.28515625" style="262" bestFit="1" customWidth="1"/>
    <col min="12559" max="12559" width="4.7109375" style="262" bestFit="1" customWidth="1"/>
    <col min="12560" max="12800" width="9.140625" style="262"/>
    <col min="12801" max="12801" width="80.85546875" style="262" bestFit="1" customWidth="1"/>
    <col min="12802" max="12802" width="8.42578125" style="262" bestFit="1" customWidth="1"/>
    <col min="12803" max="12803" width="12.85546875" style="262" bestFit="1" customWidth="1"/>
    <col min="12804" max="12804" width="13.140625" style="262" bestFit="1" customWidth="1"/>
    <col min="12805" max="12807" width="12.28515625" style="262" bestFit="1" customWidth="1"/>
    <col min="12808" max="12808" width="10.140625" style="262" bestFit="1" customWidth="1"/>
    <col min="12809" max="12809" width="11" style="262" bestFit="1" customWidth="1"/>
    <col min="12810" max="12811" width="12.28515625" style="262" bestFit="1" customWidth="1"/>
    <col min="12812" max="12812" width="10" style="262" bestFit="1" customWidth="1"/>
    <col min="12813" max="12813" width="1.5703125" style="262" bestFit="1" customWidth="1"/>
    <col min="12814" max="12814" width="0.28515625" style="262" bestFit="1" customWidth="1"/>
    <col min="12815" max="12815" width="4.7109375" style="262" bestFit="1" customWidth="1"/>
    <col min="12816" max="13056" width="9.140625" style="262"/>
    <col min="13057" max="13057" width="80.85546875" style="262" bestFit="1" customWidth="1"/>
    <col min="13058" max="13058" width="8.42578125" style="262" bestFit="1" customWidth="1"/>
    <col min="13059" max="13059" width="12.85546875" style="262" bestFit="1" customWidth="1"/>
    <col min="13060" max="13060" width="13.140625" style="262" bestFit="1" customWidth="1"/>
    <col min="13061" max="13063" width="12.28515625" style="262" bestFit="1" customWidth="1"/>
    <col min="13064" max="13064" width="10.140625" style="262" bestFit="1" customWidth="1"/>
    <col min="13065" max="13065" width="11" style="262" bestFit="1" customWidth="1"/>
    <col min="13066" max="13067" width="12.28515625" style="262" bestFit="1" customWidth="1"/>
    <col min="13068" max="13068" width="10" style="262" bestFit="1" customWidth="1"/>
    <col min="13069" max="13069" width="1.5703125" style="262" bestFit="1" customWidth="1"/>
    <col min="13070" max="13070" width="0.28515625" style="262" bestFit="1" customWidth="1"/>
    <col min="13071" max="13071" width="4.7109375" style="262" bestFit="1" customWidth="1"/>
    <col min="13072" max="13312" width="9.140625" style="262"/>
    <col min="13313" max="13313" width="80.85546875" style="262" bestFit="1" customWidth="1"/>
    <col min="13314" max="13314" width="8.42578125" style="262" bestFit="1" customWidth="1"/>
    <col min="13315" max="13315" width="12.85546875" style="262" bestFit="1" customWidth="1"/>
    <col min="13316" max="13316" width="13.140625" style="262" bestFit="1" customWidth="1"/>
    <col min="13317" max="13319" width="12.28515625" style="262" bestFit="1" customWidth="1"/>
    <col min="13320" max="13320" width="10.140625" style="262" bestFit="1" customWidth="1"/>
    <col min="13321" max="13321" width="11" style="262" bestFit="1" customWidth="1"/>
    <col min="13322" max="13323" width="12.28515625" style="262" bestFit="1" customWidth="1"/>
    <col min="13324" max="13324" width="10" style="262" bestFit="1" customWidth="1"/>
    <col min="13325" max="13325" width="1.5703125" style="262" bestFit="1" customWidth="1"/>
    <col min="13326" max="13326" width="0.28515625" style="262" bestFit="1" customWidth="1"/>
    <col min="13327" max="13327" width="4.7109375" style="262" bestFit="1" customWidth="1"/>
    <col min="13328" max="13568" width="9.140625" style="262"/>
    <col min="13569" max="13569" width="80.85546875" style="262" bestFit="1" customWidth="1"/>
    <col min="13570" max="13570" width="8.42578125" style="262" bestFit="1" customWidth="1"/>
    <col min="13571" max="13571" width="12.85546875" style="262" bestFit="1" customWidth="1"/>
    <col min="13572" max="13572" width="13.140625" style="262" bestFit="1" customWidth="1"/>
    <col min="13573" max="13575" width="12.28515625" style="262" bestFit="1" customWidth="1"/>
    <col min="13576" max="13576" width="10.140625" style="262" bestFit="1" customWidth="1"/>
    <col min="13577" max="13577" width="11" style="262" bestFit="1" customWidth="1"/>
    <col min="13578" max="13579" width="12.28515625" style="262" bestFit="1" customWidth="1"/>
    <col min="13580" max="13580" width="10" style="262" bestFit="1" customWidth="1"/>
    <col min="13581" max="13581" width="1.5703125" style="262" bestFit="1" customWidth="1"/>
    <col min="13582" max="13582" width="0.28515625" style="262" bestFit="1" customWidth="1"/>
    <col min="13583" max="13583" width="4.7109375" style="262" bestFit="1" customWidth="1"/>
    <col min="13584" max="13824" width="9.140625" style="262"/>
    <col min="13825" max="13825" width="80.85546875" style="262" bestFit="1" customWidth="1"/>
    <col min="13826" max="13826" width="8.42578125" style="262" bestFit="1" customWidth="1"/>
    <col min="13827" max="13827" width="12.85546875" style="262" bestFit="1" customWidth="1"/>
    <col min="13828" max="13828" width="13.140625" style="262" bestFit="1" customWidth="1"/>
    <col min="13829" max="13831" width="12.28515625" style="262" bestFit="1" customWidth="1"/>
    <col min="13832" max="13832" width="10.140625" style="262" bestFit="1" customWidth="1"/>
    <col min="13833" max="13833" width="11" style="262" bestFit="1" customWidth="1"/>
    <col min="13834" max="13835" width="12.28515625" style="262" bestFit="1" customWidth="1"/>
    <col min="13836" max="13836" width="10" style="262" bestFit="1" customWidth="1"/>
    <col min="13837" max="13837" width="1.5703125" style="262" bestFit="1" customWidth="1"/>
    <col min="13838" max="13838" width="0.28515625" style="262" bestFit="1" customWidth="1"/>
    <col min="13839" max="13839" width="4.7109375" style="262" bestFit="1" customWidth="1"/>
    <col min="13840" max="14080" width="9.140625" style="262"/>
    <col min="14081" max="14081" width="80.85546875" style="262" bestFit="1" customWidth="1"/>
    <col min="14082" max="14082" width="8.42578125" style="262" bestFit="1" customWidth="1"/>
    <col min="14083" max="14083" width="12.85546875" style="262" bestFit="1" customWidth="1"/>
    <col min="14084" max="14084" width="13.140625" style="262" bestFit="1" customWidth="1"/>
    <col min="14085" max="14087" width="12.28515625" style="262" bestFit="1" customWidth="1"/>
    <col min="14088" max="14088" width="10.140625" style="262" bestFit="1" customWidth="1"/>
    <col min="14089" max="14089" width="11" style="262" bestFit="1" customWidth="1"/>
    <col min="14090" max="14091" width="12.28515625" style="262" bestFit="1" customWidth="1"/>
    <col min="14092" max="14092" width="10" style="262" bestFit="1" customWidth="1"/>
    <col min="14093" max="14093" width="1.5703125" style="262" bestFit="1" customWidth="1"/>
    <col min="14094" max="14094" width="0.28515625" style="262" bestFit="1" customWidth="1"/>
    <col min="14095" max="14095" width="4.7109375" style="262" bestFit="1" customWidth="1"/>
    <col min="14096" max="14336" width="9.140625" style="262"/>
    <col min="14337" max="14337" width="80.85546875" style="262" bestFit="1" customWidth="1"/>
    <col min="14338" max="14338" width="8.42578125" style="262" bestFit="1" customWidth="1"/>
    <col min="14339" max="14339" width="12.85546875" style="262" bestFit="1" customWidth="1"/>
    <col min="14340" max="14340" width="13.140625" style="262" bestFit="1" customWidth="1"/>
    <col min="14341" max="14343" width="12.28515625" style="262" bestFit="1" customWidth="1"/>
    <col min="14344" max="14344" width="10.140625" style="262" bestFit="1" customWidth="1"/>
    <col min="14345" max="14345" width="11" style="262" bestFit="1" customWidth="1"/>
    <col min="14346" max="14347" width="12.28515625" style="262" bestFit="1" customWidth="1"/>
    <col min="14348" max="14348" width="10" style="262" bestFit="1" customWidth="1"/>
    <col min="14349" max="14349" width="1.5703125" style="262" bestFit="1" customWidth="1"/>
    <col min="14350" max="14350" width="0.28515625" style="262" bestFit="1" customWidth="1"/>
    <col min="14351" max="14351" width="4.7109375" style="262" bestFit="1" customWidth="1"/>
    <col min="14352" max="14592" width="9.140625" style="262"/>
    <col min="14593" max="14593" width="80.85546875" style="262" bestFit="1" customWidth="1"/>
    <col min="14594" max="14594" width="8.42578125" style="262" bestFit="1" customWidth="1"/>
    <col min="14595" max="14595" width="12.85546875" style="262" bestFit="1" customWidth="1"/>
    <col min="14596" max="14596" width="13.140625" style="262" bestFit="1" customWidth="1"/>
    <col min="14597" max="14599" width="12.28515625" style="262" bestFit="1" customWidth="1"/>
    <col min="14600" max="14600" width="10.140625" style="262" bestFit="1" customWidth="1"/>
    <col min="14601" max="14601" width="11" style="262" bestFit="1" customWidth="1"/>
    <col min="14602" max="14603" width="12.28515625" style="262" bestFit="1" customWidth="1"/>
    <col min="14604" max="14604" width="10" style="262" bestFit="1" customWidth="1"/>
    <col min="14605" max="14605" width="1.5703125" style="262" bestFit="1" customWidth="1"/>
    <col min="14606" max="14606" width="0.28515625" style="262" bestFit="1" customWidth="1"/>
    <col min="14607" max="14607" width="4.7109375" style="262" bestFit="1" customWidth="1"/>
    <col min="14608" max="14848" width="9.140625" style="262"/>
    <col min="14849" max="14849" width="80.85546875" style="262" bestFit="1" customWidth="1"/>
    <col min="14850" max="14850" width="8.42578125" style="262" bestFit="1" customWidth="1"/>
    <col min="14851" max="14851" width="12.85546875" style="262" bestFit="1" customWidth="1"/>
    <col min="14852" max="14852" width="13.140625" style="262" bestFit="1" customWidth="1"/>
    <col min="14853" max="14855" width="12.28515625" style="262" bestFit="1" customWidth="1"/>
    <col min="14856" max="14856" width="10.140625" style="262" bestFit="1" customWidth="1"/>
    <col min="14857" max="14857" width="11" style="262" bestFit="1" customWidth="1"/>
    <col min="14858" max="14859" width="12.28515625" style="262" bestFit="1" customWidth="1"/>
    <col min="14860" max="14860" width="10" style="262" bestFit="1" customWidth="1"/>
    <col min="14861" max="14861" width="1.5703125" style="262" bestFit="1" customWidth="1"/>
    <col min="14862" max="14862" width="0.28515625" style="262" bestFit="1" customWidth="1"/>
    <col min="14863" max="14863" width="4.7109375" style="262" bestFit="1" customWidth="1"/>
    <col min="14864" max="15104" width="9.140625" style="262"/>
    <col min="15105" max="15105" width="80.85546875" style="262" bestFit="1" customWidth="1"/>
    <col min="15106" max="15106" width="8.42578125" style="262" bestFit="1" customWidth="1"/>
    <col min="15107" max="15107" width="12.85546875" style="262" bestFit="1" customWidth="1"/>
    <col min="15108" max="15108" width="13.140625" style="262" bestFit="1" customWidth="1"/>
    <col min="15109" max="15111" width="12.28515625" style="262" bestFit="1" customWidth="1"/>
    <col min="15112" max="15112" width="10.140625" style="262" bestFit="1" customWidth="1"/>
    <col min="15113" max="15113" width="11" style="262" bestFit="1" customWidth="1"/>
    <col min="15114" max="15115" width="12.28515625" style="262" bestFit="1" customWidth="1"/>
    <col min="15116" max="15116" width="10" style="262" bestFit="1" customWidth="1"/>
    <col min="15117" max="15117" width="1.5703125" style="262" bestFit="1" customWidth="1"/>
    <col min="15118" max="15118" width="0.28515625" style="262" bestFit="1" customWidth="1"/>
    <col min="15119" max="15119" width="4.7109375" style="262" bestFit="1" customWidth="1"/>
    <col min="15120" max="15360" width="9.140625" style="262"/>
    <col min="15361" max="15361" width="80.85546875" style="262" bestFit="1" customWidth="1"/>
    <col min="15362" max="15362" width="8.42578125" style="262" bestFit="1" customWidth="1"/>
    <col min="15363" max="15363" width="12.85546875" style="262" bestFit="1" customWidth="1"/>
    <col min="15364" max="15364" width="13.140625" style="262" bestFit="1" customWidth="1"/>
    <col min="15365" max="15367" width="12.28515625" style="262" bestFit="1" customWidth="1"/>
    <col min="15368" max="15368" width="10.140625" style="262" bestFit="1" customWidth="1"/>
    <col min="15369" max="15369" width="11" style="262" bestFit="1" customWidth="1"/>
    <col min="15370" max="15371" width="12.28515625" style="262" bestFit="1" customWidth="1"/>
    <col min="15372" max="15372" width="10" style="262" bestFit="1" customWidth="1"/>
    <col min="15373" max="15373" width="1.5703125" style="262" bestFit="1" customWidth="1"/>
    <col min="15374" max="15374" width="0.28515625" style="262" bestFit="1" customWidth="1"/>
    <col min="15375" max="15375" width="4.7109375" style="262" bestFit="1" customWidth="1"/>
    <col min="15376" max="15616" width="9.140625" style="262"/>
    <col min="15617" max="15617" width="80.85546875" style="262" bestFit="1" customWidth="1"/>
    <col min="15618" max="15618" width="8.42578125" style="262" bestFit="1" customWidth="1"/>
    <col min="15619" max="15619" width="12.85546875" style="262" bestFit="1" customWidth="1"/>
    <col min="15620" max="15620" width="13.140625" style="262" bestFit="1" customWidth="1"/>
    <col min="15621" max="15623" width="12.28515625" style="262" bestFit="1" customWidth="1"/>
    <col min="15624" max="15624" width="10.140625" style="262" bestFit="1" customWidth="1"/>
    <col min="15625" max="15625" width="11" style="262" bestFit="1" customWidth="1"/>
    <col min="15626" max="15627" width="12.28515625" style="262" bestFit="1" customWidth="1"/>
    <col min="15628" max="15628" width="10" style="262" bestFit="1" customWidth="1"/>
    <col min="15629" max="15629" width="1.5703125" style="262" bestFit="1" customWidth="1"/>
    <col min="15630" max="15630" width="0.28515625" style="262" bestFit="1" customWidth="1"/>
    <col min="15631" max="15631" width="4.7109375" style="262" bestFit="1" customWidth="1"/>
    <col min="15632" max="15872" width="9.140625" style="262"/>
    <col min="15873" max="15873" width="80.85546875" style="262" bestFit="1" customWidth="1"/>
    <col min="15874" max="15874" width="8.42578125" style="262" bestFit="1" customWidth="1"/>
    <col min="15875" max="15875" width="12.85546875" style="262" bestFit="1" customWidth="1"/>
    <col min="15876" max="15876" width="13.140625" style="262" bestFit="1" customWidth="1"/>
    <col min="15877" max="15879" width="12.28515625" style="262" bestFit="1" customWidth="1"/>
    <col min="15880" max="15880" width="10.140625" style="262" bestFit="1" customWidth="1"/>
    <col min="15881" max="15881" width="11" style="262" bestFit="1" customWidth="1"/>
    <col min="15882" max="15883" width="12.28515625" style="262" bestFit="1" customWidth="1"/>
    <col min="15884" max="15884" width="10" style="262" bestFit="1" customWidth="1"/>
    <col min="15885" max="15885" width="1.5703125" style="262" bestFit="1" customWidth="1"/>
    <col min="15886" max="15886" width="0.28515625" style="262" bestFit="1" customWidth="1"/>
    <col min="15887" max="15887" width="4.7109375" style="262" bestFit="1" customWidth="1"/>
    <col min="15888" max="16128" width="9.140625" style="262"/>
    <col min="16129" max="16129" width="80.85546875" style="262" bestFit="1" customWidth="1"/>
    <col min="16130" max="16130" width="8.42578125" style="262" bestFit="1" customWidth="1"/>
    <col min="16131" max="16131" width="12.85546875" style="262" bestFit="1" customWidth="1"/>
    <col min="16132" max="16132" width="13.140625" style="262" bestFit="1" customWidth="1"/>
    <col min="16133" max="16135" width="12.28515625" style="262" bestFit="1" customWidth="1"/>
    <col min="16136" max="16136" width="10.140625" style="262" bestFit="1" customWidth="1"/>
    <col min="16137" max="16137" width="11" style="262" bestFit="1" customWidth="1"/>
    <col min="16138" max="16139" width="12.28515625" style="262" bestFit="1" customWidth="1"/>
    <col min="16140" max="16140" width="10" style="262" bestFit="1" customWidth="1"/>
    <col min="16141" max="16141" width="1.5703125" style="262" bestFit="1" customWidth="1"/>
    <col min="16142" max="16142" width="0.28515625" style="262" bestFit="1" customWidth="1"/>
    <col min="16143" max="16143" width="4.7109375" style="262" bestFit="1" customWidth="1"/>
    <col min="16144" max="16384" width="9.140625" style="262"/>
  </cols>
  <sheetData>
    <row r="1" spans="1:14" ht="15.75" customHeight="1" x14ac:dyDescent="0.2">
      <c r="A1" s="342" t="s">
        <v>714</v>
      </c>
    </row>
    <row r="2" spans="1:14" s="265" customFormat="1" ht="18.75" customHeight="1" x14ac:dyDescent="0.2">
      <c r="A2" s="469" t="s">
        <v>715</v>
      </c>
      <c r="B2" s="469" t="s">
        <v>716</v>
      </c>
      <c r="C2" s="386" t="s">
        <v>717</v>
      </c>
      <c r="D2" s="445"/>
      <c r="E2" s="445"/>
      <c r="F2" s="445"/>
      <c r="G2" s="445"/>
      <c r="H2" s="386" t="s">
        <v>718</v>
      </c>
      <c r="I2" s="445"/>
      <c r="J2" s="445"/>
      <c r="K2" s="445"/>
      <c r="L2" s="445"/>
      <c r="M2" s="387"/>
      <c r="N2" s="343"/>
    </row>
    <row r="3" spans="1:14" s="265" customFormat="1" ht="37.5" customHeight="1" x14ac:dyDescent="0.2">
      <c r="A3" s="470"/>
      <c r="B3" s="470"/>
      <c r="C3" s="293" t="s">
        <v>167</v>
      </c>
      <c r="D3" s="293" t="s">
        <v>166</v>
      </c>
      <c r="E3" s="293" t="s">
        <v>719</v>
      </c>
      <c r="F3" s="304" t="s">
        <v>720</v>
      </c>
      <c r="G3" s="304" t="s">
        <v>721</v>
      </c>
      <c r="H3" s="293" t="s">
        <v>167</v>
      </c>
      <c r="I3" s="293" t="s">
        <v>166</v>
      </c>
      <c r="J3" s="293" t="s">
        <v>719</v>
      </c>
      <c r="K3" s="304" t="s">
        <v>720</v>
      </c>
      <c r="L3" s="405" t="s">
        <v>721</v>
      </c>
      <c r="M3" s="407"/>
      <c r="N3" s="344"/>
    </row>
    <row r="4" spans="1:14" s="265" customFormat="1" ht="18" customHeight="1" x14ac:dyDescent="0.2">
      <c r="A4" s="345" t="s">
        <v>722</v>
      </c>
      <c r="B4" s="346" t="s">
        <v>723</v>
      </c>
      <c r="C4" s="267">
        <v>6150</v>
      </c>
      <c r="D4" s="267">
        <v>6136</v>
      </c>
      <c r="E4" s="267">
        <v>5916</v>
      </c>
      <c r="F4" s="347">
        <v>3.9553752539999998</v>
      </c>
      <c r="G4" s="347">
        <v>0.22816166900000001</v>
      </c>
      <c r="H4" s="267">
        <v>6407</v>
      </c>
      <c r="I4" s="267">
        <v>6901</v>
      </c>
      <c r="J4" s="267">
        <v>6748</v>
      </c>
      <c r="K4" s="347">
        <v>-5.05</v>
      </c>
      <c r="L4" s="467">
        <v>-7.16</v>
      </c>
      <c r="M4" s="468"/>
      <c r="N4" s="348" t="s">
        <v>722</v>
      </c>
    </row>
    <row r="5" spans="1:14" s="265" customFormat="1" ht="18" customHeight="1" x14ac:dyDescent="0.2">
      <c r="A5" s="345" t="s">
        <v>724</v>
      </c>
      <c r="B5" s="346" t="s">
        <v>723</v>
      </c>
      <c r="C5" s="267">
        <v>277</v>
      </c>
      <c r="D5" s="267">
        <v>277</v>
      </c>
      <c r="E5" s="267">
        <v>276</v>
      </c>
      <c r="F5" s="347">
        <v>0.362318841</v>
      </c>
      <c r="G5" s="347">
        <v>0</v>
      </c>
      <c r="H5" s="267">
        <v>597</v>
      </c>
      <c r="I5" s="267">
        <v>599</v>
      </c>
      <c r="J5" s="267">
        <v>593</v>
      </c>
      <c r="K5" s="347">
        <v>0.67</v>
      </c>
      <c r="L5" s="467">
        <v>-0.33</v>
      </c>
      <c r="M5" s="468"/>
      <c r="N5" s="348" t="s">
        <v>724</v>
      </c>
    </row>
    <row r="6" spans="1:14" s="265" customFormat="1" ht="18" customHeight="1" x14ac:dyDescent="0.2">
      <c r="A6" s="345" t="s">
        <v>725</v>
      </c>
      <c r="B6" s="346" t="s">
        <v>723</v>
      </c>
      <c r="C6" s="267">
        <v>3</v>
      </c>
      <c r="D6" s="267">
        <v>3</v>
      </c>
      <c r="E6" s="267">
        <v>3</v>
      </c>
      <c r="F6" s="347">
        <v>0</v>
      </c>
      <c r="G6" s="347">
        <v>0</v>
      </c>
      <c r="H6" s="267">
        <v>3</v>
      </c>
      <c r="I6" s="267">
        <v>3</v>
      </c>
      <c r="J6" s="267">
        <v>3</v>
      </c>
      <c r="K6" s="347">
        <v>0</v>
      </c>
      <c r="L6" s="467">
        <v>0</v>
      </c>
      <c r="M6" s="468"/>
      <c r="N6" s="348" t="s">
        <v>725</v>
      </c>
    </row>
    <row r="7" spans="1:14" s="265" customFormat="1" ht="18" customHeight="1" x14ac:dyDescent="0.2">
      <c r="A7" s="345" t="s">
        <v>726</v>
      </c>
      <c r="B7" s="346" t="s">
        <v>727</v>
      </c>
      <c r="C7" s="267">
        <v>185.22417999999999</v>
      </c>
      <c r="D7" s="267">
        <v>184.08647999999999</v>
      </c>
      <c r="E7" s="267">
        <v>170.92549</v>
      </c>
      <c r="F7" s="347">
        <v>8.3654521039999992</v>
      </c>
      <c r="G7" s="347">
        <v>0.61802474600000001</v>
      </c>
      <c r="H7" s="267">
        <v>173.86</v>
      </c>
      <c r="I7" s="267">
        <v>171.67</v>
      </c>
      <c r="J7" s="267">
        <v>148.4</v>
      </c>
      <c r="K7" s="347">
        <v>17.16</v>
      </c>
      <c r="L7" s="467">
        <v>1.28</v>
      </c>
      <c r="M7" s="468"/>
      <c r="N7" s="348" t="s">
        <v>726</v>
      </c>
    </row>
    <row r="8" spans="1:14" s="265" customFormat="1" ht="18" customHeight="1" x14ac:dyDescent="0.2">
      <c r="A8" s="345" t="s">
        <v>728</v>
      </c>
      <c r="B8" s="346" t="s">
        <v>729</v>
      </c>
      <c r="C8" s="267">
        <v>53156.455825999998</v>
      </c>
      <c r="D8" s="267">
        <v>52810.217303999998</v>
      </c>
      <c r="E8" s="267">
        <v>49812.2759363</v>
      </c>
      <c r="F8" s="347">
        <v>6.7135657359999996</v>
      </c>
      <c r="G8" s="347">
        <v>0.65562790599999998</v>
      </c>
      <c r="H8" s="267">
        <v>17660.03</v>
      </c>
      <c r="I8" s="267">
        <v>17887.55</v>
      </c>
      <c r="J8" s="267">
        <v>14774.72</v>
      </c>
      <c r="K8" s="347">
        <v>19.53</v>
      </c>
      <c r="L8" s="467">
        <v>-1.27</v>
      </c>
      <c r="M8" s="468"/>
      <c r="N8" s="348" t="s">
        <v>728</v>
      </c>
    </row>
    <row r="9" spans="1:14" s="265" customFormat="1" ht="18" customHeight="1" x14ac:dyDescent="0.2">
      <c r="A9" s="345" t="s">
        <v>730</v>
      </c>
      <c r="B9" s="346" t="s">
        <v>729</v>
      </c>
      <c r="C9" s="305">
        <v>13113009.9838295</v>
      </c>
      <c r="D9" s="305">
        <v>12236295.1927469</v>
      </c>
      <c r="E9" s="305">
        <v>12269186.777790699</v>
      </c>
      <c r="F9" s="347">
        <v>6.8775805710000002</v>
      </c>
      <c r="G9" s="347">
        <v>7.164871207</v>
      </c>
      <c r="H9" s="303">
        <v>1757785.2</v>
      </c>
      <c r="I9" s="303">
        <v>1604712.98</v>
      </c>
      <c r="J9" s="303">
        <v>1730199.53</v>
      </c>
      <c r="K9" s="347">
        <v>1.59</v>
      </c>
      <c r="L9" s="467">
        <v>9.5399999999999991</v>
      </c>
      <c r="M9" s="468"/>
      <c r="N9" s="348" t="s">
        <v>730</v>
      </c>
    </row>
    <row r="10" spans="1:14" s="265" customFormat="1" ht="18" customHeight="1" x14ac:dyDescent="0.2">
      <c r="A10" s="345" t="s">
        <v>731</v>
      </c>
      <c r="B10" s="346" t="s">
        <v>729</v>
      </c>
      <c r="C10" s="267">
        <v>57208.252380090998</v>
      </c>
      <c r="D10" s="267">
        <v>56762.077402335999</v>
      </c>
      <c r="E10" s="267">
        <v>53163.148452925998</v>
      </c>
      <c r="F10" s="347">
        <v>7.6088494469999999</v>
      </c>
      <c r="G10" s="347">
        <v>0.78604412999999995</v>
      </c>
      <c r="H10" s="267">
        <v>19301.259999999998</v>
      </c>
      <c r="I10" s="267">
        <v>19437.13</v>
      </c>
      <c r="J10" s="267">
        <v>15927.85</v>
      </c>
      <c r="K10" s="347">
        <v>21.18</v>
      </c>
      <c r="L10" s="467">
        <v>-0.7</v>
      </c>
      <c r="M10" s="468"/>
      <c r="N10" s="348" t="s">
        <v>731</v>
      </c>
    </row>
    <row r="11" spans="1:14" s="265" customFormat="1" ht="18" customHeight="1" x14ac:dyDescent="0.2">
      <c r="A11" s="345" t="s">
        <v>732</v>
      </c>
      <c r="B11" s="346" t="s">
        <v>729</v>
      </c>
      <c r="C11" s="305">
        <v>15895015.5500302</v>
      </c>
      <c r="D11" s="305">
        <v>14942504.164913701</v>
      </c>
      <c r="E11" s="305">
        <v>14825534.1711904</v>
      </c>
      <c r="F11" s="347">
        <v>7.2137797299999997</v>
      </c>
      <c r="G11" s="347">
        <v>6.3745097519999998</v>
      </c>
      <c r="H11" s="303">
        <v>1882388.23</v>
      </c>
      <c r="I11" s="303">
        <v>1722144.77</v>
      </c>
      <c r="J11" s="303">
        <v>1824357.8</v>
      </c>
      <c r="K11" s="347">
        <v>3.18</v>
      </c>
      <c r="L11" s="467">
        <v>9.3000000000000007</v>
      </c>
      <c r="M11" s="468"/>
      <c r="N11" s="348" t="s">
        <v>732</v>
      </c>
    </row>
    <row r="12" spans="1:14" s="265" customFormat="1" ht="18" customHeight="1" x14ac:dyDescent="0.2">
      <c r="A12" s="345" t="s">
        <v>733</v>
      </c>
      <c r="B12" s="346" t="s">
        <v>729</v>
      </c>
      <c r="C12" s="267">
        <v>1183.8019534</v>
      </c>
      <c r="D12" s="267">
        <v>1093.9460263000001</v>
      </c>
      <c r="E12" s="267">
        <v>1020.2991233</v>
      </c>
      <c r="F12" s="347">
        <v>16.024989767000001</v>
      </c>
      <c r="G12" s="347">
        <v>8.2139269160000001</v>
      </c>
      <c r="H12" s="267">
        <v>669.37</v>
      </c>
      <c r="I12" s="267">
        <v>550.04999999999995</v>
      </c>
      <c r="J12" s="267">
        <v>733.39</v>
      </c>
      <c r="K12" s="347">
        <v>-8.73</v>
      </c>
      <c r="L12" s="467">
        <v>21.69</v>
      </c>
      <c r="M12" s="468"/>
      <c r="N12" s="348" t="s">
        <v>733</v>
      </c>
    </row>
    <row r="13" spans="1:14" s="265" customFormat="1" ht="18" customHeight="1" x14ac:dyDescent="0.2">
      <c r="A13" s="345" t="s">
        <v>734</v>
      </c>
      <c r="B13" s="346" t="s">
        <v>729</v>
      </c>
      <c r="C13" s="267">
        <v>62.305365967999997</v>
      </c>
      <c r="D13" s="267">
        <v>57.576106647000003</v>
      </c>
      <c r="E13" s="267">
        <v>53.699953858000001</v>
      </c>
      <c r="F13" s="347">
        <v>16.024989767000001</v>
      </c>
      <c r="G13" s="347">
        <v>8.2139269160000001</v>
      </c>
      <c r="H13" s="267">
        <v>21.59</v>
      </c>
      <c r="I13" s="267">
        <v>19.64</v>
      </c>
      <c r="J13" s="267">
        <v>23.66</v>
      </c>
      <c r="K13" s="347">
        <v>-8.73</v>
      </c>
      <c r="L13" s="467">
        <v>9.92</v>
      </c>
      <c r="M13" s="468"/>
      <c r="N13" s="348" t="s">
        <v>734</v>
      </c>
    </row>
    <row r="14" spans="1:14" s="265" customFormat="1" ht="18" customHeight="1" x14ac:dyDescent="0.2">
      <c r="A14" s="345" t="s">
        <v>735</v>
      </c>
      <c r="B14" s="346" t="s">
        <v>729</v>
      </c>
      <c r="C14" s="303">
        <v>298773.52908228</v>
      </c>
      <c r="D14" s="303">
        <v>289333.78699701402</v>
      </c>
      <c r="E14" s="303">
        <v>269658.87521664199</v>
      </c>
      <c r="F14" s="347">
        <v>10.796846142</v>
      </c>
      <c r="G14" s="347">
        <v>3.2625785540000001</v>
      </c>
      <c r="H14" s="267">
        <v>67847.91</v>
      </c>
      <c r="I14" s="267">
        <v>51785.91</v>
      </c>
      <c r="J14" s="267">
        <v>63122.54</v>
      </c>
      <c r="K14" s="347">
        <v>7.49</v>
      </c>
      <c r="L14" s="467">
        <v>31.02</v>
      </c>
      <c r="M14" s="468"/>
      <c r="N14" s="348" t="s">
        <v>735</v>
      </c>
    </row>
    <row r="15" spans="1:14" s="265" customFormat="1" ht="18" customHeight="1" x14ac:dyDescent="0.2">
      <c r="A15" s="345" t="s">
        <v>736</v>
      </c>
      <c r="B15" s="346" t="s">
        <v>729</v>
      </c>
      <c r="C15" s="267">
        <v>15724.922583277999</v>
      </c>
      <c r="D15" s="267">
        <v>15228.094052474</v>
      </c>
      <c r="E15" s="267">
        <v>14192.572379822999</v>
      </c>
      <c r="F15" s="347">
        <v>10.796846142</v>
      </c>
      <c r="G15" s="347">
        <v>3.2625785540000001</v>
      </c>
      <c r="H15" s="267">
        <v>2188.64</v>
      </c>
      <c r="I15" s="267">
        <v>1849.5</v>
      </c>
      <c r="J15" s="267">
        <v>2036.21</v>
      </c>
      <c r="K15" s="347">
        <v>7.49</v>
      </c>
      <c r="L15" s="467">
        <v>18.34</v>
      </c>
      <c r="M15" s="468"/>
      <c r="N15" s="348" t="s">
        <v>736</v>
      </c>
    </row>
    <row r="16" spans="1:14" s="265" customFormat="1" ht="18" customHeight="1" x14ac:dyDescent="0.2">
      <c r="A16" s="345" t="s">
        <v>737</v>
      </c>
      <c r="B16" s="346" t="s">
        <v>723</v>
      </c>
      <c r="C16" s="267">
        <v>8</v>
      </c>
      <c r="D16" s="267">
        <v>9</v>
      </c>
      <c r="E16" s="267">
        <v>9</v>
      </c>
      <c r="F16" s="347">
        <v>-11.111111111</v>
      </c>
      <c r="G16" s="347">
        <v>-11.111111111</v>
      </c>
      <c r="H16" s="267">
        <v>85</v>
      </c>
      <c r="I16" s="267">
        <v>799</v>
      </c>
      <c r="J16" s="267">
        <v>89</v>
      </c>
      <c r="K16" s="347">
        <v>-4.49</v>
      </c>
      <c r="L16" s="467">
        <v>-89.36</v>
      </c>
      <c r="M16" s="468"/>
      <c r="N16" s="348" t="s">
        <v>737</v>
      </c>
    </row>
    <row r="17" spans="1:14" s="265" customFormat="1" ht="18" customHeight="1" x14ac:dyDescent="0.2">
      <c r="A17" s="345" t="s">
        <v>738</v>
      </c>
      <c r="B17" s="346" t="s">
        <v>739</v>
      </c>
      <c r="C17" s="267">
        <v>86.575851955999994</v>
      </c>
      <c r="D17" s="267">
        <v>87.142635018999997</v>
      </c>
      <c r="E17" s="267">
        <v>86.667008463000002</v>
      </c>
      <c r="F17" s="347">
        <v>-0.10518017</v>
      </c>
      <c r="G17" s="347">
        <v>-0.65040845199999997</v>
      </c>
      <c r="H17" s="267">
        <v>11.57</v>
      </c>
      <c r="I17" s="267">
        <v>11.4</v>
      </c>
      <c r="J17" s="267">
        <v>21.97</v>
      </c>
      <c r="K17" s="347">
        <v>-47.34</v>
      </c>
      <c r="L17" s="467">
        <v>1.49</v>
      </c>
      <c r="M17" s="468"/>
      <c r="N17" s="349" t="s">
        <v>740</v>
      </c>
    </row>
    <row r="18" spans="1:14" s="265" customFormat="1" ht="24.75" customHeight="1" x14ac:dyDescent="0.2">
      <c r="A18" s="374" t="s">
        <v>741</v>
      </c>
      <c r="B18" s="374"/>
      <c r="C18" s="374"/>
      <c r="D18" s="374"/>
      <c r="E18" s="374"/>
      <c r="F18" s="374"/>
      <c r="G18" s="374"/>
      <c r="H18" s="374"/>
      <c r="I18" s="374"/>
      <c r="J18" s="374"/>
      <c r="K18" s="374"/>
      <c r="L18" s="374"/>
    </row>
    <row r="19" spans="1:14" s="265" customFormat="1" ht="13.5" customHeight="1" x14ac:dyDescent="0.2">
      <c r="A19" s="373" t="s">
        <v>742</v>
      </c>
      <c r="B19" s="373"/>
      <c r="C19" s="373"/>
      <c r="D19" s="373"/>
      <c r="E19" s="373"/>
      <c r="F19" s="373"/>
      <c r="G19" s="373"/>
      <c r="H19" s="373"/>
      <c r="I19" s="373"/>
      <c r="J19" s="373"/>
      <c r="K19" s="373"/>
      <c r="L19" s="373"/>
    </row>
    <row r="20" spans="1:14" s="265" customFormat="1" ht="28.35" customHeight="1" x14ac:dyDescent="0.2"/>
  </sheetData>
  <mergeCells count="21">
    <mergeCell ref="L10:M10"/>
    <mergeCell ref="A2:A3"/>
    <mergeCell ref="B2:B3"/>
    <mergeCell ref="C2:G2"/>
    <mergeCell ref="H2:M2"/>
    <mergeCell ref="L3:M3"/>
    <mergeCell ref="L4:M4"/>
    <mergeCell ref="L5:M5"/>
    <mergeCell ref="L6:M6"/>
    <mergeCell ref="L7:M7"/>
    <mergeCell ref="L8:M8"/>
    <mergeCell ref="L9:M9"/>
    <mergeCell ref="L17:M17"/>
    <mergeCell ref="A18:L18"/>
    <mergeCell ref="A19:L19"/>
    <mergeCell ref="L11:M11"/>
    <mergeCell ref="L12:M12"/>
    <mergeCell ref="L13:M13"/>
    <mergeCell ref="L14:M14"/>
    <mergeCell ref="L15:M15"/>
    <mergeCell ref="L16:M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pageSetUpPr fitToPage="1"/>
  </sheetPr>
  <dimension ref="A1:K21"/>
  <sheetViews>
    <sheetView workbookViewId="0">
      <selection sqref="A1:J1"/>
    </sheetView>
  </sheetViews>
  <sheetFormatPr defaultRowHeight="12.75" x14ac:dyDescent="0.2"/>
  <cols>
    <col min="1" max="5" width="14.7109375" style="262" bestFit="1" customWidth="1"/>
    <col min="6" max="6" width="14.140625" style="262" bestFit="1" customWidth="1"/>
    <col min="7" max="9" width="14.7109375" style="262" bestFit="1" customWidth="1"/>
    <col min="10" max="10" width="9.85546875" style="262" bestFit="1" customWidth="1"/>
    <col min="11" max="11" width="19.5703125" style="262" bestFit="1" customWidth="1"/>
    <col min="12" max="12" width="4.7109375" style="262" bestFit="1" customWidth="1"/>
    <col min="13" max="256" width="9.140625" style="262"/>
    <col min="257" max="261" width="14.7109375" style="262" bestFit="1" customWidth="1"/>
    <col min="262" max="262" width="14.140625" style="262" bestFit="1" customWidth="1"/>
    <col min="263" max="265" width="14.7109375" style="262" bestFit="1" customWidth="1"/>
    <col min="266" max="266" width="9.85546875" style="262" bestFit="1" customWidth="1"/>
    <col min="267" max="267" width="19.5703125" style="262" bestFit="1" customWidth="1"/>
    <col min="268" max="268" width="4.7109375" style="262" bestFit="1" customWidth="1"/>
    <col min="269" max="512" width="9.140625" style="262"/>
    <col min="513" max="517" width="14.7109375" style="262" bestFit="1" customWidth="1"/>
    <col min="518" max="518" width="14.140625" style="262" bestFit="1" customWidth="1"/>
    <col min="519" max="521" width="14.7109375" style="262" bestFit="1" customWidth="1"/>
    <col min="522" max="522" width="9.85546875" style="262" bestFit="1" customWidth="1"/>
    <col min="523" max="523" width="19.5703125" style="262" bestFit="1" customWidth="1"/>
    <col min="524" max="524" width="4.7109375" style="262" bestFit="1" customWidth="1"/>
    <col min="525" max="768" width="9.140625" style="262"/>
    <col min="769" max="773" width="14.7109375" style="262" bestFit="1" customWidth="1"/>
    <col min="774" max="774" width="14.140625" style="262" bestFit="1" customWidth="1"/>
    <col min="775" max="777" width="14.7109375" style="262" bestFit="1" customWidth="1"/>
    <col min="778" max="778" width="9.85546875" style="262" bestFit="1" customWidth="1"/>
    <col min="779" max="779" width="19.5703125" style="262" bestFit="1" customWidth="1"/>
    <col min="780" max="780" width="4.7109375" style="262" bestFit="1" customWidth="1"/>
    <col min="781" max="1024" width="9.140625" style="262"/>
    <col min="1025" max="1029" width="14.7109375" style="262" bestFit="1" customWidth="1"/>
    <col min="1030" max="1030" width="14.140625" style="262" bestFit="1" customWidth="1"/>
    <col min="1031" max="1033" width="14.7109375" style="262" bestFit="1" customWidth="1"/>
    <col min="1034" max="1034" width="9.85546875" style="262" bestFit="1" customWidth="1"/>
    <col min="1035" max="1035" width="19.5703125" style="262" bestFit="1" customWidth="1"/>
    <col min="1036" max="1036" width="4.7109375" style="262" bestFit="1" customWidth="1"/>
    <col min="1037" max="1280" width="9.140625" style="262"/>
    <col min="1281" max="1285" width="14.7109375" style="262" bestFit="1" customWidth="1"/>
    <col min="1286" max="1286" width="14.140625" style="262" bestFit="1" customWidth="1"/>
    <col min="1287" max="1289" width="14.7109375" style="262" bestFit="1" customWidth="1"/>
    <col min="1290" max="1290" width="9.85546875" style="262" bestFit="1" customWidth="1"/>
    <col min="1291" max="1291" width="19.5703125" style="262" bestFit="1" customWidth="1"/>
    <col min="1292" max="1292" width="4.7109375" style="262" bestFit="1" customWidth="1"/>
    <col min="1293" max="1536" width="9.140625" style="262"/>
    <col min="1537" max="1541" width="14.7109375" style="262" bestFit="1" customWidth="1"/>
    <col min="1542" max="1542" width="14.140625" style="262" bestFit="1" customWidth="1"/>
    <col min="1543" max="1545" width="14.7109375" style="262" bestFit="1" customWidth="1"/>
    <col min="1546" max="1546" width="9.85546875" style="262" bestFit="1" customWidth="1"/>
    <col min="1547" max="1547" width="19.5703125" style="262" bestFit="1" customWidth="1"/>
    <col min="1548" max="1548" width="4.7109375" style="262" bestFit="1" customWidth="1"/>
    <col min="1549" max="1792" width="9.140625" style="262"/>
    <col min="1793" max="1797" width="14.7109375" style="262" bestFit="1" customWidth="1"/>
    <col min="1798" max="1798" width="14.140625" style="262" bestFit="1" customWidth="1"/>
    <col min="1799" max="1801" width="14.7109375" style="262" bestFit="1" customWidth="1"/>
    <col min="1802" max="1802" width="9.85546875" style="262" bestFit="1" customWidth="1"/>
    <col min="1803" max="1803" width="19.5703125" style="262" bestFit="1" customWidth="1"/>
    <col min="1804" max="1804" width="4.7109375" style="262" bestFit="1" customWidth="1"/>
    <col min="1805" max="2048" width="9.140625" style="262"/>
    <col min="2049" max="2053" width="14.7109375" style="262" bestFit="1" customWidth="1"/>
    <col min="2054" max="2054" width="14.140625" style="262" bestFit="1" customWidth="1"/>
    <col min="2055" max="2057" width="14.7109375" style="262" bestFit="1" customWidth="1"/>
    <col min="2058" max="2058" width="9.85546875" style="262" bestFit="1" customWidth="1"/>
    <col min="2059" max="2059" width="19.5703125" style="262" bestFit="1" customWidth="1"/>
    <col min="2060" max="2060" width="4.7109375" style="262" bestFit="1" customWidth="1"/>
    <col min="2061" max="2304" width="9.140625" style="262"/>
    <col min="2305" max="2309" width="14.7109375" style="262" bestFit="1" customWidth="1"/>
    <col min="2310" max="2310" width="14.140625" style="262" bestFit="1" customWidth="1"/>
    <col min="2311" max="2313" width="14.7109375" style="262" bestFit="1" customWidth="1"/>
    <col min="2314" max="2314" width="9.85546875" style="262" bestFit="1" customWidth="1"/>
    <col min="2315" max="2315" width="19.5703125" style="262" bestFit="1" customWidth="1"/>
    <col min="2316" max="2316" width="4.7109375" style="262" bestFit="1" customWidth="1"/>
    <col min="2317" max="2560" width="9.140625" style="262"/>
    <col min="2561" max="2565" width="14.7109375" style="262" bestFit="1" customWidth="1"/>
    <col min="2566" max="2566" width="14.140625" style="262" bestFit="1" customWidth="1"/>
    <col min="2567" max="2569" width="14.7109375" style="262" bestFit="1" customWidth="1"/>
    <col min="2570" max="2570" width="9.85546875" style="262" bestFit="1" customWidth="1"/>
    <col min="2571" max="2571" width="19.5703125" style="262" bestFit="1" customWidth="1"/>
    <col min="2572" max="2572" width="4.7109375" style="262" bestFit="1" customWidth="1"/>
    <col min="2573" max="2816" width="9.140625" style="262"/>
    <col min="2817" max="2821" width="14.7109375" style="262" bestFit="1" customWidth="1"/>
    <col min="2822" max="2822" width="14.140625" style="262" bestFit="1" customWidth="1"/>
    <col min="2823" max="2825" width="14.7109375" style="262" bestFit="1" customWidth="1"/>
    <col min="2826" max="2826" width="9.85546875" style="262" bestFit="1" customWidth="1"/>
    <col min="2827" max="2827" width="19.5703125" style="262" bestFit="1" customWidth="1"/>
    <col min="2828" max="2828" width="4.7109375" style="262" bestFit="1" customWidth="1"/>
    <col min="2829" max="3072" width="9.140625" style="262"/>
    <col min="3073" max="3077" width="14.7109375" style="262" bestFit="1" customWidth="1"/>
    <col min="3078" max="3078" width="14.140625" style="262" bestFit="1" customWidth="1"/>
    <col min="3079" max="3081" width="14.7109375" style="262" bestFit="1" customWidth="1"/>
    <col min="3082" max="3082" width="9.85546875" style="262" bestFit="1" customWidth="1"/>
    <col min="3083" max="3083" width="19.5703125" style="262" bestFit="1" customWidth="1"/>
    <col min="3084" max="3084" width="4.7109375" style="262" bestFit="1" customWidth="1"/>
    <col min="3085" max="3328" width="9.140625" style="262"/>
    <col min="3329" max="3333" width="14.7109375" style="262" bestFit="1" customWidth="1"/>
    <col min="3334" max="3334" width="14.140625" style="262" bestFit="1" customWidth="1"/>
    <col min="3335" max="3337" width="14.7109375" style="262" bestFit="1" customWidth="1"/>
    <col min="3338" max="3338" width="9.85546875" style="262" bestFit="1" customWidth="1"/>
    <col min="3339" max="3339" width="19.5703125" style="262" bestFit="1" customWidth="1"/>
    <col min="3340" max="3340" width="4.7109375" style="262" bestFit="1" customWidth="1"/>
    <col min="3341" max="3584" width="9.140625" style="262"/>
    <col min="3585" max="3589" width="14.7109375" style="262" bestFit="1" customWidth="1"/>
    <col min="3590" max="3590" width="14.140625" style="262" bestFit="1" customWidth="1"/>
    <col min="3591" max="3593" width="14.7109375" style="262" bestFit="1" customWidth="1"/>
    <col min="3594" max="3594" width="9.85546875" style="262" bestFit="1" customWidth="1"/>
    <col min="3595" max="3595" width="19.5703125" style="262" bestFit="1" customWidth="1"/>
    <col min="3596" max="3596" width="4.7109375" style="262" bestFit="1" customWidth="1"/>
    <col min="3597" max="3840" width="9.140625" style="262"/>
    <col min="3841" max="3845" width="14.7109375" style="262" bestFit="1" customWidth="1"/>
    <col min="3846" max="3846" width="14.140625" style="262" bestFit="1" customWidth="1"/>
    <col min="3847" max="3849" width="14.7109375" style="262" bestFit="1" customWidth="1"/>
    <col min="3850" max="3850" width="9.85546875" style="262" bestFit="1" customWidth="1"/>
    <col min="3851" max="3851" width="19.5703125" style="262" bestFit="1" customWidth="1"/>
    <col min="3852" max="3852" width="4.7109375" style="262" bestFit="1" customWidth="1"/>
    <col min="3853" max="4096" width="9.140625" style="262"/>
    <col min="4097" max="4101" width="14.7109375" style="262" bestFit="1" customWidth="1"/>
    <col min="4102" max="4102" width="14.140625" style="262" bestFit="1" customWidth="1"/>
    <col min="4103" max="4105" width="14.7109375" style="262" bestFit="1" customWidth="1"/>
    <col min="4106" max="4106" width="9.85546875" style="262" bestFit="1" customWidth="1"/>
    <col min="4107" max="4107" width="19.5703125" style="262" bestFit="1" customWidth="1"/>
    <col min="4108" max="4108" width="4.7109375" style="262" bestFit="1" customWidth="1"/>
    <col min="4109" max="4352" width="9.140625" style="262"/>
    <col min="4353" max="4357" width="14.7109375" style="262" bestFit="1" customWidth="1"/>
    <col min="4358" max="4358" width="14.140625" style="262" bestFit="1" customWidth="1"/>
    <col min="4359" max="4361" width="14.7109375" style="262" bestFit="1" customWidth="1"/>
    <col min="4362" max="4362" width="9.85546875" style="262" bestFit="1" customWidth="1"/>
    <col min="4363" max="4363" width="19.5703125" style="262" bestFit="1" customWidth="1"/>
    <col min="4364" max="4364" width="4.7109375" style="262" bestFit="1" customWidth="1"/>
    <col min="4365" max="4608" width="9.140625" style="262"/>
    <col min="4609" max="4613" width="14.7109375" style="262" bestFit="1" customWidth="1"/>
    <col min="4614" max="4614" width="14.140625" style="262" bestFit="1" customWidth="1"/>
    <col min="4615" max="4617" width="14.7109375" style="262" bestFit="1" customWidth="1"/>
    <col min="4618" max="4618" width="9.85546875" style="262" bestFit="1" customWidth="1"/>
    <col min="4619" max="4619" width="19.5703125" style="262" bestFit="1" customWidth="1"/>
    <col min="4620" max="4620" width="4.7109375" style="262" bestFit="1" customWidth="1"/>
    <col min="4621" max="4864" width="9.140625" style="262"/>
    <col min="4865" max="4869" width="14.7109375" style="262" bestFit="1" customWidth="1"/>
    <col min="4870" max="4870" width="14.140625" style="262" bestFit="1" customWidth="1"/>
    <col min="4871" max="4873" width="14.7109375" style="262" bestFit="1" customWidth="1"/>
    <col min="4874" max="4874" width="9.85546875" style="262" bestFit="1" customWidth="1"/>
    <col min="4875" max="4875" width="19.5703125" style="262" bestFit="1" customWidth="1"/>
    <col min="4876" max="4876" width="4.7109375" style="262" bestFit="1" customWidth="1"/>
    <col min="4877" max="5120" width="9.140625" style="262"/>
    <col min="5121" max="5125" width="14.7109375" style="262" bestFit="1" customWidth="1"/>
    <col min="5126" max="5126" width="14.140625" style="262" bestFit="1" customWidth="1"/>
    <col min="5127" max="5129" width="14.7109375" style="262" bestFit="1" customWidth="1"/>
    <col min="5130" max="5130" width="9.85546875" style="262" bestFit="1" customWidth="1"/>
    <col min="5131" max="5131" width="19.5703125" style="262" bestFit="1" customWidth="1"/>
    <col min="5132" max="5132" width="4.7109375" style="262" bestFit="1" customWidth="1"/>
    <col min="5133" max="5376" width="9.140625" style="262"/>
    <col min="5377" max="5381" width="14.7109375" style="262" bestFit="1" customWidth="1"/>
    <col min="5382" max="5382" width="14.140625" style="262" bestFit="1" customWidth="1"/>
    <col min="5383" max="5385" width="14.7109375" style="262" bestFit="1" customWidth="1"/>
    <col min="5386" max="5386" width="9.85546875" style="262" bestFit="1" customWidth="1"/>
    <col min="5387" max="5387" width="19.5703125" style="262" bestFit="1" customWidth="1"/>
    <col min="5388" max="5388" width="4.7109375" style="262" bestFit="1" customWidth="1"/>
    <col min="5389" max="5632" width="9.140625" style="262"/>
    <col min="5633" max="5637" width="14.7109375" style="262" bestFit="1" customWidth="1"/>
    <col min="5638" max="5638" width="14.140625" style="262" bestFit="1" customWidth="1"/>
    <col min="5639" max="5641" width="14.7109375" style="262" bestFit="1" customWidth="1"/>
    <col min="5642" max="5642" width="9.85546875" style="262" bestFit="1" customWidth="1"/>
    <col min="5643" max="5643" width="19.5703125" style="262" bestFit="1" customWidth="1"/>
    <col min="5644" max="5644" width="4.7109375" style="262" bestFit="1" customWidth="1"/>
    <col min="5645" max="5888" width="9.140625" style="262"/>
    <col min="5889" max="5893" width="14.7109375" style="262" bestFit="1" customWidth="1"/>
    <col min="5894" max="5894" width="14.140625" style="262" bestFit="1" customWidth="1"/>
    <col min="5895" max="5897" width="14.7109375" style="262" bestFit="1" customWidth="1"/>
    <col min="5898" max="5898" width="9.85546875" style="262" bestFit="1" customWidth="1"/>
    <col min="5899" max="5899" width="19.5703125" style="262" bestFit="1" customWidth="1"/>
    <col min="5900" max="5900" width="4.7109375" style="262" bestFit="1" customWidth="1"/>
    <col min="5901" max="6144" width="9.140625" style="262"/>
    <col min="6145" max="6149" width="14.7109375" style="262" bestFit="1" customWidth="1"/>
    <col min="6150" max="6150" width="14.140625" style="262" bestFit="1" customWidth="1"/>
    <col min="6151" max="6153" width="14.7109375" style="262" bestFit="1" customWidth="1"/>
    <col min="6154" max="6154" width="9.85546875" style="262" bestFit="1" customWidth="1"/>
    <col min="6155" max="6155" width="19.5703125" style="262" bestFit="1" customWidth="1"/>
    <col min="6156" max="6156" width="4.7109375" style="262" bestFit="1" customWidth="1"/>
    <col min="6157" max="6400" width="9.140625" style="262"/>
    <col min="6401" max="6405" width="14.7109375" style="262" bestFit="1" customWidth="1"/>
    <col min="6406" max="6406" width="14.140625" style="262" bestFit="1" customWidth="1"/>
    <col min="6407" max="6409" width="14.7109375" style="262" bestFit="1" customWidth="1"/>
    <col min="6410" max="6410" width="9.85546875" style="262" bestFit="1" customWidth="1"/>
    <col min="6411" max="6411" width="19.5703125" style="262" bestFit="1" customWidth="1"/>
    <col min="6412" max="6412" width="4.7109375" style="262" bestFit="1" customWidth="1"/>
    <col min="6413" max="6656" width="9.140625" style="262"/>
    <col min="6657" max="6661" width="14.7109375" style="262" bestFit="1" customWidth="1"/>
    <col min="6662" max="6662" width="14.140625" style="262" bestFit="1" customWidth="1"/>
    <col min="6663" max="6665" width="14.7109375" style="262" bestFit="1" customWidth="1"/>
    <col min="6666" max="6666" width="9.85546875" style="262" bestFit="1" customWidth="1"/>
    <col min="6667" max="6667" width="19.5703125" style="262" bestFit="1" customWidth="1"/>
    <col min="6668" max="6668" width="4.7109375" style="262" bestFit="1" customWidth="1"/>
    <col min="6669" max="6912" width="9.140625" style="262"/>
    <col min="6913" max="6917" width="14.7109375" style="262" bestFit="1" customWidth="1"/>
    <col min="6918" max="6918" width="14.140625" style="262" bestFit="1" customWidth="1"/>
    <col min="6919" max="6921" width="14.7109375" style="262" bestFit="1" customWidth="1"/>
    <col min="6922" max="6922" width="9.85546875" style="262" bestFit="1" customWidth="1"/>
    <col min="6923" max="6923" width="19.5703125" style="262" bestFit="1" customWidth="1"/>
    <col min="6924" max="6924" width="4.7109375" style="262" bestFit="1" customWidth="1"/>
    <col min="6925" max="7168" width="9.140625" style="262"/>
    <col min="7169" max="7173" width="14.7109375" style="262" bestFit="1" customWidth="1"/>
    <col min="7174" max="7174" width="14.140625" style="262" bestFit="1" customWidth="1"/>
    <col min="7175" max="7177" width="14.7109375" style="262" bestFit="1" customWidth="1"/>
    <col min="7178" max="7178" width="9.85546875" style="262" bestFit="1" customWidth="1"/>
    <col min="7179" max="7179" width="19.5703125" style="262" bestFit="1" customWidth="1"/>
    <col min="7180" max="7180" width="4.7109375" style="262" bestFit="1" customWidth="1"/>
    <col min="7181" max="7424" width="9.140625" style="262"/>
    <col min="7425" max="7429" width="14.7109375" style="262" bestFit="1" customWidth="1"/>
    <col min="7430" max="7430" width="14.140625" style="262" bestFit="1" customWidth="1"/>
    <col min="7431" max="7433" width="14.7109375" style="262" bestFit="1" customWidth="1"/>
    <col min="7434" max="7434" width="9.85546875" style="262" bestFit="1" customWidth="1"/>
    <col min="7435" max="7435" width="19.5703125" style="262" bestFit="1" customWidth="1"/>
    <col min="7436" max="7436" width="4.7109375" style="262" bestFit="1" customWidth="1"/>
    <col min="7437" max="7680" width="9.140625" style="262"/>
    <col min="7681" max="7685" width="14.7109375" style="262" bestFit="1" customWidth="1"/>
    <col min="7686" max="7686" width="14.140625" style="262" bestFit="1" customWidth="1"/>
    <col min="7687" max="7689" width="14.7109375" style="262" bestFit="1" customWidth="1"/>
    <col min="7690" max="7690" width="9.85546875" style="262" bestFit="1" customWidth="1"/>
    <col min="7691" max="7691" width="19.5703125" style="262" bestFit="1" customWidth="1"/>
    <col min="7692" max="7692" width="4.7109375" style="262" bestFit="1" customWidth="1"/>
    <col min="7693" max="7936" width="9.140625" style="262"/>
    <col min="7937" max="7941" width="14.7109375" style="262" bestFit="1" customWidth="1"/>
    <col min="7942" max="7942" width="14.140625" style="262" bestFit="1" customWidth="1"/>
    <col min="7943" max="7945" width="14.7109375" style="262" bestFit="1" customWidth="1"/>
    <col min="7946" max="7946" width="9.85546875" style="262" bestFit="1" customWidth="1"/>
    <col min="7947" max="7947" width="19.5703125" style="262" bestFit="1" customWidth="1"/>
    <col min="7948" max="7948" width="4.7109375" style="262" bestFit="1" customWidth="1"/>
    <col min="7949" max="8192" width="9.140625" style="262"/>
    <col min="8193" max="8197" width="14.7109375" style="262" bestFit="1" customWidth="1"/>
    <col min="8198" max="8198" width="14.140625" style="262" bestFit="1" customWidth="1"/>
    <col min="8199" max="8201" width="14.7109375" style="262" bestFit="1" customWidth="1"/>
    <col min="8202" max="8202" width="9.85546875" style="262" bestFit="1" customWidth="1"/>
    <col min="8203" max="8203" width="19.5703125" style="262" bestFit="1" customWidth="1"/>
    <col min="8204" max="8204" width="4.7109375" style="262" bestFit="1" customWidth="1"/>
    <col min="8205" max="8448" width="9.140625" style="262"/>
    <col min="8449" max="8453" width="14.7109375" style="262" bestFit="1" customWidth="1"/>
    <col min="8454" max="8454" width="14.140625" style="262" bestFit="1" customWidth="1"/>
    <col min="8455" max="8457" width="14.7109375" style="262" bestFit="1" customWidth="1"/>
    <col min="8458" max="8458" width="9.85546875" style="262" bestFit="1" customWidth="1"/>
    <col min="8459" max="8459" width="19.5703125" style="262" bestFit="1" customWidth="1"/>
    <col min="8460" max="8460" width="4.7109375" style="262" bestFit="1" customWidth="1"/>
    <col min="8461" max="8704" width="9.140625" style="262"/>
    <col min="8705" max="8709" width="14.7109375" style="262" bestFit="1" customWidth="1"/>
    <col min="8710" max="8710" width="14.140625" style="262" bestFit="1" customWidth="1"/>
    <col min="8711" max="8713" width="14.7109375" style="262" bestFit="1" customWidth="1"/>
    <col min="8714" max="8714" width="9.85546875" style="262" bestFit="1" customWidth="1"/>
    <col min="8715" max="8715" width="19.5703125" style="262" bestFit="1" customWidth="1"/>
    <col min="8716" max="8716" width="4.7109375" style="262" bestFit="1" customWidth="1"/>
    <col min="8717" max="8960" width="9.140625" style="262"/>
    <col min="8961" max="8965" width="14.7109375" style="262" bestFit="1" customWidth="1"/>
    <col min="8966" max="8966" width="14.140625" style="262" bestFit="1" customWidth="1"/>
    <col min="8967" max="8969" width="14.7109375" style="262" bestFit="1" customWidth="1"/>
    <col min="8970" max="8970" width="9.85546875" style="262" bestFit="1" customWidth="1"/>
    <col min="8971" max="8971" width="19.5703125" style="262" bestFit="1" customWidth="1"/>
    <col min="8972" max="8972" width="4.7109375" style="262" bestFit="1" customWidth="1"/>
    <col min="8973" max="9216" width="9.140625" style="262"/>
    <col min="9217" max="9221" width="14.7109375" style="262" bestFit="1" customWidth="1"/>
    <col min="9222" max="9222" width="14.140625" style="262" bestFit="1" customWidth="1"/>
    <col min="9223" max="9225" width="14.7109375" style="262" bestFit="1" customWidth="1"/>
    <col min="9226" max="9226" width="9.85546875" style="262" bestFit="1" customWidth="1"/>
    <col min="9227" max="9227" width="19.5703125" style="262" bestFit="1" customWidth="1"/>
    <col min="9228" max="9228" width="4.7109375" style="262" bestFit="1" customWidth="1"/>
    <col min="9229" max="9472" width="9.140625" style="262"/>
    <col min="9473" max="9477" width="14.7109375" style="262" bestFit="1" customWidth="1"/>
    <col min="9478" max="9478" width="14.140625" style="262" bestFit="1" customWidth="1"/>
    <col min="9479" max="9481" width="14.7109375" style="262" bestFit="1" customWidth="1"/>
    <col min="9482" max="9482" width="9.85546875" style="262" bestFit="1" customWidth="1"/>
    <col min="9483" max="9483" width="19.5703125" style="262" bestFit="1" customWidth="1"/>
    <col min="9484" max="9484" width="4.7109375" style="262" bestFit="1" customWidth="1"/>
    <col min="9485" max="9728" width="9.140625" style="262"/>
    <col min="9729" max="9733" width="14.7109375" style="262" bestFit="1" customWidth="1"/>
    <col min="9734" max="9734" width="14.140625" style="262" bestFit="1" customWidth="1"/>
    <col min="9735" max="9737" width="14.7109375" style="262" bestFit="1" customWidth="1"/>
    <col min="9738" max="9738" width="9.85546875" style="262" bestFit="1" customWidth="1"/>
    <col min="9739" max="9739" width="19.5703125" style="262" bestFit="1" customWidth="1"/>
    <col min="9740" max="9740" width="4.7109375" style="262" bestFit="1" customWidth="1"/>
    <col min="9741" max="9984" width="9.140625" style="262"/>
    <col min="9985" max="9989" width="14.7109375" style="262" bestFit="1" customWidth="1"/>
    <col min="9990" max="9990" width="14.140625" style="262" bestFit="1" customWidth="1"/>
    <col min="9991" max="9993" width="14.7109375" style="262" bestFit="1" customWidth="1"/>
    <col min="9994" max="9994" width="9.85546875" style="262" bestFit="1" customWidth="1"/>
    <col min="9995" max="9995" width="19.5703125" style="262" bestFit="1" customWidth="1"/>
    <col min="9996" max="9996" width="4.7109375" style="262" bestFit="1" customWidth="1"/>
    <col min="9997" max="10240" width="9.140625" style="262"/>
    <col min="10241" max="10245" width="14.7109375" style="262" bestFit="1" customWidth="1"/>
    <col min="10246" max="10246" width="14.140625" style="262" bestFit="1" customWidth="1"/>
    <col min="10247" max="10249" width="14.7109375" style="262" bestFit="1" customWidth="1"/>
    <col min="10250" max="10250" width="9.85546875" style="262" bestFit="1" customWidth="1"/>
    <col min="10251" max="10251" width="19.5703125" style="262" bestFit="1" customWidth="1"/>
    <col min="10252" max="10252" width="4.7109375" style="262" bestFit="1" customWidth="1"/>
    <col min="10253" max="10496" width="9.140625" style="262"/>
    <col min="10497" max="10501" width="14.7109375" style="262" bestFit="1" customWidth="1"/>
    <col min="10502" max="10502" width="14.140625" style="262" bestFit="1" customWidth="1"/>
    <col min="10503" max="10505" width="14.7109375" style="262" bestFit="1" customWidth="1"/>
    <col min="10506" max="10506" width="9.85546875" style="262" bestFit="1" customWidth="1"/>
    <col min="10507" max="10507" width="19.5703125" style="262" bestFit="1" customWidth="1"/>
    <col min="10508" max="10508" width="4.7109375" style="262" bestFit="1" customWidth="1"/>
    <col min="10509" max="10752" width="9.140625" style="262"/>
    <col min="10753" max="10757" width="14.7109375" style="262" bestFit="1" customWidth="1"/>
    <col min="10758" max="10758" width="14.140625" style="262" bestFit="1" customWidth="1"/>
    <col min="10759" max="10761" width="14.7109375" style="262" bestFit="1" customWidth="1"/>
    <col min="10762" max="10762" width="9.85546875" style="262" bestFit="1" customWidth="1"/>
    <col min="10763" max="10763" width="19.5703125" style="262" bestFit="1" customWidth="1"/>
    <col min="10764" max="10764" width="4.7109375" style="262" bestFit="1" customWidth="1"/>
    <col min="10765" max="11008" width="9.140625" style="262"/>
    <col min="11009" max="11013" width="14.7109375" style="262" bestFit="1" customWidth="1"/>
    <col min="11014" max="11014" width="14.140625" style="262" bestFit="1" customWidth="1"/>
    <col min="11015" max="11017" width="14.7109375" style="262" bestFit="1" customWidth="1"/>
    <col min="11018" max="11018" width="9.85546875" style="262" bestFit="1" customWidth="1"/>
    <col min="11019" max="11019" width="19.5703125" style="262" bestFit="1" customWidth="1"/>
    <col min="11020" max="11020" width="4.7109375" style="262" bestFit="1" customWidth="1"/>
    <col min="11021" max="11264" width="9.140625" style="262"/>
    <col min="11265" max="11269" width="14.7109375" style="262" bestFit="1" customWidth="1"/>
    <col min="11270" max="11270" width="14.140625" style="262" bestFit="1" customWidth="1"/>
    <col min="11271" max="11273" width="14.7109375" style="262" bestFit="1" customWidth="1"/>
    <col min="11274" max="11274" width="9.85546875" style="262" bestFit="1" customWidth="1"/>
    <col min="11275" max="11275" width="19.5703125" style="262" bestFit="1" customWidth="1"/>
    <col min="11276" max="11276" width="4.7109375" style="262" bestFit="1" customWidth="1"/>
    <col min="11277" max="11520" width="9.140625" style="262"/>
    <col min="11521" max="11525" width="14.7109375" style="262" bestFit="1" customWidth="1"/>
    <col min="11526" max="11526" width="14.140625" style="262" bestFit="1" customWidth="1"/>
    <col min="11527" max="11529" width="14.7109375" style="262" bestFit="1" customWidth="1"/>
    <col min="11530" max="11530" width="9.85546875" style="262" bestFit="1" customWidth="1"/>
    <col min="11531" max="11531" width="19.5703125" style="262" bestFit="1" customWidth="1"/>
    <col min="11532" max="11532" width="4.7109375" style="262" bestFit="1" customWidth="1"/>
    <col min="11533" max="11776" width="9.140625" style="262"/>
    <col min="11777" max="11781" width="14.7109375" style="262" bestFit="1" customWidth="1"/>
    <col min="11782" max="11782" width="14.140625" style="262" bestFit="1" customWidth="1"/>
    <col min="11783" max="11785" width="14.7109375" style="262" bestFit="1" customWidth="1"/>
    <col min="11786" max="11786" width="9.85546875" style="262" bestFit="1" customWidth="1"/>
    <col min="11787" max="11787" width="19.5703125" style="262" bestFit="1" customWidth="1"/>
    <col min="11788" max="11788" width="4.7109375" style="262" bestFit="1" customWidth="1"/>
    <col min="11789" max="12032" width="9.140625" style="262"/>
    <col min="12033" max="12037" width="14.7109375" style="262" bestFit="1" customWidth="1"/>
    <col min="12038" max="12038" width="14.140625" style="262" bestFit="1" customWidth="1"/>
    <col min="12039" max="12041" width="14.7109375" style="262" bestFit="1" customWidth="1"/>
    <col min="12042" max="12042" width="9.85546875" style="262" bestFit="1" customWidth="1"/>
    <col min="12043" max="12043" width="19.5703125" style="262" bestFit="1" customWidth="1"/>
    <col min="12044" max="12044" width="4.7109375" style="262" bestFit="1" customWidth="1"/>
    <col min="12045" max="12288" width="9.140625" style="262"/>
    <col min="12289" max="12293" width="14.7109375" style="262" bestFit="1" customWidth="1"/>
    <col min="12294" max="12294" width="14.140625" style="262" bestFit="1" customWidth="1"/>
    <col min="12295" max="12297" width="14.7109375" style="262" bestFit="1" customWidth="1"/>
    <col min="12298" max="12298" width="9.85546875" style="262" bestFit="1" customWidth="1"/>
    <col min="12299" max="12299" width="19.5703125" style="262" bestFit="1" customWidth="1"/>
    <col min="12300" max="12300" width="4.7109375" style="262" bestFit="1" customWidth="1"/>
    <col min="12301" max="12544" width="9.140625" style="262"/>
    <col min="12545" max="12549" width="14.7109375" style="262" bestFit="1" customWidth="1"/>
    <col min="12550" max="12550" width="14.140625" style="262" bestFit="1" customWidth="1"/>
    <col min="12551" max="12553" width="14.7109375" style="262" bestFit="1" customWidth="1"/>
    <col min="12554" max="12554" width="9.85546875" style="262" bestFit="1" customWidth="1"/>
    <col min="12555" max="12555" width="19.5703125" style="262" bestFit="1" customWidth="1"/>
    <col min="12556" max="12556" width="4.7109375" style="262" bestFit="1" customWidth="1"/>
    <col min="12557" max="12800" width="9.140625" style="262"/>
    <col min="12801" max="12805" width="14.7109375" style="262" bestFit="1" customWidth="1"/>
    <col min="12806" max="12806" width="14.140625" style="262" bestFit="1" customWidth="1"/>
    <col min="12807" max="12809" width="14.7109375" style="262" bestFit="1" customWidth="1"/>
    <col min="12810" max="12810" width="9.85546875" style="262" bestFit="1" customWidth="1"/>
    <col min="12811" max="12811" width="19.5703125" style="262" bestFit="1" customWidth="1"/>
    <col min="12812" max="12812" width="4.7109375" style="262" bestFit="1" customWidth="1"/>
    <col min="12813" max="13056" width="9.140625" style="262"/>
    <col min="13057" max="13061" width="14.7109375" style="262" bestFit="1" customWidth="1"/>
    <col min="13062" max="13062" width="14.140625" style="262" bestFit="1" customWidth="1"/>
    <col min="13063" max="13065" width="14.7109375" style="262" bestFit="1" customWidth="1"/>
    <col min="13066" max="13066" width="9.85546875" style="262" bestFit="1" customWidth="1"/>
    <col min="13067" max="13067" width="19.5703125" style="262" bestFit="1" customWidth="1"/>
    <col min="13068" max="13068" width="4.7109375" style="262" bestFit="1" customWidth="1"/>
    <col min="13069" max="13312" width="9.140625" style="262"/>
    <col min="13313" max="13317" width="14.7109375" style="262" bestFit="1" customWidth="1"/>
    <col min="13318" max="13318" width="14.140625" style="262" bestFit="1" customWidth="1"/>
    <col min="13319" max="13321" width="14.7109375" style="262" bestFit="1" customWidth="1"/>
    <col min="13322" max="13322" width="9.85546875" style="262" bestFit="1" customWidth="1"/>
    <col min="13323" max="13323" width="19.5703125" style="262" bestFit="1" customWidth="1"/>
    <col min="13324" max="13324" width="4.7109375" style="262" bestFit="1" customWidth="1"/>
    <col min="13325" max="13568" width="9.140625" style="262"/>
    <col min="13569" max="13573" width="14.7109375" style="262" bestFit="1" customWidth="1"/>
    <col min="13574" max="13574" width="14.140625" style="262" bestFit="1" customWidth="1"/>
    <col min="13575" max="13577" width="14.7109375" style="262" bestFit="1" customWidth="1"/>
    <col min="13578" max="13578" width="9.85546875" style="262" bestFit="1" customWidth="1"/>
    <col min="13579" max="13579" width="19.5703125" style="262" bestFit="1" customWidth="1"/>
    <col min="13580" max="13580" width="4.7109375" style="262" bestFit="1" customWidth="1"/>
    <col min="13581" max="13824" width="9.140625" style="262"/>
    <col min="13825" max="13829" width="14.7109375" style="262" bestFit="1" customWidth="1"/>
    <col min="13830" max="13830" width="14.140625" style="262" bestFit="1" customWidth="1"/>
    <col min="13831" max="13833" width="14.7109375" style="262" bestFit="1" customWidth="1"/>
    <col min="13834" max="13834" width="9.85546875" style="262" bestFit="1" customWidth="1"/>
    <col min="13835" max="13835" width="19.5703125" style="262" bestFit="1" customWidth="1"/>
    <col min="13836" max="13836" width="4.7109375" style="262" bestFit="1" customWidth="1"/>
    <col min="13837" max="14080" width="9.140625" style="262"/>
    <col min="14081" max="14085" width="14.7109375" style="262" bestFit="1" customWidth="1"/>
    <col min="14086" max="14086" width="14.140625" style="262" bestFit="1" customWidth="1"/>
    <col min="14087" max="14089" width="14.7109375" style="262" bestFit="1" customWidth="1"/>
    <col min="14090" max="14090" width="9.85546875" style="262" bestFit="1" customWidth="1"/>
    <col min="14091" max="14091" width="19.5703125" style="262" bestFit="1" customWidth="1"/>
    <col min="14092" max="14092" width="4.7109375" style="262" bestFit="1" customWidth="1"/>
    <col min="14093" max="14336" width="9.140625" style="262"/>
    <col min="14337" max="14341" width="14.7109375" style="262" bestFit="1" customWidth="1"/>
    <col min="14342" max="14342" width="14.140625" style="262" bestFit="1" customWidth="1"/>
    <col min="14343" max="14345" width="14.7109375" style="262" bestFit="1" customWidth="1"/>
    <col min="14346" max="14346" width="9.85546875" style="262" bestFit="1" customWidth="1"/>
    <col min="14347" max="14347" width="19.5703125" style="262" bestFit="1" customWidth="1"/>
    <col min="14348" max="14348" width="4.7109375" style="262" bestFit="1" customWidth="1"/>
    <col min="14349" max="14592" width="9.140625" style="262"/>
    <col min="14593" max="14597" width="14.7109375" style="262" bestFit="1" customWidth="1"/>
    <col min="14598" max="14598" width="14.140625" style="262" bestFit="1" customWidth="1"/>
    <col min="14599" max="14601" width="14.7109375" style="262" bestFit="1" customWidth="1"/>
    <col min="14602" max="14602" width="9.85546875" style="262" bestFit="1" customWidth="1"/>
    <col min="14603" max="14603" width="19.5703125" style="262" bestFit="1" customWidth="1"/>
    <col min="14604" max="14604" width="4.7109375" style="262" bestFit="1" customWidth="1"/>
    <col min="14605" max="14848" width="9.140625" style="262"/>
    <col min="14849" max="14853" width="14.7109375" style="262" bestFit="1" customWidth="1"/>
    <col min="14854" max="14854" width="14.140625" style="262" bestFit="1" customWidth="1"/>
    <col min="14855" max="14857" width="14.7109375" style="262" bestFit="1" customWidth="1"/>
    <col min="14858" max="14858" width="9.85546875" style="262" bestFit="1" customWidth="1"/>
    <col min="14859" max="14859" width="19.5703125" style="262" bestFit="1" customWidth="1"/>
    <col min="14860" max="14860" width="4.7109375" style="262" bestFit="1" customWidth="1"/>
    <col min="14861" max="15104" width="9.140625" style="262"/>
    <col min="15105" max="15109" width="14.7109375" style="262" bestFit="1" customWidth="1"/>
    <col min="15110" max="15110" width="14.140625" style="262" bestFit="1" customWidth="1"/>
    <col min="15111" max="15113" width="14.7109375" style="262" bestFit="1" customWidth="1"/>
    <col min="15114" max="15114" width="9.85546875" style="262" bestFit="1" customWidth="1"/>
    <col min="15115" max="15115" width="19.5703125" style="262" bestFit="1" customWidth="1"/>
    <col min="15116" max="15116" width="4.7109375" style="262" bestFit="1" customWidth="1"/>
    <col min="15117" max="15360" width="9.140625" style="262"/>
    <col min="15361" max="15365" width="14.7109375" style="262" bestFit="1" customWidth="1"/>
    <col min="15366" max="15366" width="14.140625" style="262" bestFit="1" customWidth="1"/>
    <col min="15367" max="15369" width="14.7109375" style="262" bestFit="1" customWidth="1"/>
    <col min="15370" max="15370" width="9.85546875" style="262" bestFit="1" customWidth="1"/>
    <col min="15371" max="15371" width="19.5703125" style="262" bestFit="1" customWidth="1"/>
    <col min="15372" max="15372" width="4.7109375" style="262" bestFit="1" customWidth="1"/>
    <col min="15373" max="15616" width="9.140625" style="262"/>
    <col min="15617" max="15621" width="14.7109375" style="262" bestFit="1" customWidth="1"/>
    <col min="15622" max="15622" width="14.140625" style="262" bestFit="1" customWidth="1"/>
    <col min="15623" max="15625" width="14.7109375" style="262" bestFit="1" customWidth="1"/>
    <col min="15626" max="15626" width="9.85546875" style="262" bestFit="1" customWidth="1"/>
    <col min="15627" max="15627" width="19.5703125" style="262" bestFit="1" customWidth="1"/>
    <col min="15628" max="15628" width="4.7109375" style="262" bestFit="1" customWidth="1"/>
    <col min="15629" max="15872" width="9.140625" style="262"/>
    <col min="15873" max="15877" width="14.7109375" style="262" bestFit="1" customWidth="1"/>
    <col min="15878" max="15878" width="14.140625" style="262" bestFit="1" customWidth="1"/>
    <col min="15879" max="15881" width="14.7109375" style="262" bestFit="1" customWidth="1"/>
    <col min="15882" max="15882" width="9.85546875" style="262" bestFit="1" customWidth="1"/>
    <col min="15883" max="15883" width="19.5703125" style="262" bestFit="1" customWidth="1"/>
    <col min="15884" max="15884" width="4.7109375" style="262" bestFit="1" customWidth="1"/>
    <col min="15885" max="16128" width="9.140625" style="262"/>
    <col min="16129" max="16133" width="14.7109375" style="262" bestFit="1" customWidth="1"/>
    <col min="16134" max="16134" width="14.140625" style="262" bestFit="1" customWidth="1"/>
    <col min="16135" max="16137" width="14.7109375" style="262" bestFit="1" customWidth="1"/>
    <col min="16138" max="16138" width="9.85546875" style="262" bestFit="1" customWidth="1"/>
    <col min="16139" max="16139" width="19.5703125" style="262" bestFit="1" customWidth="1"/>
    <col min="16140" max="16140" width="4.7109375" style="262" bestFit="1" customWidth="1"/>
    <col min="16141" max="16384" width="9.140625" style="262"/>
  </cols>
  <sheetData>
    <row r="1" spans="1:11" ht="16.5" customHeight="1" x14ac:dyDescent="0.2">
      <c r="A1" s="385" t="s">
        <v>66</v>
      </c>
      <c r="B1" s="385"/>
      <c r="C1" s="385"/>
      <c r="D1" s="385"/>
      <c r="E1" s="385"/>
      <c r="F1" s="385"/>
      <c r="G1" s="385"/>
      <c r="H1" s="385"/>
      <c r="I1" s="385"/>
      <c r="J1" s="385"/>
    </row>
    <row r="2" spans="1:11" s="265" customFormat="1" ht="18" customHeight="1" x14ac:dyDescent="0.2">
      <c r="A2" s="363" t="s">
        <v>184</v>
      </c>
      <c r="B2" s="375" t="s">
        <v>717</v>
      </c>
      <c r="C2" s="376"/>
      <c r="D2" s="376"/>
      <c r="E2" s="376"/>
      <c r="F2" s="377"/>
      <c r="G2" s="375" t="s">
        <v>718</v>
      </c>
      <c r="H2" s="376"/>
      <c r="I2" s="376"/>
      <c r="J2" s="376"/>
      <c r="K2" s="377"/>
    </row>
    <row r="3" spans="1:11" s="265" customFormat="1" ht="51" customHeight="1" x14ac:dyDescent="0.2">
      <c r="A3" s="365"/>
      <c r="B3" s="269" t="s">
        <v>743</v>
      </c>
      <c r="C3" s="269" t="s">
        <v>744</v>
      </c>
      <c r="D3" s="276" t="s">
        <v>745</v>
      </c>
      <c r="E3" s="276" t="s">
        <v>746</v>
      </c>
      <c r="F3" s="270" t="s">
        <v>747</v>
      </c>
      <c r="G3" s="269" t="s">
        <v>743</v>
      </c>
      <c r="H3" s="269" t="s">
        <v>744</v>
      </c>
      <c r="I3" s="276" t="s">
        <v>745</v>
      </c>
      <c r="J3" s="276" t="s">
        <v>746</v>
      </c>
      <c r="K3" s="270" t="s">
        <v>748</v>
      </c>
    </row>
    <row r="4" spans="1:11" s="265" customFormat="1" ht="18" customHeight="1" x14ac:dyDescent="0.2">
      <c r="A4" s="266" t="s">
        <v>69</v>
      </c>
      <c r="B4" s="283">
        <v>19865</v>
      </c>
      <c r="C4" s="283">
        <v>276</v>
      </c>
      <c r="D4" s="283">
        <v>30385</v>
      </c>
      <c r="E4" s="290">
        <v>1506339</v>
      </c>
      <c r="F4" s="301">
        <v>17220166.752</v>
      </c>
      <c r="G4" s="283">
        <v>10628</v>
      </c>
      <c r="H4" s="283">
        <v>593</v>
      </c>
      <c r="I4" s="283">
        <v>17473</v>
      </c>
      <c r="J4" s="290">
        <v>283805</v>
      </c>
      <c r="K4" s="290">
        <v>1983981.03</v>
      </c>
    </row>
    <row r="5" spans="1:11" s="265" customFormat="1" ht="18" customHeight="1" x14ac:dyDescent="0.2">
      <c r="A5" s="266" t="s">
        <v>70</v>
      </c>
      <c r="B5" s="283">
        <v>25233</v>
      </c>
      <c r="C5" s="283">
        <v>277</v>
      </c>
      <c r="D5" s="283">
        <v>30741</v>
      </c>
      <c r="E5" s="290">
        <v>1867407.56</v>
      </c>
      <c r="F5" s="301">
        <v>18680372.414999999</v>
      </c>
      <c r="G5" s="283">
        <v>12757</v>
      </c>
      <c r="H5" s="283">
        <v>597</v>
      </c>
      <c r="I5" s="283">
        <v>19460</v>
      </c>
      <c r="J5" s="290">
        <v>361876.12</v>
      </c>
      <c r="K5" s="290">
        <v>2079693.49</v>
      </c>
    </row>
    <row r="6" spans="1:11" s="265" customFormat="1" ht="18" customHeight="1" x14ac:dyDescent="0.2">
      <c r="A6" s="266" t="s">
        <v>156</v>
      </c>
      <c r="B6" s="283">
        <v>20089</v>
      </c>
      <c r="C6" s="283">
        <v>277</v>
      </c>
      <c r="D6" s="283">
        <v>30439</v>
      </c>
      <c r="E6" s="290">
        <v>1532784.55</v>
      </c>
      <c r="F6" s="301">
        <v>18187157.223999999</v>
      </c>
      <c r="G6" s="283">
        <v>10761</v>
      </c>
      <c r="H6" s="283">
        <v>601</v>
      </c>
      <c r="I6" s="283">
        <v>17454</v>
      </c>
      <c r="J6" s="290">
        <v>298670.46000000002</v>
      </c>
      <c r="K6" s="290">
        <v>2121782.2400000002</v>
      </c>
    </row>
    <row r="7" spans="1:11" s="265" customFormat="1" ht="18" customHeight="1" x14ac:dyDescent="0.2">
      <c r="A7" s="266" t="s">
        <v>157</v>
      </c>
      <c r="B7" s="283">
        <v>20282</v>
      </c>
      <c r="C7" s="283">
        <v>277</v>
      </c>
      <c r="D7" s="283">
        <v>30563</v>
      </c>
      <c r="E7" s="290">
        <v>1549218.47</v>
      </c>
      <c r="F7" s="301">
        <v>17570560.171</v>
      </c>
      <c r="G7" s="283">
        <v>10892</v>
      </c>
      <c r="H7" s="283">
        <v>602</v>
      </c>
      <c r="I7" s="283">
        <v>19172</v>
      </c>
      <c r="J7" s="290">
        <v>300622.23</v>
      </c>
      <c r="K7" s="290">
        <v>2069038.28</v>
      </c>
    </row>
    <row r="8" spans="1:11" s="265" customFormat="1" ht="18" customHeight="1" x14ac:dyDescent="0.2">
      <c r="A8" s="266" t="s">
        <v>158</v>
      </c>
      <c r="B8" s="283">
        <v>20462</v>
      </c>
      <c r="C8" s="283">
        <v>275</v>
      </c>
      <c r="D8" s="283">
        <v>30512</v>
      </c>
      <c r="E8" s="290">
        <v>1576579.85</v>
      </c>
      <c r="F8" s="301">
        <v>17586565.919</v>
      </c>
      <c r="G8" s="283">
        <v>10992</v>
      </c>
      <c r="H8" s="283">
        <v>597</v>
      </c>
      <c r="I8" s="283">
        <v>19176</v>
      </c>
      <c r="J8" s="290">
        <v>305639</v>
      </c>
      <c r="K8" s="290">
        <v>1995128</v>
      </c>
    </row>
    <row r="9" spans="1:11" s="265" customFormat="1" ht="18" customHeight="1" x14ac:dyDescent="0.2">
      <c r="A9" s="266" t="s">
        <v>159</v>
      </c>
      <c r="B9" s="283">
        <v>20648</v>
      </c>
      <c r="C9" s="283">
        <v>275</v>
      </c>
      <c r="D9" s="283">
        <v>30560</v>
      </c>
      <c r="E9" s="290">
        <v>1566791.49</v>
      </c>
      <c r="F9" s="301">
        <v>18447742.013</v>
      </c>
      <c r="G9" s="283">
        <v>11088</v>
      </c>
      <c r="H9" s="283">
        <v>596</v>
      </c>
      <c r="I9" s="283">
        <v>19154</v>
      </c>
      <c r="J9" s="290">
        <v>307852</v>
      </c>
      <c r="K9" s="290">
        <v>2095750</v>
      </c>
    </row>
    <row r="10" spans="1:11" s="265" customFormat="1" ht="18" customHeight="1" x14ac:dyDescent="0.2">
      <c r="A10" s="266" t="s">
        <v>160</v>
      </c>
      <c r="B10" s="283">
        <v>20809</v>
      </c>
      <c r="C10" s="283">
        <v>276</v>
      </c>
      <c r="D10" s="283">
        <v>30562</v>
      </c>
      <c r="E10" s="290">
        <v>1557557.97</v>
      </c>
      <c r="F10" s="301">
        <v>18964146.857000001</v>
      </c>
      <c r="G10" s="283">
        <v>11174</v>
      </c>
      <c r="H10" s="283">
        <v>595</v>
      </c>
      <c r="I10" s="283">
        <v>19189</v>
      </c>
      <c r="J10" s="290">
        <v>311080</v>
      </c>
      <c r="K10" s="290">
        <v>2168984</v>
      </c>
    </row>
    <row r="11" spans="1:11" s="265" customFormat="1" ht="18" customHeight="1" x14ac:dyDescent="0.2">
      <c r="A11" s="266" t="s">
        <v>161</v>
      </c>
      <c r="B11" s="283">
        <v>20942</v>
      </c>
      <c r="C11" s="283">
        <v>276</v>
      </c>
      <c r="D11" s="283">
        <v>30729</v>
      </c>
      <c r="E11" s="290">
        <v>1583551.87</v>
      </c>
      <c r="F11" s="290">
        <v>176330.15426000001</v>
      </c>
      <c r="G11" s="283">
        <v>11237</v>
      </c>
      <c r="H11" s="283">
        <v>595</v>
      </c>
      <c r="I11" s="283">
        <v>19221</v>
      </c>
      <c r="J11" s="290">
        <v>310691.96000000002</v>
      </c>
      <c r="K11" s="290">
        <v>1950935.76</v>
      </c>
    </row>
    <row r="12" spans="1:11" s="265" customFormat="1" ht="18" customHeight="1" x14ac:dyDescent="0.2">
      <c r="A12" s="266" t="s">
        <v>162</v>
      </c>
      <c r="B12" s="283">
        <v>21392</v>
      </c>
      <c r="C12" s="283">
        <v>274</v>
      </c>
      <c r="D12" s="283">
        <v>30797</v>
      </c>
      <c r="E12" s="290">
        <v>1601695.62</v>
      </c>
      <c r="F12" s="283">
        <v>1705.566466</v>
      </c>
      <c r="G12" s="283">
        <v>11362</v>
      </c>
      <c r="H12" s="283">
        <v>593</v>
      </c>
      <c r="I12" s="283">
        <v>19277</v>
      </c>
      <c r="J12" s="290">
        <v>321519.11</v>
      </c>
      <c r="K12" s="290">
        <v>1909449.27</v>
      </c>
    </row>
    <row r="13" spans="1:11" s="265" customFormat="1" ht="18" customHeight="1" x14ac:dyDescent="0.2">
      <c r="A13" s="266" t="s">
        <v>163</v>
      </c>
      <c r="B13" s="283">
        <v>22018</v>
      </c>
      <c r="C13" s="283">
        <v>273</v>
      </c>
      <c r="D13" s="283">
        <v>30761</v>
      </c>
      <c r="E13" s="290">
        <v>1622141.97</v>
      </c>
      <c r="F13" s="283">
        <v>1758.5678614999999</v>
      </c>
      <c r="G13" s="283">
        <v>11539</v>
      </c>
      <c r="H13" s="283">
        <v>592</v>
      </c>
      <c r="I13" s="283">
        <v>19288</v>
      </c>
      <c r="J13" s="290">
        <v>329296.12</v>
      </c>
      <c r="K13" s="290">
        <v>1928099.12</v>
      </c>
    </row>
    <row r="14" spans="1:11" s="265" customFormat="1" ht="18" customHeight="1" x14ac:dyDescent="0.2">
      <c r="A14" s="266" t="s">
        <v>164</v>
      </c>
      <c r="B14" s="283">
        <v>22897</v>
      </c>
      <c r="C14" s="283">
        <v>276</v>
      </c>
      <c r="D14" s="283">
        <v>30738</v>
      </c>
      <c r="E14" s="290">
        <v>1676903.19</v>
      </c>
      <c r="F14" s="301">
        <v>17812043.581999999</v>
      </c>
      <c r="G14" s="283">
        <v>11800</v>
      </c>
      <c r="H14" s="283">
        <v>592</v>
      </c>
      <c r="I14" s="283">
        <v>19267</v>
      </c>
      <c r="J14" s="290">
        <v>340758.56</v>
      </c>
      <c r="K14" s="290">
        <v>2022692.64</v>
      </c>
    </row>
    <row r="15" spans="1:11" s="265" customFormat="1" ht="18" customHeight="1" x14ac:dyDescent="0.2">
      <c r="A15" s="266" t="s">
        <v>165</v>
      </c>
      <c r="B15" s="283">
        <v>23837</v>
      </c>
      <c r="C15" s="283">
        <v>276</v>
      </c>
      <c r="D15" s="283">
        <v>30739</v>
      </c>
      <c r="E15" s="290">
        <v>1754160.22</v>
      </c>
      <c r="F15" s="301">
        <v>17584348.105999999</v>
      </c>
      <c r="G15" s="283">
        <v>12110</v>
      </c>
      <c r="H15" s="283">
        <v>595</v>
      </c>
      <c r="I15" s="283">
        <v>19312</v>
      </c>
      <c r="J15" s="290">
        <v>350133.72850000003</v>
      </c>
      <c r="K15" s="290">
        <v>1944171.65</v>
      </c>
    </row>
    <row r="16" spans="1:11" s="265" customFormat="1" ht="18" customHeight="1" x14ac:dyDescent="0.2">
      <c r="A16" s="266" t="s">
        <v>166</v>
      </c>
      <c r="B16" s="283">
        <v>24510</v>
      </c>
      <c r="C16" s="283">
        <v>277</v>
      </c>
      <c r="D16" s="283">
        <v>30764</v>
      </c>
      <c r="E16" s="290">
        <v>1790175.67</v>
      </c>
      <c r="F16" s="301">
        <v>17579016.796999998</v>
      </c>
      <c r="G16" s="283">
        <v>12455</v>
      </c>
      <c r="H16" s="283">
        <v>599</v>
      </c>
      <c r="I16" s="283">
        <v>19359</v>
      </c>
      <c r="J16" s="290">
        <v>353244.76</v>
      </c>
      <c r="K16" s="290">
        <v>1913504.95</v>
      </c>
    </row>
    <row r="17" spans="1:11" s="265" customFormat="1" ht="18" customHeight="1" x14ac:dyDescent="0.2">
      <c r="A17" s="266" t="s">
        <v>167</v>
      </c>
      <c r="B17" s="283">
        <v>25233</v>
      </c>
      <c r="C17" s="283">
        <v>277</v>
      </c>
      <c r="D17" s="283">
        <v>30741</v>
      </c>
      <c r="E17" s="290">
        <v>1867407.56</v>
      </c>
      <c r="F17" s="301">
        <v>18680372.414999999</v>
      </c>
      <c r="G17" s="283">
        <v>12757</v>
      </c>
      <c r="H17" s="283">
        <v>597</v>
      </c>
      <c r="I17" s="283">
        <v>19460</v>
      </c>
      <c r="J17" s="290">
        <v>361876.12</v>
      </c>
      <c r="K17" s="290">
        <v>2079693.49</v>
      </c>
    </row>
    <row r="18" spans="1:11" s="265" customFormat="1" ht="18.75" customHeight="1" x14ac:dyDescent="0.2">
      <c r="A18" s="471" t="s">
        <v>749</v>
      </c>
      <c r="B18" s="471"/>
      <c r="C18" s="471"/>
      <c r="D18" s="471"/>
      <c r="E18" s="471"/>
      <c r="F18" s="471"/>
      <c r="G18" s="471"/>
      <c r="H18" s="471"/>
    </row>
    <row r="19" spans="1:11" s="265" customFormat="1" ht="18" customHeight="1" x14ac:dyDescent="0.2">
      <c r="A19" s="353" t="s">
        <v>750</v>
      </c>
      <c r="B19" s="353"/>
      <c r="C19" s="353"/>
      <c r="D19" s="353"/>
      <c r="E19" s="353"/>
      <c r="F19" s="353"/>
      <c r="G19" s="353"/>
      <c r="H19" s="353"/>
    </row>
    <row r="20" spans="1:11" s="265" customFormat="1" ht="18" customHeight="1" x14ac:dyDescent="0.2">
      <c r="A20" s="353" t="s">
        <v>742</v>
      </c>
      <c r="B20" s="353"/>
      <c r="C20" s="353"/>
      <c r="D20" s="353"/>
      <c r="E20" s="353"/>
      <c r="F20" s="353"/>
      <c r="G20" s="353"/>
      <c r="H20" s="353"/>
    </row>
    <row r="21" spans="1:11" s="265" customFormat="1" ht="28.35" customHeight="1" x14ac:dyDescent="0.2"/>
  </sheetData>
  <mergeCells count="7">
    <mergeCell ref="A20:H20"/>
    <mergeCell ref="A1:J1"/>
    <mergeCell ref="A2:A3"/>
    <mergeCell ref="B2:F2"/>
    <mergeCell ref="G2:K2"/>
    <mergeCell ref="A18:H18"/>
    <mergeCell ref="A19:H19"/>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pageSetUpPr fitToPage="1"/>
  </sheetPr>
  <dimension ref="A1:J20"/>
  <sheetViews>
    <sheetView workbookViewId="0"/>
  </sheetViews>
  <sheetFormatPr defaultRowHeight="12.75" x14ac:dyDescent="0.2"/>
  <cols>
    <col min="1" max="1" width="27.85546875" style="262" bestFit="1" customWidth="1"/>
    <col min="2" max="2" width="14.7109375" style="262" bestFit="1" customWidth="1"/>
    <col min="3" max="10" width="13.5703125" style="262" bestFit="1" customWidth="1"/>
    <col min="11" max="11" width="4.7109375" style="262" bestFit="1" customWidth="1"/>
    <col min="12" max="256" width="9.140625" style="262"/>
    <col min="257" max="257" width="27.85546875" style="262" bestFit="1" customWidth="1"/>
    <col min="258" max="258" width="14.7109375" style="262" bestFit="1" customWidth="1"/>
    <col min="259" max="266" width="13.5703125" style="262" bestFit="1" customWidth="1"/>
    <col min="267" max="267" width="4.7109375" style="262" bestFit="1" customWidth="1"/>
    <col min="268" max="512" width="9.140625" style="262"/>
    <col min="513" max="513" width="27.85546875" style="262" bestFit="1" customWidth="1"/>
    <col min="514" max="514" width="14.7109375" style="262" bestFit="1" customWidth="1"/>
    <col min="515" max="522" width="13.5703125" style="262" bestFit="1" customWidth="1"/>
    <col min="523" max="523" width="4.7109375" style="262" bestFit="1" customWidth="1"/>
    <col min="524" max="768" width="9.140625" style="262"/>
    <col min="769" max="769" width="27.85546875" style="262" bestFit="1" customWidth="1"/>
    <col min="770" max="770" width="14.7109375" style="262" bestFit="1" customWidth="1"/>
    <col min="771" max="778" width="13.5703125" style="262" bestFit="1" customWidth="1"/>
    <col min="779" max="779" width="4.7109375" style="262" bestFit="1" customWidth="1"/>
    <col min="780" max="1024" width="9.140625" style="262"/>
    <col min="1025" max="1025" width="27.85546875" style="262" bestFit="1" customWidth="1"/>
    <col min="1026" max="1026" width="14.7109375" style="262" bestFit="1" customWidth="1"/>
    <col min="1027" max="1034" width="13.5703125" style="262" bestFit="1" customWidth="1"/>
    <col min="1035" max="1035" width="4.7109375" style="262" bestFit="1" customWidth="1"/>
    <col min="1036" max="1280" width="9.140625" style="262"/>
    <col min="1281" max="1281" width="27.85546875" style="262" bestFit="1" customWidth="1"/>
    <col min="1282" max="1282" width="14.7109375" style="262" bestFit="1" customWidth="1"/>
    <col min="1283" max="1290" width="13.5703125" style="262" bestFit="1" customWidth="1"/>
    <col min="1291" max="1291" width="4.7109375" style="262" bestFit="1" customWidth="1"/>
    <col min="1292" max="1536" width="9.140625" style="262"/>
    <col min="1537" max="1537" width="27.85546875" style="262" bestFit="1" customWidth="1"/>
    <col min="1538" max="1538" width="14.7109375" style="262" bestFit="1" customWidth="1"/>
    <col min="1539" max="1546" width="13.5703125" style="262" bestFit="1" customWidth="1"/>
    <col min="1547" max="1547" width="4.7109375" style="262" bestFit="1" customWidth="1"/>
    <col min="1548" max="1792" width="9.140625" style="262"/>
    <col min="1793" max="1793" width="27.85546875" style="262" bestFit="1" customWidth="1"/>
    <col min="1794" max="1794" width="14.7109375" style="262" bestFit="1" customWidth="1"/>
    <col min="1795" max="1802" width="13.5703125" style="262" bestFit="1" customWidth="1"/>
    <col min="1803" max="1803" width="4.7109375" style="262" bestFit="1" customWidth="1"/>
    <col min="1804" max="2048" width="9.140625" style="262"/>
    <col min="2049" max="2049" width="27.85546875" style="262" bestFit="1" customWidth="1"/>
    <col min="2050" max="2050" width="14.7109375" style="262" bestFit="1" customWidth="1"/>
    <col min="2051" max="2058" width="13.5703125" style="262" bestFit="1" customWidth="1"/>
    <col min="2059" max="2059" width="4.7109375" style="262" bestFit="1" customWidth="1"/>
    <col min="2060" max="2304" width="9.140625" style="262"/>
    <col min="2305" max="2305" width="27.85546875" style="262" bestFit="1" customWidth="1"/>
    <col min="2306" max="2306" width="14.7109375" style="262" bestFit="1" customWidth="1"/>
    <col min="2307" max="2314" width="13.5703125" style="262" bestFit="1" customWidth="1"/>
    <col min="2315" max="2315" width="4.7109375" style="262" bestFit="1" customWidth="1"/>
    <col min="2316" max="2560" width="9.140625" style="262"/>
    <col min="2561" max="2561" width="27.85546875" style="262" bestFit="1" customWidth="1"/>
    <col min="2562" max="2562" width="14.7109375" style="262" bestFit="1" customWidth="1"/>
    <col min="2563" max="2570" width="13.5703125" style="262" bestFit="1" customWidth="1"/>
    <col min="2571" max="2571" width="4.7109375" style="262" bestFit="1" customWidth="1"/>
    <col min="2572" max="2816" width="9.140625" style="262"/>
    <col min="2817" max="2817" width="27.85546875" style="262" bestFit="1" customWidth="1"/>
    <col min="2818" max="2818" width="14.7109375" style="262" bestFit="1" customWidth="1"/>
    <col min="2819" max="2826" width="13.5703125" style="262" bestFit="1" customWidth="1"/>
    <col min="2827" max="2827" width="4.7109375" style="262" bestFit="1" customWidth="1"/>
    <col min="2828" max="3072" width="9.140625" style="262"/>
    <col min="3073" max="3073" width="27.85546875" style="262" bestFit="1" customWidth="1"/>
    <col min="3074" max="3074" width="14.7109375" style="262" bestFit="1" customWidth="1"/>
    <col min="3075" max="3082" width="13.5703125" style="262" bestFit="1" customWidth="1"/>
    <col min="3083" max="3083" width="4.7109375" style="262" bestFit="1" customWidth="1"/>
    <col min="3084" max="3328" width="9.140625" style="262"/>
    <col min="3329" max="3329" width="27.85546875" style="262" bestFit="1" customWidth="1"/>
    <col min="3330" max="3330" width="14.7109375" style="262" bestFit="1" customWidth="1"/>
    <col min="3331" max="3338" width="13.5703125" style="262" bestFit="1" customWidth="1"/>
    <col min="3339" max="3339" width="4.7109375" style="262" bestFit="1" customWidth="1"/>
    <col min="3340" max="3584" width="9.140625" style="262"/>
    <col min="3585" max="3585" width="27.85546875" style="262" bestFit="1" customWidth="1"/>
    <col min="3586" max="3586" width="14.7109375" style="262" bestFit="1" customWidth="1"/>
    <col min="3587" max="3594" width="13.5703125" style="262" bestFit="1" customWidth="1"/>
    <col min="3595" max="3595" width="4.7109375" style="262" bestFit="1" customWidth="1"/>
    <col min="3596" max="3840" width="9.140625" style="262"/>
    <col min="3841" max="3841" width="27.85546875" style="262" bestFit="1" customWidth="1"/>
    <col min="3842" max="3842" width="14.7109375" style="262" bestFit="1" customWidth="1"/>
    <col min="3843" max="3850" width="13.5703125" style="262" bestFit="1" customWidth="1"/>
    <col min="3851" max="3851" width="4.7109375" style="262" bestFit="1" customWidth="1"/>
    <col min="3852" max="4096" width="9.140625" style="262"/>
    <col min="4097" max="4097" width="27.85546875" style="262" bestFit="1" customWidth="1"/>
    <col min="4098" max="4098" width="14.7109375" style="262" bestFit="1" customWidth="1"/>
    <col min="4099" max="4106" width="13.5703125" style="262" bestFit="1" customWidth="1"/>
    <col min="4107" max="4107" width="4.7109375" style="262" bestFit="1" customWidth="1"/>
    <col min="4108" max="4352" width="9.140625" style="262"/>
    <col min="4353" max="4353" width="27.85546875" style="262" bestFit="1" customWidth="1"/>
    <col min="4354" max="4354" width="14.7109375" style="262" bestFit="1" customWidth="1"/>
    <col min="4355" max="4362" width="13.5703125" style="262" bestFit="1" customWidth="1"/>
    <col min="4363" max="4363" width="4.7109375" style="262" bestFit="1" customWidth="1"/>
    <col min="4364" max="4608" width="9.140625" style="262"/>
    <col min="4609" max="4609" width="27.85546875" style="262" bestFit="1" customWidth="1"/>
    <col min="4610" max="4610" width="14.7109375" style="262" bestFit="1" customWidth="1"/>
    <col min="4611" max="4618" width="13.5703125" style="262" bestFit="1" customWidth="1"/>
    <col min="4619" max="4619" width="4.7109375" style="262" bestFit="1" customWidth="1"/>
    <col min="4620" max="4864" width="9.140625" style="262"/>
    <col min="4865" max="4865" width="27.85546875" style="262" bestFit="1" customWidth="1"/>
    <col min="4866" max="4866" width="14.7109375" style="262" bestFit="1" customWidth="1"/>
    <col min="4867" max="4874" width="13.5703125" style="262" bestFit="1" customWidth="1"/>
    <col min="4875" max="4875" width="4.7109375" style="262" bestFit="1" customWidth="1"/>
    <col min="4876" max="5120" width="9.140625" style="262"/>
    <col min="5121" max="5121" width="27.85546875" style="262" bestFit="1" customWidth="1"/>
    <col min="5122" max="5122" width="14.7109375" style="262" bestFit="1" customWidth="1"/>
    <col min="5123" max="5130" width="13.5703125" style="262" bestFit="1" customWidth="1"/>
    <col min="5131" max="5131" width="4.7109375" style="262" bestFit="1" customWidth="1"/>
    <col min="5132" max="5376" width="9.140625" style="262"/>
    <col min="5377" max="5377" width="27.85546875" style="262" bestFit="1" customWidth="1"/>
    <col min="5378" max="5378" width="14.7109375" style="262" bestFit="1" customWidth="1"/>
    <col min="5379" max="5386" width="13.5703125" style="262" bestFit="1" customWidth="1"/>
    <col min="5387" max="5387" width="4.7109375" style="262" bestFit="1" customWidth="1"/>
    <col min="5388" max="5632" width="9.140625" style="262"/>
    <col min="5633" max="5633" width="27.85546875" style="262" bestFit="1" customWidth="1"/>
    <col min="5634" max="5634" width="14.7109375" style="262" bestFit="1" customWidth="1"/>
    <col min="5635" max="5642" width="13.5703125" style="262" bestFit="1" customWidth="1"/>
    <col min="5643" max="5643" width="4.7109375" style="262" bestFit="1" customWidth="1"/>
    <col min="5644" max="5888" width="9.140625" style="262"/>
    <col min="5889" max="5889" width="27.85546875" style="262" bestFit="1" customWidth="1"/>
    <col min="5890" max="5890" width="14.7109375" style="262" bestFit="1" customWidth="1"/>
    <col min="5891" max="5898" width="13.5703125" style="262" bestFit="1" customWidth="1"/>
    <col min="5899" max="5899" width="4.7109375" style="262" bestFit="1" customWidth="1"/>
    <col min="5900" max="6144" width="9.140625" style="262"/>
    <col min="6145" max="6145" width="27.85546875" style="262" bestFit="1" customWidth="1"/>
    <col min="6146" max="6146" width="14.7109375" style="262" bestFit="1" customWidth="1"/>
    <col min="6147" max="6154" width="13.5703125" style="262" bestFit="1" customWidth="1"/>
    <col min="6155" max="6155" width="4.7109375" style="262" bestFit="1" customWidth="1"/>
    <col min="6156" max="6400" width="9.140625" style="262"/>
    <col min="6401" max="6401" width="27.85546875" style="262" bestFit="1" customWidth="1"/>
    <col min="6402" max="6402" width="14.7109375" style="262" bestFit="1" customWidth="1"/>
    <col min="6403" max="6410" width="13.5703125" style="262" bestFit="1" customWidth="1"/>
    <col min="6411" max="6411" width="4.7109375" style="262" bestFit="1" customWidth="1"/>
    <col min="6412" max="6656" width="9.140625" style="262"/>
    <col min="6657" max="6657" width="27.85546875" style="262" bestFit="1" customWidth="1"/>
    <col min="6658" max="6658" width="14.7109375" style="262" bestFit="1" customWidth="1"/>
    <col min="6659" max="6666" width="13.5703125" style="262" bestFit="1" customWidth="1"/>
    <col min="6667" max="6667" width="4.7109375" style="262" bestFit="1" customWidth="1"/>
    <col min="6668" max="6912" width="9.140625" style="262"/>
    <col min="6913" max="6913" width="27.85546875" style="262" bestFit="1" customWidth="1"/>
    <col min="6914" max="6914" width="14.7109375" style="262" bestFit="1" customWidth="1"/>
    <col min="6915" max="6922" width="13.5703125" style="262" bestFit="1" customWidth="1"/>
    <col min="6923" max="6923" width="4.7109375" style="262" bestFit="1" customWidth="1"/>
    <col min="6924" max="7168" width="9.140625" style="262"/>
    <col min="7169" max="7169" width="27.85546875" style="262" bestFit="1" customWidth="1"/>
    <col min="7170" max="7170" width="14.7109375" style="262" bestFit="1" customWidth="1"/>
    <col min="7171" max="7178" width="13.5703125" style="262" bestFit="1" customWidth="1"/>
    <col min="7179" max="7179" width="4.7109375" style="262" bestFit="1" customWidth="1"/>
    <col min="7180" max="7424" width="9.140625" style="262"/>
    <col min="7425" max="7425" width="27.85546875" style="262" bestFit="1" customWidth="1"/>
    <col min="7426" max="7426" width="14.7109375" style="262" bestFit="1" customWidth="1"/>
    <col min="7427" max="7434" width="13.5703125" style="262" bestFit="1" customWidth="1"/>
    <col min="7435" max="7435" width="4.7109375" style="262" bestFit="1" customWidth="1"/>
    <col min="7436" max="7680" width="9.140625" style="262"/>
    <col min="7681" max="7681" width="27.85546875" style="262" bestFit="1" customWidth="1"/>
    <col min="7682" max="7682" width="14.7109375" style="262" bestFit="1" customWidth="1"/>
    <col min="7683" max="7690" width="13.5703125" style="262" bestFit="1" customWidth="1"/>
    <col min="7691" max="7691" width="4.7109375" style="262" bestFit="1" customWidth="1"/>
    <col min="7692" max="7936" width="9.140625" style="262"/>
    <col min="7937" max="7937" width="27.85546875" style="262" bestFit="1" customWidth="1"/>
    <col min="7938" max="7938" width="14.7109375" style="262" bestFit="1" customWidth="1"/>
    <col min="7939" max="7946" width="13.5703125" style="262" bestFit="1" customWidth="1"/>
    <col min="7947" max="7947" width="4.7109375" style="262" bestFit="1" customWidth="1"/>
    <col min="7948" max="8192" width="9.140625" style="262"/>
    <col min="8193" max="8193" width="27.85546875" style="262" bestFit="1" customWidth="1"/>
    <col min="8194" max="8194" width="14.7109375" style="262" bestFit="1" customWidth="1"/>
    <col min="8195" max="8202" width="13.5703125" style="262" bestFit="1" customWidth="1"/>
    <col min="8203" max="8203" width="4.7109375" style="262" bestFit="1" customWidth="1"/>
    <col min="8204" max="8448" width="9.140625" style="262"/>
    <col min="8449" max="8449" width="27.85546875" style="262" bestFit="1" customWidth="1"/>
    <col min="8450" max="8450" width="14.7109375" style="262" bestFit="1" customWidth="1"/>
    <col min="8451" max="8458" width="13.5703125" style="262" bestFit="1" customWidth="1"/>
    <col min="8459" max="8459" width="4.7109375" style="262" bestFit="1" customWidth="1"/>
    <col min="8460" max="8704" width="9.140625" style="262"/>
    <col min="8705" max="8705" width="27.85546875" style="262" bestFit="1" customWidth="1"/>
    <col min="8706" max="8706" width="14.7109375" style="262" bestFit="1" customWidth="1"/>
    <col min="8707" max="8714" width="13.5703125" style="262" bestFit="1" customWidth="1"/>
    <col min="8715" max="8715" width="4.7109375" style="262" bestFit="1" customWidth="1"/>
    <col min="8716" max="8960" width="9.140625" style="262"/>
    <col min="8961" max="8961" width="27.85546875" style="262" bestFit="1" customWidth="1"/>
    <col min="8962" max="8962" width="14.7109375" style="262" bestFit="1" customWidth="1"/>
    <col min="8963" max="8970" width="13.5703125" style="262" bestFit="1" customWidth="1"/>
    <col min="8971" max="8971" width="4.7109375" style="262" bestFit="1" customWidth="1"/>
    <col min="8972" max="9216" width="9.140625" style="262"/>
    <col min="9217" max="9217" width="27.85546875" style="262" bestFit="1" customWidth="1"/>
    <col min="9218" max="9218" width="14.7109375" style="262" bestFit="1" customWidth="1"/>
    <col min="9219" max="9226" width="13.5703125" style="262" bestFit="1" customWidth="1"/>
    <col min="9227" max="9227" width="4.7109375" style="262" bestFit="1" customWidth="1"/>
    <col min="9228" max="9472" width="9.140625" style="262"/>
    <col min="9473" max="9473" width="27.85546875" style="262" bestFit="1" customWidth="1"/>
    <col min="9474" max="9474" width="14.7109375" style="262" bestFit="1" customWidth="1"/>
    <col min="9475" max="9482" width="13.5703125" style="262" bestFit="1" customWidth="1"/>
    <col min="9483" max="9483" width="4.7109375" style="262" bestFit="1" customWidth="1"/>
    <col min="9484" max="9728" width="9.140625" style="262"/>
    <col min="9729" max="9729" width="27.85546875" style="262" bestFit="1" customWidth="1"/>
    <col min="9730" max="9730" width="14.7109375" style="262" bestFit="1" customWidth="1"/>
    <col min="9731" max="9738" width="13.5703125" style="262" bestFit="1" customWidth="1"/>
    <col min="9739" max="9739" width="4.7109375" style="262" bestFit="1" customWidth="1"/>
    <col min="9740" max="9984" width="9.140625" style="262"/>
    <col min="9985" max="9985" width="27.85546875" style="262" bestFit="1" customWidth="1"/>
    <col min="9986" max="9986" width="14.7109375" style="262" bestFit="1" customWidth="1"/>
    <col min="9987" max="9994" width="13.5703125" style="262" bestFit="1" customWidth="1"/>
    <col min="9995" max="9995" width="4.7109375" style="262" bestFit="1" customWidth="1"/>
    <col min="9996" max="10240" width="9.140625" style="262"/>
    <col min="10241" max="10241" width="27.85546875" style="262" bestFit="1" customWidth="1"/>
    <col min="10242" max="10242" width="14.7109375" style="262" bestFit="1" customWidth="1"/>
    <col min="10243" max="10250" width="13.5703125" style="262" bestFit="1" customWidth="1"/>
    <col min="10251" max="10251" width="4.7109375" style="262" bestFit="1" customWidth="1"/>
    <col min="10252" max="10496" width="9.140625" style="262"/>
    <col min="10497" max="10497" width="27.85546875" style="262" bestFit="1" customWidth="1"/>
    <col min="10498" max="10498" width="14.7109375" style="262" bestFit="1" customWidth="1"/>
    <col min="10499" max="10506" width="13.5703125" style="262" bestFit="1" customWidth="1"/>
    <col min="10507" max="10507" width="4.7109375" style="262" bestFit="1" customWidth="1"/>
    <col min="10508" max="10752" width="9.140625" style="262"/>
    <col min="10753" max="10753" width="27.85546875" style="262" bestFit="1" customWidth="1"/>
    <col min="10754" max="10754" width="14.7109375" style="262" bestFit="1" customWidth="1"/>
    <col min="10755" max="10762" width="13.5703125" style="262" bestFit="1" customWidth="1"/>
    <col min="10763" max="10763" width="4.7109375" style="262" bestFit="1" customWidth="1"/>
    <col min="10764" max="11008" width="9.140625" style="262"/>
    <col min="11009" max="11009" width="27.85546875" style="262" bestFit="1" customWidth="1"/>
    <col min="11010" max="11010" width="14.7109375" style="262" bestFit="1" customWidth="1"/>
    <col min="11011" max="11018" width="13.5703125" style="262" bestFit="1" customWidth="1"/>
    <col min="11019" max="11019" width="4.7109375" style="262" bestFit="1" customWidth="1"/>
    <col min="11020" max="11264" width="9.140625" style="262"/>
    <col min="11265" max="11265" width="27.85546875" style="262" bestFit="1" customWidth="1"/>
    <col min="11266" max="11266" width="14.7109375" style="262" bestFit="1" customWidth="1"/>
    <col min="11267" max="11274" width="13.5703125" style="262" bestFit="1" customWidth="1"/>
    <col min="11275" max="11275" width="4.7109375" style="262" bestFit="1" customWidth="1"/>
    <col min="11276" max="11520" width="9.140625" style="262"/>
    <col min="11521" max="11521" width="27.85546875" style="262" bestFit="1" customWidth="1"/>
    <col min="11522" max="11522" width="14.7109375" style="262" bestFit="1" customWidth="1"/>
    <col min="11523" max="11530" width="13.5703125" style="262" bestFit="1" customWidth="1"/>
    <col min="11531" max="11531" width="4.7109375" style="262" bestFit="1" customWidth="1"/>
    <col min="11532" max="11776" width="9.140625" style="262"/>
    <col min="11777" max="11777" width="27.85546875" style="262" bestFit="1" customWidth="1"/>
    <col min="11778" max="11778" width="14.7109375" style="262" bestFit="1" customWidth="1"/>
    <col min="11779" max="11786" width="13.5703125" style="262" bestFit="1" customWidth="1"/>
    <col min="11787" max="11787" width="4.7109375" style="262" bestFit="1" customWidth="1"/>
    <col min="11788" max="12032" width="9.140625" style="262"/>
    <col min="12033" max="12033" width="27.85546875" style="262" bestFit="1" customWidth="1"/>
    <col min="12034" max="12034" width="14.7109375" style="262" bestFit="1" customWidth="1"/>
    <col min="12035" max="12042" width="13.5703125" style="262" bestFit="1" customWidth="1"/>
    <col min="12043" max="12043" width="4.7109375" style="262" bestFit="1" customWidth="1"/>
    <col min="12044" max="12288" width="9.140625" style="262"/>
    <col min="12289" max="12289" width="27.85546875" style="262" bestFit="1" customWidth="1"/>
    <col min="12290" max="12290" width="14.7109375" style="262" bestFit="1" customWidth="1"/>
    <col min="12291" max="12298" width="13.5703125" style="262" bestFit="1" customWidth="1"/>
    <col min="12299" max="12299" width="4.7109375" style="262" bestFit="1" customWidth="1"/>
    <col min="12300" max="12544" width="9.140625" style="262"/>
    <col min="12545" max="12545" width="27.85546875" style="262" bestFit="1" customWidth="1"/>
    <col min="12546" max="12546" width="14.7109375" style="262" bestFit="1" customWidth="1"/>
    <col min="12547" max="12554" width="13.5703125" style="262" bestFit="1" customWidth="1"/>
    <col min="12555" max="12555" width="4.7109375" style="262" bestFit="1" customWidth="1"/>
    <col min="12556" max="12800" width="9.140625" style="262"/>
    <col min="12801" max="12801" width="27.85546875" style="262" bestFit="1" customWidth="1"/>
    <col min="12802" max="12802" width="14.7109375" style="262" bestFit="1" customWidth="1"/>
    <col min="12803" max="12810" width="13.5703125" style="262" bestFit="1" customWidth="1"/>
    <col min="12811" max="12811" width="4.7109375" style="262" bestFit="1" customWidth="1"/>
    <col min="12812" max="13056" width="9.140625" style="262"/>
    <col min="13057" max="13057" width="27.85546875" style="262" bestFit="1" customWidth="1"/>
    <col min="13058" max="13058" width="14.7109375" style="262" bestFit="1" customWidth="1"/>
    <col min="13059" max="13066" width="13.5703125" style="262" bestFit="1" customWidth="1"/>
    <col min="13067" max="13067" width="4.7109375" style="262" bestFit="1" customWidth="1"/>
    <col min="13068" max="13312" width="9.140625" style="262"/>
    <col min="13313" max="13313" width="27.85546875" style="262" bestFit="1" customWidth="1"/>
    <col min="13314" max="13314" width="14.7109375" style="262" bestFit="1" customWidth="1"/>
    <col min="13315" max="13322" width="13.5703125" style="262" bestFit="1" customWidth="1"/>
    <col min="13323" max="13323" width="4.7109375" style="262" bestFit="1" customWidth="1"/>
    <col min="13324" max="13568" width="9.140625" style="262"/>
    <col min="13569" max="13569" width="27.85546875" style="262" bestFit="1" customWidth="1"/>
    <col min="13570" max="13570" width="14.7109375" style="262" bestFit="1" customWidth="1"/>
    <col min="13571" max="13578" width="13.5703125" style="262" bestFit="1" customWidth="1"/>
    <col min="13579" max="13579" width="4.7109375" style="262" bestFit="1" customWidth="1"/>
    <col min="13580" max="13824" width="9.140625" style="262"/>
    <col min="13825" max="13825" width="27.85546875" style="262" bestFit="1" customWidth="1"/>
    <col min="13826" max="13826" width="14.7109375" style="262" bestFit="1" customWidth="1"/>
    <col min="13827" max="13834" width="13.5703125" style="262" bestFit="1" customWidth="1"/>
    <col min="13835" max="13835" width="4.7109375" style="262" bestFit="1" customWidth="1"/>
    <col min="13836" max="14080" width="9.140625" style="262"/>
    <col min="14081" max="14081" width="27.85546875" style="262" bestFit="1" customWidth="1"/>
    <col min="14082" max="14082" width="14.7109375" style="262" bestFit="1" customWidth="1"/>
    <col min="14083" max="14090" width="13.5703125" style="262" bestFit="1" customWidth="1"/>
    <col min="14091" max="14091" width="4.7109375" style="262" bestFit="1" customWidth="1"/>
    <col min="14092" max="14336" width="9.140625" style="262"/>
    <col min="14337" max="14337" width="27.85546875" style="262" bestFit="1" customWidth="1"/>
    <col min="14338" max="14338" width="14.7109375" style="262" bestFit="1" customWidth="1"/>
    <col min="14339" max="14346" width="13.5703125" style="262" bestFit="1" customWidth="1"/>
    <col min="14347" max="14347" width="4.7109375" style="262" bestFit="1" customWidth="1"/>
    <col min="14348" max="14592" width="9.140625" style="262"/>
    <col min="14593" max="14593" width="27.85546875" style="262" bestFit="1" customWidth="1"/>
    <col min="14594" max="14594" width="14.7109375" style="262" bestFit="1" customWidth="1"/>
    <col min="14595" max="14602" width="13.5703125" style="262" bestFit="1" customWidth="1"/>
    <col min="14603" max="14603" width="4.7109375" style="262" bestFit="1" customWidth="1"/>
    <col min="14604" max="14848" width="9.140625" style="262"/>
    <col min="14849" max="14849" width="27.85546875" style="262" bestFit="1" customWidth="1"/>
    <col min="14850" max="14850" width="14.7109375" style="262" bestFit="1" customWidth="1"/>
    <col min="14851" max="14858" width="13.5703125" style="262" bestFit="1" customWidth="1"/>
    <col min="14859" max="14859" width="4.7109375" style="262" bestFit="1" customWidth="1"/>
    <col min="14860" max="15104" width="9.140625" style="262"/>
    <col min="15105" max="15105" width="27.85546875" style="262" bestFit="1" customWidth="1"/>
    <col min="15106" max="15106" width="14.7109375" style="262" bestFit="1" customWidth="1"/>
    <col min="15107" max="15114" width="13.5703125" style="262" bestFit="1" customWidth="1"/>
    <col min="15115" max="15115" width="4.7109375" style="262" bestFit="1" customWidth="1"/>
    <col min="15116" max="15360" width="9.140625" style="262"/>
    <col min="15361" max="15361" width="27.85546875" style="262" bestFit="1" customWidth="1"/>
    <col min="15362" max="15362" width="14.7109375" style="262" bestFit="1" customWidth="1"/>
    <col min="15363" max="15370" width="13.5703125" style="262" bestFit="1" customWidth="1"/>
    <col min="15371" max="15371" width="4.7109375" style="262" bestFit="1" customWidth="1"/>
    <col min="15372" max="15616" width="9.140625" style="262"/>
    <col min="15617" max="15617" width="27.85546875" style="262" bestFit="1" customWidth="1"/>
    <col min="15618" max="15618" width="14.7109375" style="262" bestFit="1" customWidth="1"/>
    <col min="15619" max="15626" width="13.5703125" style="262" bestFit="1" customWidth="1"/>
    <col min="15627" max="15627" width="4.7109375" style="262" bestFit="1" customWidth="1"/>
    <col min="15628" max="15872" width="9.140625" style="262"/>
    <col min="15873" max="15873" width="27.85546875" style="262" bestFit="1" customWidth="1"/>
    <col min="15874" max="15874" width="14.7109375" style="262" bestFit="1" customWidth="1"/>
    <col min="15875" max="15882" width="13.5703125" style="262" bestFit="1" customWidth="1"/>
    <col min="15883" max="15883" width="4.7109375" style="262" bestFit="1" customWidth="1"/>
    <col min="15884" max="16128" width="9.140625" style="262"/>
    <col min="16129" max="16129" width="27.85546875" style="262" bestFit="1" customWidth="1"/>
    <col min="16130" max="16130" width="14.7109375" style="262" bestFit="1" customWidth="1"/>
    <col min="16131" max="16138" width="13.5703125" style="262" bestFit="1" customWidth="1"/>
    <col min="16139" max="16139" width="4.7109375" style="262" bestFit="1" customWidth="1"/>
    <col min="16140" max="16384" width="9.140625" style="262"/>
  </cols>
  <sheetData>
    <row r="1" spans="1:10" ht="15.75" customHeight="1" x14ac:dyDescent="0.2">
      <c r="A1" s="342" t="s">
        <v>751</v>
      </c>
    </row>
    <row r="2" spans="1:10" s="265" customFormat="1" ht="18" customHeight="1" x14ac:dyDescent="0.2">
      <c r="A2" s="363" t="s">
        <v>703</v>
      </c>
      <c r="B2" s="363" t="s">
        <v>716</v>
      </c>
      <c r="C2" s="375" t="s">
        <v>177</v>
      </c>
      <c r="D2" s="377"/>
      <c r="E2" s="375" t="s">
        <v>120</v>
      </c>
      <c r="F2" s="377"/>
      <c r="G2" s="375" t="s">
        <v>336</v>
      </c>
      <c r="H2" s="377"/>
      <c r="I2" s="375" t="s">
        <v>150</v>
      </c>
      <c r="J2" s="377"/>
    </row>
    <row r="3" spans="1:10" s="265" customFormat="1" ht="16.5" customHeight="1" x14ac:dyDescent="0.2">
      <c r="A3" s="365"/>
      <c r="B3" s="365"/>
      <c r="C3" s="263" t="s">
        <v>173</v>
      </c>
      <c r="D3" s="263" t="s">
        <v>752</v>
      </c>
      <c r="E3" s="263" t="s">
        <v>173</v>
      </c>
      <c r="F3" s="263" t="s">
        <v>752</v>
      </c>
      <c r="G3" s="263" t="s">
        <v>173</v>
      </c>
      <c r="H3" s="263" t="s">
        <v>752</v>
      </c>
      <c r="I3" s="263" t="s">
        <v>173</v>
      </c>
      <c r="J3" s="263" t="s">
        <v>752</v>
      </c>
    </row>
    <row r="4" spans="1:10" s="265" customFormat="1" ht="18" customHeight="1" x14ac:dyDescent="0.2">
      <c r="A4" s="472" t="s">
        <v>717</v>
      </c>
      <c r="B4" s="473"/>
      <c r="C4" s="473"/>
      <c r="D4" s="473"/>
      <c r="E4" s="473"/>
      <c r="F4" s="473"/>
      <c r="G4" s="473"/>
      <c r="H4" s="473"/>
      <c r="I4" s="473"/>
      <c r="J4" s="474"/>
    </row>
    <row r="5" spans="1:10" s="265" customFormat="1" ht="27" customHeight="1" x14ac:dyDescent="0.2">
      <c r="A5" s="272" t="s">
        <v>753</v>
      </c>
      <c r="B5" s="293" t="s">
        <v>754</v>
      </c>
      <c r="C5" s="267">
        <v>711</v>
      </c>
      <c r="D5" s="267">
        <v>1835</v>
      </c>
      <c r="E5" s="267">
        <v>6150</v>
      </c>
      <c r="F5" s="267">
        <v>15816</v>
      </c>
      <c r="G5" s="267">
        <v>69</v>
      </c>
      <c r="H5" s="267">
        <v>4563</v>
      </c>
      <c r="I5" s="267">
        <v>6930</v>
      </c>
      <c r="J5" s="267">
        <v>22214</v>
      </c>
    </row>
    <row r="6" spans="1:10" s="265" customFormat="1" ht="15" customHeight="1" x14ac:dyDescent="0.2">
      <c r="A6" s="272" t="s">
        <v>755</v>
      </c>
      <c r="B6" s="293" t="s">
        <v>754</v>
      </c>
      <c r="C6" s="267">
        <v>10737</v>
      </c>
      <c r="D6" s="267">
        <v>6343</v>
      </c>
      <c r="E6" s="267">
        <v>12494</v>
      </c>
      <c r="F6" s="267">
        <v>16485</v>
      </c>
      <c r="G6" s="267">
        <v>8480</v>
      </c>
      <c r="H6" s="267">
        <v>32583</v>
      </c>
      <c r="I6" s="267">
        <v>31711</v>
      </c>
      <c r="J6" s="267">
        <v>55411</v>
      </c>
    </row>
    <row r="7" spans="1:10" s="265" customFormat="1" ht="15" customHeight="1" x14ac:dyDescent="0.2">
      <c r="A7" s="272" t="s">
        <v>756</v>
      </c>
      <c r="B7" s="293" t="s">
        <v>757</v>
      </c>
      <c r="C7" s="303">
        <v>115278.05568999999</v>
      </c>
      <c r="D7" s="303">
        <v>476051.60113999998</v>
      </c>
      <c r="E7" s="303">
        <v>5315645.5826000003</v>
      </c>
      <c r="F7" s="303">
        <v>8545472.8582799993</v>
      </c>
      <c r="G7" s="303">
        <v>289901.59971912001</v>
      </c>
      <c r="H7" s="303">
        <v>3931725.8806848102</v>
      </c>
      <c r="I7" s="303">
        <v>5720825.2380091203</v>
      </c>
      <c r="J7" s="305">
        <v>12953250.3401048</v>
      </c>
    </row>
    <row r="8" spans="1:10" s="265" customFormat="1" ht="15" customHeight="1" x14ac:dyDescent="0.2">
      <c r="A8" s="272" t="s">
        <v>758</v>
      </c>
      <c r="B8" s="293" t="s">
        <v>759</v>
      </c>
      <c r="C8" s="303">
        <v>2597244.37363174</v>
      </c>
      <c r="D8" s="303">
        <v>537007.078501518</v>
      </c>
      <c r="E8" s="305">
        <v>13113009.9838295</v>
      </c>
      <c r="F8" s="303">
        <v>869500.741189286</v>
      </c>
      <c r="G8" s="303">
        <v>184761.19256903799</v>
      </c>
      <c r="H8" s="303">
        <v>1378849.04556</v>
      </c>
      <c r="I8" s="305">
        <v>15895015.5500302</v>
      </c>
      <c r="J8" s="303">
        <v>2785356.8652507998</v>
      </c>
    </row>
    <row r="9" spans="1:10" s="265" customFormat="1" ht="27" customHeight="1" x14ac:dyDescent="0.2">
      <c r="A9" s="272" t="s">
        <v>760</v>
      </c>
      <c r="B9" s="293" t="s">
        <v>761</v>
      </c>
      <c r="C9" s="267">
        <v>16758.792529999999</v>
      </c>
      <c r="D9" s="267">
        <v>17609.868900000001</v>
      </c>
      <c r="E9" s="303">
        <v>118380.19534000001</v>
      </c>
      <c r="F9" s="267">
        <v>42.022129999999997</v>
      </c>
      <c r="G9" s="267">
        <v>2669.66845018</v>
      </c>
      <c r="H9" s="267">
        <v>1358.6488009699999</v>
      </c>
      <c r="I9" s="303">
        <v>137808.65632017999</v>
      </c>
      <c r="J9" s="267">
        <v>19010.539830969999</v>
      </c>
    </row>
    <row r="10" spans="1:10" s="265" customFormat="1" ht="15" customHeight="1" x14ac:dyDescent="0.2">
      <c r="A10" s="272" t="s">
        <v>762</v>
      </c>
      <c r="B10" s="293" t="s">
        <v>763</v>
      </c>
      <c r="C10" s="303">
        <v>672140.43180440005</v>
      </c>
      <c r="D10" s="267">
        <v>74155.538086</v>
      </c>
      <c r="E10" s="303">
        <v>298773.52908228</v>
      </c>
      <c r="F10" s="267">
        <v>116.340191416</v>
      </c>
      <c r="G10" s="267">
        <v>2222.3822332609998</v>
      </c>
      <c r="H10" s="267">
        <v>323.10502751500002</v>
      </c>
      <c r="I10" s="303">
        <v>973136.34311994095</v>
      </c>
      <c r="J10" s="267">
        <v>74594.983304930996</v>
      </c>
    </row>
    <row r="11" spans="1:10" s="265" customFormat="1" ht="18" customHeight="1" x14ac:dyDescent="0.2">
      <c r="A11" s="472" t="s">
        <v>718</v>
      </c>
      <c r="B11" s="473"/>
      <c r="C11" s="473"/>
      <c r="D11" s="473"/>
      <c r="E11" s="473"/>
      <c r="F11" s="473"/>
      <c r="G11" s="473"/>
      <c r="H11" s="473"/>
      <c r="I11" s="473"/>
      <c r="J11" s="474"/>
    </row>
    <row r="12" spans="1:10" s="265" customFormat="1" ht="27" customHeight="1" x14ac:dyDescent="0.2">
      <c r="A12" s="272" t="s">
        <v>764</v>
      </c>
      <c r="B12" s="293" t="s">
        <v>754</v>
      </c>
      <c r="C12" s="283">
        <v>561</v>
      </c>
      <c r="D12" s="283">
        <v>402</v>
      </c>
      <c r="E12" s="283">
        <v>6407</v>
      </c>
      <c r="F12" s="283">
        <v>5915</v>
      </c>
      <c r="G12" s="283">
        <v>2537</v>
      </c>
      <c r="H12" s="283">
        <v>545</v>
      </c>
      <c r="I12" s="283">
        <v>9505</v>
      </c>
      <c r="J12" s="283">
        <v>6862</v>
      </c>
    </row>
    <row r="13" spans="1:10" s="265" customFormat="1" ht="15" customHeight="1" x14ac:dyDescent="0.2">
      <c r="A13" s="272" t="s">
        <v>765</v>
      </c>
      <c r="B13" s="293" t="s">
        <v>754</v>
      </c>
      <c r="C13" s="283">
        <v>8293</v>
      </c>
      <c r="D13" s="283">
        <v>2109</v>
      </c>
      <c r="E13" s="283">
        <v>5903</v>
      </c>
      <c r="F13" s="283">
        <v>6146</v>
      </c>
      <c r="G13" s="283">
        <v>19759</v>
      </c>
      <c r="H13" s="283">
        <v>1926</v>
      </c>
      <c r="I13" s="283">
        <v>33955</v>
      </c>
      <c r="J13" s="283">
        <v>10181</v>
      </c>
    </row>
    <row r="14" spans="1:10" s="265" customFormat="1" ht="15" customHeight="1" x14ac:dyDescent="0.2">
      <c r="A14" s="272" t="s">
        <v>756</v>
      </c>
      <c r="B14" s="293" t="s">
        <v>766</v>
      </c>
      <c r="C14" s="283">
        <v>2930.49</v>
      </c>
      <c r="D14" s="283">
        <v>97343.15</v>
      </c>
      <c r="E14" s="290">
        <v>1766003.1</v>
      </c>
      <c r="F14" s="290">
        <v>1436669.11</v>
      </c>
      <c r="G14" s="290">
        <v>161192.84</v>
      </c>
      <c r="H14" s="290">
        <v>154622.49</v>
      </c>
      <c r="I14" s="290">
        <v>1930126.43</v>
      </c>
      <c r="J14" s="290">
        <v>1688634.75</v>
      </c>
    </row>
    <row r="15" spans="1:10" s="265" customFormat="1" ht="15" customHeight="1" x14ac:dyDescent="0.2">
      <c r="A15" s="272" t="s">
        <v>758</v>
      </c>
      <c r="B15" s="293" t="s">
        <v>767</v>
      </c>
      <c r="C15" s="283">
        <v>64924.800000000003</v>
      </c>
      <c r="D15" s="283">
        <v>33366.35</v>
      </c>
      <c r="E15" s="290">
        <v>1757785.2</v>
      </c>
      <c r="F15" s="290">
        <v>139408.35999999999</v>
      </c>
      <c r="G15" s="283">
        <v>59678.22</v>
      </c>
      <c r="H15" s="283">
        <v>24530.55</v>
      </c>
      <c r="I15" s="290">
        <v>1882388.23</v>
      </c>
      <c r="J15" s="290">
        <v>197305.27</v>
      </c>
    </row>
    <row r="16" spans="1:10" s="265" customFormat="1" ht="27" customHeight="1" x14ac:dyDescent="0.2">
      <c r="A16" s="272" t="s">
        <v>760</v>
      </c>
      <c r="B16" s="293" t="s">
        <v>766</v>
      </c>
      <c r="C16" s="283">
        <v>46.62</v>
      </c>
      <c r="D16" s="283">
        <v>0</v>
      </c>
      <c r="E16" s="283">
        <v>66937.95</v>
      </c>
      <c r="F16" s="283">
        <v>0</v>
      </c>
      <c r="G16" s="283">
        <v>11282.05</v>
      </c>
      <c r="H16" s="283">
        <v>0</v>
      </c>
      <c r="I16" s="283">
        <v>78266.63</v>
      </c>
      <c r="J16" s="283">
        <v>0</v>
      </c>
    </row>
    <row r="17" spans="1:10" s="265" customFormat="1" ht="15" customHeight="1" x14ac:dyDescent="0.2">
      <c r="A17" s="272" t="s">
        <v>762</v>
      </c>
      <c r="B17" s="293" t="s">
        <v>767</v>
      </c>
      <c r="C17" s="283">
        <v>1489.38</v>
      </c>
      <c r="D17" s="283">
        <v>0</v>
      </c>
      <c r="E17" s="283">
        <v>67847.91</v>
      </c>
      <c r="F17" s="283">
        <v>0</v>
      </c>
      <c r="G17" s="283">
        <v>8744.06</v>
      </c>
      <c r="H17" s="283">
        <v>0</v>
      </c>
      <c r="I17" s="283">
        <v>78081.350000000006</v>
      </c>
      <c r="J17" s="283">
        <v>0</v>
      </c>
    </row>
    <row r="18" spans="1:10" s="265" customFormat="1" ht="14.25" customHeight="1" x14ac:dyDescent="0.2">
      <c r="A18" s="373" t="s">
        <v>768</v>
      </c>
      <c r="B18" s="373"/>
      <c r="C18" s="373"/>
      <c r="D18" s="373"/>
      <c r="E18" s="373"/>
      <c r="F18" s="373"/>
      <c r="G18" s="373"/>
      <c r="H18" s="373"/>
      <c r="I18" s="373"/>
      <c r="J18" s="373"/>
    </row>
    <row r="19" spans="1:10" s="265" customFormat="1" ht="13.5" customHeight="1" x14ac:dyDescent="0.2">
      <c r="A19" s="373" t="s">
        <v>742</v>
      </c>
      <c r="B19" s="373"/>
      <c r="C19" s="373"/>
      <c r="D19" s="373"/>
      <c r="E19" s="373"/>
      <c r="F19" s="373"/>
      <c r="G19" s="373"/>
      <c r="H19" s="373"/>
      <c r="I19" s="373"/>
      <c r="J19" s="373"/>
    </row>
    <row r="20" spans="1:10" s="265" customFormat="1" ht="27.6" customHeight="1" x14ac:dyDescent="0.2"/>
  </sheetData>
  <mergeCells count="10">
    <mergeCell ref="A4:J4"/>
    <mergeCell ref="A11:J11"/>
    <mergeCell ref="A18:J18"/>
    <mergeCell ref="A19:J19"/>
    <mergeCell ref="A2:A3"/>
    <mergeCell ref="B2:B3"/>
    <mergeCell ref="C2:D2"/>
    <mergeCell ref="E2:F2"/>
    <mergeCell ref="G2:H2"/>
    <mergeCell ref="I2:J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P29"/>
  <sheetViews>
    <sheetView workbookViewId="0"/>
  </sheetViews>
  <sheetFormatPr defaultRowHeight="12.75" x14ac:dyDescent="0.2"/>
  <cols>
    <col min="1" max="1" width="9.140625" style="54" customWidth="1"/>
    <col min="2" max="2" width="18.5703125" style="54" customWidth="1"/>
    <col min="3" max="3" width="10.140625" style="54" bestFit="1" customWidth="1"/>
    <col min="4" max="4" width="11.42578125" style="54" customWidth="1"/>
    <col min="5" max="5" width="7.42578125" style="54" bestFit="1" customWidth="1"/>
    <col min="6" max="6" width="7.140625" style="54" bestFit="1" customWidth="1"/>
    <col min="7" max="7" width="8.7109375" style="54" bestFit="1" customWidth="1"/>
    <col min="8" max="8" width="10.42578125" style="54" customWidth="1"/>
    <col min="9" max="9" width="8.7109375" style="54" customWidth="1"/>
    <col min="10" max="10" width="6.7109375" style="54" bestFit="1" customWidth="1"/>
    <col min="11" max="11" width="10.140625" style="54" bestFit="1" customWidth="1"/>
    <col min="12" max="16384" width="9.140625" style="54"/>
  </cols>
  <sheetData>
    <row r="1" spans="1:16" ht="15.75" thickBot="1" x14ac:dyDescent="0.25">
      <c r="A1" s="53" t="s">
        <v>866</v>
      </c>
      <c r="B1" s="53"/>
      <c r="C1" s="53"/>
      <c r="D1" s="53"/>
      <c r="E1" s="53"/>
      <c r="F1" s="53"/>
      <c r="G1" s="53"/>
      <c r="H1" s="53"/>
      <c r="I1" s="53"/>
      <c r="J1" s="53"/>
    </row>
    <row r="2" spans="1:16" ht="15" x14ac:dyDescent="0.2">
      <c r="A2" s="478" t="s">
        <v>769</v>
      </c>
      <c r="B2" s="480" t="s">
        <v>703</v>
      </c>
      <c r="C2" s="482" t="s">
        <v>770</v>
      </c>
      <c r="D2" s="482"/>
      <c r="E2" s="482"/>
      <c r="F2" s="482"/>
      <c r="G2" s="482"/>
      <c r="H2" s="482" t="s">
        <v>771</v>
      </c>
      <c r="I2" s="482"/>
      <c r="J2" s="482"/>
      <c r="K2" s="483"/>
    </row>
    <row r="3" spans="1:16" ht="51.75" customHeight="1" x14ac:dyDescent="0.2">
      <c r="A3" s="479"/>
      <c r="B3" s="481"/>
      <c r="C3" s="55" t="s">
        <v>772</v>
      </c>
      <c r="D3" s="56" t="s">
        <v>773</v>
      </c>
      <c r="E3" s="55" t="s">
        <v>774</v>
      </c>
      <c r="F3" s="55" t="s">
        <v>900</v>
      </c>
      <c r="G3" s="56" t="s">
        <v>776</v>
      </c>
      <c r="H3" s="55" t="s">
        <v>772</v>
      </c>
      <c r="I3" s="56" t="s">
        <v>773</v>
      </c>
      <c r="J3" s="55" t="s">
        <v>774</v>
      </c>
      <c r="K3" s="57" t="s">
        <v>900</v>
      </c>
    </row>
    <row r="4" spans="1:16" x14ac:dyDescent="0.2">
      <c r="A4" s="475" t="s">
        <v>778</v>
      </c>
      <c r="B4" s="58" t="s">
        <v>779</v>
      </c>
      <c r="C4" s="59">
        <v>19</v>
      </c>
      <c r="D4" s="59">
        <v>2</v>
      </c>
      <c r="E4" s="59">
        <v>1</v>
      </c>
      <c r="F4" s="59">
        <v>1</v>
      </c>
      <c r="G4" s="59">
        <v>0</v>
      </c>
      <c r="H4" s="59">
        <v>5</v>
      </c>
      <c r="I4" s="59">
        <v>0</v>
      </c>
      <c r="J4" s="59">
        <v>0</v>
      </c>
      <c r="K4" s="60">
        <v>0</v>
      </c>
      <c r="L4" s="61"/>
    </row>
    <row r="5" spans="1:16" x14ac:dyDescent="0.2">
      <c r="A5" s="475"/>
      <c r="B5" s="58" t="s">
        <v>901</v>
      </c>
      <c r="C5" s="59">
        <v>19</v>
      </c>
      <c r="D5" s="59">
        <v>0</v>
      </c>
      <c r="E5" s="59">
        <v>0</v>
      </c>
      <c r="F5" s="59">
        <v>0</v>
      </c>
      <c r="G5" s="59">
        <v>0</v>
      </c>
      <c r="H5" s="59">
        <v>5</v>
      </c>
      <c r="I5" s="59">
        <v>0</v>
      </c>
      <c r="J5" s="59">
        <v>0</v>
      </c>
      <c r="K5" s="60">
        <v>0</v>
      </c>
      <c r="L5" s="61"/>
    </row>
    <row r="6" spans="1:16" x14ac:dyDescent="0.2">
      <c r="A6" s="475"/>
      <c r="B6" s="58" t="s">
        <v>780</v>
      </c>
      <c r="C6" s="59">
        <v>15</v>
      </c>
      <c r="D6" s="59">
        <v>0</v>
      </c>
      <c r="E6" s="59">
        <v>0</v>
      </c>
      <c r="F6" s="59">
        <v>0</v>
      </c>
      <c r="G6" s="59">
        <v>0</v>
      </c>
      <c r="H6" s="59">
        <v>1</v>
      </c>
      <c r="I6" s="59">
        <v>0</v>
      </c>
      <c r="J6" s="59">
        <v>0</v>
      </c>
      <c r="K6" s="60">
        <v>0</v>
      </c>
      <c r="L6" s="61"/>
    </row>
    <row r="7" spans="1:16" x14ac:dyDescent="0.2">
      <c r="A7" s="475" t="s">
        <v>781</v>
      </c>
      <c r="B7" s="58" t="s">
        <v>779</v>
      </c>
      <c r="C7" s="62">
        <v>9</v>
      </c>
      <c r="D7" s="62">
        <v>6</v>
      </c>
      <c r="E7" s="62">
        <v>3</v>
      </c>
      <c r="F7" s="62">
        <v>2</v>
      </c>
      <c r="G7" s="62">
        <v>0</v>
      </c>
      <c r="H7" s="62">
        <v>0</v>
      </c>
      <c r="I7" s="62">
        <v>2</v>
      </c>
      <c r="J7" s="62">
        <v>2</v>
      </c>
      <c r="K7" s="63">
        <v>1</v>
      </c>
    </row>
    <row r="8" spans="1:16" x14ac:dyDescent="0.2">
      <c r="A8" s="475"/>
      <c r="B8" s="58" t="s">
        <v>901</v>
      </c>
      <c r="C8" s="62">
        <v>8</v>
      </c>
      <c r="D8" s="62">
        <v>6</v>
      </c>
      <c r="E8" s="62">
        <v>2</v>
      </c>
      <c r="F8" s="62">
        <v>2</v>
      </c>
      <c r="G8" s="62">
        <v>0</v>
      </c>
      <c r="H8" s="62">
        <v>0</v>
      </c>
      <c r="I8" s="62">
        <v>2</v>
      </c>
      <c r="J8" s="62">
        <v>2</v>
      </c>
      <c r="K8" s="63">
        <v>1</v>
      </c>
    </row>
    <row r="9" spans="1:16" x14ac:dyDescent="0.2">
      <c r="A9" s="475"/>
      <c r="B9" s="58" t="s">
        <v>780</v>
      </c>
      <c r="C9" s="62">
        <v>4</v>
      </c>
      <c r="D9" s="62">
        <v>5</v>
      </c>
      <c r="E9" s="62">
        <v>2</v>
      </c>
      <c r="F9" s="62">
        <v>2</v>
      </c>
      <c r="G9" s="62">
        <v>0</v>
      </c>
      <c r="H9" s="62">
        <v>0</v>
      </c>
      <c r="I9" s="62">
        <v>2</v>
      </c>
      <c r="J9" s="62">
        <v>2</v>
      </c>
      <c r="K9" s="63">
        <v>1</v>
      </c>
    </row>
    <row r="10" spans="1:16" x14ac:dyDescent="0.2">
      <c r="A10" s="475" t="s">
        <v>902</v>
      </c>
      <c r="B10" s="58" t="s">
        <v>779</v>
      </c>
      <c r="C10" s="62">
        <v>12</v>
      </c>
      <c r="D10" s="62">
        <v>1</v>
      </c>
      <c r="E10" s="62">
        <v>0</v>
      </c>
      <c r="F10" s="62">
        <v>0</v>
      </c>
      <c r="G10" s="59">
        <v>1</v>
      </c>
      <c r="H10" s="62">
        <v>0</v>
      </c>
      <c r="I10" s="62">
        <v>0</v>
      </c>
      <c r="J10" s="62">
        <v>0</v>
      </c>
      <c r="K10" s="64">
        <v>0</v>
      </c>
      <c r="M10" s="54" t="s">
        <v>903</v>
      </c>
    </row>
    <row r="11" spans="1:16" x14ac:dyDescent="0.2">
      <c r="A11" s="475"/>
      <c r="B11" s="58" t="s">
        <v>901</v>
      </c>
      <c r="C11" s="62">
        <v>11</v>
      </c>
      <c r="D11" s="62">
        <v>1</v>
      </c>
      <c r="E11" s="62">
        <v>0</v>
      </c>
      <c r="F11" s="62">
        <v>0</v>
      </c>
      <c r="G11" s="59">
        <v>1</v>
      </c>
      <c r="H11" s="62">
        <v>0</v>
      </c>
      <c r="I11" s="62">
        <v>0</v>
      </c>
      <c r="J11" s="62">
        <v>0</v>
      </c>
      <c r="K11" s="64">
        <v>0</v>
      </c>
    </row>
    <row r="12" spans="1:16" x14ac:dyDescent="0.2">
      <c r="A12" s="475"/>
      <c r="B12" s="58" t="s">
        <v>780</v>
      </c>
      <c r="C12" s="62">
        <v>1</v>
      </c>
      <c r="D12" s="62">
        <v>1</v>
      </c>
      <c r="E12" s="62">
        <v>0</v>
      </c>
      <c r="F12" s="62">
        <v>0</v>
      </c>
      <c r="G12" s="62">
        <v>1</v>
      </c>
      <c r="H12" s="62">
        <v>0</v>
      </c>
      <c r="I12" s="62">
        <v>0</v>
      </c>
      <c r="J12" s="62">
        <v>0</v>
      </c>
      <c r="K12" s="63">
        <v>0</v>
      </c>
    </row>
    <row r="13" spans="1:16" x14ac:dyDescent="0.2">
      <c r="A13" s="476" t="s">
        <v>257</v>
      </c>
      <c r="B13" s="65" t="s">
        <v>779</v>
      </c>
      <c r="C13" s="62">
        <v>3</v>
      </c>
      <c r="D13" s="62">
        <v>1</v>
      </c>
      <c r="E13" s="62">
        <v>2</v>
      </c>
      <c r="F13" s="62">
        <v>1</v>
      </c>
      <c r="G13" s="62">
        <v>0</v>
      </c>
      <c r="H13" s="62">
        <v>0</v>
      </c>
      <c r="I13" s="62">
        <v>0</v>
      </c>
      <c r="J13" s="62">
        <v>0</v>
      </c>
      <c r="K13" s="63">
        <v>0</v>
      </c>
      <c r="P13" s="54" t="s">
        <v>903</v>
      </c>
    </row>
    <row r="14" spans="1:16" ht="15" customHeight="1" x14ac:dyDescent="0.2">
      <c r="A14" s="476"/>
      <c r="B14" s="65" t="s">
        <v>901</v>
      </c>
      <c r="C14" s="62">
        <v>3</v>
      </c>
      <c r="D14" s="62">
        <v>1</v>
      </c>
      <c r="E14" s="62">
        <v>2</v>
      </c>
      <c r="F14" s="62">
        <v>1</v>
      </c>
      <c r="G14" s="62">
        <v>0</v>
      </c>
      <c r="H14" s="62">
        <v>0</v>
      </c>
      <c r="I14" s="62">
        <v>0</v>
      </c>
      <c r="J14" s="62">
        <v>0</v>
      </c>
      <c r="K14" s="63">
        <v>0</v>
      </c>
    </row>
    <row r="15" spans="1:16" ht="15.75" customHeight="1" x14ac:dyDescent="0.2">
      <c r="A15" s="476"/>
      <c r="B15" s="65" t="s">
        <v>780</v>
      </c>
      <c r="C15" s="62">
        <v>3</v>
      </c>
      <c r="D15" s="62">
        <v>0</v>
      </c>
      <c r="E15" s="62">
        <v>2</v>
      </c>
      <c r="F15" s="62">
        <v>0</v>
      </c>
      <c r="G15" s="62">
        <v>0</v>
      </c>
      <c r="H15" s="62">
        <v>0</v>
      </c>
      <c r="I15" s="62">
        <v>0</v>
      </c>
      <c r="J15" s="62">
        <v>0</v>
      </c>
      <c r="K15" s="63">
        <v>0</v>
      </c>
      <c r="N15" s="54" t="s">
        <v>903</v>
      </c>
    </row>
    <row r="16" spans="1:16" ht="15.75" customHeight="1" x14ac:dyDescent="0.2">
      <c r="A16" s="476" t="s">
        <v>258</v>
      </c>
      <c r="B16" s="65" t="s">
        <v>779</v>
      </c>
      <c r="C16" s="62">
        <v>0</v>
      </c>
      <c r="D16" s="62">
        <v>1</v>
      </c>
      <c r="E16" s="62">
        <v>2</v>
      </c>
      <c r="F16" s="62">
        <v>1</v>
      </c>
      <c r="G16" s="62">
        <v>0</v>
      </c>
      <c r="H16" s="62">
        <v>0</v>
      </c>
      <c r="I16" s="62">
        <v>0</v>
      </c>
      <c r="J16" s="62">
        <v>0</v>
      </c>
      <c r="K16" s="63">
        <v>0</v>
      </c>
    </row>
    <row r="17" spans="1:13" ht="15.75" customHeight="1" x14ac:dyDescent="0.2">
      <c r="A17" s="476"/>
      <c r="B17" s="65" t="s">
        <v>901</v>
      </c>
      <c r="C17" s="62">
        <v>0</v>
      </c>
      <c r="D17" s="62">
        <v>0</v>
      </c>
      <c r="E17" s="62">
        <v>2</v>
      </c>
      <c r="F17" s="62">
        <v>1</v>
      </c>
      <c r="G17" s="62">
        <v>0</v>
      </c>
      <c r="H17" s="62">
        <v>0</v>
      </c>
      <c r="I17" s="62">
        <v>0</v>
      </c>
      <c r="J17" s="62">
        <v>0</v>
      </c>
      <c r="K17" s="63">
        <v>0</v>
      </c>
    </row>
    <row r="18" spans="1:13" ht="15.75" customHeight="1" thickBot="1" x14ac:dyDescent="0.25">
      <c r="A18" s="477"/>
      <c r="B18" s="66" t="s">
        <v>780</v>
      </c>
      <c r="C18" s="67">
        <v>0</v>
      </c>
      <c r="D18" s="67">
        <v>0</v>
      </c>
      <c r="E18" s="67">
        <v>2</v>
      </c>
      <c r="F18" s="67">
        <v>1</v>
      </c>
      <c r="G18" s="67">
        <v>0</v>
      </c>
      <c r="H18" s="67">
        <v>0</v>
      </c>
      <c r="I18" s="67">
        <v>0</v>
      </c>
      <c r="J18" s="67">
        <v>0</v>
      </c>
      <c r="K18" s="68">
        <v>0</v>
      </c>
    </row>
    <row r="19" spans="1:13" ht="15" customHeight="1" x14ac:dyDescent="0.2">
      <c r="A19" s="69" t="s">
        <v>904</v>
      </c>
      <c r="B19" s="70"/>
      <c r="C19" s="70"/>
      <c r="D19" s="70"/>
      <c r="E19" s="71"/>
      <c r="F19" s="71"/>
      <c r="G19" s="71"/>
      <c r="H19" s="71"/>
      <c r="I19" s="71"/>
      <c r="J19" s="71"/>
      <c r="M19" s="54" t="s">
        <v>903</v>
      </c>
    </row>
    <row r="20" spans="1:13" ht="15" customHeight="1" x14ac:dyDescent="0.2">
      <c r="B20" s="71"/>
      <c r="C20" s="71"/>
      <c r="D20" s="71"/>
      <c r="E20" s="71"/>
      <c r="F20" s="71"/>
      <c r="G20" s="71"/>
      <c r="H20" s="71"/>
      <c r="I20" s="71"/>
      <c r="J20" s="71"/>
    </row>
    <row r="29" spans="1:13" x14ac:dyDescent="0.2">
      <c r="E29" s="54" t="s">
        <v>903</v>
      </c>
    </row>
  </sheetData>
  <mergeCells count="9">
    <mergeCell ref="C2:G2"/>
    <mergeCell ref="H2:K2"/>
    <mergeCell ref="A4:A6"/>
    <mergeCell ref="A7:A9"/>
    <mergeCell ref="A10:A12"/>
    <mergeCell ref="A13:A15"/>
    <mergeCell ref="A16:A18"/>
    <mergeCell ref="A2:A3"/>
    <mergeCell ref="B2:B3"/>
  </mergeCells>
  <pageMargins left="0.7" right="0.7" top="0.75" bottom="0.75" header="0.3" footer="0.3"/>
  <pageSetup scale="85"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pageSetUpPr fitToPage="1"/>
  </sheetPr>
  <dimension ref="A1:K20"/>
  <sheetViews>
    <sheetView workbookViewId="0">
      <selection sqref="A1:I1"/>
    </sheetView>
  </sheetViews>
  <sheetFormatPr defaultRowHeight="12.75" x14ac:dyDescent="0.2"/>
  <cols>
    <col min="1" max="2" width="9" style="73" customWidth="1"/>
    <col min="3" max="5" width="10" style="73" customWidth="1"/>
    <col min="6" max="16384" width="9.140625" style="73"/>
  </cols>
  <sheetData>
    <row r="1" spans="1:11" s="72" customFormat="1" ht="15" customHeight="1" thickBot="1" x14ac:dyDescent="0.3">
      <c r="A1" s="484" t="s">
        <v>867</v>
      </c>
      <c r="B1" s="484"/>
      <c r="C1" s="484"/>
      <c r="D1" s="484"/>
      <c r="E1" s="484"/>
      <c r="F1" s="484"/>
      <c r="G1" s="484"/>
      <c r="H1" s="484"/>
      <c r="I1" s="484"/>
    </row>
    <row r="2" spans="1:11" ht="16.5" customHeight="1" x14ac:dyDescent="0.2">
      <c r="A2" s="485" t="s">
        <v>697</v>
      </c>
      <c r="B2" s="487" t="s">
        <v>905</v>
      </c>
      <c r="C2" s="488"/>
      <c r="D2" s="488"/>
      <c r="E2" s="489"/>
      <c r="F2" s="487" t="s">
        <v>782</v>
      </c>
      <c r="G2" s="488"/>
      <c r="H2" s="488"/>
      <c r="I2" s="489"/>
    </row>
    <row r="3" spans="1:11" ht="15.75" customHeight="1" x14ac:dyDescent="0.2">
      <c r="A3" s="486"/>
      <c r="B3" s="74" t="s">
        <v>692</v>
      </c>
      <c r="C3" s="75" t="s">
        <v>295</v>
      </c>
      <c r="D3" s="75" t="s">
        <v>296</v>
      </c>
      <c r="E3" s="76" t="s">
        <v>297</v>
      </c>
      <c r="F3" s="74" t="s">
        <v>692</v>
      </c>
      <c r="G3" s="75" t="s">
        <v>295</v>
      </c>
      <c r="H3" s="75" t="s">
        <v>296</v>
      </c>
      <c r="I3" s="76" t="s">
        <v>297</v>
      </c>
    </row>
    <row r="4" spans="1:11" s="81" customFormat="1" x14ac:dyDescent="0.2">
      <c r="A4" s="77" t="s">
        <v>69</v>
      </c>
      <c r="B4" s="78">
        <v>3244.07</v>
      </c>
      <c r="C4" s="78">
        <v>3729.64</v>
      </c>
      <c r="D4" s="78">
        <v>2966.02</v>
      </c>
      <c r="E4" s="78">
        <v>3662.7</v>
      </c>
      <c r="F4" s="78">
        <v>3107.24</v>
      </c>
      <c r="G4" s="78">
        <v>3205.12</v>
      </c>
      <c r="H4" s="78">
        <v>2794.83</v>
      </c>
      <c r="I4" s="78">
        <v>3036.86</v>
      </c>
      <c r="J4" s="79"/>
      <c r="K4" s="80"/>
    </row>
    <row r="5" spans="1:11" s="81" customFormat="1" x14ac:dyDescent="0.2">
      <c r="A5" s="77" t="s">
        <v>70</v>
      </c>
      <c r="B5" s="78">
        <v>3662.99</v>
      </c>
      <c r="C5" s="78">
        <f>LARGE(C6:C27,1)</f>
        <v>4171.5600000000004</v>
      </c>
      <c r="D5" s="78">
        <f>SMALL(D6:D31,1)</f>
        <v>3311.89</v>
      </c>
      <c r="E5" s="78">
        <f>E17</f>
        <v>3738.58</v>
      </c>
      <c r="F5" s="78">
        <v>3051.23</v>
      </c>
      <c r="G5" s="78">
        <f>LARGE(G6:G27,1)</f>
        <v>3589.79</v>
      </c>
      <c r="H5" s="78">
        <f>SMALL(H6:H31,1)</f>
        <v>2838.4</v>
      </c>
      <c r="I5" s="78">
        <f>I17</f>
        <v>3414.28</v>
      </c>
      <c r="J5" s="79"/>
      <c r="K5" s="80"/>
    </row>
    <row r="6" spans="1:11" x14ac:dyDescent="0.2">
      <c r="A6" s="82">
        <v>43191</v>
      </c>
      <c r="B6" s="83">
        <v>3662.99</v>
      </c>
      <c r="C6" s="83">
        <v>3887.58</v>
      </c>
      <c r="D6" s="83">
        <v>3613.55</v>
      </c>
      <c r="E6" s="83">
        <v>3789.4</v>
      </c>
      <c r="F6" s="83">
        <v>3051.23</v>
      </c>
      <c r="G6" s="83">
        <v>3110.84</v>
      </c>
      <c r="H6" s="83">
        <v>2881.06</v>
      </c>
      <c r="I6" s="83">
        <v>2898.52</v>
      </c>
    </row>
    <row r="7" spans="1:11" x14ac:dyDescent="0.2">
      <c r="A7" s="82">
        <v>43222</v>
      </c>
      <c r="B7" s="83">
        <v>3791.8</v>
      </c>
      <c r="C7" s="83">
        <v>3964.29</v>
      </c>
      <c r="D7" s="83">
        <v>3761.67</v>
      </c>
      <c r="E7" s="83">
        <v>3860.6</v>
      </c>
      <c r="F7" s="83">
        <v>2899.04</v>
      </c>
      <c r="G7" s="83">
        <v>3013.64</v>
      </c>
      <c r="H7" s="83">
        <v>2862.52</v>
      </c>
      <c r="I7" s="83">
        <v>2876.57</v>
      </c>
    </row>
    <row r="8" spans="1:11" x14ac:dyDescent="0.2">
      <c r="A8" s="82">
        <v>43254</v>
      </c>
      <c r="B8" s="83">
        <v>3859.43</v>
      </c>
      <c r="C8" s="83">
        <v>3954.26</v>
      </c>
      <c r="D8" s="83">
        <v>3795.96</v>
      </c>
      <c r="E8" s="83">
        <v>3933.05</v>
      </c>
      <c r="F8" s="83">
        <v>2883.01</v>
      </c>
      <c r="G8" s="83">
        <v>3001.49</v>
      </c>
      <c r="H8" s="83">
        <v>2838.4</v>
      </c>
      <c r="I8" s="83">
        <v>2981.37</v>
      </c>
    </row>
    <row r="9" spans="1:11" x14ac:dyDescent="0.2">
      <c r="A9" s="82">
        <v>43285</v>
      </c>
      <c r="B9" s="83">
        <v>3932.33</v>
      </c>
      <c r="C9" s="83">
        <v>3938.24</v>
      </c>
      <c r="D9" s="83">
        <v>3722.08</v>
      </c>
      <c r="E9" s="83">
        <v>3793.01</v>
      </c>
      <c r="F9" s="83">
        <v>2989.54</v>
      </c>
      <c r="G9" s="83">
        <v>3274.25</v>
      </c>
      <c r="H9" s="83">
        <v>2989.54</v>
      </c>
      <c r="I9" s="83">
        <v>3265.13</v>
      </c>
    </row>
    <row r="10" spans="1:11" x14ac:dyDescent="0.2">
      <c r="A10" s="82">
        <v>43317</v>
      </c>
      <c r="B10" s="83">
        <v>3792.28</v>
      </c>
      <c r="C10" s="83">
        <v>3892.41</v>
      </c>
      <c r="D10" s="83">
        <v>3698.71</v>
      </c>
      <c r="E10" s="83">
        <v>3859.13</v>
      </c>
      <c r="F10" s="83">
        <v>3268.66</v>
      </c>
      <c r="G10" s="83">
        <v>3297.36</v>
      </c>
      <c r="H10" s="83">
        <v>3035.96</v>
      </c>
      <c r="I10" s="83">
        <v>3117.78</v>
      </c>
    </row>
    <row r="11" spans="1:11" x14ac:dyDescent="0.2">
      <c r="A11" s="82">
        <v>43349</v>
      </c>
      <c r="B11" s="83">
        <v>3858.42</v>
      </c>
      <c r="C11" s="83">
        <v>4022.09</v>
      </c>
      <c r="D11" s="83">
        <v>3820.7</v>
      </c>
      <c r="E11" s="83">
        <v>4009.9</v>
      </c>
      <c r="F11" s="83">
        <v>3132.06</v>
      </c>
      <c r="G11" s="83">
        <v>3190.19</v>
      </c>
      <c r="H11" s="83">
        <v>3106.06</v>
      </c>
      <c r="I11" s="83">
        <v>3167.53</v>
      </c>
    </row>
    <row r="12" spans="1:11" x14ac:dyDescent="0.2">
      <c r="A12" s="82">
        <v>43379</v>
      </c>
      <c r="B12" s="83">
        <v>4009.24</v>
      </c>
      <c r="C12" s="83">
        <v>4171.5600000000004</v>
      </c>
      <c r="D12" s="83">
        <v>3907.93</v>
      </c>
      <c r="E12" s="83">
        <v>3912.77</v>
      </c>
      <c r="F12" s="83">
        <v>3199.07</v>
      </c>
      <c r="G12" s="83">
        <v>3368.51</v>
      </c>
      <c r="H12" s="83">
        <v>3168.79</v>
      </c>
      <c r="I12" s="83">
        <v>3349.02</v>
      </c>
    </row>
    <row r="13" spans="1:11" x14ac:dyDescent="0.2">
      <c r="A13" s="82">
        <v>43405</v>
      </c>
      <c r="B13" s="83">
        <v>3913.32</v>
      </c>
      <c r="C13" s="83">
        <v>3916.26</v>
      </c>
      <c r="D13" s="83">
        <v>3480.63</v>
      </c>
      <c r="E13" s="83">
        <v>3510.69</v>
      </c>
      <c r="F13" s="83">
        <v>3362.35</v>
      </c>
      <c r="G13" s="83">
        <v>3589.79</v>
      </c>
      <c r="H13" s="83">
        <v>3329.33</v>
      </c>
      <c r="I13" s="83">
        <v>3384.58</v>
      </c>
    </row>
    <row r="14" spans="1:11" x14ac:dyDescent="0.2">
      <c r="A14" s="82">
        <v>43436</v>
      </c>
      <c r="B14" s="83">
        <v>3512.27</v>
      </c>
      <c r="C14" s="83">
        <v>3663.99</v>
      </c>
      <c r="D14" s="83">
        <v>3311.89</v>
      </c>
      <c r="E14" s="83">
        <v>3334.68</v>
      </c>
      <c r="F14" s="83">
        <v>3381.89</v>
      </c>
      <c r="G14" s="83">
        <v>3426.74</v>
      </c>
      <c r="H14" s="83">
        <v>3212.68</v>
      </c>
      <c r="I14" s="83">
        <v>3321.74</v>
      </c>
    </row>
    <row r="15" spans="1:11" x14ac:dyDescent="0.2">
      <c r="A15" s="82">
        <v>43468</v>
      </c>
      <c r="B15" s="83">
        <v>3336.35</v>
      </c>
      <c r="C15" s="83">
        <v>3695.65</v>
      </c>
      <c r="D15" s="83">
        <v>3322.71</v>
      </c>
      <c r="E15" s="83">
        <v>3671.65</v>
      </c>
      <c r="F15" s="83">
        <v>3340.26</v>
      </c>
      <c r="G15" s="83">
        <v>3422.04</v>
      </c>
      <c r="H15" s="83">
        <v>3325.28</v>
      </c>
      <c r="I15" s="83">
        <v>3391.29</v>
      </c>
    </row>
    <row r="16" spans="1:11" x14ac:dyDescent="0.2">
      <c r="A16" s="82">
        <v>43500</v>
      </c>
      <c r="B16" s="83">
        <v>3670.83</v>
      </c>
      <c r="C16" s="83">
        <v>3781.35</v>
      </c>
      <c r="D16" s="83">
        <v>3582.27</v>
      </c>
      <c r="E16" s="83">
        <v>3752.04</v>
      </c>
      <c r="F16" s="83">
        <v>3395.11</v>
      </c>
      <c r="G16" s="83">
        <v>3398.98</v>
      </c>
      <c r="H16" s="83">
        <v>3264.85</v>
      </c>
      <c r="I16" s="83">
        <v>3268.22</v>
      </c>
    </row>
    <row r="17" spans="1:9" x14ac:dyDescent="0.2">
      <c r="A17" s="82">
        <v>43529</v>
      </c>
      <c r="B17" s="83">
        <v>3753.04</v>
      </c>
      <c r="C17" s="83">
        <v>3778.36</v>
      </c>
      <c r="D17" s="83">
        <v>3644.38</v>
      </c>
      <c r="E17" s="83">
        <v>3738.58</v>
      </c>
      <c r="F17" s="83">
        <v>3280.13</v>
      </c>
      <c r="G17" s="83">
        <v>3416.13</v>
      </c>
      <c r="H17" s="83">
        <v>3279.63</v>
      </c>
      <c r="I17" s="83">
        <v>3414.28</v>
      </c>
    </row>
    <row r="18" spans="1:9" x14ac:dyDescent="0.2">
      <c r="A18" s="73" t="str">
        <f>'[1]1'!A8</f>
        <v>$ indicates as on March 29, 2019</v>
      </c>
      <c r="B18" s="81"/>
      <c r="C18" s="81"/>
      <c r="D18" s="84"/>
      <c r="E18" s="84"/>
      <c r="F18" s="85"/>
      <c r="G18" s="85"/>
      <c r="H18" s="85"/>
      <c r="I18" s="85"/>
    </row>
    <row r="19" spans="1:9" s="81" customFormat="1" x14ac:dyDescent="0.2">
      <c r="A19" s="86" t="s">
        <v>783</v>
      </c>
      <c r="B19" s="87"/>
      <c r="C19" s="87"/>
      <c r="D19" s="85"/>
      <c r="E19" s="85" t="s">
        <v>903</v>
      </c>
      <c r="F19" s="85"/>
      <c r="G19" s="85"/>
      <c r="H19" s="85"/>
      <c r="I19" s="85"/>
    </row>
    <row r="20" spans="1:9" s="81" customFormat="1" x14ac:dyDescent="0.2">
      <c r="A20" s="85"/>
      <c r="B20" s="88"/>
      <c r="C20" s="85"/>
      <c r="D20" s="85"/>
      <c r="E20" s="85"/>
      <c r="F20" s="85"/>
      <c r="G20" s="85"/>
      <c r="H20" s="85"/>
      <c r="I20" s="85"/>
    </row>
  </sheetData>
  <mergeCells count="4">
    <mergeCell ref="A1:I1"/>
    <mergeCell ref="A2:A3"/>
    <mergeCell ref="B2:E2"/>
    <mergeCell ref="F2:I2"/>
  </mergeCells>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pageSetUpPr fitToPage="1"/>
  </sheetPr>
  <dimension ref="A1:R60"/>
  <sheetViews>
    <sheetView workbookViewId="0">
      <selection sqref="A1:H1"/>
    </sheetView>
  </sheetViews>
  <sheetFormatPr defaultRowHeight="12.75" x14ac:dyDescent="0.2"/>
  <cols>
    <col min="1" max="1" width="9.140625" style="73" customWidth="1"/>
    <col min="2" max="2" width="7.140625" style="73" customWidth="1"/>
    <col min="3" max="3" width="11.28515625" style="73" bestFit="1" customWidth="1"/>
    <col min="4" max="5" width="10" style="73" customWidth="1"/>
    <col min="6" max="6" width="9.5703125" style="73" customWidth="1"/>
    <col min="7" max="7" width="11.140625" style="73" customWidth="1"/>
    <col min="8" max="8" width="10.7109375" style="73" customWidth="1"/>
    <col min="9" max="9" width="9.5703125" style="73" customWidth="1"/>
    <col min="10" max="10" width="12.5703125" style="73" customWidth="1"/>
    <col min="11" max="11" width="7.5703125" style="73" customWidth="1"/>
    <col min="12" max="12" width="11.140625" style="73" customWidth="1"/>
    <col min="13" max="13" width="10.140625" style="73" customWidth="1"/>
    <col min="14" max="14" width="10.42578125" style="73" customWidth="1"/>
    <col min="15" max="15" width="10.42578125" style="99" customWidth="1"/>
    <col min="16" max="16" width="12.42578125" style="73" bestFit="1" customWidth="1"/>
    <col min="17" max="17" width="8.5703125" style="73" customWidth="1"/>
    <col min="18" max="18" width="9.140625" style="73"/>
    <col min="19" max="19" width="8.140625" style="73" bestFit="1" customWidth="1"/>
    <col min="20" max="16384" width="9.140625" style="73"/>
  </cols>
  <sheetData>
    <row r="1" spans="1:18" s="72" customFormat="1" ht="15" x14ac:dyDescent="0.25">
      <c r="A1" s="502" t="s">
        <v>868</v>
      </c>
      <c r="B1" s="502"/>
      <c r="C1" s="502"/>
      <c r="D1" s="502"/>
      <c r="E1" s="502"/>
      <c r="F1" s="502"/>
      <c r="G1" s="502"/>
      <c r="H1" s="502"/>
      <c r="I1" s="502"/>
      <c r="J1" s="502"/>
      <c r="K1" s="502"/>
      <c r="L1" s="502"/>
      <c r="M1" s="502"/>
      <c r="N1" s="502"/>
      <c r="O1" s="502"/>
      <c r="P1" s="502"/>
      <c r="Q1" s="502"/>
    </row>
    <row r="2" spans="1:18" s="72" customFormat="1" ht="15" x14ac:dyDescent="0.25">
      <c r="A2" s="503" t="s">
        <v>906</v>
      </c>
      <c r="B2" s="503"/>
      <c r="C2" s="503"/>
      <c r="D2" s="503"/>
      <c r="E2" s="503"/>
      <c r="F2" s="503"/>
      <c r="G2" s="503"/>
      <c r="H2" s="503"/>
      <c r="I2" s="503"/>
      <c r="J2" s="503"/>
      <c r="K2" s="503"/>
      <c r="L2" s="503"/>
      <c r="M2" s="503"/>
      <c r="N2" s="503"/>
      <c r="O2" s="503"/>
      <c r="P2" s="503"/>
      <c r="Q2" s="503"/>
      <c r="R2" s="503"/>
    </row>
    <row r="3" spans="1:18" s="89" customFormat="1" ht="27.75" customHeight="1" x14ac:dyDescent="0.2">
      <c r="A3" s="492" t="s">
        <v>697</v>
      </c>
      <c r="B3" s="492" t="s">
        <v>788</v>
      </c>
      <c r="C3" s="504" t="s">
        <v>772</v>
      </c>
      <c r="D3" s="505"/>
      <c r="E3" s="506"/>
      <c r="F3" s="498" t="s">
        <v>784</v>
      </c>
      <c r="G3" s="498"/>
      <c r="H3" s="498"/>
      <c r="I3" s="498" t="s">
        <v>777</v>
      </c>
      <c r="J3" s="498"/>
      <c r="K3" s="498"/>
      <c r="L3" s="498" t="s">
        <v>775</v>
      </c>
      <c r="M3" s="498"/>
      <c r="N3" s="498"/>
      <c r="O3" s="496" t="s">
        <v>150</v>
      </c>
      <c r="P3" s="497"/>
      <c r="Q3" s="498" t="s">
        <v>792</v>
      </c>
      <c r="R3" s="498"/>
    </row>
    <row r="4" spans="1:18" s="89" customFormat="1" ht="38.25" customHeight="1" x14ac:dyDescent="0.2">
      <c r="A4" s="493"/>
      <c r="B4" s="493"/>
      <c r="C4" s="90" t="s">
        <v>785</v>
      </c>
      <c r="D4" s="90" t="s">
        <v>790</v>
      </c>
      <c r="E4" s="91" t="s">
        <v>907</v>
      </c>
      <c r="F4" s="90" t="s">
        <v>785</v>
      </c>
      <c r="G4" s="90" t="s">
        <v>790</v>
      </c>
      <c r="H4" s="90" t="s">
        <v>907</v>
      </c>
      <c r="I4" s="90" t="s">
        <v>785</v>
      </c>
      <c r="J4" s="90" t="s">
        <v>790</v>
      </c>
      <c r="K4" s="90" t="s">
        <v>907</v>
      </c>
      <c r="L4" s="90" t="s">
        <v>908</v>
      </c>
      <c r="M4" s="90" t="s">
        <v>790</v>
      </c>
      <c r="N4" s="90" t="s">
        <v>907</v>
      </c>
      <c r="O4" s="90" t="s">
        <v>790</v>
      </c>
      <c r="P4" s="90" t="s">
        <v>907</v>
      </c>
      <c r="Q4" s="91" t="s">
        <v>909</v>
      </c>
      <c r="R4" s="92" t="s">
        <v>910</v>
      </c>
    </row>
    <row r="5" spans="1:18" s="71" customFormat="1" x14ac:dyDescent="0.2">
      <c r="A5" s="93" t="s">
        <v>69</v>
      </c>
      <c r="B5" s="94">
        <v>254</v>
      </c>
      <c r="C5" s="94">
        <v>11648.450269999999</v>
      </c>
      <c r="D5" s="94">
        <v>2317338</v>
      </c>
      <c r="E5" s="94">
        <v>114082</v>
      </c>
      <c r="F5" s="94">
        <v>95153</v>
      </c>
      <c r="G5" s="94">
        <v>68133042</v>
      </c>
      <c r="H5" s="94">
        <v>2112532</v>
      </c>
      <c r="I5" s="94">
        <v>164</v>
      </c>
      <c r="J5" s="94">
        <v>27840060</v>
      </c>
      <c r="K5" s="94">
        <v>1363703</v>
      </c>
      <c r="L5" s="94">
        <v>574029</v>
      </c>
      <c r="M5" s="94">
        <v>107634572</v>
      </c>
      <c r="N5" s="94">
        <v>1792678</v>
      </c>
      <c r="O5" s="94">
        <v>205925012</v>
      </c>
      <c r="P5" s="94">
        <v>5382996</v>
      </c>
      <c r="Q5" s="94">
        <v>300172</v>
      </c>
      <c r="R5" s="94">
        <v>11204.52972755</v>
      </c>
    </row>
    <row r="6" spans="1:18" s="71" customFormat="1" x14ac:dyDescent="0.2">
      <c r="A6" s="93" t="s">
        <v>70</v>
      </c>
      <c r="B6" s="94">
        <f>SUM(B7:B18)</f>
        <v>257</v>
      </c>
      <c r="C6" s="94">
        <f t="shared" ref="C6:N6" si="0">SUM(C7:C18)</f>
        <v>9662.0726899999991</v>
      </c>
      <c r="D6" s="94">
        <f t="shared" si="0"/>
        <v>1828722</v>
      </c>
      <c r="E6" s="94">
        <f t="shared" si="0"/>
        <v>101232.75622780001</v>
      </c>
      <c r="F6" s="94">
        <f t="shared" si="0"/>
        <v>111474.84255</v>
      </c>
      <c r="G6" s="94">
        <f t="shared" si="0"/>
        <v>78835865</v>
      </c>
      <c r="H6" s="94">
        <f t="shared" si="0"/>
        <v>2525601.2266747495</v>
      </c>
      <c r="I6" s="94">
        <f t="shared" si="0"/>
        <v>168.65427792800003</v>
      </c>
      <c r="J6" s="94">
        <f t="shared" si="0"/>
        <v>28837833</v>
      </c>
      <c r="K6" s="94">
        <f t="shared" si="0"/>
        <v>1513817.2792994003</v>
      </c>
      <c r="L6" s="94">
        <f t="shared" si="0"/>
        <v>671698.23484194512</v>
      </c>
      <c r="M6" s="94">
        <f t="shared" si="0"/>
        <v>136946607</v>
      </c>
      <c r="N6" s="94">
        <f t="shared" si="0"/>
        <v>2450777.1105934996</v>
      </c>
      <c r="O6" s="94">
        <f>SUM(O7:O18)</f>
        <v>246449027</v>
      </c>
      <c r="P6" s="94">
        <f t="shared" ref="P6" si="1">SUM(P7:P18)</f>
        <v>6591428.3727954486</v>
      </c>
      <c r="Q6" s="94">
        <f>Q18</f>
        <v>313641</v>
      </c>
      <c r="R6" s="94">
        <f>R18</f>
        <v>14243.598900749999</v>
      </c>
    </row>
    <row r="7" spans="1:18" s="81" customFormat="1" x14ac:dyDescent="0.2">
      <c r="A7" s="95">
        <v>43191</v>
      </c>
      <c r="B7" s="96">
        <v>21</v>
      </c>
      <c r="C7" s="96">
        <v>681.38720000000001</v>
      </c>
      <c r="D7" s="96">
        <v>135772</v>
      </c>
      <c r="E7" s="97">
        <v>7382.0749536000003</v>
      </c>
      <c r="F7" s="96">
        <v>10995.0242</v>
      </c>
      <c r="G7" s="96">
        <v>7867869</v>
      </c>
      <c r="H7" s="96">
        <v>253029.93565525001</v>
      </c>
      <c r="I7" s="96">
        <v>15.435435751</v>
      </c>
      <c r="J7" s="96">
        <v>2673160</v>
      </c>
      <c r="K7" s="96">
        <v>125840.43495369999</v>
      </c>
      <c r="L7" s="96">
        <v>50265.019828434</v>
      </c>
      <c r="M7" s="96">
        <v>9663715</v>
      </c>
      <c r="N7" s="96">
        <v>175610.706412</v>
      </c>
      <c r="O7" s="96">
        <f t="shared" ref="O7:P14" si="2">M7+J7+G7+D7</f>
        <v>20340516</v>
      </c>
      <c r="P7" s="96">
        <f t="shared" si="2"/>
        <v>561863.15197454998</v>
      </c>
      <c r="Q7" s="96">
        <v>272419</v>
      </c>
      <c r="R7" s="96">
        <v>10252.262687599999</v>
      </c>
    </row>
    <row r="8" spans="1:18" s="81" customFormat="1" x14ac:dyDescent="0.2">
      <c r="A8" s="95">
        <v>43222</v>
      </c>
      <c r="B8" s="96">
        <v>23</v>
      </c>
      <c r="C8" s="96">
        <v>856.49570999999992</v>
      </c>
      <c r="D8" s="96">
        <v>155130</v>
      </c>
      <c r="E8" s="97">
        <v>8621.0231897999984</v>
      </c>
      <c r="F8" s="96">
        <v>8950.3651000000027</v>
      </c>
      <c r="G8" s="96">
        <v>6394869</v>
      </c>
      <c r="H8" s="96">
        <v>214667.64891300007</v>
      </c>
      <c r="I8" s="96">
        <v>12.383254719999989</v>
      </c>
      <c r="J8" s="96">
        <v>2253461</v>
      </c>
      <c r="K8" s="96">
        <v>122585.98756219998</v>
      </c>
      <c r="L8" s="96">
        <v>46250.697805696997</v>
      </c>
      <c r="M8" s="96">
        <v>8895210</v>
      </c>
      <c r="N8" s="96">
        <v>177009.70433549999</v>
      </c>
      <c r="O8" s="96">
        <f t="shared" si="2"/>
        <v>17698670</v>
      </c>
      <c r="P8" s="96">
        <f t="shared" si="2"/>
        <v>522884.36400050001</v>
      </c>
      <c r="Q8" s="96">
        <v>247940</v>
      </c>
      <c r="R8" s="96">
        <v>9719.0455908500007</v>
      </c>
    </row>
    <row r="9" spans="1:18" s="81" customFormat="1" x14ac:dyDescent="0.2">
      <c r="A9" s="95">
        <v>43254</v>
      </c>
      <c r="B9" s="96">
        <v>21</v>
      </c>
      <c r="C9" s="96">
        <v>886.41457000000003</v>
      </c>
      <c r="D9" s="96">
        <v>175959</v>
      </c>
      <c r="E9" s="97">
        <v>9715.8885376000017</v>
      </c>
      <c r="F9" s="96">
        <v>8167.2401499999996</v>
      </c>
      <c r="G9" s="96">
        <v>6121070</v>
      </c>
      <c r="H9" s="96">
        <v>212443.22107649996</v>
      </c>
      <c r="I9" s="96">
        <v>14.222909230000006</v>
      </c>
      <c r="J9" s="96">
        <v>2357607</v>
      </c>
      <c r="K9" s="96">
        <v>110300.49011349997</v>
      </c>
      <c r="L9" s="96">
        <v>44502.367630277498</v>
      </c>
      <c r="M9" s="96">
        <v>8569510</v>
      </c>
      <c r="N9" s="96">
        <v>166191.54131099998</v>
      </c>
      <c r="O9" s="96">
        <f t="shared" si="2"/>
        <v>17224146</v>
      </c>
      <c r="P9" s="96">
        <f t="shared" si="2"/>
        <v>498651.14103859989</v>
      </c>
      <c r="Q9" s="96">
        <v>298803</v>
      </c>
      <c r="R9" s="96">
        <v>11252.63975545</v>
      </c>
    </row>
    <row r="10" spans="1:18" s="81" customFormat="1" x14ac:dyDescent="0.2">
      <c r="A10" s="95">
        <v>43285</v>
      </c>
      <c r="B10" s="96">
        <v>22</v>
      </c>
      <c r="C10" s="96">
        <v>771.97490999999968</v>
      </c>
      <c r="D10" s="96">
        <v>160034</v>
      </c>
      <c r="E10" s="97">
        <v>9145.5647799999988</v>
      </c>
      <c r="F10" s="96">
        <v>10913.253750000005</v>
      </c>
      <c r="G10" s="96">
        <v>7272721</v>
      </c>
      <c r="H10" s="96">
        <v>238764.25842024985</v>
      </c>
      <c r="I10" s="96">
        <v>11.516052817000004</v>
      </c>
      <c r="J10" s="96">
        <v>1962672</v>
      </c>
      <c r="K10" s="96">
        <v>99642.057857999956</v>
      </c>
      <c r="L10" s="96">
        <v>44769.445396769523</v>
      </c>
      <c r="M10" s="96">
        <v>8301841</v>
      </c>
      <c r="N10" s="96">
        <v>171692.95187299995</v>
      </c>
      <c r="O10" s="96">
        <f t="shared" si="2"/>
        <v>17697268</v>
      </c>
      <c r="P10" s="96">
        <f t="shared" si="2"/>
        <v>519244.83293124981</v>
      </c>
      <c r="Q10" s="96">
        <v>300324</v>
      </c>
      <c r="R10" s="96">
        <v>11624.4839803</v>
      </c>
    </row>
    <row r="11" spans="1:18" s="81" customFormat="1" x14ac:dyDescent="0.2">
      <c r="A11" s="95">
        <v>43317</v>
      </c>
      <c r="B11" s="96">
        <v>22</v>
      </c>
      <c r="C11" s="96">
        <v>680.41464999999982</v>
      </c>
      <c r="D11" s="96">
        <v>130026</v>
      </c>
      <c r="E11" s="97">
        <v>7635.2630787999997</v>
      </c>
      <c r="F11" s="96">
        <v>10505.019249999996</v>
      </c>
      <c r="G11" s="96">
        <v>7287437</v>
      </c>
      <c r="H11" s="96">
        <v>229026.26477574999</v>
      </c>
      <c r="I11" s="96">
        <v>16.539243868000003</v>
      </c>
      <c r="J11" s="96">
        <v>2450524</v>
      </c>
      <c r="K11" s="96">
        <v>115911.34298379997</v>
      </c>
      <c r="L11" s="96">
        <v>41038.600867911002</v>
      </c>
      <c r="M11" s="96">
        <v>8179663</v>
      </c>
      <c r="N11" s="96">
        <v>158522.4713725</v>
      </c>
      <c r="O11" s="96">
        <f t="shared" si="2"/>
        <v>18047650</v>
      </c>
      <c r="P11" s="96">
        <f t="shared" si="2"/>
        <v>511095.34221084998</v>
      </c>
      <c r="Q11" s="96">
        <v>337203</v>
      </c>
      <c r="R11" s="96">
        <v>12937.8600744</v>
      </c>
    </row>
    <row r="12" spans="1:18" s="81" customFormat="1" x14ac:dyDescent="0.2">
      <c r="A12" s="95">
        <v>43349</v>
      </c>
      <c r="B12" s="96">
        <v>20</v>
      </c>
      <c r="C12" s="96">
        <v>644.88196999999991</v>
      </c>
      <c r="D12" s="96">
        <v>126410</v>
      </c>
      <c r="E12" s="97">
        <v>7423.7061147999984</v>
      </c>
      <c r="F12" s="96">
        <v>10275.787449999998</v>
      </c>
      <c r="G12" s="96">
        <v>7038163</v>
      </c>
      <c r="H12" s="96">
        <v>225426.85332999993</v>
      </c>
      <c r="I12" s="96">
        <v>15.594591025000003</v>
      </c>
      <c r="J12" s="96">
        <v>2505658</v>
      </c>
      <c r="K12" s="96">
        <v>134224.12622810001</v>
      </c>
      <c r="L12" s="96">
        <v>43708.060661051997</v>
      </c>
      <c r="M12" s="96">
        <v>8617984</v>
      </c>
      <c r="N12" s="96">
        <v>180485.20806599996</v>
      </c>
      <c r="O12" s="96">
        <f t="shared" si="2"/>
        <v>18288215</v>
      </c>
      <c r="P12" s="96">
        <f t="shared" si="2"/>
        <v>547559.89373889985</v>
      </c>
      <c r="Q12" s="96">
        <v>293647</v>
      </c>
      <c r="R12" s="96">
        <v>12632.030690400001</v>
      </c>
    </row>
    <row r="13" spans="1:18" s="81" customFormat="1" x14ac:dyDescent="0.2">
      <c r="A13" s="95">
        <v>43380</v>
      </c>
      <c r="B13" s="96">
        <v>22</v>
      </c>
      <c r="C13" s="96">
        <v>713.76738000000012</v>
      </c>
      <c r="D13" s="96">
        <v>135899</v>
      </c>
      <c r="E13" s="96">
        <v>7922.7077328000023</v>
      </c>
      <c r="F13" s="96">
        <v>10507.373749999993</v>
      </c>
      <c r="G13" s="96">
        <v>7274845</v>
      </c>
      <c r="H13" s="96">
        <v>242104.49399274995</v>
      </c>
      <c r="I13" s="96">
        <v>15.778854025000003</v>
      </c>
      <c r="J13" s="96">
        <v>2716283</v>
      </c>
      <c r="K13" s="96">
        <v>137468.71074590003</v>
      </c>
      <c r="L13" s="96">
        <v>47470.920197196006</v>
      </c>
      <c r="M13" s="96">
        <v>10202221</v>
      </c>
      <c r="N13" s="96">
        <v>222820.31827699993</v>
      </c>
      <c r="O13" s="96">
        <f t="shared" si="2"/>
        <v>20329248</v>
      </c>
      <c r="P13" s="96">
        <f t="shared" si="2"/>
        <v>610316.23074844992</v>
      </c>
      <c r="Q13" s="96">
        <v>326788</v>
      </c>
      <c r="R13" s="96">
        <v>14618.3493985</v>
      </c>
    </row>
    <row r="14" spans="1:18" s="81" customFormat="1" x14ac:dyDescent="0.2">
      <c r="A14" s="95">
        <v>43405</v>
      </c>
      <c r="B14" s="96">
        <v>22</v>
      </c>
      <c r="C14" s="96">
        <v>880.84587999999985</v>
      </c>
      <c r="D14" s="96">
        <v>146737</v>
      </c>
      <c r="E14" s="96">
        <v>8040.6244112000004</v>
      </c>
      <c r="F14" s="96">
        <v>7868.6852499999995</v>
      </c>
      <c r="G14" s="96">
        <v>5781903</v>
      </c>
      <c r="H14" s="96">
        <v>176376.59872675</v>
      </c>
      <c r="I14" s="96">
        <v>15.451757733000004</v>
      </c>
      <c r="J14" s="96">
        <v>2404522</v>
      </c>
      <c r="K14" s="96">
        <v>122191.62583010001</v>
      </c>
      <c r="L14" s="96">
        <v>58249.487884180991</v>
      </c>
      <c r="M14" s="96">
        <v>13204283</v>
      </c>
      <c r="N14" s="96">
        <v>261805.16760849999</v>
      </c>
      <c r="O14" s="96">
        <f t="shared" si="2"/>
        <v>21537445</v>
      </c>
      <c r="P14" s="96">
        <f t="shared" si="2"/>
        <v>568414.01657655009</v>
      </c>
      <c r="Q14" s="96">
        <v>328316</v>
      </c>
      <c r="R14" s="96">
        <v>12267.826862149999</v>
      </c>
    </row>
    <row r="15" spans="1:18" s="81" customFormat="1" x14ac:dyDescent="0.2">
      <c r="A15" s="95">
        <v>43436</v>
      </c>
      <c r="B15" s="96">
        <v>20</v>
      </c>
      <c r="C15" s="96">
        <v>973.94295999999986</v>
      </c>
      <c r="D15" s="96">
        <v>173622</v>
      </c>
      <c r="E15" s="96">
        <v>9155.3991984000022</v>
      </c>
      <c r="F15" s="96">
        <v>7145.4594499999994</v>
      </c>
      <c r="G15" s="96">
        <v>5228208</v>
      </c>
      <c r="H15" s="96">
        <v>155530.51851125003</v>
      </c>
      <c r="I15" s="96">
        <v>12.463301932999999</v>
      </c>
      <c r="J15" s="96">
        <v>2255493</v>
      </c>
      <c r="K15" s="96">
        <v>117881.0374382</v>
      </c>
      <c r="L15" s="96">
        <v>75804.095232856518</v>
      </c>
      <c r="M15" s="96">
        <v>15931498</v>
      </c>
      <c r="N15" s="96">
        <v>242020.18974650005</v>
      </c>
      <c r="O15" s="96">
        <v>23588821</v>
      </c>
      <c r="P15" s="96">
        <v>524587.14489435009</v>
      </c>
      <c r="Q15" s="96">
        <v>325197</v>
      </c>
      <c r="R15" s="96">
        <v>13161.636522500001</v>
      </c>
    </row>
    <row r="16" spans="1:18" s="81" customFormat="1" x14ac:dyDescent="0.2">
      <c r="A16" s="95">
        <v>43468</v>
      </c>
      <c r="B16" s="96">
        <v>23</v>
      </c>
      <c r="C16" s="96">
        <v>842.58994000000007</v>
      </c>
      <c r="D16" s="96">
        <v>157073</v>
      </c>
      <c r="E16" s="96">
        <v>8419.2546623999988</v>
      </c>
      <c r="F16" s="96">
        <v>9397.7367000000049</v>
      </c>
      <c r="G16" s="96">
        <v>6500061</v>
      </c>
      <c r="H16" s="96">
        <v>195705.29755699984</v>
      </c>
      <c r="I16" s="96">
        <v>13.373667385000001</v>
      </c>
      <c r="J16" s="96">
        <v>2526183</v>
      </c>
      <c r="K16" s="96">
        <v>144350.72707420005</v>
      </c>
      <c r="L16" s="96">
        <v>81981.645117792534</v>
      </c>
      <c r="M16" s="96">
        <v>17407316</v>
      </c>
      <c r="N16" s="96">
        <v>260414.52844949986</v>
      </c>
      <c r="O16" s="96">
        <v>26590633</v>
      </c>
      <c r="P16" s="96">
        <v>608889.80774309975</v>
      </c>
      <c r="Q16" s="96">
        <v>261376</v>
      </c>
      <c r="R16" s="96">
        <v>14907.6099636</v>
      </c>
    </row>
    <row r="17" spans="1:18" s="81" customFormat="1" x14ac:dyDescent="0.2">
      <c r="A17" s="95">
        <v>43500</v>
      </c>
      <c r="B17" s="96">
        <v>20</v>
      </c>
      <c r="C17" s="96">
        <v>792.85031000000004</v>
      </c>
      <c r="D17" s="96">
        <v>150975</v>
      </c>
      <c r="E17" s="96">
        <v>8064.5327172000007</v>
      </c>
      <c r="F17" s="96">
        <v>8148.5166499999996</v>
      </c>
      <c r="G17" s="96">
        <v>5842598</v>
      </c>
      <c r="H17" s="96">
        <v>185353.34365600004</v>
      </c>
      <c r="I17" s="96">
        <v>12.817057824000004</v>
      </c>
      <c r="J17" s="96">
        <v>2271899</v>
      </c>
      <c r="K17" s="96">
        <v>131567.12389449996</v>
      </c>
      <c r="L17" s="96">
        <v>69132.380265721004</v>
      </c>
      <c r="M17" s="96">
        <v>14091322</v>
      </c>
      <c r="N17" s="96">
        <v>215469.37498650001</v>
      </c>
      <c r="O17" s="96">
        <v>22356794</v>
      </c>
      <c r="P17" s="96">
        <v>540454.37525420007</v>
      </c>
      <c r="Q17" s="96">
        <v>257544</v>
      </c>
      <c r="R17" s="96">
        <v>14376.10990675</v>
      </c>
    </row>
    <row r="18" spans="1:18" s="81" customFormat="1" x14ac:dyDescent="0.2">
      <c r="A18" s="95">
        <v>43529</v>
      </c>
      <c r="B18" s="96">
        <v>21</v>
      </c>
      <c r="C18" s="96">
        <v>936.50720999999999</v>
      </c>
      <c r="D18" s="96">
        <v>181085</v>
      </c>
      <c r="E18" s="96">
        <v>9706.7168512000007</v>
      </c>
      <c r="F18" s="96">
        <v>8600.3808499999996</v>
      </c>
      <c r="G18" s="96">
        <v>6226121</v>
      </c>
      <c r="H18" s="96">
        <v>197172.79206025001</v>
      </c>
      <c r="I18" s="96">
        <v>13.078151617</v>
      </c>
      <c r="J18" s="96">
        <v>2460371</v>
      </c>
      <c r="K18" s="96">
        <v>151853.61461719999</v>
      </c>
      <c r="L18" s="96">
        <v>68525.513954056994</v>
      </c>
      <c r="M18" s="96">
        <v>13882044</v>
      </c>
      <c r="N18" s="96">
        <v>218734.94815549999</v>
      </c>
      <c r="O18" s="96">
        <v>22749621</v>
      </c>
      <c r="P18" s="96">
        <v>577468.07168415003</v>
      </c>
      <c r="Q18" s="96">
        <v>313641</v>
      </c>
      <c r="R18" s="96">
        <v>14243.598900749999</v>
      </c>
    </row>
    <row r="19" spans="1:18" x14ac:dyDescent="0.2">
      <c r="A19" s="499" t="s">
        <v>828</v>
      </c>
      <c r="B19" s="499"/>
      <c r="C19" s="499"/>
      <c r="D19" s="499"/>
      <c r="E19" s="499"/>
      <c r="F19" s="499"/>
      <c r="G19" s="499"/>
      <c r="H19" s="499"/>
      <c r="I19" s="499"/>
      <c r="J19" s="499"/>
      <c r="K19" s="499"/>
      <c r="L19" s="499"/>
      <c r="M19" s="499"/>
      <c r="N19" s="499"/>
      <c r="O19" s="499"/>
      <c r="P19" s="499"/>
      <c r="Q19" s="499"/>
      <c r="R19" s="499"/>
    </row>
    <row r="20" spans="1:18" ht="24" customHeight="1" x14ac:dyDescent="0.2">
      <c r="A20" s="500" t="s">
        <v>911</v>
      </c>
      <c r="B20" s="500" t="s">
        <v>788</v>
      </c>
      <c r="C20" s="501" t="s">
        <v>784</v>
      </c>
      <c r="D20" s="501"/>
      <c r="E20" s="501"/>
      <c r="F20" s="501"/>
      <c r="G20" s="501" t="s">
        <v>777</v>
      </c>
      <c r="H20" s="501"/>
      <c r="I20" s="501"/>
      <c r="J20" s="501"/>
      <c r="K20" s="501" t="s">
        <v>775</v>
      </c>
      <c r="L20" s="501"/>
      <c r="M20" s="501"/>
      <c r="N20" s="501"/>
      <c r="O20" s="501" t="s">
        <v>150</v>
      </c>
      <c r="P20" s="501"/>
      <c r="Q20" s="501" t="s">
        <v>792</v>
      </c>
      <c r="R20" s="501"/>
    </row>
    <row r="21" spans="1:18" x14ac:dyDescent="0.2">
      <c r="A21" s="500"/>
      <c r="B21" s="500"/>
      <c r="C21" s="495" t="s">
        <v>912</v>
      </c>
      <c r="D21" s="495"/>
      <c r="E21" s="495" t="s">
        <v>913</v>
      </c>
      <c r="F21" s="495"/>
      <c r="G21" s="495" t="s">
        <v>912</v>
      </c>
      <c r="H21" s="495"/>
      <c r="I21" s="495" t="s">
        <v>913</v>
      </c>
      <c r="J21" s="495"/>
      <c r="K21" s="495" t="s">
        <v>912</v>
      </c>
      <c r="L21" s="495"/>
      <c r="M21" s="495" t="s">
        <v>913</v>
      </c>
      <c r="N21" s="495"/>
      <c r="O21" s="490" t="s">
        <v>909</v>
      </c>
      <c r="P21" s="492" t="s">
        <v>914</v>
      </c>
      <c r="Q21" s="490" t="s">
        <v>909</v>
      </c>
      <c r="R21" s="490" t="s">
        <v>915</v>
      </c>
    </row>
    <row r="22" spans="1:18" ht="38.25" x14ac:dyDescent="0.2">
      <c r="A22" s="500"/>
      <c r="B22" s="500"/>
      <c r="C22" s="98" t="s">
        <v>909</v>
      </c>
      <c r="D22" s="91" t="s">
        <v>907</v>
      </c>
      <c r="E22" s="98" t="s">
        <v>909</v>
      </c>
      <c r="F22" s="91" t="s">
        <v>907</v>
      </c>
      <c r="G22" s="98" t="s">
        <v>909</v>
      </c>
      <c r="H22" s="91" t="s">
        <v>907</v>
      </c>
      <c r="I22" s="98" t="s">
        <v>909</v>
      </c>
      <c r="J22" s="91" t="s">
        <v>907</v>
      </c>
      <c r="K22" s="98" t="s">
        <v>909</v>
      </c>
      <c r="L22" s="91" t="s">
        <v>907</v>
      </c>
      <c r="M22" s="98" t="s">
        <v>909</v>
      </c>
      <c r="N22" s="91" t="s">
        <v>907</v>
      </c>
      <c r="O22" s="491"/>
      <c r="P22" s="493"/>
      <c r="Q22" s="491"/>
      <c r="R22" s="491"/>
    </row>
    <row r="23" spans="1:18" x14ac:dyDescent="0.2">
      <c r="A23" s="93" t="s">
        <v>69</v>
      </c>
      <c r="B23" s="94">
        <v>116</v>
      </c>
      <c r="C23" s="94" t="s">
        <v>916</v>
      </c>
      <c r="D23" s="94" t="s">
        <v>916</v>
      </c>
      <c r="E23" s="94" t="s">
        <v>916</v>
      </c>
      <c r="F23" s="94" t="s">
        <v>916</v>
      </c>
      <c r="G23" s="94">
        <v>23207</v>
      </c>
      <c r="H23" s="94">
        <v>6955</v>
      </c>
      <c r="I23" s="94">
        <v>11545</v>
      </c>
      <c r="J23" s="94">
        <v>3399</v>
      </c>
      <c r="K23" s="94" t="s">
        <v>916</v>
      </c>
      <c r="L23" s="94" t="s">
        <v>916</v>
      </c>
      <c r="M23" s="94" t="s">
        <v>916</v>
      </c>
      <c r="N23" s="94" t="s">
        <v>916</v>
      </c>
      <c r="O23" s="94">
        <f>G23+I23</f>
        <v>34752</v>
      </c>
      <c r="P23" s="94">
        <f>H23+J23</f>
        <v>10354</v>
      </c>
      <c r="Q23" s="94">
        <v>298</v>
      </c>
      <c r="R23" s="94">
        <v>92</v>
      </c>
    </row>
    <row r="24" spans="1:18" x14ac:dyDescent="0.2">
      <c r="A24" s="93" t="s">
        <v>70</v>
      </c>
      <c r="B24" s="94">
        <f>SUM(B25:B36)</f>
        <v>257</v>
      </c>
      <c r="C24" s="94">
        <f t="shared" ref="C24:N24" si="3">SUM(C25:C36)</f>
        <v>69152</v>
      </c>
      <c r="D24" s="94">
        <f t="shared" si="3"/>
        <v>3701.0512629999998</v>
      </c>
      <c r="E24" s="94">
        <f t="shared" si="3"/>
        <v>54509</v>
      </c>
      <c r="F24" s="94">
        <f t="shared" si="3"/>
        <v>2791.6585439999999</v>
      </c>
      <c r="G24" s="94">
        <f t="shared" si="3"/>
        <v>265487</v>
      </c>
      <c r="H24" s="94">
        <f t="shared" si="3"/>
        <v>75209.556406000018</v>
      </c>
      <c r="I24" s="94">
        <f t="shared" si="3"/>
        <v>207148</v>
      </c>
      <c r="J24" s="94">
        <f t="shared" si="3"/>
        <v>60490.499556499999</v>
      </c>
      <c r="K24" s="94">
        <f t="shared" si="3"/>
        <v>480193</v>
      </c>
      <c r="L24" s="94">
        <f t="shared" si="3"/>
        <v>20896.828280000002</v>
      </c>
      <c r="M24" s="94">
        <f t="shared" si="3"/>
        <v>418758</v>
      </c>
      <c r="N24" s="94">
        <f t="shared" si="3"/>
        <v>17854.905913999999</v>
      </c>
      <c r="O24" s="94">
        <f>SUM(O25:O36)</f>
        <v>1495517</v>
      </c>
      <c r="P24" s="94">
        <f t="shared" ref="P24" si="4">SUM(P25:P36)</f>
        <v>180944.49896349999</v>
      </c>
      <c r="Q24" s="94">
        <f>Q36</f>
        <v>9471</v>
      </c>
      <c r="R24" s="94">
        <f>R36</f>
        <v>802.06000000000006</v>
      </c>
    </row>
    <row r="25" spans="1:18" x14ac:dyDescent="0.2">
      <c r="A25" s="95">
        <v>43191</v>
      </c>
      <c r="B25" s="96">
        <v>21</v>
      </c>
      <c r="C25" s="96">
        <v>0</v>
      </c>
      <c r="D25" s="96">
        <v>0</v>
      </c>
      <c r="E25" s="96">
        <v>0</v>
      </c>
      <c r="F25" s="96">
        <v>0</v>
      </c>
      <c r="G25" s="96">
        <v>4584</v>
      </c>
      <c r="H25" s="96">
        <v>1533.95</v>
      </c>
      <c r="I25" s="96">
        <v>3534</v>
      </c>
      <c r="J25" s="96">
        <v>1106.47</v>
      </c>
      <c r="K25" s="96">
        <v>0</v>
      </c>
      <c r="L25" s="96">
        <v>0</v>
      </c>
      <c r="M25" s="96">
        <v>0</v>
      </c>
      <c r="N25" s="96">
        <v>0</v>
      </c>
      <c r="O25" s="96">
        <v>8388</v>
      </c>
      <c r="P25" s="96">
        <f>H25+J25</f>
        <v>2640.42</v>
      </c>
      <c r="Q25" s="96">
        <v>1650</v>
      </c>
      <c r="R25" s="96">
        <v>517.55999999999995</v>
      </c>
    </row>
    <row r="26" spans="1:18" x14ac:dyDescent="0.2">
      <c r="A26" s="95">
        <v>43221</v>
      </c>
      <c r="B26" s="96">
        <v>23</v>
      </c>
      <c r="C26" s="96">
        <v>3575</v>
      </c>
      <c r="D26" s="96">
        <v>169.95</v>
      </c>
      <c r="E26" s="96">
        <v>2777</v>
      </c>
      <c r="F26" s="96">
        <v>130.75</v>
      </c>
      <c r="G26" s="96">
        <v>26483</v>
      </c>
      <c r="H26" s="96">
        <v>8134.5899999999992</v>
      </c>
      <c r="I26" s="96">
        <v>22435</v>
      </c>
      <c r="J26" s="96">
        <v>6916.01</v>
      </c>
      <c r="K26" s="96">
        <v>17615</v>
      </c>
      <c r="L26" s="96">
        <v>861.47</v>
      </c>
      <c r="M26" s="96">
        <v>13660</v>
      </c>
      <c r="N26" s="96">
        <v>657.54</v>
      </c>
      <c r="O26" s="96">
        <f t="shared" ref="O26:P32" si="5">G26+I26+C26+E26+K26+M26</f>
        <v>86545</v>
      </c>
      <c r="P26" s="96">
        <f t="shared" si="5"/>
        <v>16870.309999999998</v>
      </c>
      <c r="Q26" s="96">
        <v>5677</v>
      </c>
      <c r="R26" s="96">
        <v>528.70000000000005</v>
      </c>
    </row>
    <row r="27" spans="1:18" x14ac:dyDescent="0.2">
      <c r="A27" s="95">
        <v>43252</v>
      </c>
      <c r="B27" s="96">
        <v>21</v>
      </c>
      <c r="C27" s="96">
        <v>12624</v>
      </c>
      <c r="D27" s="96">
        <v>681.89</v>
      </c>
      <c r="E27" s="96">
        <v>9217</v>
      </c>
      <c r="F27" s="96">
        <v>448.87</v>
      </c>
      <c r="G27" s="96">
        <v>24430</v>
      </c>
      <c r="H27" s="96">
        <v>6551.92</v>
      </c>
      <c r="I27" s="96">
        <v>20714</v>
      </c>
      <c r="J27" s="96">
        <v>5617.14</v>
      </c>
      <c r="K27" s="96">
        <v>31403</v>
      </c>
      <c r="L27" s="96">
        <v>1464.8</v>
      </c>
      <c r="M27" s="96">
        <v>26661</v>
      </c>
      <c r="N27" s="96">
        <v>1223.1199999999999</v>
      </c>
      <c r="O27" s="96">
        <f t="shared" si="5"/>
        <v>125049</v>
      </c>
      <c r="P27" s="96">
        <f t="shared" si="5"/>
        <v>15987.740000000002</v>
      </c>
      <c r="Q27" s="96">
        <v>10748</v>
      </c>
      <c r="R27" s="96">
        <v>1389.3999999999999</v>
      </c>
    </row>
    <row r="28" spans="1:18" x14ac:dyDescent="0.2">
      <c r="A28" s="95">
        <v>43282</v>
      </c>
      <c r="B28" s="96">
        <v>22</v>
      </c>
      <c r="C28" s="96">
        <v>9967</v>
      </c>
      <c r="D28" s="96">
        <v>611.25</v>
      </c>
      <c r="E28" s="96">
        <v>3844</v>
      </c>
      <c r="F28" s="96">
        <v>203.52</v>
      </c>
      <c r="G28" s="96">
        <v>29249</v>
      </c>
      <c r="H28" s="96">
        <v>8447.2999999999993</v>
      </c>
      <c r="I28" s="96">
        <v>25159</v>
      </c>
      <c r="J28" s="96">
        <v>7394.52</v>
      </c>
      <c r="K28" s="96">
        <v>26313</v>
      </c>
      <c r="L28" s="96">
        <v>1313.15</v>
      </c>
      <c r="M28" s="96">
        <v>35238</v>
      </c>
      <c r="N28" s="96">
        <v>1702.25</v>
      </c>
      <c r="O28" s="96">
        <f t="shared" si="5"/>
        <v>129770</v>
      </c>
      <c r="P28" s="96">
        <f t="shared" si="5"/>
        <v>19671.990000000002</v>
      </c>
      <c r="Q28" s="96">
        <v>5971</v>
      </c>
      <c r="R28" s="96">
        <v>535.56999999999994</v>
      </c>
    </row>
    <row r="29" spans="1:18" x14ac:dyDescent="0.2">
      <c r="A29" s="95">
        <v>43313</v>
      </c>
      <c r="B29" s="96">
        <v>22</v>
      </c>
      <c r="C29" s="96">
        <v>10066</v>
      </c>
      <c r="D29" s="96">
        <v>487.48</v>
      </c>
      <c r="E29" s="96">
        <v>5386</v>
      </c>
      <c r="F29" s="96">
        <v>249.66000000000003</v>
      </c>
      <c r="G29" s="96">
        <v>17000</v>
      </c>
      <c r="H29" s="96">
        <v>4150.34</v>
      </c>
      <c r="I29" s="96">
        <v>12647</v>
      </c>
      <c r="J29" s="96">
        <v>3416.64</v>
      </c>
      <c r="K29" s="96">
        <v>30747</v>
      </c>
      <c r="L29" s="96">
        <v>1486.43</v>
      </c>
      <c r="M29" s="96">
        <v>26732</v>
      </c>
      <c r="N29" s="96">
        <v>1250.83</v>
      </c>
      <c r="O29" s="96">
        <f t="shared" si="5"/>
        <v>102578</v>
      </c>
      <c r="P29" s="96">
        <f t="shared" si="5"/>
        <v>11041.38</v>
      </c>
      <c r="Q29" s="96">
        <v>5735</v>
      </c>
      <c r="R29" s="96">
        <v>657.73</v>
      </c>
    </row>
    <row r="30" spans="1:18" x14ac:dyDescent="0.2">
      <c r="A30" s="95">
        <v>43344</v>
      </c>
      <c r="B30" s="96">
        <v>20</v>
      </c>
      <c r="C30" s="96">
        <v>3053</v>
      </c>
      <c r="D30" s="96">
        <v>172.47193300000001</v>
      </c>
      <c r="E30" s="96">
        <v>4308</v>
      </c>
      <c r="F30" s="96">
        <v>215.48277400000001</v>
      </c>
      <c r="G30" s="96">
        <v>83236</v>
      </c>
      <c r="H30" s="96">
        <v>25124.147906000002</v>
      </c>
      <c r="I30" s="96">
        <v>59085</v>
      </c>
      <c r="J30" s="96">
        <v>17949.004356499998</v>
      </c>
      <c r="K30" s="96">
        <v>28034</v>
      </c>
      <c r="L30" s="96">
        <v>1445.20128</v>
      </c>
      <c r="M30" s="96">
        <v>34418</v>
      </c>
      <c r="N30" s="96">
        <v>1717.826914</v>
      </c>
      <c r="O30" s="96">
        <f t="shared" si="5"/>
        <v>212134</v>
      </c>
      <c r="P30" s="96">
        <f t="shared" si="5"/>
        <v>46624.135163499996</v>
      </c>
      <c r="Q30" s="96">
        <v>6441</v>
      </c>
      <c r="R30" s="96">
        <v>528.00232249999999</v>
      </c>
    </row>
    <row r="31" spans="1:18" x14ac:dyDescent="0.2">
      <c r="A31" s="95">
        <v>43380</v>
      </c>
      <c r="B31" s="96">
        <v>22</v>
      </c>
      <c r="C31" s="96">
        <v>4312</v>
      </c>
      <c r="D31" s="96">
        <v>223.8</v>
      </c>
      <c r="E31" s="96">
        <v>5332</v>
      </c>
      <c r="F31" s="96">
        <v>265.19</v>
      </c>
      <c r="G31" s="96">
        <v>20488</v>
      </c>
      <c r="H31" s="96">
        <v>5973.91</v>
      </c>
      <c r="I31" s="96">
        <v>16640</v>
      </c>
      <c r="J31" s="96">
        <v>5051.4199999999992</v>
      </c>
      <c r="K31" s="96">
        <v>39583</v>
      </c>
      <c r="L31" s="96">
        <v>2141.4</v>
      </c>
      <c r="M31" s="96">
        <v>37645</v>
      </c>
      <c r="N31" s="96">
        <v>1989.11</v>
      </c>
      <c r="O31" s="96">
        <f t="shared" si="5"/>
        <v>124000</v>
      </c>
      <c r="P31" s="96">
        <f t="shared" si="5"/>
        <v>15644.829999999998</v>
      </c>
      <c r="Q31" s="96">
        <v>7666</v>
      </c>
      <c r="R31" s="96">
        <v>903.96</v>
      </c>
    </row>
    <row r="32" spans="1:18" x14ac:dyDescent="0.2">
      <c r="A32" s="95">
        <v>43405</v>
      </c>
      <c r="B32" s="96">
        <v>22</v>
      </c>
      <c r="C32" s="96">
        <v>5460</v>
      </c>
      <c r="D32" s="96">
        <v>259.68745999999999</v>
      </c>
      <c r="E32" s="96">
        <v>5173</v>
      </c>
      <c r="F32" s="96">
        <v>241.76313999999999</v>
      </c>
      <c r="G32" s="96">
        <v>14307</v>
      </c>
      <c r="H32" s="96">
        <v>3315.2145</v>
      </c>
      <c r="I32" s="96">
        <v>7228</v>
      </c>
      <c r="J32" s="96">
        <v>1779.0653</v>
      </c>
      <c r="K32" s="96">
        <v>67680</v>
      </c>
      <c r="L32" s="96">
        <v>2915.99</v>
      </c>
      <c r="M32" s="96">
        <v>41202</v>
      </c>
      <c r="N32" s="96">
        <v>1723</v>
      </c>
      <c r="O32" s="96">
        <f t="shared" si="5"/>
        <v>141050</v>
      </c>
      <c r="P32" s="96">
        <f t="shared" si="5"/>
        <v>10234.7204</v>
      </c>
      <c r="Q32" s="96">
        <v>8862</v>
      </c>
      <c r="R32" s="96">
        <v>675.52</v>
      </c>
    </row>
    <row r="33" spans="1:18" x14ac:dyDescent="0.2">
      <c r="A33" s="95">
        <v>43436</v>
      </c>
      <c r="B33" s="96">
        <v>20</v>
      </c>
      <c r="C33" s="96">
        <v>3743</v>
      </c>
      <c r="D33" s="96">
        <v>185.48786999999999</v>
      </c>
      <c r="E33" s="96">
        <v>2885</v>
      </c>
      <c r="F33" s="96">
        <v>140.62682999999998</v>
      </c>
      <c r="G33" s="96">
        <v>8483</v>
      </c>
      <c r="H33" s="96">
        <v>2296.9849999999997</v>
      </c>
      <c r="I33" s="96">
        <v>9156</v>
      </c>
      <c r="J33" s="96">
        <v>2648.1091999999999</v>
      </c>
      <c r="K33" s="96">
        <v>77534</v>
      </c>
      <c r="L33" s="96">
        <v>2921.9169999999999</v>
      </c>
      <c r="M33" s="96">
        <v>44777</v>
      </c>
      <c r="N33" s="96">
        <v>1620.779</v>
      </c>
      <c r="O33" s="96">
        <v>146578</v>
      </c>
      <c r="P33" s="96">
        <v>9813.9138999999996</v>
      </c>
      <c r="Q33" s="96">
        <v>13117</v>
      </c>
      <c r="R33" s="96">
        <v>1132.9499999999998</v>
      </c>
    </row>
    <row r="34" spans="1:18" x14ac:dyDescent="0.2">
      <c r="A34" s="95">
        <v>43468</v>
      </c>
      <c r="B34" s="96">
        <v>23</v>
      </c>
      <c r="C34" s="96">
        <v>5748</v>
      </c>
      <c r="D34" s="96">
        <v>276.76</v>
      </c>
      <c r="E34" s="96">
        <v>3692</v>
      </c>
      <c r="F34" s="96">
        <v>175.6</v>
      </c>
      <c r="G34" s="96">
        <v>9323</v>
      </c>
      <c r="H34" s="96">
        <v>2220.88</v>
      </c>
      <c r="I34" s="96">
        <v>10589</v>
      </c>
      <c r="J34" s="96">
        <v>2947.4700000000003</v>
      </c>
      <c r="K34" s="96">
        <v>67738</v>
      </c>
      <c r="L34" s="96">
        <v>2531.4</v>
      </c>
      <c r="M34" s="96">
        <v>65512</v>
      </c>
      <c r="N34" s="96">
        <v>2320.62</v>
      </c>
      <c r="O34" s="96">
        <v>162602</v>
      </c>
      <c r="P34" s="96">
        <v>10472.720000000001</v>
      </c>
      <c r="Q34" s="96">
        <v>9625</v>
      </c>
      <c r="R34" s="96">
        <v>736.74</v>
      </c>
    </row>
    <row r="35" spans="1:18" x14ac:dyDescent="0.2">
      <c r="A35" s="95">
        <v>43500</v>
      </c>
      <c r="B35" s="96">
        <v>20</v>
      </c>
      <c r="C35" s="96">
        <v>6266</v>
      </c>
      <c r="D35" s="96">
        <v>345.19400000000002</v>
      </c>
      <c r="E35" s="96">
        <v>6690</v>
      </c>
      <c r="F35" s="96">
        <v>342.81580000000002</v>
      </c>
      <c r="G35" s="96">
        <v>9136</v>
      </c>
      <c r="H35" s="96">
        <v>2234.3589999999999</v>
      </c>
      <c r="I35" s="96">
        <v>9526</v>
      </c>
      <c r="J35" s="96">
        <v>2606.7807000000003</v>
      </c>
      <c r="K35" s="96">
        <v>48063</v>
      </c>
      <c r="L35" s="96">
        <v>1935.36</v>
      </c>
      <c r="M35" s="96">
        <v>47265</v>
      </c>
      <c r="N35" s="96">
        <v>1826.8</v>
      </c>
      <c r="O35" s="96">
        <v>126946</v>
      </c>
      <c r="P35" s="96">
        <v>9291.3094999999994</v>
      </c>
      <c r="Q35" s="96">
        <v>9204</v>
      </c>
      <c r="R35" s="96">
        <v>1270.565458</v>
      </c>
    </row>
    <row r="36" spans="1:18" x14ac:dyDescent="0.2">
      <c r="A36" s="95">
        <v>43529</v>
      </c>
      <c r="B36" s="96">
        <v>21</v>
      </c>
      <c r="C36" s="96">
        <v>4338</v>
      </c>
      <c r="D36" s="96">
        <v>287.08</v>
      </c>
      <c r="E36" s="96">
        <v>5205</v>
      </c>
      <c r="F36" s="96">
        <v>377.38</v>
      </c>
      <c r="G36" s="96">
        <v>18768</v>
      </c>
      <c r="H36" s="96">
        <v>5225.96</v>
      </c>
      <c r="I36" s="96">
        <v>10435</v>
      </c>
      <c r="J36" s="96">
        <v>3057.87</v>
      </c>
      <c r="K36" s="96">
        <v>45483</v>
      </c>
      <c r="L36" s="96">
        <v>1879.71</v>
      </c>
      <c r="M36" s="96">
        <v>45648</v>
      </c>
      <c r="N36" s="96">
        <v>1823.03</v>
      </c>
      <c r="O36" s="96">
        <v>129877</v>
      </c>
      <c r="P36" s="96">
        <v>12651.029999999999</v>
      </c>
      <c r="Q36" s="96">
        <v>9471</v>
      </c>
      <c r="R36" s="96">
        <v>802.06000000000006</v>
      </c>
    </row>
    <row r="37" spans="1:18" x14ac:dyDescent="0.2">
      <c r="A37" s="73" t="str">
        <f>'[1]1'!A8</f>
        <v>$ indicates as on March 29, 2019</v>
      </c>
    </row>
    <row r="38" spans="1:18" x14ac:dyDescent="0.2">
      <c r="A38" s="73" t="s">
        <v>917</v>
      </c>
      <c r="L38" s="100" t="s">
        <v>903</v>
      </c>
      <c r="N38" s="100"/>
      <c r="O38" s="73"/>
      <c r="P38" s="100"/>
    </row>
    <row r="39" spans="1:18" x14ac:dyDescent="0.2">
      <c r="A39" s="494" t="s">
        <v>786</v>
      </c>
      <c r="B39" s="494"/>
      <c r="C39" s="494"/>
      <c r="D39" s="494"/>
      <c r="E39" s="494"/>
      <c r="F39" s="494"/>
      <c r="G39" s="494"/>
      <c r="H39" s="494"/>
      <c r="I39" s="494"/>
      <c r="J39" s="494"/>
      <c r="L39" s="100"/>
      <c r="N39" s="101"/>
      <c r="O39" s="101"/>
      <c r="P39" s="101"/>
    </row>
    <row r="44" spans="1:18" x14ac:dyDescent="0.2">
      <c r="B44" s="81" t="s">
        <v>918</v>
      </c>
    </row>
    <row r="45" spans="1:18" x14ac:dyDescent="0.2">
      <c r="B45" s="73" t="s">
        <v>919</v>
      </c>
      <c r="D45" s="73" t="s">
        <v>920</v>
      </c>
      <c r="E45" s="73" t="s">
        <v>921</v>
      </c>
      <c r="F45" s="73" t="s">
        <v>150</v>
      </c>
      <c r="H45" s="73" t="s">
        <v>922</v>
      </c>
      <c r="I45" s="73" t="s">
        <v>923</v>
      </c>
      <c r="J45" s="73" t="s">
        <v>924</v>
      </c>
      <c r="K45" s="73" t="s">
        <v>925</v>
      </c>
    </row>
    <row r="46" spans="1:18" x14ac:dyDescent="0.2">
      <c r="D46" s="100"/>
    </row>
    <row r="47" spans="1:18" x14ac:dyDescent="0.2">
      <c r="B47" s="73" t="s">
        <v>926</v>
      </c>
      <c r="C47" s="102"/>
      <c r="D47" s="102">
        <f>E6+'68'!E6+'69'!E5+'68'!I6+'68'!K6</f>
        <v>647592.87638710008</v>
      </c>
      <c r="E47" s="100">
        <f>P24+H6+K6+N6+'69'!K5+'69'!H5+'70'!P4+'71'!E4</f>
        <v>6730282.4840523507</v>
      </c>
      <c r="F47" s="103">
        <f>D47+E47</f>
        <v>7377875.3604394505</v>
      </c>
      <c r="H47" s="100">
        <f>P6+'68'!E6+'69'!M5+'70'!P4+'71'!E4</f>
        <v>7196756.2714759503</v>
      </c>
      <c r="I47" s="100">
        <f>P24+'68'!I6+'68'!K6</f>
        <v>181118.35896349998</v>
      </c>
      <c r="J47" s="104">
        <f>H47+I47</f>
        <v>7377874.63043945</v>
      </c>
      <c r="K47" s="102" t="b">
        <f>F47=J47</f>
        <v>0</v>
      </c>
      <c r="M47" s="105">
        <f>'73'!D28+'73'!D40+'74'!D21+'74'!D28+'75'!D16+'75'!D26+'75'!D37+0.51</f>
        <v>7377944.9272147482</v>
      </c>
    </row>
    <row r="48" spans="1:18" x14ac:dyDescent="0.2">
      <c r="B48" s="95">
        <v>43191</v>
      </c>
      <c r="C48" s="102"/>
      <c r="D48" s="102">
        <f>E7+'68'!E7+'69'!E6+'68'!I7+'68'!K7</f>
        <v>50188.155097600007</v>
      </c>
      <c r="E48" s="100">
        <f>P25+H7+K7+N7+'69'!K6</f>
        <v>557600.75702095008</v>
      </c>
      <c r="F48" s="102">
        <f>D48+E48</f>
        <v>607788.91211855004</v>
      </c>
      <c r="H48" s="100">
        <f>P7+'68'!E7+'69'!M6</f>
        <v>605127.23211854999</v>
      </c>
      <c r="I48" s="100">
        <f>P25+'68'!I7+'68'!K7</f>
        <v>2661.6800000000003</v>
      </c>
      <c r="J48" s="100">
        <f>H48+I48</f>
        <v>607788.91211855004</v>
      </c>
      <c r="K48" s="102" t="b">
        <f t="shared" ref="K48:K55" si="6">F48=J48</f>
        <v>1</v>
      </c>
    </row>
    <row r="49" spans="2:11" x14ac:dyDescent="0.2">
      <c r="B49" s="95">
        <v>43221</v>
      </c>
      <c r="C49" s="102"/>
      <c r="D49" s="102">
        <f>E8+'68'!E8+'69'!E7+'68'!I8+'68'!K8</f>
        <v>53494.710803800008</v>
      </c>
      <c r="E49" s="100">
        <f>P26+H8+K8+N8+'69'!K7</f>
        <v>531496.06771069998</v>
      </c>
      <c r="F49" s="102">
        <f t="shared" ref="F49:F55" si="7">D49+E49</f>
        <v>584990.77851450001</v>
      </c>
      <c r="H49" s="100">
        <f>P8+'68'!E8+'69'!M7</f>
        <v>568107.16851450002</v>
      </c>
      <c r="I49" s="100">
        <f>P26+'68'!I8+'68'!K8</f>
        <v>16883.609999999997</v>
      </c>
      <c r="J49" s="100">
        <f t="shared" ref="J49:J55" si="8">H49+I49</f>
        <v>584990.77851450001</v>
      </c>
      <c r="K49" s="102" t="b">
        <f t="shared" si="6"/>
        <v>1</v>
      </c>
    </row>
    <row r="50" spans="2:11" x14ac:dyDescent="0.2">
      <c r="B50" s="95">
        <v>43252</v>
      </c>
      <c r="C50" s="102"/>
      <c r="D50" s="102">
        <f>E9+'68'!E9+'69'!E8+'68'!I9+'68'!K9</f>
        <v>54011.814916100026</v>
      </c>
      <c r="E50" s="100">
        <f>P27+H9+K9+N9+'69'!K8</f>
        <v>505217.87177264993</v>
      </c>
      <c r="F50" s="102">
        <f t="shared" si="7"/>
        <v>559229.68668874993</v>
      </c>
      <c r="H50" s="100">
        <f>P9+'68'!E9+'69'!M8</f>
        <v>543225.35668874998</v>
      </c>
      <c r="I50" s="100">
        <f>P27+'68'!I9+'68'!K9</f>
        <v>16004.33</v>
      </c>
      <c r="J50" s="100">
        <f t="shared" si="8"/>
        <v>559229.68668874993</v>
      </c>
      <c r="K50" s="102" t="b">
        <f t="shared" si="6"/>
        <v>1</v>
      </c>
    </row>
    <row r="51" spans="2:11" x14ac:dyDescent="0.2">
      <c r="B51" s="95">
        <v>43282</v>
      </c>
      <c r="C51" s="102"/>
      <c r="D51" s="102">
        <f>E10+'68'!E10+'69'!E9+'68'!I10+'68'!K10</f>
        <v>72925.606925800006</v>
      </c>
      <c r="E51" s="100">
        <f>P28+H10+K10+N10+'69'!K9</f>
        <v>530236.34815124969</v>
      </c>
      <c r="F51" s="102">
        <f t="shared" si="7"/>
        <v>603161.95507704967</v>
      </c>
      <c r="H51" s="100">
        <f>P10+'68'!E10+'69'!M9</f>
        <v>583474.39507704985</v>
      </c>
      <c r="I51" s="100">
        <f>P28+'68'!I10+'68'!K10</f>
        <v>19687.560000000001</v>
      </c>
      <c r="J51" s="100">
        <f t="shared" si="8"/>
        <v>603161.9550770499</v>
      </c>
      <c r="K51" s="102" t="b">
        <f t="shared" si="6"/>
        <v>1</v>
      </c>
    </row>
    <row r="52" spans="2:11" x14ac:dyDescent="0.2">
      <c r="B52" s="95">
        <v>43313</v>
      </c>
      <c r="C52" s="102"/>
      <c r="D52" s="102">
        <f>E11+'68'!E11+'69'!E10+'68'!I11+'68'!K11</f>
        <v>67565.119550799995</v>
      </c>
      <c r="E52" s="100">
        <f>P29+H11+K11+N11+'69'!K10+'69'!H10</f>
        <v>514933.93913204997</v>
      </c>
      <c r="F52" s="102">
        <f t="shared" si="7"/>
        <v>582499.05868284998</v>
      </c>
      <c r="H52" s="100">
        <f>P11+'68'!E11+'69'!M10</f>
        <v>571445.62868284993</v>
      </c>
      <c r="I52" s="100">
        <f>P29+'68'!I11+'68'!K11</f>
        <v>11053.429999999998</v>
      </c>
      <c r="J52" s="100">
        <f t="shared" si="8"/>
        <v>582499.05868284998</v>
      </c>
      <c r="K52" s="102" t="b">
        <f t="shared" si="6"/>
        <v>1</v>
      </c>
    </row>
    <row r="53" spans="2:11" x14ac:dyDescent="0.2">
      <c r="B53" s="95">
        <v>43344</v>
      </c>
      <c r="C53" s="102"/>
      <c r="D53" s="102">
        <f>E12+'68'!E12+'69'!E11+'68'!I12+'68'!K12</f>
        <v>46857.933979800036</v>
      </c>
      <c r="E53" s="100">
        <f>P30+H12+K12+N12+'69'!K11+'69'!H11+'70'!P4+'71'!E4</f>
        <v>623869.76461559988</v>
      </c>
      <c r="F53" s="102">
        <f t="shared" si="7"/>
        <v>670727.69859539997</v>
      </c>
      <c r="H53" s="100">
        <f>P12+'68'!E12+'69'!M11+'70'!P4+'71'!E4</f>
        <v>624090.37343189993</v>
      </c>
      <c r="I53" s="100">
        <f>P30+'68'!I12+'68'!K12</f>
        <v>46637.325163499998</v>
      </c>
      <c r="J53" s="100">
        <f t="shared" si="8"/>
        <v>670727.69859539997</v>
      </c>
      <c r="K53" s="102" t="b">
        <f t="shared" si="6"/>
        <v>1</v>
      </c>
    </row>
    <row r="54" spans="2:11" x14ac:dyDescent="0.2">
      <c r="B54" s="95">
        <v>43380</v>
      </c>
      <c r="C54" s="102"/>
      <c r="D54" s="102">
        <f>E13+'68'!E13+'69'!E12+'68'!I13+'68'!K13</f>
        <v>62124.013927799999</v>
      </c>
      <c r="E54" s="100">
        <f>P31+H13+K13+N13+'69'!K12+'69'!H12+'70'!P5+'71'!E5</f>
        <v>627389.34114819986</v>
      </c>
      <c r="F54" s="102">
        <f t="shared" si="7"/>
        <v>689513.35507599986</v>
      </c>
      <c r="H54" s="100">
        <f>P13+'68'!E13+'69'!M12+'70'!P5+'71'!E5</f>
        <v>673827.54507599992</v>
      </c>
      <c r="I54" s="100">
        <f>P31+'68'!I13+'68'!K13</f>
        <v>15685.809999999998</v>
      </c>
      <c r="J54" s="100">
        <f t="shared" si="8"/>
        <v>689513.35507599986</v>
      </c>
      <c r="K54" s="102" t="b">
        <f t="shared" si="6"/>
        <v>1</v>
      </c>
    </row>
    <row r="55" spans="2:11" x14ac:dyDescent="0.2">
      <c r="B55" s="95">
        <v>43405</v>
      </c>
      <c r="C55" s="102"/>
      <c r="D55" s="102">
        <f>E14+'68'!E14+'69'!E13+'68'!I14+'68'!K14</f>
        <v>65485.592621200049</v>
      </c>
      <c r="E55" s="100">
        <f>P32+H14+K14+N14+'69'!K13+'69'!H13+'70'!P6+'71'!E6</f>
        <v>580956.00408135005</v>
      </c>
      <c r="F55" s="102">
        <f t="shared" si="7"/>
        <v>646441.59670255007</v>
      </c>
      <c r="H55" s="100">
        <f>P14+'68'!E14+'69'!M13+'70'!P6+'71'!E6</f>
        <v>636186.96630255016</v>
      </c>
      <c r="I55" s="100">
        <f>P32+'68'!I14+'68'!K14</f>
        <v>10254.6304</v>
      </c>
      <c r="J55" s="100">
        <f t="shared" si="8"/>
        <v>646441.59670255019</v>
      </c>
      <c r="K55" s="102" t="b">
        <f t="shared" si="6"/>
        <v>1</v>
      </c>
    </row>
    <row r="56" spans="2:11" x14ac:dyDescent="0.2">
      <c r="H56" s="100"/>
      <c r="I56" s="100"/>
      <c r="J56" s="100"/>
    </row>
    <row r="58" spans="2:11" x14ac:dyDescent="0.2">
      <c r="D58" s="100"/>
    </row>
    <row r="60" spans="2:11" x14ac:dyDescent="0.2">
      <c r="D60" s="106"/>
    </row>
  </sheetData>
  <mergeCells count="31">
    <mergeCell ref="A1:H1"/>
    <mergeCell ref="I1:O1"/>
    <mergeCell ref="P1:Q1"/>
    <mergeCell ref="A2:R2"/>
    <mergeCell ref="A3:A4"/>
    <mergeCell ref="B3:B4"/>
    <mergeCell ref="C3:E3"/>
    <mergeCell ref="F3:H3"/>
    <mergeCell ref="I3:K3"/>
    <mergeCell ref="L3:N3"/>
    <mergeCell ref="O3:P3"/>
    <mergeCell ref="Q3:R3"/>
    <mergeCell ref="A19:R19"/>
    <mergeCell ref="A20:A22"/>
    <mergeCell ref="B20:B22"/>
    <mergeCell ref="C20:F20"/>
    <mergeCell ref="G20:J20"/>
    <mergeCell ref="K20:N20"/>
    <mergeCell ref="O20:P20"/>
    <mergeCell ref="Q20:R20"/>
    <mergeCell ref="O21:O22"/>
    <mergeCell ref="P21:P22"/>
    <mergeCell ref="Q21:Q22"/>
    <mergeCell ref="R21:R22"/>
    <mergeCell ref="A39:J39"/>
    <mergeCell ref="C21:D21"/>
    <mergeCell ref="E21:F21"/>
    <mergeCell ref="G21:H21"/>
    <mergeCell ref="I21:J21"/>
    <mergeCell ref="K21:L21"/>
    <mergeCell ref="M21:N21"/>
  </mergeCells>
  <pageMargins left="0.7" right="0.7" top="0.75" bottom="0.75" header="0.3" footer="0.3"/>
  <pageSetup scale="69"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pageSetUpPr fitToPage="1"/>
  </sheetPr>
  <dimension ref="A1:O21"/>
  <sheetViews>
    <sheetView workbookViewId="0">
      <selection sqref="A1:E1"/>
    </sheetView>
  </sheetViews>
  <sheetFormatPr defaultRowHeight="12.75" x14ac:dyDescent="0.2"/>
  <cols>
    <col min="1" max="1" width="9.140625" style="73" customWidth="1"/>
    <col min="2" max="2" width="7.140625" style="73" customWidth="1"/>
    <col min="3" max="3" width="11.42578125" style="73" customWidth="1"/>
    <col min="4" max="4" width="14.140625" style="73" bestFit="1" customWidth="1"/>
    <col min="5" max="5" width="10.28515625" style="73" customWidth="1"/>
    <col min="6" max="6" width="8.7109375" style="73" customWidth="1"/>
    <col min="7" max="8" width="9.140625" style="73"/>
    <col min="9" max="9" width="9.5703125" style="73" bestFit="1" customWidth="1"/>
    <col min="10" max="16384" width="9.140625" style="73"/>
  </cols>
  <sheetData>
    <row r="1" spans="1:15" ht="15" x14ac:dyDescent="0.2">
      <c r="A1" s="484" t="s">
        <v>869</v>
      </c>
      <c r="B1" s="484"/>
      <c r="C1" s="502"/>
      <c r="D1" s="502"/>
      <c r="E1" s="502"/>
      <c r="F1" s="502"/>
      <c r="G1" s="502"/>
    </row>
    <row r="2" spans="1:15" x14ac:dyDescent="0.2">
      <c r="A2" s="505" t="s">
        <v>697</v>
      </c>
      <c r="B2" s="498" t="s">
        <v>788</v>
      </c>
      <c r="C2" s="513" t="s">
        <v>906</v>
      </c>
      <c r="D2" s="513"/>
      <c r="E2" s="513"/>
      <c r="F2" s="513"/>
      <c r="G2" s="513"/>
      <c r="H2" s="513" t="s">
        <v>828</v>
      </c>
      <c r="I2" s="513"/>
      <c r="J2" s="513"/>
      <c r="K2" s="513"/>
      <c r="L2" s="513"/>
      <c r="M2" s="513"/>
    </row>
    <row r="3" spans="1:15" s="89" customFormat="1" ht="34.5" customHeight="1" x14ac:dyDescent="0.2">
      <c r="A3" s="511"/>
      <c r="B3" s="498"/>
      <c r="C3" s="498" t="s">
        <v>927</v>
      </c>
      <c r="D3" s="498" t="s">
        <v>790</v>
      </c>
      <c r="E3" s="498" t="s">
        <v>928</v>
      </c>
      <c r="F3" s="496" t="s">
        <v>792</v>
      </c>
      <c r="G3" s="497"/>
      <c r="H3" s="507" t="s">
        <v>929</v>
      </c>
      <c r="I3" s="508"/>
      <c r="J3" s="507" t="s">
        <v>930</v>
      </c>
      <c r="K3" s="508"/>
      <c r="L3" s="509" t="s">
        <v>931</v>
      </c>
      <c r="M3" s="510"/>
    </row>
    <row r="4" spans="1:15" s="89" customFormat="1" ht="41.25" customHeight="1" x14ac:dyDescent="0.2">
      <c r="A4" s="512"/>
      <c r="B4" s="498"/>
      <c r="C4" s="498"/>
      <c r="D4" s="498"/>
      <c r="E4" s="498"/>
      <c r="F4" s="107" t="s">
        <v>568</v>
      </c>
      <c r="G4" s="107" t="s">
        <v>910</v>
      </c>
      <c r="H4" s="98" t="s">
        <v>909</v>
      </c>
      <c r="I4" s="107" t="s">
        <v>907</v>
      </c>
      <c r="J4" s="98" t="s">
        <v>909</v>
      </c>
      <c r="K4" s="107" t="s">
        <v>928</v>
      </c>
      <c r="L4" s="108" t="s">
        <v>909</v>
      </c>
      <c r="M4" s="108" t="s">
        <v>932</v>
      </c>
    </row>
    <row r="5" spans="1:15" s="81" customFormat="1" x14ac:dyDescent="0.2">
      <c r="A5" s="109" t="s">
        <v>69</v>
      </c>
      <c r="B5" s="110">
        <v>248</v>
      </c>
      <c r="C5" s="110">
        <v>133172</v>
      </c>
      <c r="D5" s="110">
        <v>15187625</v>
      </c>
      <c r="E5" s="110">
        <v>589497</v>
      </c>
      <c r="F5" s="110">
        <v>135902</v>
      </c>
      <c r="G5" s="110">
        <v>5099.9600000000009</v>
      </c>
      <c r="H5" s="111">
        <v>5169</v>
      </c>
      <c r="I5" s="111">
        <v>233.66</v>
      </c>
      <c r="J5" s="111">
        <v>1440</v>
      </c>
      <c r="K5" s="112">
        <v>64.650000000000006</v>
      </c>
      <c r="L5" s="111">
        <v>569</v>
      </c>
      <c r="M5" s="113">
        <v>25.32</v>
      </c>
    </row>
    <row r="6" spans="1:15" s="81" customFormat="1" x14ac:dyDescent="0.2">
      <c r="A6" s="109" t="s">
        <v>70</v>
      </c>
      <c r="B6" s="114">
        <f>SUM(B7:B18)</f>
        <v>248</v>
      </c>
      <c r="C6" s="114">
        <f t="shared" ref="C6:E6" si="0">SUM(C7:C18)</f>
        <v>120124.91900000004</v>
      </c>
      <c r="D6" s="114">
        <f t="shared" si="0"/>
        <v>14005485</v>
      </c>
      <c r="E6" s="114">
        <f t="shared" si="0"/>
        <v>531414.09615000011</v>
      </c>
      <c r="F6" s="115">
        <f>F18</f>
        <v>128338.5</v>
      </c>
      <c r="G6" s="115">
        <f>G18</f>
        <v>5328.3399999999992</v>
      </c>
      <c r="H6" s="115">
        <f>SUM(H7:H18)</f>
        <v>3646</v>
      </c>
      <c r="I6" s="115">
        <f t="shared" ref="I6:K6" si="1">SUM(I7:I18)</f>
        <v>159.89999999999998</v>
      </c>
      <c r="J6" s="115">
        <f t="shared" si="1"/>
        <v>328</v>
      </c>
      <c r="K6" s="115">
        <f t="shared" si="1"/>
        <v>13.959999999999999</v>
      </c>
      <c r="L6" s="115">
        <f>L18</f>
        <v>6</v>
      </c>
      <c r="M6" s="116">
        <f>M18</f>
        <v>0.27</v>
      </c>
    </row>
    <row r="7" spans="1:15" x14ac:dyDescent="0.2">
      <c r="A7" s="95">
        <v>43191</v>
      </c>
      <c r="B7" s="117">
        <v>21</v>
      </c>
      <c r="C7" s="117">
        <v>9906.9610000000048</v>
      </c>
      <c r="D7" s="117">
        <v>1080591</v>
      </c>
      <c r="E7" s="117">
        <v>39618.825600000011</v>
      </c>
      <c r="F7" s="117">
        <v>151062</v>
      </c>
      <c r="G7" s="117">
        <v>5180.63</v>
      </c>
      <c r="H7" s="118">
        <v>401</v>
      </c>
      <c r="I7" s="119">
        <v>17.38</v>
      </c>
      <c r="J7" s="118">
        <v>95</v>
      </c>
      <c r="K7" s="119">
        <v>3.88</v>
      </c>
      <c r="L7" s="118">
        <v>78</v>
      </c>
      <c r="M7" s="120">
        <v>3.31</v>
      </c>
    </row>
    <row r="8" spans="1:15" x14ac:dyDescent="0.2">
      <c r="A8" s="95">
        <v>43222</v>
      </c>
      <c r="B8" s="117">
        <v>22</v>
      </c>
      <c r="C8" s="117">
        <v>10347.103999999998</v>
      </c>
      <c r="D8" s="117">
        <v>1124310</v>
      </c>
      <c r="E8" s="117">
        <v>41737.886115000008</v>
      </c>
      <c r="F8" s="117">
        <v>132329</v>
      </c>
      <c r="G8" s="117">
        <v>4692.6000000000013</v>
      </c>
      <c r="H8" s="118">
        <v>315</v>
      </c>
      <c r="I8" s="119">
        <v>12.5</v>
      </c>
      <c r="J8" s="118">
        <v>20</v>
      </c>
      <c r="K8" s="119">
        <v>0.8</v>
      </c>
      <c r="L8" s="118">
        <v>32</v>
      </c>
      <c r="M8" s="120">
        <v>1.24</v>
      </c>
    </row>
    <row r="9" spans="1:15" x14ac:dyDescent="0.2">
      <c r="A9" s="95">
        <v>43254</v>
      </c>
      <c r="B9" s="117">
        <v>21</v>
      </c>
      <c r="C9" s="117">
        <v>10948.554999999998</v>
      </c>
      <c r="D9" s="117">
        <v>1184196</v>
      </c>
      <c r="E9" s="117">
        <v>41893.866110000024</v>
      </c>
      <c r="F9" s="117">
        <v>125671</v>
      </c>
      <c r="G9" s="117">
        <v>4629.2800000000025</v>
      </c>
      <c r="H9" s="118">
        <v>413</v>
      </c>
      <c r="I9" s="119">
        <v>15.88</v>
      </c>
      <c r="J9" s="118">
        <v>18</v>
      </c>
      <c r="K9" s="119">
        <v>0.71</v>
      </c>
      <c r="L9" s="118">
        <v>145</v>
      </c>
      <c r="M9" s="120">
        <v>6</v>
      </c>
    </row>
    <row r="10" spans="1:15" x14ac:dyDescent="0.2">
      <c r="A10" s="95">
        <v>43285</v>
      </c>
      <c r="B10" s="117">
        <v>22</v>
      </c>
      <c r="C10" s="121">
        <v>14388.817000000005</v>
      </c>
      <c r="D10" s="117">
        <v>1565853</v>
      </c>
      <c r="E10" s="117">
        <v>61323.259640000011</v>
      </c>
      <c r="F10" s="117">
        <v>119819</v>
      </c>
      <c r="G10" s="117">
        <v>4913.880000000001</v>
      </c>
      <c r="H10" s="118">
        <v>360</v>
      </c>
      <c r="I10" s="119">
        <v>15.25</v>
      </c>
      <c r="J10" s="118">
        <v>8</v>
      </c>
      <c r="K10" s="122">
        <v>0.32</v>
      </c>
      <c r="L10" s="118">
        <v>155</v>
      </c>
      <c r="M10" s="120">
        <v>6.91</v>
      </c>
    </row>
    <row r="11" spans="1:15" x14ac:dyDescent="0.2">
      <c r="A11" s="95">
        <v>43317</v>
      </c>
      <c r="B11" s="117">
        <v>21</v>
      </c>
      <c r="C11" s="121">
        <v>12897.352000000008</v>
      </c>
      <c r="D11" s="117">
        <v>1431248</v>
      </c>
      <c r="E11" s="117">
        <v>58371.162804999993</v>
      </c>
      <c r="F11" s="117">
        <v>109058</v>
      </c>
      <c r="G11" s="117">
        <v>4425.5900000000011</v>
      </c>
      <c r="H11" s="118">
        <v>243</v>
      </c>
      <c r="I11" s="119">
        <v>10.96</v>
      </c>
      <c r="J11" s="118">
        <v>24</v>
      </c>
      <c r="K11" s="119">
        <v>1.0900000000000001</v>
      </c>
      <c r="L11" s="118">
        <v>256</v>
      </c>
      <c r="M11" s="120">
        <v>11.53</v>
      </c>
    </row>
    <row r="12" spans="1:15" x14ac:dyDescent="0.2">
      <c r="A12" s="95">
        <v>43349</v>
      </c>
      <c r="B12" s="117">
        <v>18</v>
      </c>
      <c r="C12" s="117">
        <v>8241.8620000000046</v>
      </c>
      <c r="D12" s="117">
        <v>922621</v>
      </c>
      <c r="E12" s="117">
        <v>38248.203240000032</v>
      </c>
      <c r="F12" s="117">
        <v>106059</v>
      </c>
      <c r="G12" s="117">
        <v>4414.4500000000007</v>
      </c>
      <c r="H12" s="118">
        <v>287</v>
      </c>
      <c r="I12" s="119">
        <v>12.8</v>
      </c>
      <c r="J12" s="118">
        <v>9</v>
      </c>
      <c r="K12" s="122">
        <v>0.39</v>
      </c>
      <c r="L12" s="118">
        <v>109</v>
      </c>
      <c r="M12" s="120">
        <v>4.92</v>
      </c>
    </row>
    <row r="13" spans="1:15" x14ac:dyDescent="0.2">
      <c r="A13" s="95">
        <v>43380</v>
      </c>
      <c r="B13" s="117">
        <v>21</v>
      </c>
      <c r="C13" s="117">
        <v>11217.003999999992</v>
      </c>
      <c r="D13" s="117">
        <v>1419259</v>
      </c>
      <c r="E13" s="117">
        <v>54025.149295000003</v>
      </c>
      <c r="F13" s="117">
        <v>126089</v>
      </c>
      <c r="G13" s="117">
        <v>5539.36</v>
      </c>
      <c r="H13" s="117">
        <v>814</v>
      </c>
      <c r="I13" s="123">
        <v>37.21</v>
      </c>
      <c r="J13" s="117">
        <v>86</v>
      </c>
      <c r="K13" s="121">
        <v>3.77</v>
      </c>
      <c r="L13" s="117">
        <v>86.5</v>
      </c>
      <c r="M13" s="124">
        <v>4.2</v>
      </c>
    </row>
    <row r="14" spans="1:15" x14ac:dyDescent="0.2">
      <c r="A14" s="95">
        <v>43405</v>
      </c>
      <c r="B14" s="117">
        <v>20</v>
      </c>
      <c r="C14" s="117">
        <v>11567.297000000011</v>
      </c>
      <c r="D14" s="117">
        <v>1478815</v>
      </c>
      <c r="E14" s="117">
        <v>57347.978210000052</v>
      </c>
      <c r="F14" s="117">
        <v>122788</v>
      </c>
      <c r="G14" s="117">
        <v>5165.9099999999989</v>
      </c>
      <c r="H14" s="117">
        <v>374</v>
      </c>
      <c r="I14" s="117">
        <v>18.02</v>
      </c>
      <c r="J14" s="117">
        <v>41</v>
      </c>
      <c r="K14" s="121">
        <v>1.89</v>
      </c>
      <c r="L14" s="117">
        <v>33</v>
      </c>
      <c r="M14" s="124">
        <v>1.77</v>
      </c>
      <c r="N14" s="100"/>
      <c r="O14" s="100"/>
    </row>
    <row r="15" spans="1:15" x14ac:dyDescent="0.2">
      <c r="A15" s="95">
        <v>43436</v>
      </c>
      <c r="B15" s="117">
        <v>20</v>
      </c>
      <c r="C15" s="117">
        <v>7587.1119999999955</v>
      </c>
      <c r="D15" s="117">
        <v>961336</v>
      </c>
      <c r="E15" s="117">
        <v>35475.966544999974</v>
      </c>
      <c r="F15" s="117">
        <v>120973</v>
      </c>
      <c r="G15" s="117">
        <v>4997.4299999999985</v>
      </c>
      <c r="H15" s="117">
        <v>94</v>
      </c>
      <c r="I15" s="117">
        <v>4.5999999999999996</v>
      </c>
      <c r="J15" s="117">
        <v>10</v>
      </c>
      <c r="K15" s="125">
        <v>0.42</v>
      </c>
      <c r="L15" s="117">
        <v>2</v>
      </c>
      <c r="M15" s="124">
        <v>0.89</v>
      </c>
      <c r="N15" s="100"/>
      <c r="O15" s="100"/>
    </row>
    <row r="16" spans="1:15" x14ac:dyDescent="0.2">
      <c r="A16" s="95">
        <v>43468</v>
      </c>
      <c r="B16" s="117">
        <v>23</v>
      </c>
      <c r="C16" s="117">
        <v>9294.6480000000101</v>
      </c>
      <c r="D16" s="117">
        <v>1121343</v>
      </c>
      <c r="E16" s="117">
        <v>41595.639790000016</v>
      </c>
      <c r="F16" s="117">
        <v>131282</v>
      </c>
      <c r="G16" s="117">
        <v>5496.1100000000015</v>
      </c>
      <c r="H16" s="117">
        <v>128</v>
      </c>
      <c r="I16" s="117">
        <v>5.72</v>
      </c>
      <c r="J16" s="117">
        <v>8</v>
      </c>
      <c r="K16" s="125">
        <v>0.32</v>
      </c>
      <c r="L16" s="117">
        <v>10</v>
      </c>
      <c r="M16" s="126">
        <v>0.45</v>
      </c>
      <c r="N16" s="100"/>
      <c r="O16" s="100"/>
    </row>
    <row r="17" spans="1:15" x14ac:dyDescent="0.2">
      <c r="A17" s="95">
        <v>43500</v>
      </c>
      <c r="B17" s="117">
        <v>20</v>
      </c>
      <c r="C17" s="117">
        <v>6490.9400000000114</v>
      </c>
      <c r="D17" s="117">
        <v>805359</v>
      </c>
      <c r="E17" s="117">
        <v>29087.23000000001</v>
      </c>
      <c r="F17" s="117">
        <v>148375</v>
      </c>
      <c r="G17" s="117">
        <v>5257.8200000000006</v>
      </c>
      <c r="H17" s="117">
        <v>101</v>
      </c>
      <c r="I17" s="121">
        <v>4.45</v>
      </c>
      <c r="J17" s="117">
        <v>9</v>
      </c>
      <c r="K17" s="125">
        <v>0.37</v>
      </c>
      <c r="L17" s="117">
        <v>41</v>
      </c>
      <c r="M17" s="124">
        <v>1.78</v>
      </c>
      <c r="N17" s="100"/>
      <c r="O17" s="100"/>
    </row>
    <row r="18" spans="1:15" x14ac:dyDescent="0.2">
      <c r="A18" s="95">
        <v>43529</v>
      </c>
      <c r="B18" s="117">
        <v>19</v>
      </c>
      <c r="C18" s="117">
        <v>7237.2670000000007</v>
      </c>
      <c r="D18" s="117">
        <v>910554</v>
      </c>
      <c r="E18" s="117">
        <v>32688.928799999983</v>
      </c>
      <c r="F18" s="117">
        <v>128338.5</v>
      </c>
      <c r="G18" s="117">
        <v>5328.3399999999992</v>
      </c>
      <c r="H18" s="127">
        <v>116</v>
      </c>
      <c r="I18" s="128">
        <v>5.13</v>
      </c>
      <c r="J18" s="129">
        <v>0</v>
      </c>
      <c r="K18" s="127">
        <v>0</v>
      </c>
      <c r="L18" s="127">
        <v>6</v>
      </c>
      <c r="M18" s="130">
        <v>0.27</v>
      </c>
    </row>
    <row r="19" spans="1:15" ht="15" x14ac:dyDescent="0.25">
      <c r="A19" s="73" t="str">
        <f>'[1]1'!A8</f>
        <v>$ indicates as on March 29, 2019</v>
      </c>
      <c r="B19" s="81"/>
      <c r="C19" s="131"/>
      <c r="D19" s="132"/>
      <c r="E19" s="133"/>
      <c r="F19" s="133"/>
      <c r="G19" s="133"/>
      <c r="I19" s="134"/>
      <c r="J19" s="135"/>
    </row>
    <row r="20" spans="1:15" x14ac:dyDescent="0.2">
      <c r="A20" s="136" t="s">
        <v>787</v>
      </c>
      <c r="C20" s="87"/>
      <c r="F20" s="102"/>
      <c r="G20" s="100"/>
      <c r="H20" s="99"/>
      <c r="I20" s="101"/>
      <c r="J20" s="99"/>
    </row>
    <row r="21" spans="1:15" ht="15" x14ac:dyDescent="0.25">
      <c r="A21" s="136"/>
      <c r="B21" s="136"/>
      <c r="C21" s="136"/>
      <c r="D21" s="137"/>
      <c r="E21" s="137"/>
      <c r="F21" s="137"/>
      <c r="G21" s="137"/>
      <c r="H21" s="137"/>
      <c r="I21" s="137"/>
      <c r="J21" s="137"/>
    </row>
  </sheetData>
  <mergeCells count="13">
    <mergeCell ref="H3:I3"/>
    <mergeCell ref="J3:K3"/>
    <mergeCell ref="L3:M3"/>
    <mergeCell ref="A1:E1"/>
    <mergeCell ref="F1:G1"/>
    <mergeCell ref="A2:A4"/>
    <mergeCell ref="B2:B4"/>
    <mergeCell ref="C2:G2"/>
    <mergeCell ref="H2:M2"/>
    <mergeCell ref="C3:C4"/>
    <mergeCell ref="D3:D4"/>
    <mergeCell ref="E3:E4"/>
    <mergeCell ref="F3:G3"/>
  </mergeCells>
  <pageMargins left="0.7" right="0.7" top="0.75" bottom="0.75" header="0.3" footer="0.3"/>
  <pageSetup scale="99"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pageSetUpPr fitToPage="1"/>
  </sheetPr>
  <dimension ref="A1:O22"/>
  <sheetViews>
    <sheetView workbookViewId="0"/>
  </sheetViews>
  <sheetFormatPr defaultRowHeight="15" x14ac:dyDescent="0.25"/>
  <cols>
    <col min="1" max="2" width="9.140625" style="137"/>
    <col min="3" max="3" width="10.5703125" style="137" bestFit="1" customWidth="1"/>
    <col min="4" max="4" width="9.28515625" style="137" bestFit="1" customWidth="1"/>
    <col min="5" max="5" width="9.140625" style="137"/>
    <col min="6" max="6" width="9.85546875" style="137" customWidth="1"/>
    <col min="7" max="7" width="9.85546875" style="137" bestFit="1" customWidth="1"/>
    <col min="8" max="8" width="9.28515625" style="137" bestFit="1" customWidth="1"/>
    <col min="9" max="9" width="13.28515625" style="137" customWidth="1"/>
    <col min="10" max="10" width="9.42578125" style="137" customWidth="1"/>
    <col min="11" max="11" width="9.140625" style="137"/>
    <col min="12" max="12" width="11.7109375" style="137" bestFit="1" customWidth="1"/>
    <col min="13" max="13" width="11.85546875" style="137" bestFit="1" customWidth="1"/>
    <col min="14" max="16384" width="9.140625" style="137"/>
  </cols>
  <sheetData>
    <row r="1" spans="1:15" ht="15" customHeight="1" x14ac:dyDescent="0.25">
      <c r="A1" s="138" t="s">
        <v>870</v>
      </c>
      <c r="B1" s="138"/>
      <c r="F1" s="136"/>
      <c r="G1" s="136"/>
      <c r="I1" s="138"/>
      <c r="J1" s="139"/>
      <c r="K1" s="53"/>
    </row>
    <row r="2" spans="1:15" ht="41.25" customHeight="1" x14ac:dyDescent="0.25">
      <c r="A2" s="492" t="s">
        <v>697</v>
      </c>
      <c r="B2" s="492" t="s">
        <v>788</v>
      </c>
      <c r="C2" s="496" t="s">
        <v>933</v>
      </c>
      <c r="D2" s="515"/>
      <c r="E2" s="497"/>
      <c r="F2" s="498" t="s">
        <v>934</v>
      </c>
      <c r="G2" s="498"/>
      <c r="H2" s="498"/>
      <c r="I2" s="498" t="s">
        <v>935</v>
      </c>
      <c r="J2" s="498"/>
      <c r="K2" s="498"/>
      <c r="L2" s="496" t="s">
        <v>936</v>
      </c>
      <c r="M2" s="497"/>
      <c r="N2" s="496" t="s">
        <v>792</v>
      </c>
      <c r="O2" s="497"/>
    </row>
    <row r="3" spans="1:15" ht="41.25" customHeight="1" x14ac:dyDescent="0.25">
      <c r="A3" s="493"/>
      <c r="B3" s="493"/>
      <c r="C3" s="92" t="s">
        <v>937</v>
      </c>
      <c r="D3" s="92" t="s">
        <v>790</v>
      </c>
      <c r="E3" s="92" t="s">
        <v>928</v>
      </c>
      <c r="F3" s="92" t="s">
        <v>927</v>
      </c>
      <c r="G3" s="92" t="s">
        <v>790</v>
      </c>
      <c r="H3" s="92" t="s">
        <v>928</v>
      </c>
      <c r="I3" s="92" t="s">
        <v>789</v>
      </c>
      <c r="J3" s="92" t="s">
        <v>790</v>
      </c>
      <c r="K3" s="107" t="s">
        <v>928</v>
      </c>
      <c r="L3" s="92" t="s">
        <v>790</v>
      </c>
      <c r="M3" s="92" t="s">
        <v>928</v>
      </c>
      <c r="N3" s="92" t="s">
        <v>791</v>
      </c>
      <c r="O3" s="92" t="s">
        <v>910</v>
      </c>
    </row>
    <row r="4" spans="1:15" x14ac:dyDescent="0.25">
      <c r="A4" s="109" t="s">
        <v>69</v>
      </c>
      <c r="B4" s="110">
        <v>246</v>
      </c>
      <c r="C4" s="110">
        <v>7512</v>
      </c>
      <c r="D4" s="110">
        <v>1653274</v>
      </c>
      <c r="E4" s="110">
        <v>34591</v>
      </c>
      <c r="F4" s="140" t="s">
        <v>850</v>
      </c>
      <c r="G4" s="140" t="s">
        <v>850</v>
      </c>
      <c r="H4" s="140" t="s">
        <v>850</v>
      </c>
      <c r="I4" s="110">
        <v>7362673</v>
      </c>
      <c r="J4" s="110">
        <v>7362673</v>
      </c>
      <c r="K4" s="110">
        <v>2158</v>
      </c>
      <c r="L4" s="114">
        <f t="shared" ref="L4:M4" si="0">SUM(J4,G4,D4)</f>
        <v>9015947</v>
      </c>
      <c r="M4" s="114">
        <f t="shared" si="0"/>
        <v>36749</v>
      </c>
      <c r="N4" s="110">
        <v>42771</v>
      </c>
      <c r="O4" s="110">
        <v>58.654043000000001</v>
      </c>
    </row>
    <row r="5" spans="1:15" x14ac:dyDescent="0.25">
      <c r="A5" s="109" t="s">
        <v>70</v>
      </c>
      <c r="B5" s="110">
        <f>SUM(B6:B17)</f>
        <v>257</v>
      </c>
      <c r="C5" s="110">
        <f t="shared" ref="C5:M5" si="1">SUM(C6:C17)</f>
        <v>3195.8932</v>
      </c>
      <c r="D5" s="110">
        <f t="shared" si="1"/>
        <v>683893</v>
      </c>
      <c r="E5" s="110">
        <f t="shared" si="1"/>
        <v>14772.164009300001</v>
      </c>
      <c r="F5" s="110">
        <f t="shared" si="1"/>
        <v>1013.17</v>
      </c>
      <c r="G5" s="110">
        <f t="shared" si="1"/>
        <v>115585</v>
      </c>
      <c r="H5" s="110">
        <f t="shared" si="1"/>
        <v>4062.4997299999995</v>
      </c>
      <c r="I5" s="110">
        <f t="shared" si="1"/>
        <v>55312169</v>
      </c>
      <c r="J5" s="110">
        <f t="shared" si="1"/>
        <v>55312169</v>
      </c>
      <c r="K5" s="110">
        <f t="shared" si="1"/>
        <v>18901.566963199999</v>
      </c>
      <c r="L5" s="110">
        <f t="shared" si="1"/>
        <v>56111647</v>
      </c>
      <c r="M5" s="110">
        <f t="shared" si="1"/>
        <v>37735.500702500001</v>
      </c>
      <c r="N5" s="110">
        <f>N17</f>
        <v>129291</v>
      </c>
      <c r="O5" s="110">
        <f>O17</f>
        <v>77</v>
      </c>
    </row>
    <row r="6" spans="1:15" x14ac:dyDescent="0.25">
      <c r="A6" s="82">
        <v>43191</v>
      </c>
      <c r="B6" s="141">
        <v>21</v>
      </c>
      <c r="C6" s="141">
        <v>688.82162500000004</v>
      </c>
      <c r="D6" s="141">
        <v>179598</v>
      </c>
      <c r="E6" s="141">
        <v>3165.9945440000001</v>
      </c>
      <c r="F6" s="142" t="s">
        <v>850</v>
      </c>
      <c r="G6" s="142" t="s">
        <v>850</v>
      </c>
      <c r="H6" s="142" t="s">
        <v>850</v>
      </c>
      <c r="I6" s="141">
        <v>1764149</v>
      </c>
      <c r="J6" s="141">
        <v>1764149</v>
      </c>
      <c r="K6" s="143">
        <v>479.26</v>
      </c>
      <c r="L6" s="144">
        <v>1943747</v>
      </c>
      <c r="M6" s="144">
        <f>E6+K6</f>
        <v>3645.2545440000004</v>
      </c>
      <c r="N6" s="141">
        <v>64616</v>
      </c>
      <c r="O6" s="143">
        <v>58.016363500000004</v>
      </c>
    </row>
    <row r="7" spans="1:15" x14ac:dyDescent="0.25">
      <c r="A7" s="82">
        <v>43222</v>
      </c>
      <c r="B7" s="141">
        <v>23</v>
      </c>
      <c r="C7" s="141">
        <v>685.49514999999997</v>
      </c>
      <c r="D7" s="141">
        <v>166702</v>
      </c>
      <c r="E7" s="141">
        <v>3122.501499</v>
      </c>
      <c r="F7" s="142" t="s">
        <v>850</v>
      </c>
      <c r="G7" s="142" t="s">
        <v>850</v>
      </c>
      <c r="H7" s="142" t="s">
        <v>850</v>
      </c>
      <c r="I7" s="141">
        <v>1252759</v>
      </c>
      <c r="J7" s="141">
        <v>1252759</v>
      </c>
      <c r="K7" s="143">
        <v>362.4169</v>
      </c>
      <c r="L7" s="144">
        <v>1419461</v>
      </c>
      <c r="M7" s="144">
        <f>E7+K7</f>
        <v>3484.9183990000001</v>
      </c>
      <c r="N7" s="141">
        <v>44701</v>
      </c>
      <c r="O7" s="143">
        <v>55.181910000000002</v>
      </c>
    </row>
    <row r="8" spans="1:15" x14ac:dyDescent="0.25">
      <c r="A8" s="82">
        <v>43254</v>
      </c>
      <c r="B8" s="141">
        <v>21</v>
      </c>
      <c r="C8" s="141">
        <v>552.41610000000003</v>
      </c>
      <c r="D8" s="141">
        <v>118634</v>
      </c>
      <c r="E8" s="141">
        <v>2385.4702685000002</v>
      </c>
      <c r="F8" s="142" t="s">
        <v>850</v>
      </c>
      <c r="G8" s="142" t="s">
        <v>850</v>
      </c>
      <c r="H8" s="142" t="s">
        <v>850</v>
      </c>
      <c r="I8" s="141">
        <v>1010150</v>
      </c>
      <c r="J8" s="141">
        <v>1010150</v>
      </c>
      <c r="K8" s="143">
        <v>294.87927165000002</v>
      </c>
      <c r="L8" s="144">
        <v>1128784</v>
      </c>
      <c r="M8" s="144">
        <f>E8+K8</f>
        <v>2680.3495401500004</v>
      </c>
      <c r="N8" s="141">
        <v>41951</v>
      </c>
      <c r="O8" s="143">
        <v>39.937000600000005</v>
      </c>
    </row>
    <row r="9" spans="1:15" x14ac:dyDescent="0.25">
      <c r="A9" s="82">
        <v>43285</v>
      </c>
      <c r="B9" s="141">
        <v>22</v>
      </c>
      <c r="C9" s="141">
        <v>556.22927500000003</v>
      </c>
      <c r="D9" s="141">
        <v>79255</v>
      </c>
      <c r="E9" s="141">
        <v>2441.2125058000001</v>
      </c>
      <c r="F9" s="142" t="s">
        <v>850</v>
      </c>
      <c r="G9" s="142" t="s">
        <v>850</v>
      </c>
      <c r="H9" s="142" t="s">
        <v>850</v>
      </c>
      <c r="I9" s="141">
        <v>1529890</v>
      </c>
      <c r="J9" s="141">
        <v>1529890</v>
      </c>
      <c r="K9" s="143">
        <v>465.09</v>
      </c>
      <c r="L9" s="144">
        <v>1609145</v>
      </c>
      <c r="M9" s="144">
        <f>E9+K9</f>
        <v>2906.3025058000003</v>
      </c>
      <c r="N9" s="141">
        <v>63875</v>
      </c>
      <c r="O9" s="143">
        <v>35.555507000000006</v>
      </c>
    </row>
    <row r="10" spans="1:15" x14ac:dyDescent="0.25">
      <c r="A10" s="82">
        <v>43317</v>
      </c>
      <c r="B10" s="141">
        <v>22</v>
      </c>
      <c r="C10" s="141">
        <v>362.67804999999998</v>
      </c>
      <c r="D10" s="141">
        <v>39115</v>
      </c>
      <c r="E10" s="141">
        <v>1546.6436670000001</v>
      </c>
      <c r="F10" s="141">
        <v>30.78</v>
      </c>
      <c r="G10" s="141">
        <v>3078</v>
      </c>
      <c r="H10" s="141">
        <v>118.04</v>
      </c>
      <c r="I10" s="141">
        <v>1068842</v>
      </c>
      <c r="J10" s="141">
        <v>1068842</v>
      </c>
      <c r="K10" s="143">
        <v>314.44</v>
      </c>
      <c r="L10" s="144">
        <v>1111035</v>
      </c>
      <c r="M10" s="144">
        <f>E10+K10+H10</f>
        <v>1979.1236670000001</v>
      </c>
      <c r="N10" s="141">
        <v>56449</v>
      </c>
      <c r="O10" s="143">
        <v>26.897641999999998</v>
      </c>
    </row>
    <row r="11" spans="1:15" x14ac:dyDescent="0.25">
      <c r="A11" s="82">
        <v>43349</v>
      </c>
      <c r="B11" s="141">
        <v>20</v>
      </c>
      <c r="C11" s="141">
        <v>266.97300000000001</v>
      </c>
      <c r="D11" s="141">
        <v>31266</v>
      </c>
      <c r="E11" s="141">
        <v>1172.834625</v>
      </c>
      <c r="F11" s="141">
        <v>159.6</v>
      </c>
      <c r="G11" s="141">
        <v>15960</v>
      </c>
      <c r="H11" s="141">
        <v>613.23</v>
      </c>
      <c r="I11" s="141">
        <v>1012245</v>
      </c>
      <c r="J11" s="141">
        <v>1012245</v>
      </c>
      <c r="K11" s="143">
        <v>317.91000000000003</v>
      </c>
      <c r="L11" s="144">
        <v>1059471</v>
      </c>
      <c r="M11" s="144">
        <f>E11+K11+H11</f>
        <v>2103.9746249999998</v>
      </c>
      <c r="N11" s="141">
        <v>48875</v>
      </c>
      <c r="O11" s="143">
        <v>32.420299999999997</v>
      </c>
    </row>
    <row r="12" spans="1:15" x14ac:dyDescent="0.25">
      <c r="A12" s="82">
        <v>43380</v>
      </c>
      <c r="B12" s="141">
        <v>22</v>
      </c>
      <c r="C12" s="145">
        <v>20.111000000000001</v>
      </c>
      <c r="D12" s="145">
        <v>6233</v>
      </c>
      <c r="E12" s="146">
        <v>135.17689999999999</v>
      </c>
      <c r="F12" s="145">
        <v>183.85</v>
      </c>
      <c r="G12" s="145">
        <v>18385</v>
      </c>
      <c r="H12" s="141">
        <v>661.73572999999999</v>
      </c>
      <c r="I12" s="141">
        <v>2677357</v>
      </c>
      <c r="J12" s="141">
        <v>2677357</v>
      </c>
      <c r="K12" s="141">
        <v>943.6736915500004</v>
      </c>
      <c r="L12" s="144">
        <v>2701975</v>
      </c>
      <c r="M12" s="144">
        <f>E12+K12+H12</f>
        <v>1740.5863215500003</v>
      </c>
      <c r="N12" s="141">
        <v>32859</v>
      </c>
      <c r="O12" s="143">
        <v>22.369999999999997</v>
      </c>
    </row>
    <row r="13" spans="1:15" x14ac:dyDescent="0.25">
      <c r="A13" s="82">
        <v>43411</v>
      </c>
      <c r="B13" s="141">
        <v>22</v>
      </c>
      <c r="C13" s="141">
        <v>6.5890000000000004</v>
      </c>
      <c r="D13" s="141">
        <v>6175</v>
      </c>
      <c r="E13" s="141">
        <v>77.08</v>
      </c>
      <c r="F13" s="141">
        <v>127.46</v>
      </c>
      <c r="G13" s="141">
        <v>12746</v>
      </c>
      <c r="H13" s="141">
        <v>447.38400000000001</v>
      </c>
      <c r="I13" s="141">
        <v>5138963</v>
      </c>
      <c r="J13" s="141">
        <v>5138963</v>
      </c>
      <c r="K13" s="141">
        <v>1834.4269999999999</v>
      </c>
      <c r="L13" s="141">
        <v>5157884</v>
      </c>
      <c r="M13" s="144">
        <f>E13+K13+H13</f>
        <v>2358.8909999999996</v>
      </c>
      <c r="N13" s="141">
        <v>9537</v>
      </c>
      <c r="O13" s="141">
        <v>19.46</v>
      </c>
    </row>
    <row r="14" spans="1:15" x14ac:dyDescent="0.25">
      <c r="A14" s="82">
        <v>43442</v>
      </c>
      <c r="B14" s="141">
        <v>20</v>
      </c>
      <c r="C14" s="141">
        <v>10.071999999999999</v>
      </c>
      <c r="D14" s="141">
        <v>10072</v>
      </c>
      <c r="E14" s="141">
        <v>126.75</v>
      </c>
      <c r="F14" s="141">
        <v>150.63</v>
      </c>
      <c r="G14" s="141">
        <v>15063</v>
      </c>
      <c r="H14" s="141">
        <v>508.41</v>
      </c>
      <c r="I14" s="141">
        <v>6662853</v>
      </c>
      <c r="J14" s="141">
        <v>6662853</v>
      </c>
      <c r="K14" s="141">
        <v>2356.4</v>
      </c>
      <c r="L14" s="141">
        <v>6687988</v>
      </c>
      <c r="M14" s="144">
        <v>2991.56</v>
      </c>
      <c r="N14" s="141">
        <v>32498</v>
      </c>
      <c r="O14" s="141">
        <v>38.840000000000003</v>
      </c>
    </row>
    <row r="15" spans="1:15" x14ac:dyDescent="0.25">
      <c r="A15" s="82">
        <v>43474</v>
      </c>
      <c r="B15" s="141">
        <v>23</v>
      </c>
      <c r="C15" s="141">
        <v>13.507999999999999</v>
      </c>
      <c r="D15" s="141">
        <v>13508</v>
      </c>
      <c r="E15" s="141">
        <v>169.87</v>
      </c>
      <c r="F15" s="141">
        <v>15.85</v>
      </c>
      <c r="G15" s="141">
        <v>15853</v>
      </c>
      <c r="H15" s="141">
        <v>525.6</v>
      </c>
      <c r="I15" s="141">
        <v>8345922</v>
      </c>
      <c r="J15" s="141">
        <v>8345922</v>
      </c>
      <c r="K15" s="141">
        <v>2939.57</v>
      </c>
      <c r="L15" s="141">
        <v>8375283</v>
      </c>
      <c r="M15" s="144">
        <v>3635.04</v>
      </c>
      <c r="N15" s="141">
        <v>113812</v>
      </c>
      <c r="O15" s="141">
        <v>64.180000000000007</v>
      </c>
    </row>
    <row r="16" spans="1:15" x14ac:dyDescent="0.25">
      <c r="A16" s="82">
        <v>43506</v>
      </c>
      <c r="B16" s="141">
        <v>20</v>
      </c>
      <c r="C16" s="141">
        <v>15</v>
      </c>
      <c r="D16" s="141">
        <v>15023</v>
      </c>
      <c r="E16" s="141">
        <v>189.9</v>
      </c>
      <c r="F16" s="141">
        <v>176</v>
      </c>
      <c r="G16" s="141">
        <v>17593</v>
      </c>
      <c r="H16" s="141">
        <v>611.1</v>
      </c>
      <c r="I16" s="141">
        <v>12702403</v>
      </c>
      <c r="J16" s="141">
        <v>12702403</v>
      </c>
      <c r="K16" s="141">
        <v>4531.5001000000002</v>
      </c>
      <c r="L16" s="141">
        <v>12735019</v>
      </c>
      <c r="M16" s="144">
        <v>5332.5001000000002</v>
      </c>
      <c r="N16" s="141">
        <v>157090</v>
      </c>
      <c r="O16" s="141">
        <v>91.09</v>
      </c>
    </row>
    <row r="17" spans="1:15" x14ac:dyDescent="0.25">
      <c r="A17" s="82">
        <v>43535</v>
      </c>
      <c r="B17" s="141">
        <v>21</v>
      </c>
      <c r="C17" s="141">
        <v>18</v>
      </c>
      <c r="D17" s="141">
        <v>18312</v>
      </c>
      <c r="E17" s="141">
        <v>238.73</v>
      </c>
      <c r="F17" s="141">
        <v>169</v>
      </c>
      <c r="G17" s="141">
        <v>16907</v>
      </c>
      <c r="H17" s="141">
        <v>577</v>
      </c>
      <c r="I17" s="141">
        <v>12146636</v>
      </c>
      <c r="J17" s="141">
        <v>12146636</v>
      </c>
      <c r="K17" s="141">
        <v>4062</v>
      </c>
      <c r="L17" s="141">
        <v>12181855</v>
      </c>
      <c r="M17" s="144">
        <v>4877</v>
      </c>
      <c r="N17" s="141">
        <v>129291</v>
      </c>
      <c r="O17" s="141">
        <v>77</v>
      </c>
    </row>
    <row r="18" spans="1:15" x14ac:dyDescent="0.25">
      <c r="A18" s="147" t="str">
        <f>'66'!A18</f>
        <v>$ indicates as on March 29, 2019</v>
      </c>
      <c r="B18" s="148"/>
      <c r="F18" s="149"/>
      <c r="I18" s="150"/>
    </row>
    <row r="19" spans="1:15" x14ac:dyDescent="0.25">
      <c r="A19" s="147" t="s">
        <v>938</v>
      </c>
      <c r="B19" s="151"/>
      <c r="I19" s="151"/>
      <c r="J19" s="151"/>
    </row>
    <row r="20" spans="1:15" x14ac:dyDescent="0.25">
      <c r="A20" s="152" t="s">
        <v>939</v>
      </c>
      <c r="B20" s="152"/>
      <c r="I20" s="152"/>
      <c r="J20" s="152"/>
    </row>
    <row r="21" spans="1:15" ht="30" customHeight="1" x14ac:dyDescent="0.25">
      <c r="A21" s="514" t="s">
        <v>940</v>
      </c>
      <c r="B21" s="514"/>
      <c r="C21" s="514"/>
      <c r="D21" s="514"/>
      <c r="E21" s="514"/>
      <c r="F21" s="514"/>
      <c r="G21" s="514"/>
      <c r="H21" s="514"/>
      <c r="I21" s="514"/>
      <c r="J21" s="514"/>
      <c r="K21" s="514"/>
      <c r="L21" s="514"/>
      <c r="M21" s="514"/>
      <c r="N21" s="514"/>
      <c r="O21" s="514"/>
    </row>
    <row r="22" spans="1:15" ht="19.5" customHeight="1" x14ac:dyDescent="0.25">
      <c r="A22" s="86" t="s">
        <v>941</v>
      </c>
      <c r="F22" s="137" t="s">
        <v>903</v>
      </c>
      <c r="H22" s="137" t="s">
        <v>903</v>
      </c>
    </row>
  </sheetData>
  <mergeCells count="8">
    <mergeCell ref="N2:O2"/>
    <mergeCell ref="A21:O21"/>
    <mergeCell ref="A2:A3"/>
    <mergeCell ref="B2:B3"/>
    <mergeCell ref="C2:E2"/>
    <mergeCell ref="F2:H2"/>
    <mergeCell ref="I2:K2"/>
    <mergeCell ref="L2:M2"/>
  </mergeCells>
  <pageMargins left="0.7" right="0.7" top="0.75" bottom="0.75" header="0.3" footer="0.3"/>
  <pageSetup paperSize="9" scale="89"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pageSetUpPr fitToPage="1"/>
  </sheetPr>
  <dimension ref="A1:R20"/>
  <sheetViews>
    <sheetView workbookViewId="0">
      <selection sqref="A1:R1"/>
    </sheetView>
  </sheetViews>
  <sheetFormatPr defaultRowHeight="15" x14ac:dyDescent="0.25"/>
  <cols>
    <col min="1" max="7" width="9.140625" style="137"/>
    <col min="8" max="8" width="13.7109375" style="137" customWidth="1"/>
    <col min="9" max="15" width="9.140625" style="137"/>
    <col min="16" max="16" width="10.85546875" style="137" bestFit="1" customWidth="1"/>
    <col min="17" max="17" width="11.28515625" style="137" customWidth="1"/>
    <col min="18" max="18" width="9.140625" style="137" customWidth="1"/>
    <col min="19" max="16384" width="9.140625" style="137"/>
  </cols>
  <sheetData>
    <row r="1" spans="1:18" x14ac:dyDescent="0.25">
      <c r="A1" s="502" t="s">
        <v>871</v>
      </c>
      <c r="B1" s="502"/>
      <c r="C1" s="502"/>
      <c r="D1" s="502"/>
      <c r="E1" s="502"/>
      <c r="F1" s="502"/>
      <c r="G1" s="502"/>
      <c r="H1" s="502"/>
      <c r="I1" s="502"/>
      <c r="J1" s="502"/>
      <c r="K1" s="502"/>
      <c r="L1" s="502"/>
      <c r="M1" s="502"/>
      <c r="N1" s="502"/>
      <c r="O1" s="502"/>
      <c r="P1" s="502"/>
      <c r="Q1" s="502"/>
      <c r="R1" s="502"/>
    </row>
    <row r="2" spans="1:18" ht="30" customHeight="1" x14ac:dyDescent="0.25">
      <c r="A2" s="498" t="s">
        <v>697</v>
      </c>
      <c r="B2" s="498" t="s">
        <v>788</v>
      </c>
      <c r="C2" s="498" t="s">
        <v>942</v>
      </c>
      <c r="D2" s="498"/>
      <c r="E2" s="498"/>
      <c r="F2" s="498" t="s">
        <v>943</v>
      </c>
      <c r="G2" s="498"/>
      <c r="H2" s="498"/>
      <c r="I2" s="498" t="s">
        <v>944</v>
      </c>
      <c r="J2" s="498"/>
      <c r="K2" s="498"/>
      <c r="L2" s="496" t="s">
        <v>772</v>
      </c>
      <c r="M2" s="515"/>
      <c r="N2" s="497"/>
      <c r="O2" s="496" t="s">
        <v>150</v>
      </c>
      <c r="P2" s="497"/>
      <c r="Q2" s="498" t="s">
        <v>792</v>
      </c>
      <c r="R2" s="498"/>
    </row>
    <row r="3" spans="1:18" ht="38.25" x14ac:dyDescent="0.25">
      <c r="A3" s="498"/>
      <c r="B3" s="498"/>
      <c r="C3" s="92" t="s">
        <v>945</v>
      </c>
      <c r="D3" s="92" t="s">
        <v>790</v>
      </c>
      <c r="E3" s="92" t="s">
        <v>928</v>
      </c>
      <c r="F3" s="92" t="s">
        <v>946</v>
      </c>
      <c r="G3" s="92" t="s">
        <v>790</v>
      </c>
      <c r="H3" s="92" t="s">
        <v>928</v>
      </c>
      <c r="I3" s="92" t="s">
        <v>947</v>
      </c>
      <c r="J3" s="92" t="s">
        <v>790</v>
      </c>
      <c r="K3" s="92" t="s">
        <v>928</v>
      </c>
      <c r="L3" s="92" t="s">
        <v>947</v>
      </c>
      <c r="M3" s="92" t="s">
        <v>790</v>
      </c>
      <c r="N3" s="92" t="s">
        <v>928</v>
      </c>
      <c r="O3" s="92" t="s">
        <v>790</v>
      </c>
      <c r="P3" s="92" t="s">
        <v>928</v>
      </c>
      <c r="Q3" s="92" t="s">
        <v>909</v>
      </c>
      <c r="R3" s="92" t="s">
        <v>910</v>
      </c>
    </row>
    <row r="4" spans="1:18" x14ac:dyDescent="0.25">
      <c r="A4" s="109" t="s">
        <v>70</v>
      </c>
      <c r="B4" s="110">
        <f>SUM(B5:B10)</f>
        <v>128</v>
      </c>
      <c r="C4" s="110">
        <f t="shared" ref="C4:P4" si="0">SUM(C5:C10)</f>
        <v>21</v>
      </c>
      <c r="D4" s="110">
        <f t="shared" si="0"/>
        <v>21</v>
      </c>
      <c r="E4" s="110">
        <f t="shared" si="0"/>
        <v>0.99</v>
      </c>
      <c r="F4" s="110">
        <f t="shared" si="0"/>
        <v>771.64099999999985</v>
      </c>
      <c r="G4" s="110">
        <f t="shared" si="0"/>
        <v>103678</v>
      </c>
      <c r="H4" s="110">
        <f t="shared" si="0"/>
        <v>28079.568538000003</v>
      </c>
      <c r="I4" s="110">
        <f t="shared" si="0"/>
        <v>7700.0159999999996</v>
      </c>
      <c r="J4" s="110">
        <f t="shared" si="0"/>
        <v>77</v>
      </c>
      <c r="K4" s="110">
        <f t="shared" si="0"/>
        <v>4.2851400000000002</v>
      </c>
      <c r="L4" s="110">
        <f t="shared" si="0"/>
        <v>793415.25</v>
      </c>
      <c r="M4" s="110">
        <f t="shared" si="0"/>
        <v>101429</v>
      </c>
      <c r="N4" s="110">
        <f t="shared" si="0"/>
        <v>4718.8899999999994</v>
      </c>
      <c r="O4" s="110">
        <f t="shared" si="0"/>
        <v>883380.61</v>
      </c>
      <c r="P4" s="110">
        <f t="shared" si="0"/>
        <v>32803.747987000002</v>
      </c>
      <c r="Q4" s="110">
        <f>Q10</f>
        <v>1052</v>
      </c>
      <c r="R4" s="110">
        <f>R10</f>
        <v>73.27</v>
      </c>
    </row>
    <row r="5" spans="1:18" x14ac:dyDescent="0.25">
      <c r="A5" s="82">
        <v>43374</v>
      </c>
      <c r="B5" s="141">
        <v>22</v>
      </c>
      <c r="C5" s="143">
        <v>0</v>
      </c>
      <c r="D5" s="141">
        <v>0</v>
      </c>
      <c r="E5" s="143">
        <v>0</v>
      </c>
      <c r="F5" s="141">
        <v>274.21199999999999</v>
      </c>
      <c r="G5" s="141">
        <v>27509</v>
      </c>
      <c r="H5" s="143">
        <v>7045.08</v>
      </c>
      <c r="I5" s="141">
        <v>7700</v>
      </c>
      <c r="J5" s="141">
        <v>77</v>
      </c>
      <c r="K5" s="143">
        <v>4.2851400000000002</v>
      </c>
      <c r="L5" s="143" t="s">
        <v>916</v>
      </c>
      <c r="M5" s="143" t="s">
        <v>916</v>
      </c>
      <c r="N5" s="143" t="s">
        <v>916</v>
      </c>
      <c r="O5" s="141">
        <f>D5+G5+J5</f>
        <v>27586</v>
      </c>
      <c r="P5" s="141">
        <v>7049.379449</v>
      </c>
      <c r="Q5" s="141">
        <v>374</v>
      </c>
      <c r="R5" s="141">
        <v>58.18</v>
      </c>
    </row>
    <row r="6" spans="1:18" x14ac:dyDescent="0.25">
      <c r="A6" s="82">
        <v>43405</v>
      </c>
      <c r="B6" s="141">
        <v>22</v>
      </c>
      <c r="C6" s="143">
        <v>21</v>
      </c>
      <c r="D6" s="141">
        <v>21</v>
      </c>
      <c r="E6" s="143">
        <v>0.99</v>
      </c>
      <c r="F6" s="141">
        <v>179.18</v>
      </c>
      <c r="G6" s="141">
        <v>26668</v>
      </c>
      <c r="H6" s="141">
        <v>7227.19</v>
      </c>
      <c r="I6" s="141">
        <f t="shared" ref="I6:I7" si="1">(8/1000)</f>
        <v>8.0000000000000002E-3</v>
      </c>
      <c r="J6" s="143">
        <v>0</v>
      </c>
      <c r="K6" s="141">
        <v>0</v>
      </c>
      <c r="L6" s="143" t="s">
        <v>916</v>
      </c>
      <c r="M6" s="143" t="s">
        <v>916</v>
      </c>
      <c r="N6" s="143" t="s">
        <v>916</v>
      </c>
      <c r="O6" s="141">
        <f>D6+G6+J6</f>
        <v>26689</v>
      </c>
      <c r="P6" s="141">
        <v>7228.18</v>
      </c>
      <c r="Q6" s="141">
        <v>899</v>
      </c>
      <c r="R6" s="141">
        <v>113.35</v>
      </c>
    </row>
    <row r="7" spans="1:18" x14ac:dyDescent="0.25">
      <c r="A7" s="82">
        <v>43436</v>
      </c>
      <c r="B7" s="141">
        <v>20</v>
      </c>
      <c r="C7" s="143">
        <v>0</v>
      </c>
      <c r="D7" s="141">
        <v>0</v>
      </c>
      <c r="E7" s="143">
        <v>0</v>
      </c>
      <c r="F7" s="141">
        <v>109.88900000000001</v>
      </c>
      <c r="G7" s="141">
        <v>14073</v>
      </c>
      <c r="H7" s="141">
        <v>3754.7995000000001</v>
      </c>
      <c r="I7" s="141">
        <f t="shared" si="1"/>
        <v>8.0000000000000002E-3</v>
      </c>
      <c r="J7" s="143">
        <v>0</v>
      </c>
      <c r="K7" s="141">
        <v>0</v>
      </c>
      <c r="L7" s="143" t="s">
        <v>916</v>
      </c>
      <c r="M7" s="143" t="s">
        <v>916</v>
      </c>
      <c r="N7" s="143" t="s">
        <v>916</v>
      </c>
      <c r="O7" s="141">
        <v>14073</v>
      </c>
      <c r="P7" s="141">
        <v>3754.7995000000001</v>
      </c>
      <c r="Q7" s="141">
        <v>865</v>
      </c>
      <c r="R7" s="141">
        <v>133.65</v>
      </c>
    </row>
    <row r="8" spans="1:18" x14ac:dyDescent="0.25">
      <c r="A8" s="82">
        <v>43468</v>
      </c>
      <c r="B8" s="141">
        <v>23</v>
      </c>
      <c r="C8" s="143">
        <v>0</v>
      </c>
      <c r="D8" s="141">
        <v>0</v>
      </c>
      <c r="E8" s="143">
        <v>0</v>
      </c>
      <c r="F8" s="141">
        <v>74</v>
      </c>
      <c r="G8" s="141">
        <v>21483</v>
      </c>
      <c r="H8" s="141">
        <v>6538.5090380000001</v>
      </c>
      <c r="I8" s="141">
        <v>0</v>
      </c>
      <c r="J8" s="143">
        <v>0</v>
      </c>
      <c r="K8" s="141">
        <v>0</v>
      </c>
      <c r="L8" s="143" t="s">
        <v>916</v>
      </c>
      <c r="M8" s="143" t="s">
        <v>916</v>
      </c>
      <c r="N8" s="143" t="s">
        <v>916</v>
      </c>
      <c r="O8" s="141">
        <v>21483</v>
      </c>
      <c r="P8" s="141">
        <v>6538.5090380000001</v>
      </c>
      <c r="Q8" s="141">
        <v>771</v>
      </c>
      <c r="R8" s="141">
        <v>121.84</v>
      </c>
    </row>
    <row r="9" spans="1:18" x14ac:dyDescent="0.25">
      <c r="A9" s="82">
        <v>43500</v>
      </c>
      <c r="B9" s="141">
        <v>20</v>
      </c>
      <c r="C9" s="143">
        <v>0</v>
      </c>
      <c r="D9" s="141">
        <v>0</v>
      </c>
      <c r="E9" s="143">
        <v>0</v>
      </c>
      <c r="F9" s="141">
        <v>69.05</v>
      </c>
      <c r="G9" s="141">
        <v>7437</v>
      </c>
      <c r="H9" s="141">
        <v>1990.25</v>
      </c>
      <c r="I9" s="141">
        <v>0</v>
      </c>
      <c r="J9" s="143">
        <v>0</v>
      </c>
      <c r="K9" s="141">
        <v>0</v>
      </c>
      <c r="L9" s="141">
        <v>343731</v>
      </c>
      <c r="M9" s="141">
        <v>40558</v>
      </c>
      <c r="N9" s="141">
        <v>1817.62</v>
      </c>
      <c r="O9" s="141">
        <v>343800.05</v>
      </c>
      <c r="P9" s="141">
        <v>3807.87</v>
      </c>
      <c r="Q9" s="141">
        <v>1099</v>
      </c>
      <c r="R9" s="141">
        <v>78.39</v>
      </c>
    </row>
    <row r="10" spans="1:18" x14ac:dyDescent="0.25">
      <c r="A10" s="82">
        <v>43529</v>
      </c>
      <c r="B10" s="141">
        <v>21</v>
      </c>
      <c r="C10" s="143">
        <v>0</v>
      </c>
      <c r="D10" s="141">
        <v>0</v>
      </c>
      <c r="E10" s="143">
        <v>0</v>
      </c>
      <c r="F10" s="141">
        <v>65.31</v>
      </c>
      <c r="G10" s="141">
        <v>6508</v>
      </c>
      <c r="H10" s="141">
        <v>1523.74</v>
      </c>
      <c r="I10" s="141">
        <v>0</v>
      </c>
      <c r="J10" s="143">
        <v>0</v>
      </c>
      <c r="K10" s="141">
        <v>0</v>
      </c>
      <c r="L10" s="141">
        <v>449684.25</v>
      </c>
      <c r="M10" s="141">
        <v>60871</v>
      </c>
      <c r="N10" s="141">
        <v>2901.27</v>
      </c>
      <c r="O10" s="141">
        <v>449749.56</v>
      </c>
      <c r="P10" s="141">
        <v>4425.01</v>
      </c>
      <c r="Q10" s="141">
        <v>1052</v>
      </c>
      <c r="R10" s="141">
        <v>73.27</v>
      </c>
    </row>
    <row r="11" spans="1:18" x14ac:dyDescent="0.25">
      <c r="A11" s="73" t="str">
        <f>'[1]1'!A8</f>
        <v>$ indicates as on March 29, 2019</v>
      </c>
      <c r="B11" s="153"/>
      <c r="C11" s="153"/>
      <c r="D11" s="153"/>
      <c r="E11" s="153"/>
      <c r="F11" s="153"/>
      <c r="G11" s="153"/>
      <c r="H11" s="153"/>
      <c r="I11" s="154"/>
      <c r="J11" s="154"/>
      <c r="K11" s="154"/>
      <c r="L11" s="154"/>
      <c r="M11" s="154"/>
      <c r="N11" s="154"/>
      <c r="O11" s="154"/>
      <c r="P11" s="154"/>
      <c r="Q11" s="155"/>
      <c r="R11" s="156"/>
    </row>
    <row r="12" spans="1:18" x14ac:dyDescent="0.25">
      <c r="A12" s="516" t="s">
        <v>948</v>
      </c>
      <c r="B12" s="516"/>
      <c r="C12" s="516"/>
      <c r="D12" s="516"/>
      <c r="E12" s="516"/>
      <c r="F12" s="516"/>
      <c r="G12" s="516"/>
      <c r="H12" s="516"/>
      <c r="I12" s="516"/>
      <c r="J12" s="154"/>
      <c r="K12" s="154"/>
      <c r="L12" s="154"/>
      <c r="M12" s="154"/>
      <c r="N12" s="154"/>
      <c r="O12" s="154"/>
      <c r="P12" s="154"/>
      <c r="Q12" s="155"/>
      <c r="R12" s="156"/>
    </row>
    <row r="13" spans="1:18" x14ac:dyDescent="0.25">
      <c r="A13" s="86" t="s">
        <v>571</v>
      </c>
      <c r="B13" s="73"/>
      <c r="C13" s="73"/>
      <c r="D13" s="73"/>
      <c r="E13" s="73"/>
      <c r="F13" s="73"/>
      <c r="G13" s="73"/>
      <c r="H13" s="100"/>
      <c r="I13" s="73"/>
      <c r="J13" s="73"/>
      <c r="K13" s="73"/>
      <c r="L13" s="73"/>
      <c r="M13" s="100"/>
      <c r="N13" s="100"/>
      <c r="O13" s="73"/>
      <c r="P13" s="73"/>
      <c r="Q13" s="73"/>
      <c r="R13" s="73"/>
    </row>
    <row r="14" spans="1:18" x14ac:dyDescent="0.25">
      <c r="A14" s="86"/>
      <c r="B14" s="73"/>
      <c r="C14" s="73"/>
      <c r="D14" s="73"/>
      <c r="E14" s="73"/>
      <c r="F14" s="73"/>
      <c r="G14" s="73"/>
      <c r="H14" s="73"/>
      <c r="I14" s="100"/>
      <c r="J14" s="73" t="s">
        <v>903</v>
      </c>
      <c r="K14" s="73"/>
      <c r="L14" s="73"/>
      <c r="M14" s="73"/>
      <c r="N14" s="73"/>
      <c r="O14" s="73"/>
      <c r="P14" s="73"/>
      <c r="Q14" s="73"/>
      <c r="R14" s="73"/>
    </row>
    <row r="16" spans="1:18" x14ac:dyDescent="0.25">
      <c r="P16" s="157"/>
    </row>
    <row r="17" spans="8:17" x14ac:dyDescent="0.25">
      <c r="H17" s="157"/>
      <c r="P17" s="157"/>
      <c r="Q17" s="157"/>
    </row>
    <row r="18" spans="8:17" x14ac:dyDescent="0.25">
      <c r="H18" s="157"/>
      <c r="P18" s="157"/>
    </row>
    <row r="19" spans="8:17" x14ac:dyDescent="0.25">
      <c r="P19" s="157"/>
    </row>
    <row r="20" spans="8:17" x14ac:dyDescent="0.25">
      <c r="H20" s="157"/>
      <c r="P20" s="157"/>
    </row>
  </sheetData>
  <mergeCells count="10">
    <mergeCell ref="A12:I12"/>
    <mergeCell ref="A1:R1"/>
    <mergeCell ref="A2:A3"/>
    <mergeCell ref="B2:B3"/>
    <mergeCell ref="C2:E2"/>
    <mergeCell ref="F2:H2"/>
    <mergeCell ref="I2:K2"/>
    <mergeCell ref="L2:N2"/>
    <mergeCell ref="O2:P2"/>
    <mergeCell ref="Q2:R2"/>
  </mergeCells>
  <pageMargins left="0.7" right="0.7" top="0.75" bottom="0.75" header="0.3" footer="0.3"/>
  <pageSetup scale="54"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pageSetUpPr fitToPage="1"/>
  </sheetPr>
  <dimension ref="A1:P27"/>
  <sheetViews>
    <sheetView workbookViewId="0"/>
  </sheetViews>
  <sheetFormatPr defaultRowHeight="15" x14ac:dyDescent="0.25"/>
  <cols>
    <col min="1" max="12" width="9.140625" style="137"/>
    <col min="13" max="13" width="9.42578125" style="137" bestFit="1" customWidth="1"/>
    <col min="14" max="16384" width="9.140625" style="137"/>
  </cols>
  <sheetData>
    <row r="1" spans="1:12" x14ac:dyDescent="0.25">
      <c r="A1" s="158" t="s">
        <v>872</v>
      </c>
    </row>
    <row r="2" spans="1:12" ht="36.75" customHeight="1" x14ac:dyDescent="0.25">
      <c r="A2" s="498" t="s">
        <v>697</v>
      </c>
      <c r="B2" s="498" t="s">
        <v>788</v>
      </c>
      <c r="C2" s="498" t="s">
        <v>943</v>
      </c>
      <c r="D2" s="498"/>
      <c r="E2" s="498"/>
      <c r="F2" s="496" t="s">
        <v>775</v>
      </c>
      <c r="G2" s="515"/>
      <c r="H2" s="497"/>
      <c r="I2" s="496" t="s">
        <v>150</v>
      </c>
      <c r="J2" s="497"/>
      <c r="K2" s="92" t="s">
        <v>792</v>
      </c>
      <c r="L2" s="92"/>
    </row>
    <row r="3" spans="1:12" ht="38.25" x14ac:dyDescent="0.25">
      <c r="A3" s="498"/>
      <c r="B3" s="498"/>
      <c r="C3" s="92" t="s">
        <v>945</v>
      </c>
      <c r="D3" s="92" t="s">
        <v>790</v>
      </c>
      <c r="E3" s="92" t="s">
        <v>928</v>
      </c>
      <c r="F3" s="90" t="s">
        <v>908</v>
      </c>
      <c r="G3" s="90" t="s">
        <v>790</v>
      </c>
      <c r="H3" s="90" t="s">
        <v>907</v>
      </c>
      <c r="I3" s="90" t="s">
        <v>790</v>
      </c>
      <c r="J3" s="90" t="s">
        <v>907</v>
      </c>
      <c r="K3" s="92" t="s">
        <v>909</v>
      </c>
      <c r="L3" s="92" t="s">
        <v>910</v>
      </c>
    </row>
    <row r="4" spans="1:12" x14ac:dyDescent="0.25">
      <c r="A4" s="109" t="s">
        <v>70</v>
      </c>
      <c r="B4" s="110">
        <f>SUM(B5:B10)</f>
        <v>120</v>
      </c>
      <c r="C4" s="110">
        <f t="shared" ref="C4:E4" si="0">SUM(C5:C10)</f>
        <v>148.73920000000004</v>
      </c>
      <c r="D4" s="110">
        <f t="shared" si="0"/>
        <v>36315</v>
      </c>
      <c r="E4" s="110">
        <f t="shared" si="0"/>
        <v>3374.5538409999999</v>
      </c>
      <c r="F4" s="110">
        <f>SUM(F5:F10)</f>
        <v>10584</v>
      </c>
      <c r="G4" s="110">
        <f t="shared" ref="G4:H4" si="1">SUM(G5:G10)</f>
        <v>10584</v>
      </c>
      <c r="H4" s="110">
        <f t="shared" si="1"/>
        <v>69.264048000000003</v>
      </c>
      <c r="I4" s="110">
        <f>SUM(I5:I10)</f>
        <v>46899</v>
      </c>
      <c r="J4" s="110">
        <f>SUM(J5:J10)</f>
        <v>3443.8178889999999</v>
      </c>
      <c r="K4" s="110">
        <f>K10</f>
        <v>159</v>
      </c>
      <c r="L4" s="110">
        <f>L10</f>
        <v>6.59</v>
      </c>
    </row>
    <row r="5" spans="1:12" x14ac:dyDescent="0.25">
      <c r="A5" s="82">
        <v>43374</v>
      </c>
      <c r="B5" s="141">
        <v>14</v>
      </c>
      <c r="C5" s="141">
        <v>24.879000000000001</v>
      </c>
      <c r="D5" s="141">
        <v>2881</v>
      </c>
      <c r="E5" s="141">
        <v>696.19926200000009</v>
      </c>
      <c r="F5" s="141" t="s">
        <v>916</v>
      </c>
      <c r="G5" s="141" t="s">
        <v>916</v>
      </c>
      <c r="H5" s="141" t="s">
        <v>916</v>
      </c>
      <c r="I5" s="141">
        <v>2881</v>
      </c>
      <c r="J5" s="141">
        <v>696.19926200000009</v>
      </c>
      <c r="K5" s="141">
        <v>139</v>
      </c>
      <c r="L5" s="141">
        <v>29.009999999999998</v>
      </c>
    </row>
    <row r="6" spans="1:12" x14ac:dyDescent="0.25">
      <c r="A6" s="82">
        <v>43405</v>
      </c>
      <c r="B6" s="141">
        <v>22</v>
      </c>
      <c r="C6" s="141">
        <v>34.4435</v>
      </c>
      <c r="D6" s="141">
        <v>3407</v>
      </c>
      <c r="E6" s="141">
        <v>837.90051600000015</v>
      </c>
      <c r="F6" s="141" t="s">
        <v>916</v>
      </c>
      <c r="G6" s="141" t="s">
        <v>916</v>
      </c>
      <c r="H6" s="141" t="s">
        <v>916</v>
      </c>
      <c r="I6" s="141">
        <v>3407</v>
      </c>
      <c r="J6" s="141">
        <v>837.90051600000015</v>
      </c>
      <c r="K6" s="141">
        <v>338</v>
      </c>
      <c r="L6" s="141">
        <v>68.209999999999994</v>
      </c>
    </row>
    <row r="7" spans="1:12" x14ac:dyDescent="0.25">
      <c r="A7" s="82">
        <v>43436</v>
      </c>
      <c r="B7" s="141">
        <v>20</v>
      </c>
      <c r="C7" s="141">
        <v>38.480300000000007</v>
      </c>
      <c r="D7" s="141">
        <v>3007</v>
      </c>
      <c r="E7" s="141">
        <v>532.61176099999989</v>
      </c>
      <c r="F7" s="141" t="s">
        <v>916</v>
      </c>
      <c r="G7" s="141" t="s">
        <v>916</v>
      </c>
      <c r="H7" s="141" t="s">
        <v>916</v>
      </c>
      <c r="I7" s="141">
        <v>3007</v>
      </c>
      <c r="J7" s="141">
        <v>532.61176099999989</v>
      </c>
      <c r="K7" s="141">
        <v>292</v>
      </c>
      <c r="L7" s="141">
        <v>60.89</v>
      </c>
    </row>
    <row r="8" spans="1:12" x14ac:dyDescent="0.25">
      <c r="A8" s="82">
        <v>43468</v>
      </c>
      <c r="B8" s="141">
        <v>23</v>
      </c>
      <c r="C8" s="141">
        <v>19.888600000000004</v>
      </c>
      <c r="D8" s="141">
        <v>6163</v>
      </c>
      <c r="E8" s="141">
        <v>448.81896000000006</v>
      </c>
      <c r="F8" s="141" t="s">
        <v>916</v>
      </c>
      <c r="G8" s="141" t="s">
        <v>916</v>
      </c>
      <c r="H8" s="141" t="s">
        <v>916</v>
      </c>
      <c r="I8" s="141">
        <v>6163</v>
      </c>
      <c r="J8" s="141">
        <v>448.81896000000006</v>
      </c>
      <c r="K8" s="141">
        <v>284</v>
      </c>
      <c r="L8" s="141">
        <v>36.090000000000003</v>
      </c>
    </row>
    <row r="9" spans="1:12" x14ac:dyDescent="0.25">
      <c r="A9" s="82">
        <v>43500</v>
      </c>
      <c r="B9" s="141">
        <v>20</v>
      </c>
      <c r="C9" s="141">
        <v>18.452500000000001</v>
      </c>
      <c r="D9" s="141">
        <v>12048</v>
      </c>
      <c r="E9" s="141">
        <v>498.68747400000018</v>
      </c>
      <c r="F9" s="141" t="s">
        <v>916</v>
      </c>
      <c r="G9" s="141" t="s">
        <v>916</v>
      </c>
      <c r="H9" s="141" t="s">
        <v>916</v>
      </c>
      <c r="I9" s="141">
        <v>12048</v>
      </c>
      <c r="J9" s="141">
        <v>498.68747400000018</v>
      </c>
      <c r="K9" s="141">
        <v>207</v>
      </c>
      <c r="L9" s="141">
        <v>19.89</v>
      </c>
    </row>
    <row r="10" spans="1:12" x14ac:dyDescent="0.25">
      <c r="A10" s="82">
        <v>43529</v>
      </c>
      <c r="B10" s="141">
        <v>21</v>
      </c>
      <c r="C10" s="141">
        <v>12.595300000000003</v>
      </c>
      <c r="D10" s="141">
        <v>8809</v>
      </c>
      <c r="E10" s="141">
        <v>360.33586799999989</v>
      </c>
      <c r="F10" s="141">
        <v>10584</v>
      </c>
      <c r="G10" s="141">
        <v>10584</v>
      </c>
      <c r="H10" s="141">
        <v>69.264048000000003</v>
      </c>
      <c r="I10" s="141">
        <v>19393</v>
      </c>
      <c r="J10" s="141">
        <v>429.59991599999989</v>
      </c>
      <c r="K10" s="141">
        <v>159</v>
      </c>
      <c r="L10" s="141">
        <v>6.59</v>
      </c>
    </row>
    <row r="11" spans="1:12" x14ac:dyDescent="0.25">
      <c r="A11" s="73" t="str">
        <f>'[1]1'!A8</f>
        <v>$ indicates as on March 29, 2019</v>
      </c>
      <c r="E11" s="159"/>
    </row>
    <row r="12" spans="1:12" x14ac:dyDescent="0.25">
      <c r="A12" s="517" t="s">
        <v>949</v>
      </c>
      <c r="B12" s="517"/>
      <c r="C12" s="517"/>
      <c r="D12" s="517"/>
      <c r="E12" s="517"/>
      <c r="F12" s="517"/>
      <c r="G12" s="517"/>
      <c r="H12" s="517"/>
      <c r="I12" s="517"/>
      <c r="J12" s="517"/>
      <c r="K12" s="517"/>
      <c r="L12" s="517"/>
    </row>
    <row r="13" spans="1:12" x14ac:dyDescent="0.25">
      <c r="A13" s="86" t="s">
        <v>302</v>
      </c>
    </row>
    <row r="14" spans="1:12" x14ac:dyDescent="0.25">
      <c r="A14" s="86"/>
    </row>
    <row r="19" spans="13:16" x14ac:dyDescent="0.25">
      <c r="M19" s="149"/>
      <c r="N19" s="149"/>
      <c r="O19" s="149"/>
    </row>
    <row r="20" spans="13:16" x14ac:dyDescent="0.25">
      <c r="M20" s="149"/>
      <c r="N20" s="149"/>
      <c r="O20" s="149"/>
    </row>
    <row r="21" spans="13:16" x14ac:dyDescent="0.25">
      <c r="M21" s="149"/>
      <c r="N21" s="149"/>
      <c r="O21" s="149"/>
    </row>
    <row r="22" spans="13:16" x14ac:dyDescent="0.25">
      <c r="M22" s="149"/>
      <c r="N22" s="149"/>
      <c r="O22" s="149"/>
    </row>
    <row r="23" spans="13:16" x14ac:dyDescent="0.25">
      <c r="M23" s="149"/>
      <c r="N23" s="149"/>
      <c r="O23" s="149"/>
    </row>
    <row r="27" spans="13:16" x14ac:dyDescent="0.25">
      <c r="P27" s="149"/>
    </row>
  </sheetData>
  <mergeCells count="6">
    <mergeCell ref="A12:L12"/>
    <mergeCell ref="A2:A3"/>
    <mergeCell ref="B2:B3"/>
    <mergeCell ref="C2:E2"/>
    <mergeCell ref="F2:H2"/>
    <mergeCell ref="I2:J2"/>
  </mergeCells>
  <pageMargins left="0.7" right="0.7" top="0.75" bottom="0.75" header="0.3" footer="0.3"/>
  <pageSetup scale="84"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pageSetUpPr fitToPage="1"/>
  </sheetPr>
  <dimension ref="A1:U21"/>
  <sheetViews>
    <sheetView workbookViewId="0">
      <selection sqref="A1:N1"/>
    </sheetView>
  </sheetViews>
  <sheetFormatPr defaultRowHeight="12.75" x14ac:dyDescent="0.2"/>
  <cols>
    <col min="1" max="1" width="9.140625" style="73" customWidth="1"/>
    <col min="2" max="2" width="9.7109375" style="73" customWidth="1"/>
    <col min="3" max="3" width="7.85546875" style="73" customWidth="1"/>
    <col min="4" max="5" width="9.140625" style="73"/>
    <col min="6" max="6" width="10.7109375" style="73" customWidth="1"/>
    <col min="7" max="7" width="10.28515625" style="73" customWidth="1"/>
    <col min="8" max="16384" width="9.140625" style="73"/>
  </cols>
  <sheetData>
    <row r="1" spans="1:16" s="160" customFormat="1" ht="18" customHeight="1" x14ac:dyDescent="0.25">
      <c r="A1" s="484" t="s">
        <v>873</v>
      </c>
      <c r="B1" s="484"/>
      <c r="C1" s="484"/>
      <c r="D1" s="484"/>
      <c r="E1" s="484"/>
      <c r="F1" s="484"/>
      <c r="G1" s="484"/>
      <c r="H1" s="484"/>
      <c r="I1" s="484"/>
      <c r="J1" s="484"/>
      <c r="K1" s="484"/>
      <c r="L1" s="484"/>
      <c r="M1" s="484"/>
      <c r="N1" s="484"/>
    </row>
    <row r="2" spans="1:16" ht="17.25" customHeight="1" x14ac:dyDescent="0.2">
      <c r="A2" s="523" t="s">
        <v>184</v>
      </c>
      <c r="B2" s="518" t="s">
        <v>781</v>
      </c>
      <c r="C2" s="519"/>
      <c r="D2" s="519"/>
      <c r="E2" s="526"/>
      <c r="F2" s="518" t="s">
        <v>778</v>
      </c>
      <c r="G2" s="519"/>
      <c r="H2" s="519"/>
      <c r="I2" s="518" t="s">
        <v>902</v>
      </c>
      <c r="J2" s="519"/>
      <c r="K2" s="519"/>
      <c r="L2" s="526"/>
      <c r="M2" s="518" t="s">
        <v>257</v>
      </c>
      <c r="N2" s="519"/>
      <c r="O2" s="518" t="s">
        <v>258</v>
      </c>
      <c r="P2" s="519"/>
    </row>
    <row r="3" spans="1:16" ht="12.75" customHeight="1" x14ac:dyDescent="0.2">
      <c r="A3" s="524"/>
      <c r="B3" s="520" t="s">
        <v>950</v>
      </c>
      <c r="C3" s="521"/>
      <c r="D3" s="496" t="s">
        <v>951</v>
      </c>
      <c r="E3" s="497"/>
      <c r="F3" s="520" t="s">
        <v>772</v>
      </c>
      <c r="G3" s="522"/>
      <c r="H3" s="521"/>
      <c r="I3" s="520" t="s">
        <v>772</v>
      </c>
      <c r="J3" s="521"/>
      <c r="K3" s="496" t="s">
        <v>952</v>
      </c>
      <c r="L3" s="497"/>
      <c r="M3" s="496" t="s">
        <v>952</v>
      </c>
      <c r="N3" s="497"/>
      <c r="O3" s="496" t="s">
        <v>952</v>
      </c>
      <c r="P3" s="497"/>
    </row>
    <row r="4" spans="1:16" x14ac:dyDescent="0.2">
      <c r="A4" s="525"/>
      <c r="B4" s="161" t="s">
        <v>340</v>
      </c>
      <c r="C4" s="161" t="s">
        <v>953</v>
      </c>
      <c r="D4" s="161" t="s">
        <v>340</v>
      </c>
      <c r="E4" s="161" t="s">
        <v>953</v>
      </c>
      <c r="F4" s="161" t="s">
        <v>340</v>
      </c>
      <c r="G4" s="161" t="s">
        <v>953</v>
      </c>
      <c r="H4" s="161" t="s">
        <v>793</v>
      </c>
      <c r="I4" s="161" t="s">
        <v>340</v>
      </c>
      <c r="J4" s="161" t="s">
        <v>953</v>
      </c>
      <c r="K4" s="161" t="s">
        <v>340</v>
      </c>
      <c r="L4" s="161" t="s">
        <v>953</v>
      </c>
      <c r="M4" s="161" t="s">
        <v>340</v>
      </c>
      <c r="N4" s="161" t="s">
        <v>953</v>
      </c>
      <c r="O4" s="161" t="s">
        <v>340</v>
      </c>
      <c r="P4" s="161" t="s">
        <v>953</v>
      </c>
    </row>
    <row r="5" spans="1:16" s="81" customFormat="1" x14ac:dyDescent="0.2">
      <c r="A5" s="77" t="s">
        <v>69</v>
      </c>
      <c r="B5" s="162">
        <v>35.440516926999997</v>
      </c>
      <c r="C5" s="162">
        <v>64.559483072999996</v>
      </c>
      <c r="D5" s="162">
        <v>20.606491482999999</v>
      </c>
      <c r="E5" s="162">
        <v>79.393508517000001</v>
      </c>
      <c r="F5" s="163">
        <v>41.042632143128017</v>
      </c>
      <c r="G5" s="163">
        <v>58.794851415623498</v>
      </c>
      <c r="H5" s="164">
        <v>0.16251644124848158</v>
      </c>
      <c r="I5" s="163">
        <v>2.0745345804873399</v>
      </c>
      <c r="J5" s="163">
        <v>97.925465419512705</v>
      </c>
      <c r="K5" s="163">
        <v>48.52</v>
      </c>
      <c r="L5" s="163">
        <v>51.48</v>
      </c>
      <c r="M5" s="163" t="s">
        <v>916</v>
      </c>
      <c r="N5" s="163" t="s">
        <v>916</v>
      </c>
      <c r="O5" s="163" t="s">
        <v>916</v>
      </c>
      <c r="P5" s="163" t="s">
        <v>916</v>
      </c>
    </row>
    <row r="6" spans="1:16" s="81" customFormat="1" x14ac:dyDescent="0.2">
      <c r="A6" s="77" t="s">
        <v>70</v>
      </c>
      <c r="B6" s="162">
        <v>38.24843636704783</v>
      </c>
      <c r="C6" s="162">
        <v>61.75156363295217</v>
      </c>
      <c r="D6" s="162">
        <v>27.622798014852613</v>
      </c>
      <c r="E6" s="162">
        <v>72.377201985147394</v>
      </c>
      <c r="F6" s="163">
        <v>44.124684505659182</v>
      </c>
      <c r="G6" s="163">
        <v>55.463657380271655</v>
      </c>
      <c r="H6" s="164">
        <v>0.41165811406914354</v>
      </c>
      <c r="I6" s="163">
        <v>7.19</v>
      </c>
      <c r="J6" s="163">
        <v>92.81</v>
      </c>
      <c r="K6" s="163">
        <v>45.46</v>
      </c>
      <c r="L6" s="163">
        <v>54.54</v>
      </c>
      <c r="M6" s="163">
        <v>92.954601508123332</v>
      </c>
      <c r="N6" s="163">
        <v>7.0453984918766688</v>
      </c>
      <c r="O6" s="163">
        <f>AVERAGE(O13:O18)</f>
        <v>82.104864141061242</v>
      </c>
      <c r="P6" s="163">
        <f>AVERAGE(P13:P18)</f>
        <v>17.895135858938765</v>
      </c>
    </row>
    <row r="7" spans="1:16" x14ac:dyDescent="0.2">
      <c r="A7" s="165">
        <v>43191</v>
      </c>
      <c r="B7" s="166">
        <v>36.64062792</v>
      </c>
      <c r="C7" s="166">
        <v>63.35937208</v>
      </c>
      <c r="D7" s="166">
        <v>39.699136752692091</v>
      </c>
      <c r="E7" s="166">
        <v>74.200804711000004</v>
      </c>
      <c r="F7" s="167">
        <v>41.464739715300247</v>
      </c>
      <c r="G7" s="167">
        <v>58.31347569222897</v>
      </c>
      <c r="H7" s="168">
        <v>0.22178459247078966</v>
      </c>
      <c r="I7" s="166">
        <v>3.7808933759999999</v>
      </c>
      <c r="J7" s="166">
        <v>96.219106624000005</v>
      </c>
      <c r="K7" s="166">
        <v>77.62379464093874</v>
      </c>
      <c r="L7" s="166">
        <v>22.376205359061256</v>
      </c>
      <c r="M7" s="167" t="s">
        <v>916</v>
      </c>
      <c r="N7" s="167" t="s">
        <v>916</v>
      </c>
      <c r="O7" s="167" t="s">
        <v>916</v>
      </c>
      <c r="P7" s="167" t="s">
        <v>916</v>
      </c>
    </row>
    <row r="8" spans="1:16" x14ac:dyDescent="0.2">
      <c r="A8" s="165">
        <v>43222</v>
      </c>
      <c r="B8" s="166">
        <v>39.699136752692091</v>
      </c>
      <c r="C8" s="166">
        <v>60.300863247307909</v>
      </c>
      <c r="D8" s="166">
        <v>36.644849926196009</v>
      </c>
      <c r="E8" s="166">
        <v>76.575460055290492</v>
      </c>
      <c r="F8" s="167">
        <v>41.543462173012394</v>
      </c>
      <c r="G8" s="167">
        <v>57.954045200930459</v>
      </c>
      <c r="H8" s="168">
        <v>0.50249262605713574</v>
      </c>
      <c r="I8" s="166">
        <v>1.283135157</v>
      </c>
      <c r="J8" s="166">
        <v>98.716864842999996</v>
      </c>
      <c r="K8" s="166">
        <v>87.272000000000006</v>
      </c>
      <c r="L8" s="166">
        <v>12.72794</v>
      </c>
      <c r="M8" s="167" t="s">
        <v>916</v>
      </c>
      <c r="N8" s="167" t="s">
        <v>916</v>
      </c>
      <c r="O8" s="167" t="s">
        <v>916</v>
      </c>
      <c r="P8" s="167" t="s">
        <v>916</v>
      </c>
    </row>
    <row r="9" spans="1:16" x14ac:dyDescent="0.2">
      <c r="A9" s="165">
        <v>43254</v>
      </c>
      <c r="B9" s="166">
        <v>36.644849926196009</v>
      </c>
      <c r="C9" s="166">
        <v>63.355150073803991</v>
      </c>
      <c r="D9" s="166">
        <v>34.634726052424284</v>
      </c>
      <c r="E9" s="166">
        <v>75.880655982428095</v>
      </c>
      <c r="F9" s="167">
        <v>40.839522610724231</v>
      </c>
      <c r="G9" s="167">
        <v>58.456153296280277</v>
      </c>
      <c r="H9" s="168">
        <v>0.7043240929954836</v>
      </c>
      <c r="I9" s="166">
        <v>0.97375300799999998</v>
      </c>
      <c r="J9" s="166">
        <v>99.026246991999997</v>
      </c>
      <c r="K9" s="166">
        <v>88.8</v>
      </c>
      <c r="L9" s="166">
        <v>11.198</v>
      </c>
      <c r="M9" s="167" t="s">
        <v>916</v>
      </c>
      <c r="N9" s="167" t="s">
        <v>916</v>
      </c>
      <c r="O9" s="167" t="s">
        <v>916</v>
      </c>
      <c r="P9" s="167" t="s">
        <v>916</v>
      </c>
    </row>
    <row r="10" spans="1:16" x14ac:dyDescent="0.2">
      <c r="A10" s="165">
        <v>43285</v>
      </c>
      <c r="B10" s="166">
        <v>34.634726052424284</v>
      </c>
      <c r="C10" s="166">
        <v>65.365273947575702</v>
      </c>
      <c r="D10" s="166">
        <v>35.746452557453431</v>
      </c>
      <c r="E10" s="166">
        <v>76.041574253217149</v>
      </c>
      <c r="F10" s="167">
        <v>42.096345076153483</v>
      </c>
      <c r="G10" s="167">
        <v>57.666392691124145</v>
      </c>
      <c r="H10" s="168">
        <v>0.23726223272236982</v>
      </c>
      <c r="I10" s="166">
        <v>0.539231672</v>
      </c>
      <c r="J10" s="166">
        <v>99.460768328</v>
      </c>
      <c r="K10" s="166">
        <v>84.085999999999999</v>
      </c>
      <c r="L10" s="166">
        <v>15.913</v>
      </c>
      <c r="M10" s="167" t="s">
        <v>916</v>
      </c>
      <c r="N10" s="167" t="s">
        <v>916</v>
      </c>
      <c r="O10" s="167" t="s">
        <v>916</v>
      </c>
      <c r="P10" s="167" t="s">
        <v>916</v>
      </c>
    </row>
    <row r="11" spans="1:16" x14ac:dyDescent="0.2">
      <c r="A11" s="165">
        <v>43317</v>
      </c>
      <c r="B11" s="166">
        <v>35.746452557453431</v>
      </c>
      <c r="C11" s="166">
        <v>64.253547442546562</v>
      </c>
      <c r="D11" s="166">
        <v>39.742170877671981</v>
      </c>
      <c r="E11" s="166">
        <v>75.36137063711169</v>
      </c>
      <c r="F11" s="167">
        <v>46.468795825798701</v>
      </c>
      <c r="G11" s="167">
        <v>53.381877381978256</v>
      </c>
      <c r="H11" s="168">
        <v>0.14932679222304915</v>
      </c>
      <c r="I11" s="166">
        <v>0.19026690299999999</v>
      </c>
      <c r="J11" s="166">
        <v>99.809733097000006</v>
      </c>
      <c r="K11" s="166">
        <v>71.034999999999997</v>
      </c>
      <c r="L11" s="166">
        <v>28.963999999999999</v>
      </c>
      <c r="M11" s="167" t="s">
        <v>916</v>
      </c>
      <c r="N11" s="167" t="s">
        <v>916</v>
      </c>
      <c r="O11" s="167" t="s">
        <v>916</v>
      </c>
      <c r="P11" s="167" t="s">
        <v>916</v>
      </c>
    </row>
    <row r="12" spans="1:16" x14ac:dyDescent="0.2">
      <c r="A12" s="165">
        <v>43349</v>
      </c>
      <c r="B12" s="166">
        <v>39.742170877671981</v>
      </c>
      <c r="C12" s="166">
        <v>60.257829122328012</v>
      </c>
      <c r="D12" s="166">
        <v>41.375663733357001</v>
      </c>
      <c r="E12" s="166">
        <v>74.970206932110429</v>
      </c>
      <c r="F12" s="167">
        <v>44.63365497296487</v>
      </c>
      <c r="G12" s="167">
        <v>55.071884247287393</v>
      </c>
      <c r="H12" s="168">
        <v>0.2944607797477285</v>
      </c>
      <c r="I12" s="166">
        <v>0.13218172787466426</v>
      </c>
      <c r="J12" s="166">
        <v>99.867818272125348</v>
      </c>
      <c r="K12" s="166">
        <v>56.940959999999997</v>
      </c>
      <c r="L12" s="166">
        <v>43.059040000000003</v>
      </c>
      <c r="M12" s="167" t="s">
        <v>916</v>
      </c>
      <c r="N12" s="167" t="s">
        <v>916</v>
      </c>
      <c r="O12" s="167" t="s">
        <v>916</v>
      </c>
      <c r="P12" s="167" t="s">
        <v>916</v>
      </c>
    </row>
    <row r="13" spans="1:16" x14ac:dyDescent="0.2">
      <c r="A13" s="165">
        <v>43374</v>
      </c>
      <c r="B13" s="166">
        <v>41.375663733357001</v>
      </c>
      <c r="C13" s="166">
        <v>58.624336266643006</v>
      </c>
      <c r="D13" s="166">
        <v>40.227907740529133</v>
      </c>
      <c r="E13" s="166">
        <v>72.367593128412423</v>
      </c>
      <c r="F13" s="167">
        <v>45.378564571165121</v>
      </c>
      <c r="G13" s="167">
        <v>54.167546613718379</v>
      </c>
      <c r="H13" s="168">
        <v>0.45388881511650697</v>
      </c>
      <c r="I13" s="166">
        <v>14.298</v>
      </c>
      <c r="J13" s="166">
        <v>85.701800000000006</v>
      </c>
      <c r="K13" s="166">
        <v>40.319000000000003</v>
      </c>
      <c r="L13" s="166">
        <v>59.680689999999998</v>
      </c>
      <c r="M13" s="167">
        <v>97.45</v>
      </c>
      <c r="N13" s="167">
        <v>2.5499999999999998</v>
      </c>
      <c r="O13" s="167">
        <v>83.419654572974835</v>
      </c>
      <c r="P13" s="167">
        <v>16.580345427025172</v>
      </c>
    </row>
    <row r="14" spans="1:16" x14ac:dyDescent="0.2">
      <c r="A14" s="165">
        <v>43434</v>
      </c>
      <c r="B14" s="166">
        <v>40.227907740529133</v>
      </c>
      <c r="C14" s="166">
        <v>59.772092259470867</v>
      </c>
      <c r="D14" s="166">
        <v>39.91104653676463</v>
      </c>
      <c r="E14" s="166">
        <v>69.511375505131582</v>
      </c>
      <c r="F14" s="166">
        <v>46.975662657803134</v>
      </c>
      <c r="G14" s="166">
        <v>52.751552634029565</v>
      </c>
      <c r="H14" s="169">
        <v>0.2727847081673086</v>
      </c>
      <c r="I14" s="166">
        <v>11.98</v>
      </c>
      <c r="J14" s="166">
        <v>88.02</v>
      </c>
      <c r="K14" s="166">
        <v>30.75</v>
      </c>
      <c r="L14" s="166">
        <v>69.25</v>
      </c>
      <c r="M14" s="166">
        <v>98.55</v>
      </c>
      <c r="N14" s="166">
        <v>1.45</v>
      </c>
      <c r="O14" s="167">
        <v>82.748722641913247</v>
      </c>
      <c r="P14" s="167">
        <v>17.25127735808675</v>
      </c>
    </row>
    <row r="15" spans="1:16" x14ac:dyDescent="0.2">
      <c r="A15" s="165">
        <v>43435</v>
      </c>
      <c r="B15" s="166">
        <v>39.91104653676463</v>
      </c>
      <c r="C15" s="166">
        <v>60.08895346323537</v>
      </c>
      <c r="D15" s="166">
        <v>38.259391515801646</v>
      </c>
      <c r="E15" s="166">
        <v>67.412156955038753</v>
      </c>
      <c r="F15" s="166">
        <v>44.959440808380116</v>
      </c>
      <c r="G15" s="166">
        <v>54.594706455516508</v>
      </c>
      <c r="H15" s="169">
        <v>0.44585273610337406</v>
      </c>
      <c r="I15" s="166">
        <v>13.36</v>
      </c>
      <c r="J15" s="166">
        <v>86.635999999999996</v>
      </c>
      <c r="K15" s="166">
        <v>27.64</v>
      </c>
      <c r="L15" s="166">
        <v>72.356999999999999</v>
      </c>
      <c r="M15" s="166">
        <v>97.356936622048664</v>
      </c>
      <c r="N15" s="166">
        <v>2.6430633779513393</v>
      </c>
      <c r="O15" s="167">
        <v>82.748722641913247</v>
      </c>
      <c r="P15" s="167">
        <v>17.25127735808675</v>
      </c>
    </row>
    <row r="16" spans="1:16" x14ac:dyDescent="0.2">
      <c r="A16" s="165">
        <v>43467</v>
      </c>
      <c r="B16" s="166">
        <v>38.259391515801646</v>
      </c>
      <c r="C16" s="166">
        <v>61.740608484198354</v>
      </c>
      <c r="D16" s="166">
        <v>36.167832850118302</v>
      </c>
      <c r="E16" s="166">
        <v>69.773887095687016</v>
      </c>
      <c r="F16" s="166">
        <v>45.345913406372432</v>
      </c>
      <c r="G16" s="166">
        <v>54.011735937768123</v>
      </c>
      <c r="H16" s="169">
        <v>0.64235065585945161</v>
      </c>
      <c r="I16" s="166">
        <v>23.15</v>
      </c>
      <c r="J16" s="166">
        <v>76.849999999999994</v>
      </c>
      <c r="K16" s="166">
        <v>36.06</v>
      </c>
      <c r="L16" s="166">
        <v>63.94</v>
      </c>
      <c r="M16" s="166">
        <v>96.852541117493828</v>
      </c>
      <c r="N16" s="166">
        <v>3.1474588825061738</v>
      </c>
      <c r="O16" s="167">
        <v>84.556727951065184</v>
      </c>
      <c r="P16" s="167">
        <v>15.443272048934825</v>
      </c>
    </row>
    <row r="17" spans="1:21" x14ac:dyDescent="0.2">
      <c r="A17" s="165">
        <v>43499</v>
      </c>
      <c r="B17" s="166">
        <v>36.167832850118302</v>
      </c>
      <c r="C17" s="166">
        <v>63.832167149881691</v>
      </c>
      <c r="D17" s="166">
        <v>39.651733790135012</v>
      </c>
      <c r="E17" s="166">
        <v>67.494086138270418</v>
      </c>
      <c r="F17" s="166">
        <v>44.973535282527436</v>
      </c>
      <c r="G17" s="166">
        <v>54.265041536697503</v>
      </c>
      <c r="H17" s="169">
        <v>0.7614231807750641</v>
      </c>
      <c r="I17" s="166">
        <v>36.21</v>
      </c>
      <c r="J17" s="166">
        <v>63.79</v>
      </c>
      <c r="K17" s="166">
        <v>49.36</v>
      </c>
      <c r="L17" s="166">
        <v>50.64</v>
      </c>
      <c r="M17" s="166">
        <v>78.829337067204463</v>
      </c>
      <c r="N17" s="166">
        <v>21.170662932795533</v>
      </c>
      <c r="O17" s="167">
        <v>78.451090792787781</v>
      </c>
      <c r="P17" s="167">
        <v>21.548909207212215</v>
      </c>
    </row>
    <row r="18" spans="1:21" x14ac:dyDescent="0.2">
      <c r="A18" s="165">
        <v>43528</v>
      </c>
      <c r="B18" s="166">
        <v>39.651733790135012</v>
      </c>
      <c r="C18" s="166">
        <v>60.348266209864988</v>
      </c>
      <c r="D18" s="166">
        <v>29.950371963803718</v>
      </c>
      <c r="E18" s="166">
        <v>70.049628036196282</v>
      </c>
      <c r="F18" s="166">
        <v>43.589173370220685</v>
      </c>
      <c r="G18" s="166">
        <v>55.795425445388112</v>
      </c>
      <c r="H18" s="169">
        <v>0.61540118439121128</v>
      </c>
      <c r="I18" s="166">
        <v>66.400000000000006</v>
      </c>
      <c r="J18" s="166">
        <v>33.6</v>
      </c>
      <c r="K18" s="166">
        <v>50.29</v>
      </c>
      <c r="L18" s="166">
        <v>49.7</v>
      </c>
      <c r="M18" s="166">
        <v>79.310117240232898</v>
      </c>
      <c r="N18" s="166">
        <v>20.689882759767105</v>
      </c>
      <c r="O18" s="167">
        <v>80.704266245713129</v>
      </c>
      <c r="P18" s="167">
        <v>19.295733754286868</v>
      </c>
    </row>
    <row r="19" spans="1:21" x14ac:dyDescent="0.2">
      <c r="A19" s="170" t="str">
        <f>'66'!A18</f>
        <v>$ indicates as on March 29, 2019</v>
      </c>
      <c r="B19" s="170"/>
      <c r="C19" s="170"/>
      <c r="D19" s="170"/>
      <c r="E19" s="170"/>
    </row>
    <row r="20" spans="1:21" x14ac:dyDescent="0.2">
      <c r="A20" s="87" t="s">
        <v>954</v>
      </c>
      <c r="J20" s="73" t="s">
        <v>903</v>
      </c>
      <c r="K20" s="54"/>
      <c r="L20" s="54"/>
      <c r="M20" s="54"/>
      <c r="N20" s="54"/>
      <c r="O20" s="54"/>
      <c r="P20" s="54"/>
      <c r="Q20" s="54"/>
      <c r="R20" s="54"/>
      <c r="S20" s="54"/>
      <c r="T20" s="54"/>
      <c r="U20" s="54"/>
    </row>
    <row r="21" spans="1:21" x14ac:dyDescent="0.2">
      <c r="A21" s="86" t="s">
        <v>955</v>
      </c>
      <c r="E21" s="170"/>
      <c r="J21" s="54"/>
    </row>
  </sheetData>
  <mergeCells count="14">
    <mergeCell ref="A1:N1"/>
    <mergeCell ref="A2:A4"/>
    <mergeCell ref="B2:E2"/>
    <mergeCell ref="F2:H2"/>
    <mergeCell ref="I2:L2"/>
    <mergeCell ref="M2:N2"/>
    <mergeCell ref="O2:P2"/>
    <mergeCell ref="B3:C3"/>
    <mergeCell ref="D3:E3"/>
    <mergeCell ref="F3:H3"/>
    <mergeCell ref="I3:J3"/>
    <mergeCell ref="K3:L3"/>
    <mergeCell ref="M3:N3"/>
    <mergeCell ref="O3:P3"/>
  </mergeCells>
  <pageMargins left="0.7" right="0.7" top="0.75" bottom="0.75" header="0.3" footer="0.3"/>
  <pageSetup scale="84"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pageSetUpPr fitToPage="1"/>
  </sheetPr>
  <dimension ref="A1:N300"/>
  <sheetViews>
    <sheetView workbookViewId="0">
      <selection sqref="A1:J1"/>
    </sheetView>
  </sheetViews>
  <sheetFormatPr defaultRowHeight="12.75" x14ac:dyDescent="0.2"/>
  <cols>
    <col min="1" max="1" width="9.42578125" style="171" bestFit="1" customWidth="1"/>
    <col min="2" max="2" width="17.7109375" style="171" customWidth="1"/>
    <col min="3" max="3" width="12.42578125" style="171" customWidth="1"/>
    <col min="4" max="4" width="13" style="171" customWidth="1"/>
    <col min="5" max="5" width="11" style="209" customWidth="1"/>
    <col min="6" max="6" width="11.28515625" style="209" customWidth="1"/>
    <col min="7" max="7" width="12" style="171" customWidth="1"/>
    <col min="8" max="8" width="12.5703125" style="171" customWidth="1"/>
    <col min="9" max="9" width="13" style="209" bestFit="1" customWidth="1"/>
    <col min="10" max="10" width="12" style="209" bestFit="1" customWidth="1"/>
    <col min="11" max="11" width="9.42578125" style="171" bestFit="1" customWidth="1"/>
    <col min="12" max="16384" width="9.140625" style="171"/>
  </cols>
  <sheetData>
    <row r="1" spans="1:14" ht="15" x14ac:dyDescent="0.2">
      <c r="A1" s="502" t="s">
        <v>874</v>
      </c>
      <c r="B1" s="502"/>
      <c r="C1" s="502"/>
      <c r="D1" s="502"/>
      <c r="E1" s="502"/>
      <c r="F1" s="502"/>
      <c r="G1" s="502"/>
      <c r="H1" s="502"/>
      <c r="I1" s="502"/>
      <c r="J1" s="502"/>
    </row>
    <row r="2" spans="1:14" x14ac:dyDescent="0.2">
      <c r="A2" s="501" t="s">
        <v>956</v>
      </c>
      <c r="B2" s="540" t="s">
        <v>794</v>
      </c>
      <c r="C2" s="541" t="s">
        <v>70</v>
      </c>
      <c r="D2" s="542"/>
      <c r="E2" s="541">
        <v>43160</v>
      </c>
      <c r="F2" s="542"/>
      <c r="G2" s="541">
        <v>43497</v>
      </c>
      <c r="H2" s="542"/>
      <c r="I2" s="541">
        <v>43525</v>
      </c>
      <c r="J2" s="542"/>
    </row>
    <row r="3" spans="1:14" ht="38.25" x14ac:dyDescent="0.2">
      <c r="A3" s="501"/>
      <c r="B3" s="540"/>
      <c r="C3" s="172" t="s">
        <v>927</v>
      </c>
      <c r="D3" s="107" t="s">
        <v>910</v>
      </c>
      <c r="E3" s="172" t="s">
        <v>927</v>
      </c>
      <c r="F3" s="107" t="s">
        <v>910</v>
      </c>
      <c r="G3" s="172" t="s">
        <v>927</v>
      </c>
      <c r="H3" s="107" t="s">
        <v>910</v>
      </c>
      <c r="I3" s="172" t="s">
        <v>927</v>
      </c>
      <c r="J3" s="107" t="s">
        <v>910</v>
      </c>
    </row>
    <row r="4" spans="1:14" ht="15.75" x14ac:dyDescent="0.2">
      <c r="A4" s="527" t="s">
        <v>770</v>
      </c>
      <c r="B4" s="527"/>
      <c r="C4" s="527"/>
      <c r="D4" s="527"/>
      <c r="E4" s="527"/>
      <c r="F4" s="527"/>
      <c r="G4" s="527"/>
      <c r="H4" s="527"/>
      <c r="I4" s="527"/>
      <c r="J4" s="527"/>
    </row>
    <row r="5" spans="1:14" x14ac:dyDescent="0.2">
      <c r="A5" s="173" t="s">
        <v>957</v>
      </c>
      <c r="B5" s="528" t="s">
        <v>777</v>
      </c>
      <c r="C5" s="529"/>
      <c r="D5" s="529"/>
      <c r="E5" s="529"/>
      <c r="F5" s="529"/>
      <c r="G5" s="529"/>
      <c r="H5" s="529"/>
      <c r="I5" s="529"/>
      <c r="J5" s="530"/>
    </row>
    <row r="6" spans="1:14" x14ac:dyDescent="0.2">
      <c r="A6" s="174">
        <v>1</v>
      </c>
      <c r="B6" s="175" t="s">
        <v>795</v>
      </c>
      <c r="C6" s="176">
        <v>2.7789069279999992</v>
      </c>
      <c r="D6" s="176">
        <v>872097.16069370019</v>
      </c>
      <c r="E6" s="177">
        <v>0.218715298</v>
      </c>
      <c r="F6" s="176">
        <v>66700.33531900002</v>
      </c>
      <c r="G6" s="178">
        <v>0.24317182400000006</v>
      </c>
      <c r="H6" s="179">
        <v>81086.467300100034</v>
      </c>
      <c r="I6" s="180">
        <v>0.32116161699999995</v>
      </c>
      <c r="J6" s="179">
        <v>102934.60236579999</v>
      </c>
      <c r="K6" s="181"/>
      <c r="L6" s="181"/>
      <c r="M6" s="181"/>
    </row>
    <row r="7" spans="1:14" x14ac:dyDescent="0.2">
      <c r="A7" s="174">
        <v>2</v>
      </c>
      <c r="B7" s="175" t="s">
        <v>796</v>
      </c>
      <c r="C7" s="176">
        <v>165.87537099999997</v>
      </c>
      <c r="D7" s="176">
        <v>641720.11860569997</v>
      </c>
      <c r="E7" s="176">
        <v>12.306041999999998</v>
      </c>
      <c r="F7" s="176">
        <v>47657.215651900005</v>
      </c>
      <c r="G7" s="179">
        <v>12.573886</v>
      </c>
      <c r="H7" s="179">
        <v>50480.656594399981</v>
      </c>
      <c r="I7" s="182">
        <v>12.75699</v>
      </c>
      <c r="J7" s="179">
        <v>48919.012251399989</v>
      </c>
      <c r="K7" s="181"/>
      <c r="L7" s="181"/>
      <c r="M7" s="181"/>
    </row>
    <row r="8" spans="1:14" x14ac:dyDescent="0.2">
      <c r="A8" s="174"/>
      <c r="B8" s="183" t="s">
        <v>958</v>
      </c>
      <c r="C8" s="184">
        <f>SUM(C6:C7)</f>
        <v>168.65427792799997</v>
      </c>
      <c r="D8" s="184">
        <f t="shared" ref="D8:J8" si="0">SUM(D6:D7)</f>
        <v>1513817.2792994003</v>
      </c>
      <c r="E8" s="184">
        <f t="shared" si="0"/>
        <v>12.524757297999997</v>
      </c>
      <c r="F8" s="184">
        <f t="shared" si="0"/>
        <v>114357.55097090002</v>
      </c>
      <c r="G8" s="184">
        <f t="shared" si="0"/>
        <v>12.817057824000001</v>
      </c>
      <c r="H8" s="184">
        <f t="shared" si="0"/>
        <v>131567.12389450002</v>
      </c>
      <c r="I8" s="184">
        <f t="shared" si="0"/>
        <v>13.078151617</v>
      </c>
      <c r="J8" s="184">
        <f t="shared" si="0"/>
        <v>151853.61461719999</v>
      </c>
      <c r="K8" s="181"/>
      <c r="L8" s="181"/>
      <c r="M8" s="181"/>
    </row>
    <row r="9" spans="1:14" ht="12.75" customHeight="1" x14ac:dyDescent="0.2">
      <c r="A9" s="185" t="s">
        <v>959</v>
      </c>
      <c r="B9" s="536" t="s">
        <v>960</v>
      </c>
      <c r="C9" s="537"/>
      <c r="D9" s="537"/>
      <c r="E9" s="537"/>
      <c r="F9" s="537"/>
      <c r="G9" s="537"/>
      <c r="H9" s="537"/>
      <c r="I9" s="537"/>
      <c r="J9" s="538"/>
      <c r="K9" s="181"/>
      <c r="L9" s="181"/>
      <c r="M9" s="181"/>
    </row>
    <row r="10" spans="1:14" x14ac:dyDescent="0.2">
      <c r="A10" s="174">
        <v>1</v>
      </c>
      <c r="B10" s="175" t="s">
        <v>797</v>
      </c>
      <c r="C10" s="144">
        <v>19456.526000000013</v>
      </c>
      <c r="D10" s="144">
        <v>284599.5252999998</v>
      </c>
      <c r="E10" s="176">
        <v>1365.6459999999997</v>
      </c>
      <c r="F10" s="176">
        <v>18548.360720000001</v>
      </c>
      <c r="G10" s="144">
        <v>1163.8580000000002</v>
      </c>
      <c r="H10" s="144">
        <v>15687.51254</v>
      </c>
      <c r="I10" s="182">
        <v>879.98599999999999</v>
      </c>
      <c r="J10" s="176">
        <v>12225.512100000002</v>
      </c>
      <c r="K10" s="181"/>
      <c r="L10" s="181"/>
      <c r="M10" s="181"/>
      <c r="N10" s="181"/>
    </row>
    <row r="11" spans="1:14" x14ac:dyDescent="0.2">
      <c r="A11" s="174">
        <v>2</v>
      </c>
      <c r="B11" s="175" t="s">
        <v>798</v>
      </c>
      <c r="C11" s="144">
        <v>5.7029999999999985</v>
      </c>
      <c r="D11" s="144">
        <v>202.87955000000002</v>
      </c>
      <c r="E11" s="176">
        <v>1.115</v>
      </c>
      <c r="F11" s="176">
        <v>38.579300000000003</v>
      </c>
      <c r="G11" s="176" t="s">
        <v>916</v>
      </c>
      <c r="H11" s="176" t="s">
        <v>916</v>
      </c>
      <c r="I11" s="176" t="s">
        <v>916</v>
      </c>
      <c r="J11" s="176" t="s">
        <v>916</v>
      </c>
      <c r="K11" s="181"/>
      <c r="L11" s="181"/>
      <c r="M11" s="181"/>
    </row>
    <row r="12" spans="1:14" x14ac:dyDescent="0.2">
      <c r="A12" s="174">
        <v>3</v>
      </c>
      <c r="B12" s="175" t="s">
        <v>799</v>
      </c>
      <c r="C12" s="144">
        <v>13913.742249999996</v>
      </c>
      <c r="D12" s="144">
        <v>613736.83739374997</v>
      </c>
      <c r="E12" s="176">
        <v>1064.1997500000004</v>
      </c>
      <c r="F12" s="176">
        <v>47305.372193750001</v>
      </c>
      <c r="G12" s="144">
        <v>916.25874999999996</v>
      </c>
      <c r="H12" s="144">
        <v>41206.342355000008</v>
      </c>
      <c r="I12" s="182">
        <v>918.33925000000011</v>
      </c>
      <c r="J12" s="176">
        <v>41177.238276250013</v>
      </c>
      <c r="K12" s="181"/>
      <c r="L12" s="181"/>
      <c r="M12" s="181"/>
      <c r="N12" s="181"/>
    </row>
    <row r="13" spans="1:14" x14ac:dyDescent="0.2">
      <c r="A13" s="174">
        <v>4</v>
      </c>
      <c r="B13" s="175" t="s">
        <v>800</v>
      </c>
      <c r="C13" s="144">
        <v>26749.248000000007</v>
      </c>
      <c r="D13" s="144">
        <v>398326.14372499951</v>
      </c>
      <c r="E13" s="176">
        <v>2258.3339999999998</v>
      </c>
      <c r="F13" s="176">
        <v>35185.950374999993</v>
      </c>
      <c r="G13" s="144">
        <v>1859.9850000000001</v>
      </c>
      <c r="H13" s="144">
        <v>27457.07663</v>
      </c>
      <c r="I13" s="182">
        <v>2149.9320000000002</v>
      </c>
      <c r="J13" s="176">
        <v>30822.333825000002</v>
      </c>
      <c r="K13" s="186"/>
      <c r="L13" s="186"/>
      <c r="M13" s="186"/>
      <c r="N13" s="186"/>
    </row>
    <row r="14" spans="1:14" x14ac:dyDescent="0.2">
      <c r="A14" s="174">
        <v>5</v>
      </c>
      <c r="B14" s="175" t="s">
        <v>801</v>
      </c>
      <c r="C14" s="144">
        <v>3473.5613000000012</v>
      </c>
      <c r="D14" s="144">
        <v>317497.61029099993</v>
      </c>
      <c r="E14" s="176">
        <v>322.63160000000011</v>
      </c>
      <c r="F14" s="176">
        <v>28144.753319500007</v>
      </c>
      <c r="G14" s="144">
        <v>277.13889999999992</v>
      </c>
      <c r="H14" s="144">
        <v>25105.842800999995</v>
      </c>
      <c r="I14" s="182">
        <v>289.28560000000004</v>
      </c>
      <c r="J14" s="176">
        <v>26408.500119000004</v>
      </c>
      <c r="K14" s="181"/>
      <c r="L14" s="181"/>
      <c r="M14" s="181"/>
      <c r="N14" s="181"/>
    </row>
    <row r="15" spans="1:14" x14ac:dyDescent="0.2">
      <c r="A15" s="174">
        <v>6</v>
      </c>
      <c r="B15" s="175" t="s">
        <v>802</v>
      </c>
      <c r="C15" s="144">
        <v>47876.062000000005</v>
      </c>
      <c r="D15" s="144">
        <v>911238.23041499942</v>
      </c>
      <c r="E15" s="176">
        <v>3703.052000000001</v>
      </c>
      <c r="F15" s="176">
        <v>78803.464330000003</v>
      </c>
      <c r="G15" s="144">
        <v>3931.2759999999998</v>
      </c>
      <c r="H15" s="144">
        <v>75896.569329999998</v>
      </c>
      <c r="I15" s="182">
        <v>4362.8379999999997</v>
      </c>
      <c r="J15" s="176">
        <v>86539.207739999983</v>
      </c>
      <c r="K15" s="181"/>
      <c r="L15" s="181"/>
      <c r="M15" s="186"/>
      <c r="N15" s="186"/>
    </row>
    <row r="16" spans="1:14" x14ac:dyDescent="0.2">
      <c r="A16" s="174"/>
      <c r="B16" s="183" t="s">
        <v>961</v>
      </c>
      <c r="C16" s="184">
        <f>SUM(C10:C15)</f>
        <v>111474.84255000003</v>
      </c>
      <c r="D16" s="184">
        <f t="shared" ref="D16:J16" si="1">SUM(D10:D15)</f>
        <v>2525601.2266747486</v>
      </c>
      <c r="E16" s="184">
        <f t="shared" si="1"/>
        <v>8714.9783500000012</v>
      </c>
      <c r="F16" s="184">
        <f t="shared" si="1"/>
        <v>208026.48023824999</v>
      </c>
      <c r="G16" s="184">
        <f t="shared" si="1"/>
        <v>8148.5166499999996</v>
      </c>
      <c r="H16" s="184">
        <f t="shared" si="1"/>
        <v>185353.34365599998</v>
      </c>
      <c r="I16" s="184">
        <f t="shared" si="1"/>
        <v>8600.3808500000014</v>
      </c>
      <c r="J16" s="184">
        <f t="shared" si="1"/>
        <v>197172.79206025001</v>
      </c>
      <c r="K16" s="181"/>
      <c r="L16" s="181"/>
      <c r="M16" s="181"/>
    </row>
    <row r="17" spans="1:13" ht="15" customHeight="1" x14ac:dyDescent="0.2">
      <c r="A17" s="185" t="s">
        <v>962</v>
      </c>
      <c r="B17" s="536" t="s">
        <v>963</v>
      </c>
      <c r="C17" s="537"/>
      <c r="D17" s="537"/>
      <c r="E17" s="537"/>
      <c r="F17" s="537"/>
      <c r="G17" s="537"/>
      <c r="H17" s="537"/>
      <c r="I17" s="537"/>
      <c r="J17" s="538"/>
      <c r="K17" s="181"/>
      <c r="L17" s="181"/>
      <c r="M17" s="181"/>
    </row>
    <row r="18" spans="1:13" x14ac:dyDescent="0.2">
      <c r="A18" s="174">
        <v>1</v>
      </c>
      <c r="B18" s="175" t="s">
        <v>803</v>
      </c>
      <c r="C18" s="187">
        <v>1.553699999999999</v>
      </c>
      <c r="D18" s="144">
        <v>194.12549199999989</v>
      </c>
      <c r="E18" s="177">
        <v>0.25459999999999994</v>
      </c>
      <c r="F18" s="176">
        <v>28.020814000000001</v>
      </c>
      <c r="G18" s="187">
        <v>8.0200000000000007E-2</v>
      </c>
      <c r="H18" s="144">
        <v>12.131378000000002</v>
      </c>
      <c r="I18" s="188">
        <v>5.6000000000000008E-2</v>
      </c>
      <c r="J18" s="176">
        <v>8.7345030000000001</v>
      </c>
      <c r="K18" s="181"/>
      <c r="L18" s="181"/>
      <c r="M18" s="181"/>
    </row>
    <row r="19" spans="1:13" x14ac:dyDescent="0.2">
      <c r="A19" s="174">
        <v>2</v>
      </c>
      <c r="B19" s="175" t="s">
        <v>805</v>
      </c>
      <c r="C19" s="144">
        <v>3569.0947499999993</v>
      </c>
      <c r="D19" s="144">
        <v>45583.622975000013</v>
      </c>
      <c r="E19" s="176">
        <v>349.91525000000001</v>
      </c>
      <c r="F19" s="176">
        <v>4234.7416750000011</v>
      </c>
      <c r="G19" s="144">
        <v>369.74575000000004</v>
      </c>
      <c r="H19" s="144">
        <v>4453.7328500000003</v>
      </c>
      <c r="I19" s="182">
        <v>519.16724999999997</v>
      </c>
      <c r="J19" s="176">
        <v>6505.6240250000001</v>
      </c>
      <c r="K19" s="181"/>
      <c r="L19" s="181"/>
      <c r="M19" s="181"/>
    </row>
    <row r="20" spans="1:13" x14ac:dyDescent="0.2">
      <c r="A20" s="174">
        <v>3</v>
      </c>
      <c r="B20" s="175" t="s">
        <v>806</v>
      </c>
      <c r="C20" s="144">
        <v>5955.3399999999992</v>
      </c>
      <c r="D20" s="144">
        <v>34624.551729999992</v>
      </c>
      <c r="E20" s="176">
        <v>558.65999999999985</v>
      </c>
      <c r="F20" s="176">
        <v>3590.3406399999994</v>
      </c>
      <c r="G20" s="144">
        <v>415.23</v>
      </c>
      <c r="H20" s="144">
        <v>2346.3264199999999</v>
      </c>
      <c r="I20" s="182">
        <v>411.07000000000005</v>
      </c>
      <c r="J20" s="176">
        <v>2183.0701099999997</v>
      </c>
      <c r="K20" s="181"/>
      <c r="L20" s="181"/>
      <c r="M20" s="181"/>
    </row>
    <row r="21" spans="1:13" ht="12" customHeight="1" x14ac:dyDescent="0.2">
      <c r="A21" s="174">
        <v>4</v>
      </c>
      <c r="B21" s="175" t="s">
        <v>807</v>
      </c>
      <c r="C21" s="144">
        <v>136.01124000000002</v>
      </c>
      <c r="D21" s="144">
        <v>20829.680650799997</v>
      </c>
      <c r="E21" s="176">
        <v>14.850360000000004</v>
      </c>
      <c r="F21" s="176">
        <v>1827.3570048000001</v>
      </c>
      <c r="G21" s="144">
        <v>7.7943599999999984</v>
      </c>
      <c r="H21" s="144">
        <v>1252.3420692</v>
      </c>
      <c r="I21" s="182">
        <v>6.2139599999999993</v>
      </c>
      <c r="J21" s="176">
        <v>1009.2882132000002</v>
      </c>
      <c r="K21" s="181"/>
      <c r="L21" s="181"/>
      <c r="M21" s="181"/>
    </row>
    <row r="22" spans="1:13" x14ac:dyDescent="0.2">
      <c r="A22" s="174">
        <v>5</v>
      </c>
      <c r="B22" s="175" t="s">
        <v>808</v>
      </c>
      <c r="C22" s="176">
        <v>5.3000000000000019E-2</v>
      </c>
      <c r="D22" s="176">
        <v>0.69221999999999984</v>
      </c>
      <c r="E22" s="176" t="s">
        <v>916</v>
      </c>
      <c r="F22" s="176" t="s">
        <v>916</v>
      </c>
      <c r="G22" s="176" t="s">
        <v>916</v>
      </c>
      <c r="H22" s="176" t="s">
        <v>916</v>
      </c>
      <c r="I22" s="176" t="s">
        <v>916</v>
      </c>
      <c r="J22" s="176" t="s">
        <v>916</v>
      </c>
      <c r="K22" s="181"/>
      <c r="L22" s="181"/>
      <c r="M22" s="181"/>
    </row>
    <row r="23" spans="1:13" ht="13.5" customHeight="1" x14ac:dyDescent="0.2">
      <c r="A23" s="174"/>
      <c r="B23" s="183" t="s">
        <v>964</v>
      </c>
      <c r="C23" s="184">
        <f t="shared" ref="C23:J23" si="2">SUM(C18:C22)</f>
        <v>9662.0526899999986</v>
      </c>
      <c r="D23" s="184">
        <f t="shared" si="2"/>
        <v>101232.6730678</v>
      </c>
      <c r="E23" s="184">
        <f t="shared" si="2"/>
        <v>923.68020999999987</v>
      </c>
      <c r="F23" s="184">
        <f t="shared" si="2"/>
        <v>9680.4601338000011</v>
      </c>
      <c r="G23" s="184">
        <f t="shared" si="2"/>
        <v>792.85031000000004</v>
      </c>
      <c r="H23" s="184">
        <f t="shared" si="2"/>
        <v>8064.5327171999998</v>
      </c>
      <c r="I23" s="184">
        <f t="shared" si="2"/>
        <v>936.5072100000001</v>
      </c>
      <c r="J23" s="184">
        <f t="shared" si="2"/>
        <v>9706.7168511999989</v>
      </c>
      <c r="K23" s="181"/>
      <c r="L23" s="181"/>
      <c r="M23" s="181"/>
    </row>
    <row r="24" spans="1:13" x14ac:dyDescent="0.2">
      <c r="A24" s="185" t="s">
        <v>965</v>
      </c>
      <c r="B24" s="536" t="s">
        <v>775</v>
      </c>
      <c r="C24" s="537"/>
      <c r="D24" s="537"/>
      <c r="E24" s="537"/>
      <c r="F24" s="537"/>
      <c r="G24" s="537"/>
      <c r="H24" s="537"/>
      <c r="I24" s="537"/>
      <c r="J24" s="538"/>
      <c r="K24" s="181"/>
      <c r="L24" s="181" t="s">
        <v>903</v>
      </c>
      <c r="M24" s="181"/>
    </row>
    <row r="25" spans="1:13" x14ac:dyDescent="0.2">
      <c r="A25" s="174">
        <v>1</v>
      </c>
      <c r="B25" s="175" t="s">
        <v>809</v>
      </c>
      <c r="C25" s="144">
        <v>671698.23484194418</v>
      </c>
      <c r="D25" s="144">
        <v>2099425.0443309988</v>
      </c>
      <c r="E25" s="176">
        <v>54084.153580945989</v>
      </c>
      <c r="F25" s="176">
        <v>161479.91234799995</v>
      </c>
      <c r="G25" s="144">
        <v>69132.380265721004</v>
      </c>
      <c r="H25" s="144">
        <v>198392.75837399997</v>
      </c>
      <c r="I25" s="182">
        <v>68525.5139540565</v>
      </c>
      <c r="J25" s="176">
        <v>203182.74584300004</v>
      </c>
      <c r="K25" s="181"/>
      <c r="L25" s="181"/>
      <c r="M25" s="181"/>
    </row>
    <row r="26" spans="1:13" ht="25.5" x14ac:dyDescent="0.2">
      <c r="A26" s="174">
        <v>2</v>
      </c>
      <c r="B26" s="175" t="s">
        <v>810</v>
      </c>
      <c r="C26" s="189">
        <v>14960.62</v>
      </c>
      <c r="D26" s="189">
        <v>351352.06626250007</v>
      </c>
      <c r="E26" s="190">
        <v>1046.10625</v>
      </c>
      <c r="F26" s="190">
        <v>18469.902599999998</v>
      </c>
      <c r="G26" s="189">
        <v>891.56500000000005</v>
      </c>
      <c r="H26" s="189">
        <v>17076.616612500002</v>
      </c>
      <c r="I26" s="191">
        <v>794.37374999999997</v>
      </c>
      <c r="J26" s="190">
        <v>15552.202312500001</v>
      </c>
      <c r="K26" s="181"/>
      <c r="L26" s="181"/>
      <c r="M26" s="181"/>
    </row>
    <row r="27" spans="1:13" x14ac:dyDescent="0.2">
      <c r="A27" s="185"/>
      <c r="B27" s="183" t="s">
        <v>966</v>
      </c>
      <c r="C27" s="114">
        <f>C25</f>
        <v>671698.23484194418</v>
      </c>
      <c r="D27" s="114">
        <f>SUM(D25:D26)</f>
        <v>2450777.1105934987</v>
      </c>
      <c r="E27" s="114">
        <f>E25</f>
        <v>54084.153580945989</v>
      </c>
      <c r="F27" s="114">
        <f>SUM(F25:F26)</f>
        <v>179949.81494799996</v>
      </c>
      <c r="G27" s="114">
        <f>G25</f>
        <v>69132.380265721004</v>
      </c>
      <c r="H27" s="114">
        <f>SUM(H25:H26)</f>
        <v>215469.37498649996</v>
      </c>
      <c r="I27" s="114">
        <f>I25</f>
        <v>68525.5139540565</v>
      </c>
      <c r="J27" s="114">
        <f>SUM(J25:J26)</f>
        <v>218734.94815550005</v>
      </c>
      <c r="K27" s="181" t="s">
        <v>903</v>
      </c>
      <c r="L27" s="181"/>
      <c r="M27" s="181"/>
    </row>
    <row r="28" spans="1:13" ht="15" customHeight="1" x14ac:dyDescent="0.2">
      <c r="A28" s="539" t="s">
        <v>811</v>
      </c>
      <c r="B28" s="539"/>
      <c r="C28" s="114">
        <f>C27+C23+C16+C8</f>
        <v>793003.78435987234</v>
      </c>
      <c r="D28" s="114">
        <f>D27+D23+D16+D8</f>
        <v>6591428.2896354478</v>
      </c>
      <c r="E28" s="114">
        <f>E27+E23+E16+E8</f>
        <v>63735.336898243986</v>
      </c>
      <c r="F28" s="114">
        <f>F27+F23+F16+F8</f>
        <v>512014.30629094993</v>
      </c>
      <c r="G28" s="114">
        <f>SUM(G8+G16+G23+G27)</f>
        <v>78086.564283544998</v>
      </c>
      <c r="H28" s="114">
        <f>H27+H23+H16+H8</f>
        <v>540454.37525419996</v>
      </c>
      <c r="I28" s="114">
        <f>I27+I23+I16+I8</f>
        <v>78075.480165673493</v>
      </c>
      <c r="J28" s="114">
        <f>J27+J23+J16+J8</f>
        <v>577468.07168415003</v>
      </c>
      <c r="K28" s="192"/>
    </row>
    <row r="29" spans="1:13" ht="15" customHeight="1" x14ac:dyDescent="0.2">
      <c r="A29" s="527" t="s">
        <v>771</v>
      </c>
      <c r="B29" s="527"/>
      <c r="C29" s="527"/>
      <c r="D29" s="527"/>
      <c r="E29" s="527"/>
      <c r="F29" s="527"/>
      <c r="G29" s="527"/>
      <c r="H29" s="527"/>
      <c r="I29" s="527"/>
      <c r="J29" s="527"/>
      <c r="K29" s="171" t="s">
        <v>903</v>
      </c>
    </row>
    <row r="30" spans="1:13" ht="15" customHeight="1" x14ac:dyDescent="0.2">
      <c r="A30" s="193" t="s">
        <v>829</v>
      </c>
      <c r="B30" s="528" t="s">
        <v>777</v>
      </c>
      <c r="C30" s="529"/>
      <c r="D30" s="529"/>
      <c r="E30" s="529"/>
      <c r="F30" s="529"/>
      <c r="G30" s="529"/>
      <c r="H30" s="529"/>
      <c r="I30" s="529"/>
      <c r="J30" s="530"/>
      <c r="L30" s="171" t="s">
        <v>903</v>
      </c>
    </row>
    <row r="31" spans="1:13" ht="15" customHeight="1" x14ac:dyDescent="0.2">
      <c r="A31" s="194">
        <v>1</v>
      </c>
      <c r="B31" s="195" t="s">
        <v>795</v>
      </c>
      <c r="C31" s="187">
        <v>0.41218099999999974</v>
      </c>
      <c r="D31" s="187">
        <v>128516.87086500002</v>
      </c>
      <c r="E31" s="196">
        <v>2.3019999999999998E-3</v>
      </c>
      <c r="F31" s="196">
        <v>703.92821500000002</v>
      </c>
      <c r="G31" s="187">
        <v>1.2076999999999996E-2</v>
      </c>
      <c r="H31" s="187">
        <v>4041.4791300000006</v>
      </c>
      <c r="I31" s="187">
        <v>2.3273000000000002E-2</v>
      </c>
      <c r="J31" s="187">
        <v>7579.6182550000003</v>
      </c>
      <c r="K31" s="181"/>
    </row>
    <row r="32" spans="1:13" ht="15" customHeight="1" x14ac:dyDescent="0.2">
      <c r="A32" s="194">
        <v>2</v>
      </c>
      <c r="B32" s="195" t="s">
        <v>796</v>
      </c>
      <c r="C32" s="187">
        <v>1.8217199999999989</v>
      </c>
      <c r="D32" s="187">
        <v>7183.2211979999993</v>
      </c>
      <c r="E32" s="197">
        <v>0</v>
      </c>
      <c r="F32" s="197">
        <v>0</v>
      </c>
      <c r="G32" s="196">
        <v>0.19755</v>
      </c>
      <c r="H32" s="196">
        <v>799.65968250000003</v>
      </c>
      <c r="I32" s="187">
        <v>0.1779</v>
      </c>
      <c r="J32" s="187">
        <v>704.21693400000004</v>
      </c>
    </row>
    <row r="33" spans="1:10" ht="15" customHeight="1" x14ac:dyDescent="0.2">
      <c r="A33" s="198"/>
      <c r="B33" s="199" t="s">
        <v>967</v>
      </c>
      <c r="C33" s="200">
        <f>SUM(C31:C32)</f>
        <v>2.2339009999999986</v>
      </c>
      <c r="D33" s="200">
        <f t="shared" ref="D33:J33" si="3">SUM(D31:D32)</f>
        <v>135700.09206300002</v>
      </c>
      <c r="E33" s="200">
        <f t="shared" si="3"/>
        <v>2.3019999999999998E-3</v>
      </c>
      <c r="F33" s="200">
        <f t="shared" si="3"/>
        <v>703.92821500000002</v>
      </c>
      <c r="G33" s="200">
        <f t="shared" si="3"/>
        <v>0.20962700000000001</v>
      </c>
      <c r="H33" s="200">
        <f t="shared" si="3"/>
        <v>4841.1388125000003</v>
      </c>
      <c r="I33" s="200">
        <f t="shared" si="3"/>
        <v>0.20117299999999999</v>
      </c>
      <c r="J33" s="200">
        <f t="shared" si="3"/>
        <v>8283.8351890000013</v>
      </c>
    </row>
    <row r="34" spans="1:10" ht="15" customHeight="1" x14ac:dyDescent="0.2">
      <c r="A34" s="198" t="s">
        <v>968</v>
      </c>
      <c r="B34" s="531" t="s">
        <v>969</v>
      </c>
      <c r="C34" s="532"/>
      <c r="D34" s="532"/>
      <c r="E34" s="532"/>
      <c r="F34" s="532"/>
      <c r="G34" s="532"/>
      <c r="H34" s="532"/>
      <c r="I34" s="532"/>
      <c r="J34" s="533"/>
    </row>
    <row r="35" spans="1:10" ht="15" customHeight="1" x14ac:dyDescent="0.2">
      <c r="A35" s="194">
        <v>1</v>
      </c>
      <c r="B35" s="201" t="s">
        <v>799</v>
      </c>
      <c r="C35" s="187">
        <v>106.10100000000004</v>
      </c>
      <c r="D35" s="187">
        <v>4790.470080000001</v>
      </c>
      <c r="E35" s="197">
        <v>0</v>
      </c>
      <c r="F35" s="197">
        <v>0</v>
      </c>
      <c r="G35" s="196">
        <v>10.95</v>
      </c>
      <c r="H35" s="196">
        <v>492.16833700000001</v>
      </c>
      <c r="I35" s="187">
        <v>5.3559999999999999</v>
      </c>
      <c r="J35" s="187">
        <v>244.78430700000001</v>
      </c>
    </row>
    <row r="36" spans="1:10" ht="15" customHeight="1" x14ac:dyDescent="0.2">
      <c r="A36" s="194">
        <v>2</v>
      </c>
      <c r="B36" s="201" t="s">
        <v>802</v>
      </c>
      <c r="C36" s="187">
        <v>87.800000000000011</v>
      </c>
      <c r="D36" s="187">
        <v>1702.2167699999989</v>
      </c>
      <c r="E36" s="197">
        <v>0</v>
      </c>
      <c r="F36" s="197">
        <v>0</v>
      </c>
      <c r="G36" s="196">
        <v>10.029999999999999</v>
      </c>
      <c r="H36" s="196">
        <v>195.84142000000003</v>
      </c>
      <c r="I36" s="187">
        <v>20.935000000000002</v>
      </c>
      <c r="J36" s="187">
        <v>419.66460000000001</v>
      </c>
    </row>
    <row r="37" spans="1:10" ht="15" customHeight="1" x14ac:dyDescent="0.2">
      <c r="A37" s="194"/>
      <c r="B37" s="199" t="s">
        <v>970</v>
      </c>
      <c r="C37" s="200">
        <f>SUM(C35:C36)</f>
        <v>193.90100000000007</v>
      </c>
      <c r="D37" s="200">
        <f>SUM(D35:D36)</f>
        <v>6492.68685</v>
      </c>
      <c r="E37" s="197">
        <v>0</v>
      </c>
      <c r="F37" s="197">
        <v>0</v>
      </c>
      <c r="G37" s="202">
        <f>SUM(G35:G36)</f>
        <v>20.979999999999997</v>
      </c>
      <c r="H37" s="202">
        <f>SUM(H35:H36)</f>
        <v>688.00975700000004</v>
      </c>
      <c r="I37" s="200">
        <f>SUM(I35:I36)</f>
        <v>26.291000000000004</v>
      </c>
      <c r="J37" s="200">
        <f>SUM(J35:J36)</f>
        <v>664.44890699999996</v>
      </c>
    </row>
    <row r="38" spans="1:10" ht="15" customHeight="1" x14ac:dyDescent="0.2">
      <c r="A38" s="198" t="s">
        <v>971</v>
      </c>
      <c r="B38" s="531" t="s">
        <v>775</v>
      </c>
      <c r="C38" s="532"/>
      <c r="D38" s="532"/>
      <c r="E38" s="532"/>
      <c r="F38" s="532"/>
      <c r="G38" s="532"/>
      <c r="H38" s="532"/>
      <c r="I38" s="532"/>
      <c r="J38" s="533"/>
    </row>
    <row r="39" spans="1:10" ht="15" customHeight="1" x14ac:dyDescent="0.2">
      <c r="A39" s="194">
        <v>1</v>
      </c>
      <c r="B39" s="201" t="s">
        <v>809</v>
      </c>
      <c r="C39" s="187">
        <v>12263.997449315004</v>
      </c>
      <c r="D39" s="187">
        <v>38751.731319999977</v>
      </c>
      <c r="E39" s="197">
        <v>0</v>
      </c>
      <c r="F39" s="197">
        <v>0</v>
      </c>
      <c r="G39" s="196">
        <v>1300.5184363199999</v>
      </c>
      <c r="H39" s="196">
        <v>3762.1566129999997</v>
      </c>
      <c r="I39" s="187">
        <v>1243.260591015</v>
      </c>
      <c r="J39" s="187">
        <v>3702.7328409999996</v>
      </c>
    </row>
    <row r="40" spans="1:10" ht="15" customHeight="1" x14ac:dyDescent="0.2">
      <c r="A40" s="534" t="s">
        <v>972</v>
      </c>
      <c r="B40" s="534"/>
      <c r="C40" s="200">
        <f t="shared" ref="C40:J40" si="4">SUM(C33+C37+C39)</f>
        <v>12460.132350315003</v>
      </c>
      <c r="D40" s="200">
        <f>SUM(D33+D37+D39)</f>
        <v>180944.51023299998</v>
      </c>
      <c r="E40" s="200">
        <f>SUM(E33)</f>
        <v>2.3019999999999998E-3</v>
      </c>
      <c r="F40" s="200">
        <f>SUM(F33)</f>
        <v>703.92821500000002</v>
      </c>
      <c r="G40" s="200">
        <f t="shared" si="4"/>
        <v>1321.7080633199998</v>
      </c>
      <c r="H40" s="200">
        <f t="shared" si="4"/>
        <v>9291.3051825000002</v>
      </c>
      <c r="I40" s="200">
        <f t="shared" si="4"/>
        <v>1269.7527640150001</v>
      </c>
      <c r="J40" s="200">
        <f t="shared" si="4"/>
        <v>12651.016937</v>
      </c>
    </row>
    <row r="41" spans="1:10" x14ac:dyDescent="0.2">
      <c r="A41" s="203" t="str">
        <f>'66'!A18</f>
        <v>$ indicates as on March 29, 2019</v>
      </c>
      <c r="B41" s="204"/>
      <c r="E41" s="171"/>
      <c r="F41" s="171"/>
      <c r="I41" s="171"/>
      <c r="J41" s="205"/>
    </row>
    <row r="42" spans="1:10" x14ac:dyDescent="0.2">
      <c r="A42" s="171" t="s">
        <v>973</v>
      </c>
      <c r="E42" s="171"/>
      <c r="F42" s="171"/>
      <c r="I42" s="171"/>
      <c r="J42" s="171"/>
    </row>
    <row r="43" spans="1:10" x14ac:dyDescent="0.2">
      <c r="A43" s="171" t="s">
        <v>974</v>
      </c>
      <c r="E43" s="171"/>
      <c r="F43" s="171" t="s">
        <v>903</v>
      </c>
      <c r="G43" s="192"/>
      <c r="I43" s="171"/>
      <c r="J43" s="171"/>
    </row>
    <row r="44" spans="1:10" x14ac:dyDescent="0.2">
      <c r="A44" s="535" t="s">
        <v>975</v>
      </c>
      <c r="B44" s="535"/>
      <c r="C44" s="535"/>
      <c r="D44" s="535"/>
      <c r="E44" s="535"/>
      <c r="F44" s="535"/>
      <c r="G44" s="535"/>
      <c r="H44" s="535"/>
      <c r="I44" s="535"/>
      <c r="J44" s="171"/>
    </row>
    <row r="45" spans="1:10" x14ac:dyDescent="0.2">
      <c r="A45" s="136" t="s">
        <v>812</v>
      </c>
      <c r="E45" s="206"/>
      <c r="F45" s="206"/>
      <c r="I45" s="181"/>
      <c r="J45" s="171"/>
    </row>
    <row r="46" spans="1:10" x14ac:dyDescent="0.2">
      <c r="C46" s="192"/>
      <c r="D46" s="192"/>
      <c r="E46" s="192"/>
      <c r="F46" s="171"/>
      <c r="G46" s="192"/>
      <c r="H46" s="192"/>
      <c r="I46" s="192"/>
      <c r="J46" s="192"/>
    </row>
    <row r="47" spans="1:10" x14ac:dyDescent="0.2">
      <c r="E47" s="206"/>
      <c r="F47" s="206"/>
      <c r="I47" s="171"/>
      <c r="J47" s="171"/>
    </row>
    <row r="48" spans="1:10" x14ac:dyDescent="0.2">
      <c r="E48" s="206"/>
      <c r="F48" s="206"/>
      <c r="I48" s="171"/>
      <c r="J48" s="171"/>
    </row>
    <row r="49" spans="5:10" x14ac:dyDescent="0.2">
      <c r="E49" s="206"/>
      <c r="F49" s="206"/>
      <c r="I49" s="171"/>
      <c r="J49" s="171"/>
    </row>
    <row r="50" spans="5:10" x14ac:dyDescent="0.2">
      <c r="E50" s="206"/>
      <c r="F50" s="206"/>
      <c r="H50" s="207"/>
      <c r="I50" s="171"/>
      <c r="J50" s="171"/>
    </row>
    <row r="51" spans="5:10" x14ac:dyDescent="0.2">
      <c r="E51" s="206"/>
      <c r="F51" s="206"/>
      <c r="I51" s="171"/>
      <c r="J51" s="171"/>
    </row>
    <row r="52" spans="5:10" x14ac:dyDescent="0.2">
      <c r="E52" s="206"/>
      <c r="F52" s="206"/>
      <c r="I52" s="171"/>
      <c r="J52" s="171"/>
    </row>
    <row r="53" spans="5:10" x14ac:dyDescent="0.2">
      <c r="E53" s="206"/>
      <c r="F53" s="206"/>
      <c r="I53" s="208"/>
      <c r="J53" s="206"/>
    </row>
    <row r="54" spans="5:10" x14ac:dyDescent="0.2">
      <c r="E54" s="206"/>
      <c r="F54" s="206"/>
      <c r="I54" s="208"/>
      <c r="J54" s="206"/>
    </row>
    <row r="55" spans="5:10" x14ac:dyDescent="0.2">
      <c r="E55" s="206"/>
      <c r="F55" s="206"/>
      <c r="I55" s="208"/>
      <c r="J55" s="206"/>
    </row>
    <row r="56" spans="5:10" x14ac:dyDescent="0.2">
      <c r="E56" s="206"/>
      <c r="F56" s="206"/>
      <c r="I56" s="208"/>
      <c r="J56" s="206"/>
    </row>
    <row r="57" spans="5:10" x14ac:dyDescent="0.2">
      <c r="E57" s="206"/>
      <c r="F57" s="206"/>
      <c r="I57" s="208"/>
      <c r="J57" s="206"/>
    </row>
    <row r="58" spans="5:10" x14ac:dyDescent="0.2">
      <c r="E58" s="206"/>
      <c r="F58" s="206"/>
      <c r="I58" s="208"/>
      <c r="J58" s="206"/>
    </row>
    <row r="59" spans="5:10" x14ac:dyDescent="0.2">
      <c r="E59" s="206"/>
      <c r="F59" s="206"/>
      <c r="I59" s="208"/>
      <c r="J59" s="206"/>
    </row>
    <row r="60" spans="5:10" x14ac:dyDescent="0.2">
      <c r="E60" s="206"/>
      <c r="F60" s="206"/>
      <c r="I60" s="208"/>
      <c r="J60" s="206"/>
    </row>
    <row r="61" spans="5:10" x14ac:dyDescent="0.2">
      <c r="E61" s="206"/>
      <c r="F61" s="206"/>
      <c r="I61" s="206"/>
      <c r="J61" s="206"/>
    </row>
    <row r="62" spans="5:10" x14ac:dyDescent="0.2">
      <c r="E62" s="206"/>
      <c r="F62" s="206"/>
      <c r="I62" s="206"/>
      <c r="J62" s="206"/>
    </row>
    <row r="63" spans="5:10" x14ac:dyDescent="0.2">
      <c r="E63" s="206"/>
      <c r="F63" s="206"/>
      <c r="I63" s="206"/>
      <c r="J63" s="206"/>
    </row>
    <row r="64" spans="5:10" x14ac:dyDescent="0.2">
      <c r="E64" s="206"/>
      <c r="F64" s="206"/>
      <c r="I64" s="206"/>
      <c r="J64" s="206"/>
    </row>
    <row r="65" spans="5:10" x14ac:dyDescent="0.2">
      <c r="E65" s="206"/>
      <c r="F65" s="206"/>
      <c r="I65" s="206"/>
      <c r="J65" s="206"/>
    </row>
    <row r="66" spans="5:10" x14ac:dyDescent="0.2">
      <c r="E66" s="206"/>
      <c r="F66" s="206"/>
      <c r="I66" s="206"/>
      <c r="J66" s="206"/>
    </row>
    <row r="67" spans="5:10" x14ac:dyDescent="0.2">
      <c r="E67" s="206"/>
      <c r="F67" s="206"/>
      <c r="I67" s="206"/>
      <c r="J67" s="206"/>
    </row>
    <row r="68" spans="5:10" x14ac:dyDescent="0.2">
      <c r="E68" s="206"/>
      <c r="F68" s="206"/>
      <c r="I68" s="206"/>
      <c r="J68" s="206"/>
    </row>
    <row r="69" spans="5:10" x14ac:dyDescent="0.2">
      <c r="E69" s="206"/>
      <c r="F69" s="206"/>
      <c r="I69" s="206"/>
      <c r="J69" s="206"/>
    </row>
    <row r="70" spans="5:10" x14ac:dyDescent="0.2">
      <c r="E70" s="206"/>
      <c r="F70" s="206"/>
      <c r="I70" s="206"/>
      <c r="J70" s="206"/>
    </row>
    <row r="71" spans="5:10" x14ac:dyDescent="0.2">
      <c r="E71" s="206"/>
      <c r="F71" s="206"/>
      <c r="I71" s="206"/>
      <c r="J71" s="206"/>
    </row>
    <row r="72" spans="5:10" x14ac:dyDescent="0.2">
      <c r="E72" s="206"/>
      <c r="F72" s="206"/>
      <c r="I72" s="206"/>
      <c r="J72" s="206"/>
    </row>
    <row r="73" spans="5:10" x14ac:dyDescent="0.2">
      <c r="E73" s="206"/>
      <c r="F73" s="206"/>
      <c r="I73" s="206"/>
      <c r="J73" s="206"/>
    </row>
    <row r="74" spans="5:10" x14ac:dyDescent="0.2">
      <c r="E74" s="206"/>
      <c r="F74" s="206"/>
      <c r="I74" s="206"/>
      <c r="J74" s="206"/>
    </row>
    <row r="75" spans="5:10" x14ac:dyDescent="0.2">
      <c r="E75" s="206"/>
      <c r="F75" s="206"/>
      <c r="I75" s="206"/>
      <c r="J75" s="206"/>
    </row>
    <row r="76" spans="5:10" x14ac:dyDescent="0.2">
      <c r="E76" s="206"/>
      <c r="F76" s="206"/>
      <c r="I76" s="206"/>
      <c r="J76" s="206"/>
    </row>
    <row r="77" spans="5:10" x14ac:dyDescent="0.2">
      <c r="E77" s="206"/>
      <c r="F77" s="206"/>
      <c r="I77" s="206"/>
      <c r="J77" s="206"/>
    </row>
    <row r="78" spans="5:10" x14ac:dyDescent="0.2">
      <c r="E78" s="206"/>
      <c r="F78" s="206"/>
      <c r="I78" s="206"/>
      <c r="J78" s="206"/>
    </row>
    <row r="79" spans="5:10" x14ac:dyDescent="0.2">
      <c r="E79" s="206"/>
      <c r="F79" s="206"/>
      <c r="I79" s="206"/>
      <c r="J79" s="206"/>
    </row>
    <row r="80" spans="5:10" x14ac:dyDescent="0.2">
      <c r="E80" s="206"/>
      <c r="F80" s="206"/>
      <c r="I80" s="206"/>
      <c r="J80" s="206"/>
    </row>
    <row r="81" spans="5:10" x14ac:dyDescent="0.2">
      <c r="E81" s="206"/>
      <c r="F81" s="206"/>
      <c r="I81" s="206"/>
      <c r="J81" s="206"/>
    </row>
    <row r="82" spans="5:10" x14ac:dyDescent="0.2">
      <c r="E82" s="206"/>
      <c r="F82" s="206"/>
      <c r="I82" s="206"/>
      <c r="J82" s="206"/>
    </row>
    <row r="83" spans="5:10" x14ac:dyDescent="0.2">
      <c r="E83" s="206"/>
      <c r="F83" s="206"/>
      <c r="I83" s="206"/>
      <c r="J83" s="206"/>
    </row>
    <row r="84" spans="5:10" x14ac:dyDescent="0.2">
      <c r="E84" s="206"/>
      <c r="F84" s="206"/>
      <c r="I84" s="206"/>
      <c r="J84" s="206"/>
    </row>
    <row r="85" spans="5:10" x14ac:dyDescent="0.2">
      <c r="E85" s="206"/>
      <c r="F85" s="206"/>
      <c r="I85" s="206"/>
      <c r="J85" s="206"/>
    </row>
    <row r="86" spans="5:10" x14ac:dyDescent="0.2">
      <c r="E86" s="206"/>
      <c r="F86" s="206"/>
      <c r="I86" s="206"/>
      <c r="J86" s="206"/>
    </row>
    <row r="87" spans="5:10" x14ac:dyDescent="0.2">
      <c r="E87" s="206"/>
      <c r="F87" s="206"/>
      <c r="I87" s="206"/>
      <c r="J87" s="206"/>
    </row>
    <row r="88" spans="5:10" x14ac:dyDescent="0.2">
      <c r="E88" s="206"/>
      <c r="F88" s="206"/>
      <c r="I88" s="206"/>
      <c r="J88" s="206"/>
    </row>
    <row r="89" spans="5:10" x14ac:dyDescent="0.2">
      <c r="E89" s="206"/>
      <c r="F89" s="206"/>
      <c r="I89" s="206"/>
      <c r="J89" s="206"/>
    </row>
    <row r="90" spans="5:10" x14ac:dyDescent="0.2">
      <c r="E90" s="206"/>
      <c r="F90" s="206"/>
      <c r="I90" s="206"/>
      <c r="J90" s="206"/>
    </row>
    <row r="91" spans="5:10" x14ac:dyDescent="0.2">
      <c r="E91" s="206"/>
      <c r="F91" s="206"/>
      <c r="I91" s="206"/>
      <c r="J91" s="206"/>
    </row>
    <row r="92" spans="5:10" x14ac:dyDescent="0.2">
      <c r="E92" s="206"/>
      <c r="F92" s="206"/>
      <c r="I92" s="206"/>
      <c r="J92" s="206"/>
    </row>
    <row r="93" spans="5:10" x14ac:dyDescent="0.2">
      <c r="E93" s="206"/>
      <c r="F93" s="206"/>
      <c r="I93" s="206"/>
      <c r="J93" s="206"/>
    </row>
    <row r="94" spans="5:10" x14ac:dyDescent="0.2">
      <c r="E94" s="206"/>
      <c r="F94" s="206"/>
      <c r="I94" s="206"/>
      <c r="J94" s="206"/>
    </row>
    <row r="95" spans="5:10" x14ac:dyDescent="0.2">
      <c r="E95" s="206"/>
      <c r="F95" s="206"/>
      <c r="I95" s="206"/>
      <c r="J95" s="206"/>
    </row>
    <row r="96" spans="5:10" x14ac:dyDescent="0.2">
      <c r="E96" s="206"/>
      <c r="F96" s="206"/>
      <c r="I96" s="206"/>
      <c r="J96" s="206"/>
    </row>
    <row r="97" spans="5:10" x14ac:dyDescent="0.2">
      <c r="E97" s="206"/>
      <c r="F97" s="206"/>
      <c r="I97" s="206"/>
      <c r="J97" s="206"/>
    </row>
    <row r="98" spans="5:10" x14ac:dyDescent="0.2">
      <c r="E98" s="206"/>
      <c r="F98" s="206"/>
      <c r="I98" s="206"/>
      <c r="J98" s="206"/>
    </row>
    <row r="99" spans="5:10" x14ac:dyDescent="0.2">
      <c r="E99" s="206"/>
      <c r="F99" s="206"/>
      <c r="I99" s="206"/>
      <c r="J99" s="206"/>
    </row>
    <row r="100" spans="5:10" x14ac:dyDescent="0.2">
      <c r="E100" s="206"/>
      <c r="F100" s="206"/>
      <c r="I100" s="206"/>
      <c r="J100" s="206"/>
    </row>
    <row r="101" spans="5:10" x14ac:dyDescent="0.2">
      <c r="E101" s="206"/>
      <c r="F101" s="206"/>
      <c r="I101" s="206"/>
      <c r="J101" s="206"/>
    </row>
    <row r="102" spans="5:10" x14ac:dyDescent="0.2">
      <c r="E102" s="206"/>
      <c r="F102" s="206"/>
      <c r="I102" s="206"/>
      <c r="J102" s="206"/>
    </row>
    <row r="103" spans="5:10" x14ac:dyDescent="0.2">
      <c r="E103" s="206"/>
      <c r="F103" s="206"/>
      <c r="I103" s="206"/>
      <c r="J103" s="206"/>
    </row>
    <row r="104" spans="5:10" x14ac:dyDescent="0.2">
      <c r="E104" s="206"/>
      <c r="F104" s="206"/>
      <c r="I104" s="206"/>
      <c r="J104" s="206"/>
    </row>
    <row r="105" spans="5:10" x14ac:dyDescent="0.2">
      <c r="E105" s="206"/>
      <c r="F105" s="206"/>
      <c r="I105" s="206"/>
      <c r="J105" s="206"/>
    </row>
    <row r="106" spans="5:10" x14ac:dyDescent="0.2">
      <c r="E106" s="206"/>
      <c r="F106" s="206"/>
      <c r="I106" s="206"/>
      <c r="J106" s="206"/>
    </row>
    <row r="107" spans="5:10" x14ac:dyDescent="0.2">
      <c r="E107" s="206"/>
      <c r="F107" s="206"/>
      <c r="I107" s="206"/>
      <c r="J107" s="206"/>
    </row>
    <row r="108" spans="5:10" x14ac:dyDescent="0.2">
      <c r="E108" s="206"/>
      <c r="F108" s="206"/>
      <c r="I108" s="206"/>
      <c r="J108" s="206"/>
    </row>
    <row r="109" spans="5:10" x14ac:dyDescent="0.2">
      <c r="E109" s="206"/>
      <c r="F109" s="206"/>
      <c r="I109" s="206"/>
      <c r="J109" s="206"/>
    </row>
    <row r="110" spans="5:10" x14ac:dyDescent="0.2">
      <c r="E110" s="206"/>
      <c r="F110" s="206"/>
      <c r="I110" s="206"/>
      <c r="J110" s="206"/>
    </row>
    <row r="111" spans="5:10" x14ac:dyDescent="0.2">
      <c r="E111" s="206"/>
      <c r="F111" s="206"/>
      <c r="I111" s="206"/>
      <c r="J111" s="206"/>
    </row>
    <row r="112" spans="5:10" x14ac:dyDescent="0.2">
      <c r="E112" s="206"/>
      <c r="F112" s="206"/>
      <c r="I112" s="206"/>
      <c r="J112" s="206"/>
    </row>
    <row r="113" spans="5:10" x14ac:dyDescent="0.2">
      <c r="E113" s="206"/>
      <c r="F113" s="206"/>
      <c r="I113" s="206"/>
      <c r="J113" s="206"/>
    </row>
    <row r="114" spans="5:10" x14ac:dyDescent="0.2">
      <c r="E114" s="206"/>
      <c r="F114" s="206"/>
      <c r="I114" s="206"/>
      <c r="J114" s="206"/>
    </row>
    <row r="115" spans="5:10" x14ac:dyDescent="0.2">
      <c r="E115" s="206"/>
      <c r="F115" s="206"/>
      <c r="I115" s="206"/>
      <c r="J115" s="206"/>
    </row>
    <row r="116" spans="5:10" x14ac:dyDescent="0.2">
      <c r="E116" s="206"/>
      <c r="F116" s="206"/>
      <c r="I116" s="206"/>
      <c r="J116" s="206"/>
    </row>
    <row r="117" spans="5:10" x14ac:dyDescent="0.2">
      <c r="E117" s="206"/>
      <c r="F117" s="206"/>
      <c r="I117" s="206"/>
      <c r="J117" s="206"/>
    </row>
    <row r="118" spans="5:10" x14ac:dyDescent="0.2">
      <c r="E118" s="206"/>
      <c r="F118" s="206"/>
      <c r="I118" s="206"/>
      <c r="J118" s="206"/>
    </row>
    <row r="119" spans="5:10" x14ac:dyDescent="0.2">
      <c r="E119" s="206"/>
      <c r="F119" s="206"/>
      <c r="I119" s="206"/>
      <c r="J119" s="206"/>
    </row>
    <row r="120" spans="5:10" x14ac:dyDescent="0.2">
      <c r="E120" s="206"/>
      <c r="F120" s="206"/>
      <c r="I120" s="206"/>
      <c r="J120" s="206"/>
    </row>
    <row r="121" spans="5:10" x14ac:dyDescent="0.2">
      <c r="E121" s="206"/>
      <c r="F121" s="206"/>
      <c r="I121" s="206"/>
      <c r="J121" s="206"/>
    </row>
    <row r="122" spans="5:10" x14ac:dyDescent="0.2">
      <c r="E122" s="206"/>
      <c r="F122" s="206"/>
      <c r="I122" s="206"/>
      <c r="J122" s="206"/>
    </row>
    <row r="123" spans="5:10" x14ac:dyDescent="0.2">
      <c r="E123" s="206"/>
      <c r="F123" s="206"/>
      <c r="I123" s="206"/>
      <c r="J123" s="206"/>
    </row>
    <row r="124" spans="5:10" x14ac:dyDescent="0.2">
      <c r="E124" s="206"/>
      <c r="F124" s="206"/>
      <c r="I124" s="206"/>
      <c r="J124" s="206"/>
    </row>
    <row r="125" spans="5:10" x14ac:dyDescent="0.2">
      <c r="E125" s="206"/>
      <c r="F125" s="206"/>
      <c r="I125" s="206"/>
      <c r="J125" s="206"/>
    </row>
    <row r="126" spans="5:10" x14ac:dyDescent="0.2">
      <c r="E126" s="206"/>
      <c r="F126" s="206"/>
      <c r="I126" s="206"/>
      <c r="J126" s="206"/>
    </row>
    <row r="127" spans="5:10" x14ac:dyDescent="0.2">
      <c r="E127" s="206"/>
      <c r="F127" s="206"/>
      <c r="I127" s="206"/>
      <c r="J127" s="206"/>
    </row>
    <row r="128" spans="5:10" x14ac:dyDescent="0.2">
      <c r="E128" s="206"/>
      <c r="F128" s="206"/>
      <c r="I128" s="206"/>
      <c r="J128" s="206"/>
    </row>
    <row r="129" spans="5:10" x14ac:dyDescent="0.2">
      <c r="E129" s="206"/>
      <c r="F129" s="206"/>
      <c r="I129" s="206"/>
      <c r="J129" s="206"/>
    </row>
    <row r="130" spans="5:10" x14ac:dyDescent="0.2">
      <c r="E130" s="206"/>
      <c r="F130" s="206"/>
      <c r="I130" s="206"/>
      <c r="J130" s="206"/>
    </row>
    <row r="131" spans="5:10" x14ac:dyDescent="0.2">
      <c r="E131" s="206"/>
      <c r="F131" s="206"/>
      <c r="I131" s="206"/>
      <c r="J131" s="206"/>
    </row>
    <row r="132" spans="5:10" x14ac:dyDescent="0.2">
      <c r="E132" s="206"/>
      <c r="F132" s="206"/>
      <c r="I132" s="206"/>
      <c r="J132" s="206"/>
    </row>
    <row r="133" spans="5:10" x14ac:dyDescent="0.2">
      <c r="E133" s="206"/>
      <c r="F133" s="206"/>
      <c r="I133" s="206"/>
      <c r="J133" s="206"/>
    </row>
    <row r="134" spans="5:10" x14ac:dyDescent="0.2">
      <c r="E134" s="206"/>
      <c r="F134" s="206"/>
      <c r="I134" s="206"/>
      <c r="J134" s="206"/>
    </row>
    <row r="135" spans="5:10" x14ac:dyDescent="0.2">
      <c r="E135" s="206"/>
      <c r="F135" s="206"/>
      <c r="I135" s="206"/>
      <c r="J135" s="206"/>
    </row>
    <row r="136" spans="5:10" x14ac:dyDescent="0.2">
      <c r="E136" s="206"/>
      <c r="F136" s="206"/>
      <c r="I136" s="206"/>
      <c r="J136" s="206"/>
    </row>
    <row r="137" spans="5:10" x14ac:dyDescent="0.2">
      <c r="E137" s="206"/>
      <c r="F137" s="206"/>
      <c r="I137" s="206"/>
      <c r="J137" s="206"/>
    </row>
    <row r="138" spans="5:10" x14ac:dyDescent="0.2">
      <c r="E138" s="206"/>
      <c r="F138" s="206"/>
      <c r="I138" s="206"/>
      <c r="J138" s="206"/>
    </row>
    <row r="139" spans="5:10" x14ac:dyDescent="0.2">
      <c r="E139" s="206"/>
      <c r="F139" s="206"/>
      <c r="I139" s="206"/>
      <c r="J139" s="206"/>
    </row>
    <row r="140" spans="5:10" x14ac:dyDescent="0.2">
      <c r="E140" s="206"/>
      <c r="F140" s="206"/>
      <c r="I140" s="206"/>
      <c r="J140" s="206"/>
    </row>
    <row r="141" spans="5:10" x14ac:dyDescent="0.2">
      <c r="E141" s="206"/>
      <c r="F141" s="206"/>
      <c r="I141" s="206"/>
      <c r="J141" s="206"/>
    </row>
    <row r="142" spans="5:10" x14ac:dyDescent="0.2">
      <c r="E142" s="206"/>
      <c r="F142" s="206"/>
      <c r="I142" s="206"/>
      <c r="J142" s="206"/>
    </row>
    <row r="143" spans="5:10" x14ac:dyDescent="0.2">
      <c r="E143" s="206"/>
      <c r="F143" s="206"/>
      <c r="I143" s="206"/>
      <c r="J143" s="206"/>
    </row>
    <row r="144" spans="5:10" x14ac:dyDescent="0.2">
      <c r="E144" s="206"/>
      <c r="F144" s="206"/>
      <c r="I144" s="206"/>
      <c r="J144" s="206"/>
    </row>
    <row r="145" spans="5:10" x14ac:dyDescent="0.2">
      <c r="E145" s="206"/>
      <c r="F145" s="206"/>
      <c r="I145" s="206"/>
      <c r="J145" s="206"/>
    </row>
    <row r="146" spans="5:10" x14ac:dyDescent="0.2">
      <c r="E146" s="206"/>
      <c r="F146" s="206"/>
      <c r="I146" s="206"/>
      <c r="J146" s="206"/>
    </row>
    <row r="147" spans="5:10" x14ac:dyDescent="0.2">
      <c r="E147" s="206"/>
      <c r="F147" s="206"/>
      <c r="I147" s="206"/>
      <c r="J147" s="206"/>
    </row>
    <row r="148" spans="5:10" x14ac:dyDescent="0.2">
      <c r="E148" s="206"/>
      <c r="F148" s="206"/>
      <c r="I148" s="206"/>
      <c r="J148" s="206"/>
    </row>
    <row r="149" spans="5:10" x14ac:dyDescent="0.2">
      <c r="E149" s="206"/>
      <c r="F149" s="206"/>
      <c r="I149" s="206"/>
      <c r="J149" s="206"/>
    </row>
    <row r="150" spans="5:10" x14ac:dyDescent="0.2">
      <c r="E150" s="206"/>
      <c r="F150" s="206"/>
      <c r="I150" s="206"/>
      <c r="J150" s="206"/>
    </row>
    <row r="151" spans="5:10" x14ac:dyDescent="0.2">
      <c r="E151" s="206"/>
      <c r="F151" s="206"/>
      <c r="I151" s="206"/>
      <c r="J151" s="206"/>
    </row>
    <row r="152" spans="5:10" x14ac:dyDescent="0.2">
      <c r="E152" s="206"/>
      <c r="F152" s="206"/>
      <c r="I152" s="206"/>
      <c r="J152" s="206"/>
    </row>
    <row r="153" spans="5:10" x14ac:dyDescent="0.2">
      <c r="E153" s="206"/>
      <c r="F153" s="206"/>
      <c r="I153" s="206"/>
      <c r="J153" s="206"/>
    </row>
    <row r="154" spans="5:10" x14ac:dyDescent="0.2">
      <c r="E154" s="206"/>
      <c r="F154" s="206"/>
      <c r="I154" s="206"/>
      <c r="J154" s="206"/>
    </row>
    <row r="155" spans="5:10" x14ac:dyDescent="0.2">
      <c r="E155" s="206"/>
      <c r="F155" s="206"/>
      <c r="I155" s="206"/>
      <c r="J155" s="206"/>
    </row>
    <row r="156" spans="5:10" x14ac:dyDescent="0.2">
      <c r="E156" s="206"/>
      <c r="F156" s="206"/>
      <c r="I156" s="206"/>
      <c r="J156" s="206"/>
    </row>
    <row r="157" spans="5:10" x14ac:dyDescent="0.2">
      <c r="E157" s="206"/>
      <c r="F157" s="206"/>
      <c r="I157" s="206"/>
      <c r="J157" s="206"/>
    </row>
    <row r="158" spans="5:10" x14ac:dyDescent="0.2">
      <c r="E158" s="206"/>
      <c r="F158" s="206"/>
      <c r="I158" s="206"/>
      <c r="J158" s="206"/>
    </row>
    <row r="159" spans="5:10" x14ac:dyDescent="0.2">
      <c r="E159" s="206"/>
      <c r="F159" s="206"/>
      <c r="I159" s="206"/>
      <c r="J159" s="206"/>
    </row>
    <row r="160" spans="5:10" x14ac:dyDescent="0.2">
      <c r="E160" s="206"/>
      <c r="F160" s="206"/>
      <c r="I160" s="206"/>
      <c r="J160" s="206"/>
    </row>
    <row r="161" spans="5:10" x14ac:dyDescent="0.2">
      <c r="E161" s="206"/>
      <c r="F161" s="206"/>
      <c r="I161" s="206"/>
      <c r="J161" s="206"/>
    </row>
    <row r="162" spans="5:10" x14ac:dyDescent="0.2">
      <c r="E162" s="206"/>
      <c r="F162" s="206"/>
      <c r="I162" s="206"/>
      <c r="J162" s="206"/>
    </row>
    <row r="163" spans="5:10" x14ac:dyDescent="0.2">
      <c r="E163" s="206"/>
      <c r="F163" s="206"/>
      <c r="I163" s="206"/>
      <c r="J163" s="206"/>
    </row>
    <row r="164" spans="5:10" x14ac:dyDescent="0.2">
      <c r="E164" s="206"/>
      <c r="F164" s="206"/>
      <c r="I164" s="206"/>
      <c r="J164" s="206"/>
    </row>
    <row r="165" spans="5:10" x14ac:dyDescent="0.2">
      <c r="E165" s="206"/>
      <c r="F165" s="206"/>
      <c r="I165" s="206"/>
      <c r="J165" s="206"/>
    </row>
    <row r="166" spans="5:10" x14ac:dyDescent="0.2">
      <c r="E166" s="206"/>
      <c r="F166" s="206"/>
      <c r="I166" s="206"/>
      <c r="J166" s="206"/>
    </row>
    <row r="167" spans="5:10" x14ac:dyDescent="0.2">
      <c r="E167" s="206"/>
      <c r="F167" s="206"/>
      <c r="I167" s="206"/>
      <c r="J167" s="206"/>
    </row>
    <row r="168" spans="5:10" x14ac:dyDescent="0.2">
      <c r="E168" s="206"/>
      <c r="F168" s="206"/>
      <c r="I168" s="206"/>
      <c r="J168" s="206"/>
    </row>
    <row r="169" spans="5:10" x14ac:dyDescent="0.2">
      <c r="E169" s="206"/>
      <c r="F169" s="206"/>
      <c r="I169" s="206"/>
      <c r="J169" s="206"/>
    </row>
    <row r="170" spans="5:10" x14ac:dyDescent="0.2">
      <c r="E170" s="206"/>
      <c r="F170" s="206"/>
      <c r="I170" s="206"/>
      <c r="J170" s="206"/>
    </row>
    <row r="171" spans="5:10" x14ac:dyDescent="0.2">
      <c r="E171" s="206"/>
      <c r="F171" s="206"/>
      <c r="I171" s="206"/>
      <c r="J171" s="206"/>
    </row>
    <row r="172" spans="5:10" x14ac:dyDescent="0.2">
      <c r="E172" s="206"/>
      <c r="F172" s="206"/>
      <c r="I172" s="206"/>
      <c r="J172" s="206"/>
    </row>
    <row r="173" spans="5:10" x14ac:dyDescent="0.2">
      <c r="E173" s="206"/>
      <c r="F173" s="206"/>
      <c r="I173" s="206"/>
      <c r="J173" s="206"/>
    </row>
    <row r="174" spans="5:10" x14ac:dyDescent="0.2">
      <c r="E174" s="206"/>
      <c r="F174" s="206"/>
      <c r="I174" s="206"/>
      <c r="J174" s="206"/>
    </row>
    <row r="175" spans="5:10" x14ac:dyDescent="0.2">
      <c r="E175" s="206"/>
      <c r="F175" s="206"/>
      <c r="I175" s="206"/>
      <c r="J175" s="206"/>
    </row>
    <row r="176" spans="5:10" x14ac:dyDescent="0.2">
      <c r="E176" s="206"/>
      <c r="F176" s="206"/>
      <c r="I176" s="206"/>
      <c r="J176" s="206"/>
    </row>
    <row r="177" spans="5:10" x14ac:dyDescent="0.2">
      <c r="E177" s="206"/>
      <c r="F177" s="206"/>
      <c r="I177" s="206"/>
      <c r="J177" s="206"/>
    </row>
    <row r="178" spans="5:10" x14ac:dyDescent="0.2">
      <c r="E178" s="206"/>
      <c r="F178" s="206"/>
      <c r="I178" s="206"/>
      <c r="J178" s="206"/>
    </row>
    <row r="179" spans="5:10" x14ac:dyDescent="0.2">
      <c r="E179" s="206"/>
      <c r="F179" s="206"/>
      <c r="I179" s="206"/>
      <c r="J179" s="206"/>
    </row>
    <row r="180" spans="5:10" x14ac:dyDescent="0.2">
      <c r="E180" s="206"/>
      <c r="F180" s="206"/>
      <c r="I180" s="206"/>
      <c r="J180" s="206"/>
    </row>
    <row r="181" spans="5:10" x14ac:dyDescent="0.2">
      <c r="E181" s="206"/>
      <c r="F181" s="206"/>
      <c r="I181" s="206"/>
      <c r="J181" s="206"/>
    </row>
    <row r="182" spans="5:10" x14ac:dyDescent="0.2">
      <c r="E182" s="206"/>
      <c r="F182" s="206"/>
      <c r="I182" s="206"/>
      <c r="J182" s="206"/>
    </row>
    <row r="183" spans="5:10" x14ac:dyDescent="0.2">
      <c r="E183" s="206"/>
      <c r="F183" s="206"/>
      <c r="I183" s="206"/>
      <c r="J183" s="206"/>
    </row>
    <row r="184" spans="5:10" x14ac:dyDescent="0.2">
      <c r="E184" s="206"/>
      <c r="F184" s="206"/>
      <c r="I184" s="206"/>
      <c r="J184" s="206"/>
    </row>
    <row r="185" spans="5:10" x14ac:dyDescent="0.2">
      <c r="E185" s="206"/>
      <c r="F185" s="206"/>
      <c r="I185" s="206"/>
      <c r="J185" s="206"/>
    </row>
    <row r="186" spans="5:10" x14ac:dyDescent="0.2">
      <c r="E186" s="206"/>
      <c r="F186" s="206"/>
      <c r="I186" s="206"/>
      <c r="J186" s="206"/>
    </row>
    <row r="187" spans="5:10" x14ac:dyDescent="0.2">
      <c r="E187" s="206"/>
      <c r="F187" s="206"/>
      <c r="I187" s="206"/>
      <c r="J187" s="206"/>
    </row>
    <row r="188" spans="5:10" x14ac:dyDescent="0.2">
      <c r="E188" s="206"/>
      <c r="F188" s="206"/>
      <c r="I188" s="206"/>
      <c r="J188" s="206"/>
    </row>
    <row r="189" spans="5:10" x14ac:dyDescent="0.2">
      <c r="E189" s="206"/>
      <c r="F189" s="206"/>
      <c r="I189" s="206"/>
      <c r="J189" s="206"/>
    </row>
    <row r="190" spans="5:10" x14ac:dyDescent="0.2">
      <c r="E190" s="206"/>
      <c r="F190" s="206"/>
      <c r="I190" s="206"/>
      <c r="J190" s="206"/>
    </row>
    <row r="191" spans="5:10" x14ac:dyDescent="0.2">
      <c r="E191" s="206"/>
      <c r="F191" s="206"/>
      <c r="I191" s="206"/>
      <c r="J191" s="206"/>
    </row>
    <row r="192" spans="5:10" x14ac:dyDescent="0.2">
      <c r="E192" s="206"/>
      <c r="F192" s="206"/>
      <c r="I192" s="206"/>
      <c r="J192" s="206"/>
    </row>
    <row r="193" spans="5:10" x14ac:dyDescent="0.2">
      <c r="E193" s="206"/>
      <c r="F193" s="206"/>
      <c r="I193" s="206"/>
      <c r="J193" s="206"/>
    </row>
    <row r="194" spans="5:10" x14ac:dyDescent="0.2">
      <c r="E194" s="206"/>
      <c r="F194" s="206"/>
      <c r="I194" s="206"/>
      <c r="J194" s="206"/>
    </row>
    <row r="195" spans="5:10" x14ac:dyDescent="0.2">
      <c r="E195" s="206"/>
      <c r="F195" s="206"/>
      <c r="I195" s="206"/>
      <c r="J195" s="206"/>
    </row>
    <row r="196" spans="5:10" x14ac:dyDescent="0.2">
      <c r="E196" s="206"/>
      <c r="F196" s="206"/>
      <c r="I196" s="206"/>
      <c r="J196" s="206"/>
    </row>
    <row r="197" spans="5:10" x14ac:dyDescent="0.2">
      <c r="E197" s="206"/>
      <c r="F197" s="206"/>
      <c r="I197" s="206"/>
      <c r="J197" s="206"/>
    </row>
    <row r="198" spans="5:10" x14ac:dyDescent="0.2">
      <c r="E198" s="206"/>
      <c r="F198" s="206"/>
      <c r="I198" s="206"/>
      <c r="J198" s="206"/>
    </row>
    <row r="199" spans="5:10" x14ac:dyDescent="0.2">
      <c r="E199" s="206"/>
      <c r="F199" s="206"/>
      <c r="I199" s="206"/>
      <c r="J199" s="206"/>
    </row>
    <row r="200" spans="5:10" x14ac:dyDescent="0.2">
      <c r="E200" s="206"/>
      <c r="F200" s="206"/>
      <c r="I200" s="206"/>
      <c r="J200" s="206"/>
    </row>
    <row r="201" spans="5:10" x14ac:dyDescent="0.2">
      <c r="E201" s="206"/>
      <c r="F201" s="206"/>
      <c r="I201" s="206"/>
      <c r="J201" s="206"/>
    </row>
    <row r="202" spans="5:10" x14ac:dyDescent="0.2">
      <c r="E202" s="206"/>
      <c r="F202" s="206"/>
      <c r="I202" s="206"/>
      <c r="J202" s="206"/>
    </row>
    <row r="203" spans="5:10" x14ac:dyDescent="0.2">
      <c r="E203" s="206"/>
      <c r="F203" s="206"/>
      <c r="I203" s="206"/>
      <c r="J203" s="206"/>
    </row>
    <row r="204" spans="5:10" x14ac:dyDescent="0.2">
      <c r="E204" s="206"/>
      <c r="F204" s="206"/>
      <c r="I204" s="206"/>
      <c r="J204" s="206"/>
    </row>
    <row r="205" spans="5:10" x14ac:dyDescent="0.2">
      <c r="E205" s="206"/>
      <c r="F205" s="206"/>
      <c r="I205" s="206"/>
      <c r="J205" s="206"/>
    </row>
    <row r="206" spans="5:10" x14ac:dyDescent="0.2">
      <c r="E206" s="206"/>
      <c r="F206" s="206"/>
      <c r="I206" s="206"/>
      <c r="J206" s="206"/>
    </row>
    <row r="207" spans="5:10" x14ac:dyDescent="0.2">
      <c r="E207" s="206"/>
      <c r="F207" s="206"/>
      <c r="I207" s="206"/>
      <c r="J207" s="206"/>
    </row>
    <row r="208" spans="5:10" x14ac:dyDescent="0.2">
      <c r="E208" s="206"/>
      <c r="F208" s="206"/>
      <c r="I208" s="206"/>
      <c r="J208" s="206"/>
    </row>
    <row r="209" spans="5:10" x14ac:dyDescent="0.2">
      <c r="E209" s="206"/>
      <c r="F209" s="206"/>
      <c r="I209" s="206"/>
      <c r="J209" s="206"/>
    </row>
    <row r="210" spans="5:10" x14ac:dyDescent="0.2">
      <c r="E210" s="206"/>
      <c r="F210" s="206"/>
      <c r="I210" s="206"/>
      <c r="J210" s="206"/>
    </row>
    <row r="211" spans="5:10" x14ac:dyDescent="0.2">
      <c r="E211" s="206"/>
      <c r="F211" s="206"/>
      <c r="I211" s="206"/>
      <c r="J211" s="206"/>
    </row>
    <row r="212" spans="5:10" x14ac:dyDescent="0.2">
      <c r="E212" s="206"/>
      <c r="F212" s="206"/>
      <c r="I212" s="206"/>
      <c r="J212" s="206"/>
    </row>
    <row r="213" spans="5:10" x14ac:dyDescent="0.2">
      <c r="E213" s="206"/>
      <c r="F213" s="206"/>
      <c r="I213" s="206"/>
      <c r="J213" s="206"/>
    </row>
    <row r="214" spans="5:10" x14ac:dyDescent="0.2">
      <c r="E214" s="206"/>
      <c r="F214" s="206"/>
      <c r="I214" s="206"/>
      <c r="J214" s="206"/>
    </row>
    <row r="215" spans="5:10" x14ac:dyDescent="0.2">
      <c r="E215" s="206"/>
      <c r="F215" s="206"/>
      <c r="I215" s="206"/>
      <c r="J215" s="206"/>
    </row>
    <row r="216" spans="5:10" x14ac:dyDescent="0.2">
      <c r="E216" s="206"/>
      <c r="F216" s="206"/>
      <c r="I216" s="206"/>
      <c r="J216" s="206"/>
    </row>
    <row r="217" spans="5:10" x14ac:dyDescent="0.2">
      <c r="E217" s="206"/>
      <c r="F217" s="206"/>
      <c r="I217" s="206"/>
      <c r="J217" s="206"/>
    </row>
    <row r="218" spans="5:10" x14ac:dyDescent="0.2">
      <c r="E218" s="206"/>
      <c r="F218" s="206"/>
      <c r="I218" s="206"/>
      <c r="J218" s="206"/>
    </row>
    <row r="219" spans="5:10" x14ac:dyDescent="0.2">
      <c r="E219" s="206"/>
      <c r="F219" s="206"/>
      <c r="I219" s="206"/>
      <c r="J219" s="206"/>
    </row>
    <row r="220" spans="5:10" x14ac:dyDescent="0.2">
      <c r="E220" s="206"/>
      <c r="F220" s="206"/>
      <c r="I220" s="206"/>
      <c r="J220" s="206"/>
    </row>
    <row r="221" spans="5:10" x14ac:dyDescent="0.2">
      <c r="E221" s="206"/>
      <c r="F221" s="206"/>
      <c r="I221" s="206"/>
      <c r="J221" s="206"/>
    </row>
    <row r="222" spans="5:10" x14ac:dyDescent="0.2">
      <c r="E222" s="206"/>
      <c r="F222" s="206"/>
      <c r="I222" s="206"/>
      <c r="J222" s="206"/>
    </row>
    <row r="223" spans="5:10" x14ac:dyDescent="0.2">
      <c r="E223" s="206"/>
      <c r="F223" s="206"/>
      <c r="I223" s="206"/>
      <c r="J223" s="206"/>
    </row>
    <row r="224" spans="5:10" x14ac:dyDescent="0.2">
      <c r="E224" s="206"/>
      <c r="F224" s="206"/>
      <c r="I224" s="206"/>
      <c r="J224" s="206"/>
    </row>
    <row r="225" spans="5:10" x14ac:dyDescent="0.2">
      <c r="E225" s="206"/>
      <c r="F225" s="206"/>
      <c r="I225" s="206"/>
      <c r="J225" s="206"/>
    </row>
    <row r="226" spans="5:10" x14ac:dyDescent="0.2">
      <c r="E226" s="206"/>
      <c r="F226" s="206"/>
      <c r="I226" s="206"/>
      <c r="J226" s="206"/>
    </row>
    <row r="227" spans="5:10" x14ac:dyDescent="0.2">
      <c r="E227" s="206"/>
      <c r="F227" s="206"/>
      <c r="I227" s="206"/>
      <c r="J227" s="206"/>
    </row>
    <row r="228" spans="5:10" x14ac:dyDescent="0.2">
      <c r="E228" s="206"/>
      <c r="F228" s="206"/>
      <c r="I228" s="206"/>
      <c r="J228" s="206"/>
    </row>
    <row r="229" spans="5:10" x14ac:dyDescent="0.2">
      <c r="E229" s="206"/>
      <c r="F229" s="206"/>
      <c r="I229" s="206"/>
      <c r="J229" s="206"/>
    </row>
    <row r="230" spans="5:10" x14ac:dyDescent="0.2">
      <c r="E230" s="206"/>
      <c r="F230" s="206"/>
      <c r="I230" s="206"/>
      <c r="J230" s="206"/>
    </row>
    <row r="231" spans="5:10" x14ac:dyDescent="0.2">
      <c r="E231" s="206"/>
      <c r="F231" s="206"/>
      <c r="I231" s="206"/>
      <c r="J231" s="206"/>
    </row>
    <row r="232" spans="5:10" x14ac:dyDescent="0.2">
      <c r="E232" s="206"/>
      <c r="F232" s="206"/>
      <c r="I232" s="206"/>
      <c r="J232" s="206"/>
    </row>
    <row r="233" spans="5:10" x14ac:dyDescent="0.2">
      <c r="E233" s="206"/>
      <c r="F233" s="206"/>
      <c r="I233" s="206"/>
      <c r="J233" s="206"/>
    </row>
    <row r="234" spans="5:10" x14ac:dyDescent="0.2">
      <c r="E234" s="206"/>
      <c r="F234" s="206"/>
      <c r="I234" s="206"/>
      <c r="J234" s="206"/>
    </row>
    <row r="235" spans="5:10" x14ac:dyDescent="0.2">
      <c r="E235" s="206"/>
      <c r="F235" s="206"/>
      <c r="I235" s="206"/>
      <c r="J235" s="206"/>
    </row>
    <row r="236" spans="5:10" x14ac:dyDescent="0.2">
      <c r="E236" s="206"/>
      <c r="F236" s="206"/>
      <c r="I236" s="206"/>
      <c r="J236" s="206"/>
    </row>
    <row r="237" spans="5:10" x14ac:dyDescent="0.2">
      <c r="E237" s="206"/>
      <c r="F237" s="206"/>
      <c r="I237" s="206"/>
      <c r="J237" s="206"/>
    </row>
    <row r="238" spans="5:10" x14ac:dyDescent="0.2">
      <c r="E238" s="206"/>
      <c r="F238" s="206"/>
      <c r="I238" s="206"/>
      <c r="J238" s="206"/>
    </row>
    <row r="239" spans="5:10" x14ac:dyDescent="0.2">
      <c r="E239" s="206"/>
      <c r="F239" s="206"/>
      <c r="I239" s="206"/>
      <c r="J239" s="206"/>
    </row>
    <row r="240" spans="5:10" x14ac:dyDescent="0.2">
      <c r="E240" s="206"/>
      <c r="F240" s="206"/>
      <c r="I240" s="206"/>
      <c r="J240" s="206"/>
    </row>
    <row r="241" spans="5:10" x14ac:dyDescent="0.2">
      <c r="E241" s="206"/>
      <c r="F241" s="206"/>
      <c r="I241" s="206"/>
      <c r="J241" s="206"/>
    </row>
    <row r="242" spans="5:10" x14ac:dyDescent="0.2">
      <c r="E242" s="206"/>
      <c r="F242" s="206"/>
      <c r="I242" s="206"/>
      <c r="J242" s="206"/>
    </row>
    <row r="243" spans="5:10" x14ac:dyDescent="0.2">
      <c r="E243" s="206"/>
      <c r="F243" s="206"/>
      <c r="I243" s="206"/>
      <c r="J243" s="206"/>
    </row>
    <row r="244" spans="5:10" x14ac:dyDescent="0.2">
      <c r="E244" s="206"/>
      <c r="F244" s="206"/>
      <c r="I244" s="206"/>
      <c r="J244" s="206"/>
    </row>
    <row r="245" spans="5:10" x14ac:dyDescent="0.2">
      <c r="E245" s="206"/>
      <c r="F245" s="206"/>
      <c r="I245" s="206"/>
      <c r="J245" s="206"/>
    </row>
    <row r="246" spans="5:10" x14ac:dyDescent="0.2">
      <c r="E246" s="206"/>
      <c r="F246" s="206"/>
      <c r="I246" s="206"/>
      <c r="J246" s="206"/>
    </row>
    <row r="247" spans="5:10" x14ac:dyDescent="0.2">
      <c r="E247" s="206"/>
      <c r="F247" s="206"/>
      <c r="I247" s="206"/>
      <c r="J247" s="206"/>
    </row>
    <row r="248" spans="5:10" x14ac:dyDescent="0.2">
      <c r="E248" s="206"/>
      <c r="F248" s="206"/>
      <c r="I248" s="206"/>
      <c r="J248" s="206"/>
    </row>
    <row r="249" spans="5:10" x14ac:dyDescent="0.2">
      <c r="E249" s="206"/>
      <c r="F249" s="206"/>
      <c r="I249" s="206"/>
      <c r="J249" s="206"/>
    </row>
    <row r="250" spans="5:10" x14ac:dyDescent="0.2">
      <c r="E250" s="206"/>
      <c r="F250" s="206"/>
      <c r="I250" s="206"/>
      <c r="J250" s="206"/>
    </row>
    <row r="251" spans="5:10" x14ac:dyDescent="0.2">
      <c r="E251" s="206"/>
      <c r="F251" s="206"/>
      <c r="I251" s="206"/>
      <c r="J251" s="206"/>
    </row>
    <row r="252" spans="5:10" x14ac:dyDescent="0.2">
      <c r="E252" s="206"/>
      <c r="F252" s="206"/>
      <c r="I252" s="206"/>
      <c r="J252" s="206"/>
    </row>
    <row r="253" spans="5:10" x14ac:dyDescent="0.2">
      <c r="E253" s="206"/>
      <c r="F253" s="206"/>
      <c r="I253" s="206"/>
      <c r="J253" s="206"/>
    </row>
    <row r="254" spans="5:10" x14ac:dyDescent="0.2">
      <c r="E254" s="206"/>
      <c r="F254" s="206"/>
      <c r="I254" s="206"/>
      <c r="J254" s="206"/>
    </row>
    <row r="255" spans="5:10" x14ac:dyDescent="0.2">
      <c r="E255" s="206"/>
      <c r="F255" s="206"/>
      <c r="I255" s="206"/>
      <c r="J255" s="206"/>
    </row>
    <row r="256" spans="5:10" x14ac:dyDescent="0.2">
      <c r="E256" s="206"/>
      <c r="F256" s="206"/>
      <c r="I256" s="206"/>
      <c r="J256" s="206"/>
    </row>
    <row r="257" spans="5:10" x14ac:dyDescent="0.2">
      <c r="E257" s="206"/>
      <c r="F257" s="206"/>
      <c r="I257" s="206"/>
      <c r="J257" s="206"/>
    </row>
    <row r="258" spans="5:10" x14ac:dyDescent="0.2">
      <c r="E258" s="206"/>
      <c r="F258" s="206"/>
      <c r="I258" s="206"/>
      <c r="J258" s="206"/>
    </row>
    <row r="259" spans="5:10" x14ac:dyDescent="0.2">
      <c r="E259" s="206"/>
      <c r="F259" s="206"/>
      <c r="I259" s="206"/>
      <c r="J259" s="206"/>
    </row>
    <row r="260" spans="5:10" x14ac:dyDescent="0.2">
      <c r="E260" s="206"/>
      <c r="F260" s="206"/>
      <c r="I260" s="206"/>
      <c r="J260" s="206"/>
    </row>
    <row r="261" spans="5:10" x14ac:dyDescent="0.2">
      <c r="E261" s="206"/>
      <c r="F261" s="206"/>
      <c r="I261" s="206"/>
      <c r="J261" s="206"/>
    </row>
    <row r="262" spans="5:10" x14ac:dyDescent="0.2">
      <c r="E262" s="206"/>
      <c r="F262" s="206"/>
      <c r="I262" s="206"/>
      <c r="J262" s="206"/>
    </row>
    <row r="263" spans="5:10" x14ac:dyDescent="0.2">
      <c r="E263" s="206"/>
      <c r="F263" s="206"/>
      <c r="I263" s="206"/>
      <c r="J263" s="206"/>
    </row>
    <row r="264" spans="5:10" x14ac:dyDescent="0.2">
      <c r="E264" s="206"/>
      <c r="F264" s="206"/>
      <c r="I264" s="206"/>
      <c r="J264" s="206"/>
    </row>
    <row r="265" spans="5:10" x14ac:dyDescent="0.2">
      <c r="E265" s="206"/>
      <c r="F265" s="206"/>
      <c r="I265" s="206"/>
      <c r="J265" s="206"/>
    </row>
    <row r="266" spans="5:10" x14ac:dyDescent="0.2">
      <c r="E266" s="206"/>
      <c r="F266" s="206"/>
      <c r="I266" s="206"/>
      <c r="J266" s="206"/>
    </row>
    <row r="267" spans="5:10" x14ac:dyDescent="0.2">
      <c r="E267" s="206"/>
      <c r="F267" s="206"/>
      <c r="I267" s="206"/>
      <c r="J267" s="206"/>
    </row>
    <row r="268" spans="5:10" x14ac:dyDescent="0.2">
      <c r="E268" s="206"/>
      <c r="F268" s="206"/>
      <c r="I268" s="206"/>
      <c r="J268" s="206"/>
    </row>
    <row r="269" spans="5:10" x14ac:dyDescent="0.2">
      <c r="E269" s="206"/>
      <c r="F269" s="206"/>
      <c r="I269" s="206"/>
      <c r="J269" s="206"/>
    </row>
    <row r="270" spans="5:10" x14ac:dyDescent="0.2">
      <c r="E270" s="206"/>
      <c r="F270" s="206"/>
      <c r="I270" s="206"/>
      <c r="J270" s="206"/>
    </row>
    <row r="271" spans="5:10" x14ac:dyDescent="0.2">
      <c r="E271" s="206"/>
      <c r="F271" s="206"/>
      <c r="I271" s="206"/>
      <c r="J271" s="206"/>
    </row>
    <row r="272" spans="5:10" x14ac:dyDescent="0.2">
      <c r="E272" s="206"/>
      <c r="F272" s="206"/>
      <c r="I272" s="206"/>
      <c r="J272" s="206"/>
    </row>
    <row r="273" spans="5:10" x14ac:dyDescent="0.2">
      <c r="E273" s="206"/>
      <c r="F273" s="206"/>
      <c r="I273" s="206"/>
      <c r="J273" s="206"/>
    </row>
    <row r="274" spans="5:10" x14ac:dyDescent="0.2">
      <c r="E274" s="206"/>
      <c r="F274" s="206"/>
      <c r="I274" s="206"/>
      <c r="J274" s="206"/>
    </row>
    <row r="275" spans="5:10" x14ac:dyDescent="0.2">
      <c r="E275" s="206"/>
      <c r="F275" s="206"/>
      <c r="I275" s="206"/>
      <c r="J275" s="206"/>
    </row>
    <row r="276" spans="5:10" x14ac:dyDescent="0.2">
      <c r="E276" s="206"/>
      <c r="F276" s="206"/>
      <c r="I276" s="206"/>
      <c r="J276" s="206"/>
    </row>
    <row r="277" spans="5:10" x14ac:dyDescent="0.2">
      <c r="E277" s="206"/>
      <c r="F277" s="206"/>
      <c r="I277" s="206"/>
      <c r="J277" s="206"/>
    </row>
    <row r="278" spans="5:10" x14ac:dyDescent="0.2">
      <c r="E278" s="206"/>
      <c r="F278" s="206"/>
      <c r="I278" s="206"/>
      <c r="J278" s="206"/>
    </row>
    <row r="279" spans="5:10" x14ac:dyDescent="0.2">
      <c r="E279" s="206"/>
      <c r="F279" s="206"/>
      <c r="I279" s="206"/>
      <c r="J279" s="206"/>
    </row>
    <row r="280" spans="5:10" x14ac:dyDescent="0.2">
      <c r="E280" s="206"/>
      <c r="F280" s="206"/>
      <c r="I280" s="206"/>
      <c r="J280" s="206"/>
    </row>
    <row r="281" spans="5:10" x14ac:dyDescent="0.2">
      <c r="E281" s="206"/>
      <c r="F281" s="206"/>
      <c r="I281" s="206"/>
      <c r="J281" s="206"/>
    </row>
    <row r="282" spans="5:10" x14ac:dyDescent="0.2">
      <c r="E282" s="206"/>
      <c r="F282" s="206"/>
      <c r="I282" s="206"/>
      <c r="J282" s="206"/>
    </row>
    <row r="283" spans="5:10" x14ac:dyDescent="0.2">
      <c r="E283" s="206"/>
      <c r="F283" s="206"/>
      <c r="I283" s="206"/>
      <c r="J283" s="206"/>
    </row>
    <row r="284" spans="5:10" x14ac:dyDescent="0.2">
      <c r="E284" s="206"/>
      <c r="F284" s="206"/>
      <c r="I284" s="206"/>
      <c r="J284" s="206"/>
    </row>
    <row r="285" spans="5:10" x14ac:dyDescent="0.2">
      <c r="E285" s="206"/>
      <c r="F285" s="206"/>
      <c r="I285" s="206"/>
      <c r="J285" s="206"/>
    </row>
    <row r="286" spans="5:10" x14ac:dyDescent="0.2">
      <c r="E286" s="206"/>
      <c r="F286" s="206"/>
      <c r="I286" s="206"/>
      <c r="J286" s="206"/>
    </row>
    <row r="287" spans="5:10" x14ac:dyDescent="0.2">
      <c r="E287" s="206"/>
      <c r="F287" s="206"/>
      <c r="I287" s="206"/>
      <c r="J287" s="206"/>
    </row>
    <row r="288" spans="5:10" x14ac:dyDescent="0.2">
      <c r="E288" s="206"/>
      <c r="F288" s="206"/>
      <c r="I288" s="206"/>
      <c r="J288" s="206"/>
    </row>
    <row r="289" spans="5:10" x14ac:dyDescent="0.2">
      <c r="E289" s="206"/>
      <c r="F289" s="206"/>
      <c r="I289" s="206"/>
      <c r="J289" s="206"/>
    </row>
    <row r="290" spans="5:10" x14ac:dyDescent="0.2">
      <c r="E290" s="206"/>
      <c r="F290" s="206"/>
      <c r="I290" s="206"/>
      <c r="J290" s="206"/>
    </row>
    <row r="291" spans="5:10" x14ac:dyDescent="0.2">
      <c r="I291" s="206"/>
      <c r="J291" s="206"/>
    </row>
    <row r="292" spans="5:10" x14ac:dyDescent="0.2">
      <c r="I292" s="206"/>
      <c r="J292" s="206"/>
    </row>
    <row r="293" spans="5:10" x14ac:dyDescent="0.2">
      <c r="I293" s="206"/>
      <c r="J293" s="206"/>
    </row>
    <row r="294" spans="5:10" x14ac:dyDescent="0.2">
      <c r="I294" s="206"/>
      <c r="J294" s="206"/>
    </row>
    <row r="295" spans="5:10" x14ac:dyDescent="0.2">
      <c r="I295" s="206"/>
      <c r="J295" s="206"/>
    </row>
    <row r="296" spans="5:10" x14ac:dyDescent="0.2">
      <c r="I296" s="206"/>
      <c r="J296" s="206"/>
    </row>
    <row r="297" spans="5:10" x14ac:dyDescent="0.2">
      <c r="I297" s="206"/>
      <c r="J297" s="206"/>
    </row>
    <row r="298" spans="5:10" x14ac:dyDescent="0.2">
      <c r="I298" s="206"/>
      <c r="J298" s="206"/>
    </row>
    <row r="299" spans="5:10" x14ac:dyDescent="0.2">
      <c r="I299" s="206"/>
      <c r="J299" s="206"/>
    </row>
    <row r="300" spans="5:10" x14ac:dyDescent="0.2">
      <c r="I300" s="206"/>
      <c r="J300" s="206"/>
    </row>
  </sheetData>
  <mergeCells count="19">
    <mergeCell ref="A1:J1"/>
    <mergeCell ref="A2:A3"/>
    <mergeCell ref="B2:B3"/>
    <mergeCell ref="C2:D2"/>
    <mergeCell ref="E2:F2"/>
    <mergeCell ref="G2:H2"/>
    <mergeCell ref="I2:J2"/>
    <mergeCell ref="A44:I44"/>
    <mergeCell ref="A4:J4"/>
    <mergeCell ref="B5:J5"/>
    <mergeCell ref="B9:J9"/>
    <mergeCell ref="B17:J17"/>
    <mergeCell ref="B24:J24"/>
    <mergeCell ref="A28:B28"/>
    <mergeCell ref="A29:J29"/>
    <mergeCell ref="B30:J30"/>
    <mergeCell ref="B34:J34"/>
    <mergeCell ref="B38:J38"/>
    <mergeCell ref="A40:B40"/>
  </mergeCells>
  <pageMargins left="0.7" right="0.7" top="0.75" bottom="0.75" header="0.3" footer="0.3"/>
  <pageSetup paperSize="9" scale="71"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pageSetUpPr fitToPage="1"/>
  </sheetPr>
  <dimension ref="A1:K31"/>
  <sheetViews>
    <sheetView workbookViewId="0">
      <selection sqref="A1:J1"/>
    </sheetView>
  </sheetViews>
  <sheetFormatPr defaultRowHeight="12.75" x14ac:dyDescent="0.2"/>
  <cols>
    <col min="1" max="1" width="7.140625" style="206" bestFit="1" customWidth="1"/>
    <col min="2" max="2" width="18.7109375" style="206" customWidth="1"/>
    <col min="3" max="3" width="11.140625" style="206" bestFit="1" customWidth="1"/>
    <col min="4" max="5" width="12.85546875" style="206" customWidth="1"/>
    <col min="6" max="6" width="9.85546875" style="206" customWidth="1"/>
    <col min="7" max="7" width="7.7109375" style="206" bestFit="1" customWidth="1"/>
    <col min="8" max="8" width="9" style="206" bestFit="1" customWidth="1"/>
    <col min="9" max="9" width="10.7109375" style="206" customWidth="1"/>
    <col min="10" max="10" width="8.42578125" style="206" bestFit="1" customWidth="1"/>
    <col min="11" max="16384" width="9.140625" style="206"/>
  </cols>
  <sheetData>
    <row r="1" spans="1:11" ht="15" customHeight="1" x14ac:dyDescent="0.25">
      <c r="A1" s="547" t="s">
        <v>875</v>
      </c>
      <c r="B1" s="547"/>
      <c r="C1" s="547"/>
      <c r="D1" s="547"/>
      <c r="E1" s="547"/>
      <c r="F1" s="547"/>
      <c r="G1" s="547"/>
      <c r="H1" s="547"/>
      <c r="I1" s="547"/>
      <c r="J1" s="547"/>
    </row>
    <row r="2" spans="1:11" ht="15" customHeight="1" x14ac:dyDescent="0.2">
      <c r="A2" s="501" t="s">
        <v>956</v>
      </c>
      <c r="B2" s="548" t="s">
        <v>976</v>
      </c>
      <c r="C2" s="541" t="s">
        <v>70</v>
      </c>
      <c r="D2" s="542"/>
      <c r="E2" s="541">
        <v>43176</v>
      </c>
      <c r="F2" s="542"/>
      <c r="G2" s="541">
        <v>43497</v>
      </c>
      <c r="H2" s="542"/>
      <c r="I2" s="541">
        <v>43542</v>
      </c>
      <c r="J2" s="542"/>
    </row>
    <row r="3" spans="1:11" ht="38.25" x14ac:dyDescent="0.2">
      <c r="A3" s="501"/>
      <c r="B3" s="549"/>
      <c r="C3" s="172" t="s">
        <v>937</v>
      </c>
      <c r="D3" s="92" t="s">
        <v>910</v>
      </c>
      <c r="E3" s="172" t="s">
        <v>937</v>
      </c>
      <c r="F3" s="92" t="s">
        <v>910</v>
      </c>
      <c r="G3" s="172" t="s">
        <v>937</v>
      </c>
      <c r="H3" s="172" t="s">
        <v>977</v>
      </c>
      <c r="I3" s="172" t="s">
        <v>785</v>
      </c>
      <c r="J3" s="92" t="s">
        <v>910</v>
      </c>
    </row>
    <row r="4" spans="1:11" ht="15" customHeight="1" x14ac:dyDescent="0.2">
      <c r="A4" s="543" t="s">
        <v>770</v>
      </c>
      <c r="B4" s="544"/>
      <c r="C4" s="544"/>
      <c r="D4" s="544"/>
      <c r="E4" s="544"/>
      <c r="F4" s="544"/>
      <c r="G4" s="544"/>
      <c r="H4" s="544"/>
      <c r="I4" s="544"/>
      <c r="J4" s="545"/>
    </row>
    <row r="5" spans="1:11" x14ac:dyDescent="0.2">
      <c r="A5" s="210">
        <v>1</v>
      </c>
      <c r="B5" s="175" t="s">
        <v>813</v>
      </c>
      <c r="C5" s="176">
        <v>337.88</v>
      </c>
      <c r="D5" s="176">
        <v>524.86380500000007</v>
      </c>
      <c r="E5" s="211">
        <v>12.799999999999999</v>
      </c>
      <c r="F5" s="211">
        <v>17.360210000000002</v>
      </c>
      <c r="G5" s="176">
        <v>0.86</v>
      </c>
      <c r="H5" s="176">
        <v>1.4700000000000002</v>
      </c>
      <c r="I5" s="176">
        <v>4.4500000000000011</v>
      </c>
      <c r="J5" s="176">
        <v>7.535235000000001</v>
      </c>
      <c r="K5" s="212"/>
    </row>
    <row r="6" spans="1:11" x14ac:dyDescent="0.2">
      <c r="A6" s="210">
        <v>2</v>
      </c>
      <c r="B6" s="175" t="s">
        <v>804</v>
      </c>
      <c r="C6" s="176">
        <v>13987.994999999999</v>
      </c>
      <c r="D6" s="176">
        <v>68811.100360000011</v>
      </c>
      <c r="E6" s="176">
        <v>515.65000000000009</v>
      </c>
      <c r="F6" s="176">
        <v>2149.4538700000003</v>
      </c>
      <c r="G6" s="176">
        <v>828.9599999999997</v>
      </c>
      <c r="H6" s="176">
        <v>4329.4800000000005</v>
      </c>
      <c r="I6" s="176">
        <v>889.62500000000011</v>
      </c>
      <c r="J6" s="176">
        <v>4716.9569500000016</v>
      </c>
      <c r="K6" s="213">
        <f>(J6-H6)/H6*100</f>
        <v>8.9497341482118209</v>
      </c>
    </row>
    <row r="7" spans="1:11" x14ac:dyDescent="0.2">
      <c r="A7" s="210">
        <v>3</v>
      </c>
      <c r="B7" s="175" t="s">
        <v>814</v>
      </c>
      <c r="C7" s="176">
        <v>13218.6</v>
      </c>
      <c r="D7" s="176">
        <v>53111.155020000013</v>
      </c>
      <c r="E7" s="176">
        <v>1172.5</v>
      </c>
      <c r="F7" s="176">
        <v>4358.5096699999995</v>
      </c>
      <c r="G7" s="176">
        <v>528.20000000000005</v>
      </c>
      <c r="H7" s="176">
        <v>2230.23</v>
      </c>
      <c r="I7" s="176">
        <v>682.81999999999982</v>
      </c>
      <c r="J7" s="176">
        <v>2894.3339300000007</v>
      </c>
      <c r="K7" s="213">
        <f t="shared" ref="K7:K21" si="0">(J7-H7)/H7*100</f>
        <v>29.777374082493761</v>
      </c>
    </row>
    <row r="8" spans="1:11" x14ac:dyDescent="0.2">
      <c r="A8" s="210">
        <f>A7+1</f>
        <v>4</v>
      </c>
      <c r="B8" s="175" t="s">
        <v>815</v>
      </c>
      <c r="C8" s="176">
        <v>17753.079999999998</v>
      </c>
      <c r="D8" s="176">
        <v>30394.644850000004</v>
      </c>
      <c r="E8" s="176">
        <v>1468.4299999999998</v>
      </c>
      <c r="F8" s="176">
        <v>2149.17103</v>
      </c>
      <c r="G8" s="176">
        <v>1065.7299999999993</v>
      </c>
      <c r="H8" s="176">
        <v>2127.389999999999</v>
      </c>
      <c r="I8" s="214">
        <v>1416.3999999999999</v>
      </c>
      <c r="J8" s="176">
        <v>3046.0078049999997</v>
      </c>
      <c r="K8" s="213">
        <f t="shared" si="0"/>
        <v>43.180507805338991</v>
      </c>
    </row>
    <row r="9" spans="1:11" x14ac:dyDescent="0.2">
      <c r="A9" s="210">
        <f t="shared" ref="A9:A20" si="1">A8+1</f>
        <v>5</v>
      </c>
      <c r="B9" s="175" t="s">
        <v>816</v>
      </c>
      <c r="C9" s="176">
        <v>3172.3300000000004</v>
      </c>
      <c r="D9" s="176">
        <v>17684.940740000002</v>
      </c>
      <c r="E9" s="176">
        <v>94.67</v>
      </c>
      <c r="F9" s="176">
        <v>495.22882000000004</v>
      </c>
      <c r="G9" s="176">
        <v>121.26000000000002</v>
      </c>
      <c r="H9" s="176">
        <v>760.6099999999999</v>
      </c>
      <c r="I9" s="176">
        <v>211.39</v>
      </c>
      <c r="J9" s="176">
        <v>1385.7470699999999</v>
      </c>
      <c r="K9" s="213">
        <f t="shared" si="0"/>
        <v>82.188910216799684</v>
      </c>
    </row>
    <row r="10" spans="1:11" x14ac:dyDescent="0.2">
      <c r="A10" s="210">
        <f t="shared" si="1"/>
        <v>6</v>
      </c>
      <c r="B10" s="175" t="s">
        <v>817</v>
      </c>
      <c r="C10" s="176">
        <v>26559.059999999998</v>
      </c>
      <c r="D10" s="176">
        <v>113380.16770000001</v>
      </c>
      <c r="E10" s="176">
        <v>2099.2299999999996</v>
      </c>
      <c r="F10" s="176">
        <v>8910.8759849999988</v>
      </c>
      <c r="G10" s="176">
        <v>1216.8</v>
      </c>
      <c r="H10" s="176">
        <v>5140.6400000000021</v>
      </c>
      <c r="I10" s="176">
        <v>1294.9199999999998</v>
      </c>
      <c r="J10" s="176">
        <v>5602.0324049999999</v>
      </c>
      <c r="K10" s="213">
        <f t="shared" si="0"/>
        <v>8.9753883757663946</v>
      </c>
    </row>
    <row r="11" spans="1:11" x14ac:dyDescent="0.2">
      <c r="A11" s="210">
        <f t="shared" si="1"/>
        <v>7</v>
      </c>
      <c r="B11" s="175" t="s">
        <v>818</v>
      </c>
      <c r="C11" s="176">
        <v>6115.0849999999991</v>
      </c>
      <c r="D11" s="176">
        <v>54781.655394999994</v>
      </c>
      <c r="E11" s="176">
        <v>514.63499999999999</v>
      </c>
      <c r="F11" s="176">
        <v>4647.6093449999998</v>
      </c>
      <c r="G11" s="176">
        <v>346.92499999999995</v>
      </c>
      <c r="H11" s="176">
        <v>2908.9599999999991</v>
      </c>
      <c r="I11" s="176">
        <v>392.98500000000001</v>
      </c>
      <c r="J11" s="176">
        <v>3434.2602849999994</v>
      </c>
      <c r="K11" s="213">
        <f t="shared" si="0"/>
        <v>18.058009907320844</v>
      </c>
    </row>
    <row r="12" spans="1:11" x14ac:dyDescent="0.2">
      <c r="A12" s="210">
        <f t="shared" si="1"/>
        <v>8</v>
      </c>
      <c r="B12" s="175" t="s">
        <v>819</v>
      </c>
      <c r="C12" s="176">
        <v>945.13199999999995</v>
      </c>
      <c r="D12" s="176">
        <v>17131.82717</v>
      </c>
      <c r="E12" s="176">
        <v>79.310999999999993</v>
      </c>
      <c r="F12" s="176">
        <v>1159.3116449999998</v>
      </c>
      <c r="G12" s="176">
        <v>41.724000000000011</v>
      </c>
      <c r="H12" s="176">
        <v>644.68000000000006</v>
      </c>
      <c r="I12" s="176">
        <v>55.182000000000002</v>
      </c>
      <c r="J12" s="176">
        <v>857.23291499999993</v>
      </c>
      <c r="K12" s="213">
        <f t="shared" si="0"/>
        <v>32.970297667059604</v>
      </c>
    </row>
    <row r="13" spans="1:11" x14ac:dyDescent="0.2">
      <c r="A13" s="210">
        <f t="shared" si="1"/>
        <v>9</v>
      </c>
      <c r="B13" s="175" t="s">
        <v>820</v>
      </c>
      <c r="C13" s="176">
        <v>2145.4639999999999</v>
      </c>
      <c r="D13" s="176">
        <v>12356.734970000001</v>
      </c>
      <c r="E13" s="176">
        <v>259.38000000000005</v>
      </c>
      <c r="F13" s="176">
        <v>1196.8134699999998</v>
      </c>
      <c r="G13" s="176">
        <v>171.23600000000002</v>
      </c>
      <c r="H13" s="176">
        <v>963.53</v>
      </c>
      <c r="I13" s="176">
        <v>266.24</v>
      </c>
      <c r="J13" s="176">
        <v>1539.8774500000002</v>
      </c>
      <c r="K13" s="213">
        <f t="shared" si="0"/>
        <v>59.816243396676825</v>
      </c>
    </row>
    <row r="14" spans="1:11" x14ac:dyDescent="0.2">
      <c r="A14" s="210">
        <f t="shared" si="1"/>
        <v>10</v>
      </c>
      <c r="B14" s="175" t="s">
        <v>821</v>
      </c>
      <c r="C14" s="176">
        <v>223.24</v>
      </c>
      <c r="D14" s="176">
        <v>240.49833999999996</v>
      </c>
      <c r="E14" s="177">
        <v>5.839999999999999</v>
      </c>
      <c r="F14" s="177">
        <v>6.7935500000000006</v>
      </c>
      <c r="G14" s="176">
        <v>7.0000000000000007E-2</v>
      </c>
      <c r="H14" s="177">
        <v>0.13</v>
      </c>
      <c r="I14" s="177">
        <v>3.05</v>
      </c>
      <c r="J14" s="177">
        <v>5.36707</v>
      </c>
      <c r="K14" s="212"/>
    </row>
    <row r="15" spans="1:11" x14ac:dyDescent="0.2">
      <c r="A15" s="210">
        <f t="shared" si="1"/>
        <v>11</v>
      </c>
      <c r="B15" s="175" t="s">
        <v>822</v>
      </c>
      <c r="C15" s="176">
        <v>9802.68</v>
      </c>
      <c r="D15" s="176">
        <v>39585.788339999992</v>
      </c>
      <c r="E15" s="176">
        <v>926.62999999999988</v>
      </c>
      <c r="F15" s="176">
        <v>3818.4188399999998</v>
      </c>
      <c r="G15" s="176">
        <v>311.92</v>
      </c>
      <c r="H15" s="176">
        <v>1222.1699999999998</v>
      </c>
      <c r="I15" s="176">
        <v>334.28999999999996</v>
      </c>
      <c r="J15" s="176">
        <v>1270.0075399999998</v>
      </c>
      <c r="K15" s="212">
        <f t="shared" si="0"/>
        <v>3.9141477863145058</v>
      </c>
    </row>
    <row r="16" spans="1:11" x14ac:dyDescent="0.2">
      <c r="A16" s="210">
        <f t="shared" si="1"/>
        <v>12</v>
      </c>
      <c r="B16" s="175" t="s">
        <v>823</v>
      </c>
      <c r="C16" s="211">
        <v>0.02</v>
      </c>
      <c r="D16" s="177">
        <v>6.0859999999999997E-2</v>
      </c>
      <c r="E16" s="177">
        <v>0.05</v>
      </c>
      <c r="F16" s="177">
        <v>0.15640999999999999</v>
      </c>
      <c r="G16" s="197">
        <v>0</v>
      </c>
      <c r="H16" s="197">
        <v>0</v>
      </c>
      <c r="I16" s="197">
        <v>0</v>
      </c>
      <c r="J16" s="197">
        <v>0</v>
      </c>
      <c r="K16" s="212"/>
    </row>
    <row r="17" spans="1:11" x14ac:dyDescent="0.2">
      <c r="A17" s="210">
        <f t="shared" si="1"/>
        <v>13</v>
      </c>
      <c r="B17" s="175" t="s">
        <v>824</v>
      </c>
      <c r="C17" s="176">
        <v>17443.919999999998</v>
      </c>
      <c r="D17" s="176">
        <v>61861.207789999993</v>
      </c>
      <c r="E17" s="176">
        <v>2017.9699999999998</v>
      </c>
      <c r="F17" s="176">
        <v>7667.2976299999991</v>
      </c>
      <c r="G17" s="176">
        <v>1393.0799999999997</v>
      </c>
      <c r="H17" s="176">
        <v>5262.3900000000012</v>
      </c>
      <c r="I17" s="176">
        <v>1211.8800000000001</v>
      </c>
      <c r="J17" s="176">
        <v>4484.4546100000007</v>
      </c>
      <c r="K17" s="212">
        <f t="shared" si="0"/>
        <v>-14.782929239376033</v>
      </c>
    </row>
    <row r="18" spans="1:11" x14ac:dyDescent="0.2">
      <c r="A18" s="210">
        <f t="shared" si="1"/>
        <v>14</v>
      </c>
      <c r="B18" s="175" t="s">
        <v>825</v>
      </c>
      <c r="C18" s="176">
        <v>6903.1500000000005</v>
      </c>
      <c r="D18" s="176">
        <v>51898.647220000006</v>
      </c>
      <c r="E18" s="176">
        <v>775.1099999999999</v>
      </c>
      <c r="F18" s="176">
        <v>6071.7795750000014</v>
      </c>
      <c r="G18" s="176">
        <v>430.73000000000013</v>
      </c>
      <c r="H18" s="176">
        <v>3288.7599999999998</v>
      </c>
      <c r="I18" s="176">
        <v>415.67</v>
      </c>
      <c r="J18" s="176">
        <v>3084.6171850000001</v>
      </c>
      <c r="K18" s="212">
        <f t="shared" si="0"/>
        <v>-6.2072883092715712</v>
      </c>
    </row>
    <row r="19" spans="1:11" x14ac:dyDescent="0.2">
      <c r="A19" s="210">
        <f t="shared" si="1"/>
        <v>15</v>
      </c>
      <c r="B19" s="175" t="s">
        <v>826</v>
      </c>
      <c r="C19" s="176">
        <v>1344.9850000000004</v>
      </c>
      <c r="D19" s="176">
        <v>9328.0866999999998</v>
      </c>
      <c r="E19" s="176">
        <v>99.990000000000009</v>
      </c>
      <c r="F19" s="176">
        <v>679.57288999999969</v>
      </c>
      <c r="G19" s="176">
        <v>32.555</v>
      </c>
      <c r="H19" s="176">
        <v>204.98999999999998</v>
      </c>
      <c r="I19" s="176">
        <v>57.545000000000009</v>
      </c>
      <c r="J19" s="176">
        <v>358.99447000000009</v>
      </c>
      <c r="K19" s="213">
        <f t="shared" si="0"/>
        <v>75.127796477877027</v>
      </c>
    </row>
    <row r="20" spans="1:11" x14ac:dyDescent="0.2">
      <c r="A20" s="210">
        <f t="shared" si="1"/>
        <v>16</v>
      </c>
      <c r="B20" s="175" t="s">
        <v>827</v>
      </c>
      <c r="C20" s="176">
        <v>172.27999999999997</v>
      </c>
      <c r="D20" s="176">
        <v>322.39863000000003</v>
      </c>
      <c r="E20" s="176">
        <v>13.990000000000002</v>
      </c>
      <c r="F20" s="176">
        <v>24.25112</v>
      </c>
      <c r="G20" s="176">
        <v>0.89000000000000024</v>
      </c>
      <c r="H20" s="176">
        <v>1.8000000000000005</v>
      </c>
      <c r="I20" s="176">
        <v>0.82000000000000006</v>
      </c>
      <c r="J20" s="176">
        <v>1.5038799999999999</v>
      </c>
      <c r="K20" s="212">
        <f t="shared" si="0"/>
        <v>-16.451111111111143</v>
      </c>
    </row>
    <row r="21" spans="1:11" x14ac:dyDescent="0.2">
      <c r="A21" s="215"/>
      <c r="B21" s="183" t="s">
        <v>150</v>
      </c>
      <c r="C21" s="184">
        <f t="shared" ref="C21:J21" si="2">SUM(C5:C20)</f>
        <v>120124.901</v>
      </c>
      <c r="D21" s="184">
        <f t="shared" si="2"/>
        <v>531413.77789000003</v>
      </c>
      <c r="E21" s="184">
        <f t="shared" si="2"/>
        <v>10056.186</v>
      </c>
      <c r="F21" s="184">
        <f t="shared" si="2"/>
        <v>43352.604059999998</v>
      </c>
      <c r="G21" s="184">
        <f t="shared" si="2"/>
        <v>6490.9400000000005</v>
      </c>
      <c r="H21" s="184">
        <f t="shared" si="2"/>
        <v>29087.23</v>
      </c>
      <c r="I21" s="184">
        <f t="shared" si="2"/>
        <v>7237.2669999999989</v>
      </c>
      <c r="J21" s="184">
        <f t="shared" si="2"/>
        <v>32688.928800000002</v>
      </c>
      <c r="K21" s="212">
        <f t="shared" si="0"/>
        <v>12.382405612359795</v>
      </c>
    </row>
    <row r="22" spans="1:11" x14ac:dyDescent="0.2">
      <c r="A22" s="546" t="s">
        <v>771</v>
      </c>
      <c r="B22" s="546"/>
      <c r="C22" s="546"/>
      <c r="D22" s="546"/>
      <c r="E22" s="546"/>
      <c r="F22" s="546"/>
      <c r="G22" s="546"/>
      <c r="H22" s="546"/>
      <c r="I22" s="546"/>
      <c r="J22" s="546"/>
      <c r="K22" s="212"/>
    </row>
    <row r="23" spans="1:11" x14ac:dyDescent="0.2">
      <c r="A23" s="216">
        <v>1</v>
      </c>
      <c r="B23" s="175" t="s">
        <v>814</v>
      </c>
      <c r="C23" s="197">
        <v>0.33</v>
      </c>
      <c r="D23" s="197">
        <v>1.42</v>
      </c>
      <c r="E23" s="197" t="s">
        <v>916</v>
      </c>
      <c r="F23" s="197" t="s">
        <v>916</v>
      </c>
      <c r="G23" s="197">
        <v>0</v>
      </c>
      <c r="H23" s="197">
        <v>0</v>
      </c>
      <c r="I23" s="197">
        <v>0</v>
      </c>
      <c r="J23" s="197">
        <v>0</v>
      </c>
      <c r="K23" s="212"/>
    </row>
    <row r="24" spans="1:11" x14ac:dyDescent="0.2">
      <c r="A24" s="216">
        <v>2</v>
      </c>
      <c r="B24" s="175" t="s">
        <v>818</v>
      </c>
      <c r="C24" s="197">
        <v>0.12</v>
      </c>
      <c r="D24" s="197">
        <v>1.18</v>
      </c>
      <c r="E24" s="197" t="s">
        <v>916</v>
      </c>
      <c r="F24" s="197" t="s">
        <v>916</v>
      </c>
      <c r="G24" s="197">
        <v>0</v>
      </c>
      <c r="H24" s="197">
        <v>0</v>
      </c>
      <c r="I24" s="197">
        <v>0</v>
      </c>
      <c r="J24" s="197">
        <v>0</v>
      </c>
      <c r="K24" s="212"/>
    </row>
    <row r="25" spans="1:11" x14ac:dyDescent="0.2">
      <c r="A25" s="216">
        <v>3</v>
      </c>
      <c r="B25" s="175" t="s">
        <v>978</v>
      </c>
      <c r="C25" s="197">
        <v>38.839999999999996</v>
      </c>
      <c r="D25" s="197">
        <v>168.85999999999999</v>
      </c>
      <c r="E25" s="197">
        <v>8.98</v>
      </c>
      <c r="F25" s="197">
        <v>40</v>
      </c>
      <c r="G25" s="197">
        <v>1.1000000000000001</v>
      </c>
      <c r="H25" s="197">
        <v>4.82</v>
      </c>
      <c r="I25" s="197">
        <v>1.1599999999999999</v>
      </c>
      <c r="J25" s="197">
        <v>5.13</v>
      </c>
      <c r="K25" s="212"/>
    </row>
    <row r="26" spans="1:11" x14ac:dyDescent="0.2">
      <c r="A26" s="216">
        <v>4</v>
      </c>
      <c r="B26" s="175" t="s">
        <v>979</v>
      </c>
      <c r="C26" s="197">
        <v>0.24</v>
      </c>
      <c r="D26" s="197">
        <v>0.81</v>
      </c>
      <c r="E26" s="197" t="s">
        <v>916</v>
      </c>
      <c r="F26" s="197" t="s">
        <v>916</v>
      </c>
      <c r="G26" s="197">
        <v>0</v>
      </c>
      <c r="H26" s="197">
        <v>0</v>
      </c>
      <c r="I26" s="197">
        <v>0</v>
      </c>
      <c r="J26" s="197">
        <v>0</v>
      </c>
      <c r="K26" s="212"/>
    </row>
    <row r="27" spans="1:11" x14ac:dyDescent="0.2">
      <c r="A27" s="216">
        <v>5</v>
      </c>
      <c r="B27" s="175" t="s">
        <v>980</v>
      </c>
      <c r="C27" s="197">
        <v>0.21</v>
      </c>
      <c r="D27" s="197">
        <v>1.6</v>
      </c>
      <c r="E27" s="197" t="s">
        <v>916</v>
      </c>
      <c r="F27" s="197" t="s">
        <v>916</v>
      </c>
      <c r="G27" s="197">
        <v>0</v>
      </c>
      <c r="H27" s="197">
        <v>0</v>
      </c>
      <c r="I27" s="197">
        <v>0</v>
      </c>
      <c r="J27" s="197">
        <v>0</v>
      </c>
      <c r="K27" s="212"/>
    </row>
    <row r="28" spans="1:11" x14ac:dyDescent="0.2">
      <c r="A28" s="175"/>
      <c r="B28" s="183" t="s">
        <v>150</v>
      </c>
      <c r="C28" s="217">
        <f t="shared" ref="C28:J28" si="3">SUM(C23:C27)</f>
        <v>39.74</v>
      </c>
      <c r="D28" s="217">
        <f t="shared" si="3"/>
        <v>173.86999999999998</v>
      </c>
      <c r="E28" s="217">
        <f t="shared" si="3"/>
        <v>8.98</v>
      </c>
      <c r="F28" s="217">
        <f t="shared" si="3"/>
        <v>40</v>
      </c>
      <c r="G28" s="217">
        <f t="shared" si="3"/>
        <v>1.1000000000000001</v>
      </c>
      <c r="H28" s="217">
        <f t="shared" si="3"/>
        <v>4.82</v>
      </c>
      <c r="I28" s="217">
        <f t="shared" si="3"/>
        <v>1.1599999999999999</v>
      </c>
      <c r="J28" s="217">
        <f t="shared" si="3"/>
        <v>5.13</v>
      </c>
      <c r="K28" s="212"/>
    </row>
    <row r="29" spans="1:11" x14ac:dyDescent="0.2">
      <c r="A29" s="203" t="str">
        <f>'66'!A18</f>
        <v>$ indicates as on March 29, 2019</v>
      </c>
      <c r="B29" s="218"/>
      <c r="G29" s="206" t="s">
        <v>903</v>
      </c>
      <c r="H29" s="206" t="s">
        <v>903</v>
      </c>
      <c r="I29" s="206" t="s">
        <v>903</v>
      </c>
      <c r="K29" s="212"/>
    </row>
    <row r="30" spans="1:11" x14ac:dyDescent="0.2">
      <c r="A30" s="219" t="s">
        <v>830</v>
      </c>
      <c r="B30" s="218"/>
      <c r="E30" s="206" t="s">
        <v>903</v>
      </c>
      <c r="G30" s="206" t="s">
        <v>903</v>
      </c>
      <c r="H30" s="197">
        <f>(J6-H6)/H6*100</f>
        <v>8.9497341482118209</v>
      </c>
      <c r="K30" s="212"/>
    </row>
    <row r="31" spans="1:11" x14ac:dyDescent="0.2">
      <c r="A31" s="218" t="s">
        <v>787</v>
      </c>
      <c r="K31" s="212"/>
    </row>
  </sheetData>
  <mergeCells count="9">
    <mergeCell ref="A4:J4"/>
    <mergeCell ref="A22:J22"/>
    <mergeCell ref="A1:J1"/>
    <mergeCell ref="A2:A3"/>
    <mergeCell ref="B2:B3"/>
    <mergeCell ref="C2:D2"/>
    <mergeCell ref="E2:F2"/>
    <mergeCell ref="G2:H2"/>
    <mergeCell ref="I2:J2"/>
  </mergeCells>
  <pageMargins left="0.7" right="0.7" top="0.75" bottom="0.75" header="0.3" footer="0.3"/>
  <pageSetup paperSize="9" scale="82"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6">
    <pageSetUpPr fitToPage="1"/>
  </sheetPr>
  <dimension ref="A1:M50"/>
  <sheetViews>
    <sheetView workbookViewId="0"/>
  </sheetViews>
  <sheetFormatPr defaultRowHeight="12.75" x14ac:dyDescent="0.2"/>
  <cols>
    <col min="1" max="1" width="5.7109375" style="206" bestFit="1" customWidth="1"/>
    <col min="2" max="2" width="20.42578125" style="206" customWidth="1"/>
    <col min="3" max="3" width="11.42578125" style="206" customWidth="1"/>
    <col min="4" max="4" width="13.85546875" style="206" customWidth="1"/>
    <col min="5" max="5" width="16.85546875" style="206" customWidth="1"/>
    <col min="6" max="6" width="13.28515625" style="206" customWidth="1"/>
    <col min="7" max="7" width="11.140625" style="206" customWidth="1"/>
    <col min="8" max="8" width="12.85546875" style="206" customWidth="1"/>
    <col min="9" max="9" width="11.140625" style="206" customWidth="1"/>
    <col min="10" max="10" width="15.42578125" style="206" customWidth="1"/>
    <col min="11" max="16384" width="9.140625" style="206"/>
  </cols>
  <sheetData>
    <row r="1" spans="1:12" ht="15" x14ac:dyDescent="0.2">
      <c r="A1" s="220" t="s">
        <v>876</v>
      </c>
      <c r="B1" s="220"/>
      <c r="C1" s="220"/>
      <c r="D1" s="220"/>
      <c r="E1" s="220"/>
      <c r="F1" s="220"/>
      <c r="G1" s="220"/>
      <c r="H1" s="220"/>
      <c r="I1" s="220"/>
      <c r="J1" s="220"/>
    </row>
    <row r="2" spans="1:12" x14ac:dyDescent="0.2">
      <c r="A2" s="558" t="s">
        <v>956</v>
      </c>
      <c r="B2" s="558" t="s">
        <v>794</v>
      </c>
      <c r="C2" s="560" t="s">
        <v>70</v>
      </c>
      <c r="D2" s="561"/>
      <c r="E2" s="560">
        <v>43187</v>
      </c>
      <c r="F2" s="561"/>
      <c r="G2" s="560">
        <v>43497</v>
      </c>
      <c r="H2" s="561"/>
      <c r="I2" s="560">
        <v>43525</v>
      </c>
      <c r="J2" s="561"/>
    </row>
    <row r="3" spans="1:12" ht="25.5" x14ac:dyDescent="0.2">
      <c r="A3" s="559"/>
      <c r="B3" s="559"/>
      <c r="C3" s="221" t="s">
        <v>927</v>
      </c>
      <c r="D3" s="222" t="s">
        <v>910</v>
      </c>
      <c r="E3" s="221" t="s">
        <v>927</v>
      </c>
      <c r="F3" s="222" t="s">
        <v>910</v>
      </c>
      <c r="G3" s="221" t="s">
        <v>927</v>
      </c>
      <c r="H3" s="222" t="s">
        <v>910</v>
      </c>
      <c r="I3" s="221" t="s">
        <v>927</v>
      </c>
      <c r="J3" s="222" t="s">
        <v>910</v>
      </c>
    </row>
    <row r="4" spans="1:12" x14ac:dyDescent="0.2">
      <c r="A4" s="223" t="s">
        <v>981</v>
      </c>
      <c r="B4" s="551" t="s">
        <v>902</v>
      </c>
      <c r="C4" s="552"/>
      <c r="D4" s="552"/>
      <c r="E4" s="552"/>
      <c r="F4" s="552"/>
      <c r="G4" s="552"/>
      <c r="H4" s="552"/>
      <c r="I4" s="552"/>
      <c r="J4" s="553"/>
    </row>
    <row r="5" spans="1:12" x14ac:dyDescent="0.2">
      <c r="A5" s="216">
        <v>1</v>
      </c>
      <c r="B5" s="224" t="s">
        <v>982</v>
      </c>
      <c r="C5" s="182">
        <v>575.43999999999994</v>
      </c>
      <c r="D5" s="182">
        <v>2504.8147100000001</v>
      </c>
      <c r="E5" s="182">
        <v>5.9569999999999999</v>
      </c>
      <c r="F5" s="182">
        <v>248.96686</v>
      </c>
      <c r="G5" s="225">
        <v>0</v>
      </c>
      <c r="H5" s="225">
        <v>0</v>
      </c>
      <c r="I5" s="225">
        <v>0</v>
      </c>
      <c r="J5" s="225">
        <v>0</v>
      </c>
    </row>
    <row r="6" spans="1:12" x14ac:dyDescent="0.2">
      <c r="A6" s="216">
        <v>2</v>
      </c>
      <c r="B6" s="224" t="s">
        <v>983</v>
      </c>
      <c r="C6" s="182">
        <v>293.40899999999999</v>
      </c>
      <c r="D6" s="182">
        <v>1148.3630459999997</v>
      </c>
      <c r="E6" s="182">
        <v>116.114</v>
      </c>
      <c r="F6" s="182">
        <v>492.02357599999999</v>
      </c>
      <c r="G6" s="225">
        <v>0</v>
      </c>
      <c r="H6" s="225">
        <v>0</v>
      </c>
      <c r="I6" s="225">
        <v>0</v>
      </c>
      <c r="J6" s="225">
        <v>0</v>
      </c>
    </row>
    <row r="7" spans="1:12" x14ac:dyDescent="0.2">
      <c r="A7" s="216">
        <v>3</v>
      </c>
      <c r="B7" s="224" t="s">
        <v>984</v>
      </c>
      <c r="C7" s="182">
        <v>268.35138000000001</v>
      </c>
      <c r="D7" s="182">
        <v>2222.6461600000007</v>
      </c>
      <c r="E7" s="182">
        <v>6.7969999999999997</v>
      </c>
      <c r="F7" s="182">
        <v>641.79173100000003</v>
      </c>
      <c r="G7" s="225">
        <v>0</v>
      </c>
      <c r="H7" s="225">
        <v>0</v>
      </c>
      <c r="I7" s="225">
        <v>0</v>
      </c>
      <c r="J7" s="225">
        <v>0</v>
      </c>
    </row>
    <row r="8" spans="1:12" x14ac:dyDescent="0.2">
      <c r="A8" s="216">
        <v>4</v>
      </c>
      <c r="B8" s="224" t="s">
        <v>985</v>
      </c>
      <c r="C8" s="188">
        <v>7.8200000000000006E-2</v>
      </c>
      <c r="D8" s="182">
        <v>2.9585733000000003</v>
      </c>
      <c r="E8" s="226">
        <v>0.39900000000000002</v>
      </c>
      <c r="F8" s="182">
        <v>1.5389759999999999</v>
      </c>
      <c r="G8" s="225">
        <v>0</v>
      </c>
      <c r="H8" s="225">
        <v>0</v>
      </c>
      <c r="I8" s="225">
        <v>0</v>
      </c>
      <c r="J8" s="225">
        <v>0</v>
      </c>
    </row>
    <row r="9" spans="1:12" x14ac:dyDescent="0.2">
      <c r="A9" s="216">
        <v>5</v>
      </c>
      <c r="B9" s="224" t="s">
        <v>986</v>
      </c>
      <c r="C9" s="182">
        <v>1090.9100000000001</v>
      </c>
      <c r="D9" s="182">
        <v>3854.9999099999995</v>
      </c>
      <c r="E9" s="182">
        <v>24.059000000000001</v>
      </c>
      <c r="F9" s="182">
        <v>846.41869499999996</v>
      </c>
      <c r="G9" s="225">
        <v>0</v>
      </c>
      <c r="H9" s="225">
        <v>0</v>
      </c>
      <c r="I9" s="225">
        <v>0</v>
      </c>
      <c r="J9" s="225">
        <v>0</v>
      </c>
      <c r="K9" s="206" t="s">
        <v>903</v>
      </c>
    </row>
    <row r="10" spans="1:12" x14ac:dyDescent="0.2">
      <c r="A10" s="216">
        <v>6</v>
      </c>
      <c r="B10" s="224" t="s">
        <v>987</v>
      </c>
      <c r="C10" s="182">
        <v>857.20999999999992</v>
      </c>
      <c r="D10" s="182">
        <v>3629.4284029999994</v>
      </c>
      <c r="E10" s="182">
        <v>18.727</v>
      </c>
      <c r="F10" s="182">
        <v>807.69394999999997</v>
      </c>
      <c r="G10" s="225">
        <v>0</v>
      </c>
      <c r="H10" s="225">
        <v>0</v>
      </c>
      <c r="I10" s="225">
        <v>0</v>
      </c>
      <c r="J10" s="225">
        <v>0</v>
      </c>
    </row>
    <row r="11" spans="1:12" x14ac:dyDescent="0.2">
      <c r="A11" s="216">
        <v>7</v>
      </c>
      <c r="B11" s="224" t="s">
        <v>988</v>
      </c>
      <c r="C11" s="182">
        <v>110.828</v>
      </c>
      <c r="D11" s="182">
        <v>1408.96</v>
      </c>
      <c r="E11" s="182">
        <v>14.791</v>
      </c>
      <c r="F11" s="182">
        <v>184.85085000000001</v>
      </c>
      <c r="G11" s="182">
        <v>15.023</v>
      </c>
      <c r="H11" s="182">
        <v>189.9</v>
      </c>
      <c r="I11" s="182">
        <v>18.309999999999999</v>
      </c>
      <c r="J11" s="182">
        <v>238.73</v>
      </c>
    </row>
    <row r="12" spans="1:12" x14ac:dyDescent="0.2">
      <c r="A12" s="216">
        <v>8</v>
      </c>
      <c r="B12" s="227" t="s">
        <v>989</v>
      </c>
      <c r="C12" s="182">
        <v>519690.18</v>
      </c>
      <c r="D12" s="182">
        <v>18370.679700000001</v>
      </c>
      <c r="E12" s="182">
        <v>10377.18</v>
      </c>
      <c r="F12" s="182">
        <v>342.39</v>
      </c>
      <c r="G12" s="182">
        <v>126980.01</v>
      </c>
      <c r="H12" s="182">
        <v>4530.7897000000003</v>
      </c>
      <c r="I12" s="182">
        <v>112666.05</v>
      </c>
      <c r="J12" s="182">
        <v>3921.69</v>
      </c>
      <c r="L12" s="206" t="s">
        <v>903</v>
      </c>
    </row>
    <row r="13" spans="1:12" x14ac:dyDescent="0.2">
      <c r="A13" s="216">
        <v>9</v>
      </c>
      <c r="B13" s="227" t="s">
        <v>990</v>
      </c>
      <c r="C13" s="182">
        <v>33369.17</v>
      </c>
      <c r="D13" s="182">
        <v>530.26409999999998</v>
      </c>
      <c r="E13" s="182">
        <v>4886.28</v>
      </c>
      <c r="F13" s="182">
        <v>73.680000000000007</v>
      </c>
      <c r="G13" s="182">
        <v>44.01</v>
      </c>
      <c r="H13" s="182">
        <v>0.71409999999999996</v>
      </c>
      <c r="I13" s="182">
        <v>8793.58</v>
      </c>
      <c r="J13" s="182">
        <v>140.31</v>
      </c>
    </row>
    <row r="14" spans="1:12" x14ac:dyDescent="0.2">
      <c r="A14" s="216">
        <v>10</v>
      </c>
      <c r="B14" s="227" t="s">
        <v>991</v>
      </c>
      <c r="C14" s="182">
        <v>55.94</v>
      </c>
      <c r="D14" s="182">
        <v>0.637046</v>
      </c>
      <c r="E14" s="182" t="s">
        <v>850</v>
      </c>
      <c r="F14" s="182" t="s">
        <v>850</v>
      </c>
      <c r="G14" s="182">
        <v>1</v>
      </c>
      <c r="H14" s="188">
        <v>1E-4</v>
      </c>
      <c r="I14" s="225">
        <v>0.33</v>
      </c>
      <c r="J14" s="228">
        <v>3.6459999999999999E-3</v>
      </c>
    </row>
    <row r="15" spans="1:12" x14ac:dyDescent="0.2">
      <c r="A15" s="216">
        <v>11</v>
      </c>
      <c r="B15" s="227" t="s">
        <v>992</v>
      </c>
      <c r="C15" s="182">
        <v>1155.8499999999999</v>
      </c>
      <c r="D15" s="182">
        <v>4062.6532999999995</v>
      </c>
      <c r="E15" s="182" t="s">
        <v>850</v>
      </c>
      <c r="F15" s="182" t="s">
        <v>850</v>
      </c>
      <c r="G15" s="182">
        <v>175.93</v>
      </c>
      <c r="H15" s="182">
        <v>611.1</v>
      </c>
      <c r="I15" s="182">
        <v>169.07</v>
      </c>
      <c r="J15" s="182">
        <v>577.15</v>
      </c>
    </row>
    <row r="16" spans="1:12" x14ac:dyDescent="0.2">
      <c r="A16" s="216"/>
      <c r="B16" s="229" t="s">
        <v>993</v>
      </c>
      <c r="C16" s="230">
        <f>SUM(C5:C15)</f>
        <v>557467.36657999991</v>
      </c>
      <c r="D16" s="230">
        <f t="shared" ref="D16:J16" si="0">SUM(D5:D15)</f>
        <v>37736.404948300005</v>
      </c>
      <c r="E16" s="230">
        <f t="shared" si="0"/>
        <v>15450.304</v>
      </c>
      <c r="F16" s="230">
        <f t="shared" si="0"/>
        <v>3639.3546379999993</v>
      </c>
      <c r="G16" s="230">
        <f t="shared" si="0"/>
        <v>127215.97299999998</v>
      </c>
      <c r="H16" s="230">
        <f t="shared" si="0"/>
        <v>5332.5039000000006</v>
      </c>
      <c r="I16" s="230">
        <f t="shared" si="0"/>
        <v>121647.34000000001</v>
      </c>
      <c r="J16" s="230">
        <f t="shared" si="0"/>
        <v>4877.8836460000002</v>
      </c>
      <c r="K16" s="231"/>
    </row>
    <row r="17" spans="1:13" x14ac:dyDescent="0.2">
      <c r="A17" s="232" t="s">
        <v>994</v>
      </c>
      <c r="B17" s="554" t="s">
        <v>257</v>
      </c>
      <c r="C17" s="555"/>
      <c r="D17" s="555"/>
      <c r="E17" s="555"/>
      <c r="F17" s="555"/>
      <c r="G17" s="555"/>
      <c r="H17" s="555"/>
      <c r="I17" s="555"/>
      <c r="J17" s="555"/>
    </row>
    <row r="18" spans="1:13" x14ac:dyDescent="0.2">
      <c r="A18" s="216">
        <v>1</v>
      </c>
      <c r="B18" s="233" t="s">
        <v>795</v>
      </c>
      <c r="C18" s="234">
        <v>8.0027000000000001E-2</v>
      </c>
      <c r="D18" s="235">
        <v>25401.373380000001</v>
      </c>
      <c r="E18" s="236" t="s">
        <v>916</v>
      </c>
      <c r="F18" s="236" t="s">
        <v>916</v>
      </c>
      <c r="G18" s="237">
        <v>5.2030000000000002E-3</v>
      </c>
      <c r="H18" s="236">
        <v>1730.5033000000001</v>
      </c>
      <c r="I18" s="236">
        <v>3.9719999999999998E-3</v>
      </c>
      <c r="J18" s="236">
        <v>1272.55008</v>
      </c>
      <c r="K18" s="238">
        <f>H18/H26*100</f>
        <v>45.445457263763586</v>
      </c>
      <c r="L18" s="238">
        <f>J18/J26*100</f>
        <v>28.75814182169708</v>
      </c>
    </row>
    <row r="19" spans="1:13" x14ac:dyDescent="0.2">
      <c r="A19" s="216">
        <v>2</v>
      </c>
      <c r="B19" s="233" t="s">
        <v>796</v>
      </c>
      <c r="C19" s="234">
        <v>0.69156000000000006</v>
      </c>
      <c r="D19" s="235">
        <v>2658.8459289999996</v>
      </c>
      <c r="E19" s="236" t="s">
        <v>916</v>
      </c>
      <c r="F19" s="236" t="s">
        <v>916</v>
      </c>
      <c r="G19" s="237">
        <v>6.3840000000000008E-2</v>
      </c>
      <c r="H19" s="236">
        <v>256.20736499999998</v>
      </c>
      <c r="I19" s="236">
        <v>6.1289999999999997E-2</v>
      </c>
      <c r="J19" s="236">
        <v>235.36856399999999</v>
      </c>
      <c r="K19" s="238">
        <f>H19/H26*100</f>
        <v>6.7283667455410088</v>
      </c>
      <c r="L19" s="238">
        <f>J19/J26*100</f>
        <v>5.3190539612249967</v>
      </c>
    </row>
    <row r="20" spans="1:13" x14ac:dyDescent="0.2">
      <c r="A20" s="216">
        <v>3</v>
      </c>
      <c r="B20" s="233" t="s">
        <v>995</v>
      </c>
      <c r="C20" s="239">
        <v>7.7</v>
      </c>
      <c r="D20" s="235">
        <v>4.29</v>
      </c>
      <c r="E20" s="236" t="s">
        <v>916</v>
      </c>
      <c r="F20" s="236" t="s">
        <v>916</v>
      </c>
      <c r="G20" s="225">
        <v>0</v>
      </c>
      <c r="H20" s="225">
        <v>0</v>
      </c>
      <c r="I20" s="225">
        <v>0</v>
      </c>
      <c r="J20" s="225">
        <v>0</v>
      </c>
      <c r="K20" s="238"/>
    </row>
    <row r="21" spans="1:13" x14ac:dyDescent="0.2">
      <c r="A21" s="216">
        <v>4</v>
      </c>
      <c r="B21" s="233" t="s">
        <v>799</v>
      </c>
      <c r="C21" s="240">
        <v>2.1000000000000001E-2</v>
      </c>
      <c r="D21" s="241">
        <v>0.99</v>
      </c>
      <c r="E21" s="236" t="s">
        <v>916</v>
      </c>
      <c r="F21" s="236" t="s">
        <v>916</v>
      </c>
      <c r="G21" s="225">
        <v>0</v>
      </c>
      <c r="H21" s="225">
        <v>0</v>
      </c>
      <c r="I21" s="225">
        <v>0</v>
      </c>
      <c r="J21" s="225">
        <v>0</v>
      </c>
      <c r="K21" s="238"/>
    </row>
    <row r="22" spans="1:13" x14ac:dyDescent="0.2">
      <c r="A22" s="216">
        <v>5</v>
      </c>
      <c r="B22" s="233" t="s">
        <v>996</v>
      </c>
      <c r="C22" s="240">
        <v>5.9899999999999992E-5</v>
      </c>
      <c r="D22" s="242">
        <v>19.364080000000001</v>
      </c>
      <c r="E22" s="236" t="s">
        <v>916</v>
      </c>
      <c r="F22" s="236" t="s">
        <v>916</v>
      </c>
      <c r="G22" s="228">
        <v>1.06E-5</v>
      </c>
      <c r="H22" s="228">
        <v>3.5398909999999999</v>
      </c>
      <c r="I22" s="236">
        <v>4.9299999999999999E-5</v>
      </c>
      <c r="J22" s="243">
        <v>15.824189000000001</v>
      </c>
      <c r="K22" s="238">
        <f>H22/H26*100</f>
        <v>9.2962530125704657E-2</v>
      </c>
      <c r="L22" s="238">
        <f>J22/J26*100</f>
        <v>0.35760814338665475</v>
      </c>
    </row>
    <row r="23" spans="1:13" x14ac:dyDescent="0.2">
      <c r="A23" s="216">
        <v>6</v>
      </c>
      <c r="B23" s="233" t="s">
        <v>997</v>
      </c>
      <c r="C23" s="240">
        <v>0.23</v>
      </c>
      <c r="D23" s="242">
        <v>1.9543349999999999</v>
      </c>
      <c r="E23" s="236" t="s">
        <v>916</v>
      </c>
      <c r="F23" s="236" t="s">
        <v>916</v>
      </c>
      <c r="G23" s="228">
        <v>0.14000000000000001</v>
      </c>
      <c r="H23" s="228">
        <v>1.1745049999999999</v>
      </c>
      <c r="I23" s="236">
        <v>0.09</v>
      </c>
      <c r="J23" s="243">
        <v>0.77983000000000002</v>
      </c>
      <c r="K23" s="244">
        <f>H23/H26*100</f>
        <v>3.0844157756634523E-2</v>
      </c>
      <c r="L23" s="244">
        <f>J23/J26*100</f>
        <v>1.7623244923149928E-2</v>
      </c>
    </row>
    <row r="24" spans="1:13" x14ac:dyDescent="0.2">
      <c r="A24" s="216">
        <v>7</v>
      </c>
      <c r="B24" s="233" t="s">
        <v>998</v>
      </c>
      <c r="C24" s="245">
        <v>630.1</v>
      </c>
      <c r="D24" s="246">
        <v>2704.3544200000001</v>
      </c>
      <c r="E24" s="236" t="s">
        <v>916</v>
      </c>
      <c r="F24" s="236" t="s">
        <v>916</v>
      </c>
      <c r="G24" s="228">
        <v>297.98</v>
      </c>
      <c r="H24" s="247">
        <v>1266.1916450000001</v>
      </c>
      <c r="I24" s="236">
        <v>332.12</v>
      </c>
      <c r="J24" s="247">
        <v>1438.162775</v>
      </c>
      <c r="K24" s="238">
        <f>H24/H26*100</f>
        <v>33.251978364087499</v>
      </c>
      <c r="L24" s="238">
        <f>J24/J26*100</f>
        <v>32.500794818334725</v>
      </c>
      <c r="M24" s="238">
        <f>SUM(L23:L24)</f>
        <v>32.518418063257876</v>
      </c>
    </row>
    <row r="25" spans="1:13" x14ac:dyDescent="0.2">
      <c r="A25" s="216">
        <v>8</v>
      </c>
      <c r="B25" s="233" t="s">
        <v>805</v>
      </c>
      <c r="C25" s="245">
        <v>163.08525</v>
      </c>
      <c r="D25" s="246">
        <v>2012.5744749999999</v>
      </c>
      <c r="E25" s="236" t="s">
        <v>916</v>
      </c>
      <c r="F25" s="236" t="s">
        <v>916</v>
      </c>
      <c r="G25" s="228">
        <v>45.610999999999997</v>
      </c>
      <c r="H25" s="228">
        <v>550.25189999999998</v>
      </c>
      <c r="I25" s="236">
        <v>117.47425</v>
      </c>
      <c r="J25" s="247">
        <v>1462.3225749999999</v>
      </c>
      <c r="K25" s="238">
        <f>H25/H26*100</f>
        <v>14.450390938725576</v>
      </c>
      <c r="L25" s="238">
        <f>J25/J26*100</f>
        <v>33.0467780104334</v>
      </c>
    </row>
    <row r="26" spans="1:13" x14ac:dyDescent="0.2">
      <c r="A26" s="216"/>
      <c r="B26" s="248" t="s">
        <v>999</v>
      </c>
      <c r="C26" s="249">
        <f>SUM(C18:C25)</f>
        <v>801.90789689999997</v>
      </c>
      <c r="D26" s="249">
        <f>SUM(D18:D25)</f>
        <v>32803.746618999998</v>
      </c>
      <c r="E26" s="249" t="s">
        <v>916</v>
      </c>
      <c r="F26" s="249" t="s">
        <v>916</v>
      </c>
      <c r="G26" s="249">
        <f>SUM(G18:G25)</f>
        <v>343.80005360000001</v>
      </c>
      <c r="H26" s="249">
        <f>SUM(H18:H25)</f>
        <v>3807.868606</v>
      </c>
      <c r="I26" s="249">
        <f>SUM(I18:I25)</f>
        <v>449.74956129999998</v>
      </c>
      <c r="J26" s="249">
        <f>SUM(J18:J25)</f>
        <v>4425.0080129999997</v>
      </c>
    </row>
    <row r="27" spans="1:13" hidden="1" x14ac:dyDescent="0.2">
      <c r="A27" s="232" t="s">
        <v>1000</v>
      </c>
      <c r="B27" s="556" t="s">
        <v>258</v>
      </c>
      <c r="C27" s="556"/>
      <c r="D27" s="556"/>
      <c r="E27" s="556"/>
      <c r="F27" s="556"/>
      <c r="G27" s="556"/>
      <c r="H27" s="556"/>
      <c r="I27" s="556"/>
      <c r="J27" s="556"/>
    </row>
    <row r="28" spans="1:13" hidden="1" x14ac:dyDescent="0.2">
      <c r="A28" s="216">
        <v>1</v>
      </c>
      <c r="B28" s="250" t="s">
        <v>795</v>
      </c>
      <c r="C28" s="250"/>
      <c r="D28" s="250"/>
      <c r="E28" s="243" t="s">
        <v>916</v>
      </c>
      <c r="F28" s="243" t="s">
        <v>916</v>
      </c>
      <c r="G28" s="243" t="s">
        <v>916</v>
      </c>
      <c r="H28" s="243" t="s">
        <v>916</v>
      </c>
      <c r="I28" s="250"/>
      <c r="J28" s="250"/>
    </row>
    <row r="29" spans="1:13" hidden="1" x14ac:dyDescent="0.2">
      <c r="A29" s="216">
        <v>2</v>
      </c>
      <c r="B29" s="250" t="s">
        <v>796</v>
      </c>
      <c r="C29" s="250"/>
      <c r="D29" s="250"/>
      <c r="E29" s="243" t="s">
        <v>916</v>
      </c>
      <c r="F29" s="243" t="s">
        <v>916</v>
      </c>
      <c r="G29" s="243" t="s">
        <v>916</v>
      </c>
      <c r="H29" s="243" t="s">
        <v>916</v>
      </c>
      <c r="I29" s="250"/>
      <c r="J29" s="250"/>
    </row>
    <row r="30" spans="1:13" ht="12.75" hidden="1" customHeight="1" x14ac:dyDescent="0.2">
      <c r="A30" s="251"/>
      <c r="B30" s="252" t="s">
        <v>1001</v>
      </c>
      <c r="C30" s="253"/>
      <c r="D30" s="253">
        <v>696.19</v>
      </c>
      <c r="E30" s="243" t="s">
        <v>916</v>
      </c>
      <c r="F30" s="243" t="s">
        <v>916</v>
      </c>
      <c r="G30" s="243" t="s">
        <v>916</v>
      </c>
      <c r="H30" s="243" t="s">
        <v>916</v>
      </c>
      <c r="I30" s="253"/>
      <c r="J30" s="253">
        <v>696.19</v>
      </c>
    </row>
    <row r="31" spans="1:13" x14ac:dyDescent="0.2">
      <c r="A31" s="232" t="s">
        <v>1000</v>
      </c>
      <c r="B31" s="554" t="s">
        <v>258</v>
      </c>
      <c r="C31" s="555"/>
      <c r="D31" s="555"/>
      <c r="E31" s="555"/>
      <c r="F31" s="555"/>
      <c r="G31" s="555"/>
      <c r="H31" s="555"/>
      <c r="I31" s="555"/>
      <c r="J31" s="555"/>
    </row>
    <row r="32" spans="1:13" x14ac:dyDescent="0.2">
      <c r="A32" s="216">
        <v>1</v>
      </c>
      <c r="B32" s="224" t="s">
        <v>795</v>
      </c>
      <c r="C32" s="236">
        <v>6.3819999999999988</v>
      </c>
      <c r="D32" s="236">
        <v>2014.9536599999997</v>
      </c>
      <c r="E32" s="236" t="s">
        <v>916</v>
      </c>
      <c r="F32" s="236" t="s">
        <v>916</v>
      </c>
      <c r="G32" s="254">
        <v>0.16100000000000003</v>
      </c>
      <c r="H32" s="236">
        <v>53.746589999999998</v>
      </c>
      <c r="I32" s="254">
        <v>0.15900000000000003</v>
      </c>
      <c r="J32" s="236">
        <v>50.962800000000001</v>
      </c>
    </row>
    <row r="33" spans="1:12" x14ac:dyDescent="0.2">
      <c r="A33" s="216">
        <v>2</v>
      </c>
      <c r="B33" s="224" t="s">
        <v>1002</v>
      </c>
      <c r="C33" s="236">
        <v>2.5271999999999997</v>
      </c>
      <c r="D33" s="236">
        <v>823.17932500000029</v>
      </c>
      <c r="E33" s="236" t="s">
        <v>916</v>
      </c>
      <c r="F33" s="236" t="s">
        <v>916</v>
      </c>
      <c r="G33" s="254">
        <v>1.1315</v>
      </c>
      <c r="H33" s="236">
        <v>376.00401600000015</v>
      </c>
      <c r="I33" s="236">
        <v>0.8262999999999997</v>
      </c>
      <c r="J33" s="236">
        <v>264.79472400000009</v>
      </c>
    </row>
    <row r="34" spans="1:12" x14ac:dyDescent="0.2">
      <c r="A34" s="216">
        <v>3</v>
      </c>
      <c r="B34" s="224" t="s">
        <v>796</v>
      </c>
      <c r="C34" s="236">
        <v>139.83000000000001</v>
      </c>
      <c r="D34" s="236">
        <v>536.42085599999996</v>
      </c>
      <c r="E34" s="236" t="s">
        <v>916</v>
      </c>
      <c r="F34" s="236" t="s">
        <v>916</v>
      </c>
      <c r="G34" s="254">
        <v>17.16</v>
      </c>
      <c r="H34" s="236">
        <v>68.936868000000018</v>
      </c>
      <c r="I34" s="236">
        <v>11.610000000000003</v>
      </c>
      <c r="J34" s="236">
        <v>44.578344000000008</v>
      </c>
    </row>
    <row r="35" spans="1:12" x14ac:dyDescent="0.2">
      <c r="A35" s="216">
        <v>4</v>
      </c>
      <c r="B35" s="255" t="s">
        <v>1003</v>
      </c>
      <c r="C35" s="236">
        <v>476</v>
      </c>
      <c r="D35" s="236">
        <v>22.180739999999993</v>
      </c>
      <c r="E35" s="236" t="s">
        <v>916</v>
      </c>
      <c r="F35" s="236" t="s">
        <v>916</v>
      </c>
      <c r="G35" s="236" t="s">
        <v>916</v>
      </c>
      <c r="H35" s="236" t="s">
        <v>916</v>
      </c>
      <c r="I35" s="236">
        <v>476</v>
      </c>
      <c r="J35" s="236">
        <v>22.180739999999993</v>
      </c>
    </row>
    <row r="36" spans="1:12" x14ac:dyDescent="0.2">
      <c r="A36" s="216">
        <v>5</v>
      </c>
      <c r="B36" s="255" t="s">
        <v>1004</v>
      </c>
      <c r="C36" s="236">
        <v>10108</v>
      </c>
      <c r="D36" s="236">
        <v>47.083307999999995</v>
      </c>
      <c r="E36" s="236" t="s">
        <v>916</v>
      </c>
      <c r="F36" s="236" t="s">
        <v>916</v>
      </c>
      <c r="G36" s="236" t="s">
        <v>916</v>
      </c>
      <c r="H36" s="236" t="s">
        <v>916</v>
      </c>
      <c r="I36" s="236">
        <v>10108</v>
      </c>
      <c r="J36" s="236">
        <v>47.083307999999995</v>
      </c>
    </row>
    <row r="37" spans="1:12" x14ac:dyDescent="0.2">
      <c r="A37" s="216"/>
      <c r="B37" s="248" t="s">
        <v>1001</v>
      </c>
      <c r="C37" s="249">
        <f>SUM(C32:C36)</f>
        <v>10732.7392</v>
      </c>
      <c r="D37" s="249">
        <f>SUM(D32:D36)</f>
        <v>3443.8178889999999</v>
      </c>
      <c r="E37" s="249" t="s">
        <v>916</v>
      </c>
      <c r="F37" s="249" t="s">
        <v>916</v>
      </c>
      <c r="G37" s="256">
        <f t="shared" ref="G37:H37" si="1">SUM(G32:G34)</f>
        <v>18.452500000000001</v>
      </c>
      <c r="H37" s="249">
        <f t="shared" si="1"/>
        <v>498.68747400000018</v>
      </c>
      <c r="I37" s="249">
        <f>SUM(I32:I36)</f>
        <v>10596.595300000001</v>
      </c>
      <c r="J37" s="249">
        <f>SUM(J32:J36)</f>
        <v>429.59991600000012</v>
      </c>
    </row>
    <row r="38" spans="1:12" x14ac:dyDescent="0.2">
      <c r="A38" s="132" t="str">
        <f>'66'!A18</f>
        <v>$ indicates as on March 29, 2019</v>
      </c>
      <c r="B38" s="153"/>
      <c r="C38" s="153"/>
      <c r="D38" s="153"/>
      <c r="E38" s="153"/>
      <c r="F38" s="236">
        <f>SUM(L18+L22)</f>
        <v>29.115749965083737</v>
      </c>
      <c r="G38" s="254">
        <f>SUM(L23:L24)</f>
        <v>32.518418063257876</v>
      </c>
      <c r="H38" s="254">
        <v>5.3190539612249967</v>
      </c>
      <c r="I38" s="254">
        <v>33.0467780104334</v>
      </c>
      <c r="J38" s="236">
        <f>SUM(F38:I38)</f>
        <v>100.00000000000001</v>
      </c>
    </row>
    <row r="39" spans="1:12" ht="26.25" customHeight="1" x14ac:dyDescent="0.2">
      <c r="A39" s="557" t="s">
        <v>1005</v>
      </c>
      <c r="B39" s="557"/>
      <c r="C39" s="557"/>
      <c r="D39" s="557"/>
      <c r="E39" s="557"/>
      <c r="F39" s="557"/>
      <c r="G39" s="557"/>
      <c r="H39" s="557"/>
      <c r="I39" s="557"/>
      <c r="J39" s="557"/>
    </row>
    <row r="40" spans="1:12" x14ac:dyDescent="0.2">
      <c r="A40" s="257"/>
      <c r="B40" s="557" t="s">
        <v>1006</v>
      </c>
      <c r="C40" s="557"/>
      <c r="D40" s="557"/>
      <c r="E40" s="557"/>
      <c r="F40" s="557"/>
      <c r="G40" s="557"/>
      <c r="H40" s="557"/>
      <c r="I40" s="557"/>
      <c r="J40" s="557"/>
    </row>
    <row r="41" spans="1:12" ht="14.25" customHeight="1" x14ac:dyDescent="0.2">
      <c r="A41" s="257"/>
      <c r="B41" s="516" t="s">
        <v>1007</v>
      </c>
      <c r="C41" s="516"/>
      <c r="D41" s="516"/>
      <c r="E41" s="516"/>
      <c r="F41" s="516"/>
      <c r="G41" s="516"/>
      <c r="H41" s="516"/>
      <c r="I41" s="516"/>
      <c r="J41" s="516"/>
    </row>
    <row r="42" spans="1:12" ht="14.25" customHeight="1" x14ac:dyDescent="0.2">
      <c r="A42" s="257"/>
      <c r="B42" s="550" t="s">
        <v>1008</v>
      </c>
      <c r="C42" s="550"/>
      <c r="D42" s="550"/>
      <c r="E42" s="550"/>
      <c r="F42" s="550"/>
      <c r="G42" s="550"/>
      <c r="H42" s="550"/>
      <c r="I42" s="550"/>
      <c r="J42" s="550"/>
      <c r="K42" s="550"/>
      <c r="L42" s="550"/>
    </row>
    <row r="43" spans="1:12" x14ac:dyDescent="0.2">
      <c r="A43" s="218" t="s">
        <v>1009</v>
      </c>
      <c r="E43" s="258"/>
      <c r="F43" s="259"/>
      <c r="G43" s="259"/>
      <c r="H43" s="258"/>
      <c r="I43" s="259"/>
      <c r="J43" s="259"/>
    </row>
    <row r="44" spans="1:12" x14ac:dyDescent="0.2">
      <c r="A44" s="218"/>
      <c r="G44" s="206" t="s">
        <v>903</v>
      </c>
      <c r="H44" s="206" t="s">
        <v>903</v>
      </c>
    </row>
    <row r="46" spans="1:12" x14ac:dyDescent="0.2">
      <c r="C46" s="231"/>
      <c r="G46" s="231"/>
      <c r="I46" s="231"/>
    </row>
    <row r="47" spans="1:12" x14ac:dyDescent="0.2">
      <c r="C47" s="231"/>
      <c r="G47" s="231"/>
      <c r="I47" s="231"/>
    </row>
    <row r="49" spans="8:10" x14ac:dyDescent="0.2">
      <c r="H49" s="260"/>
      <c r="I49" s="261"/>
      <c r="J49" s="260"/>
    </row>
    <row r="50" spans="8:10" x14ac:dyDescent="0.2">
      <c r="I50" s="261"/>
    </row>
  </sheetData>
  <mergeCells count="14">
    <mergeCell ref="I2:J2"/>
    <mergeCell ref="A2:A3"/>
    <mergeCell ref="B2:B3"/>
    <mergeCell ref="C2:D2"/>
    <mergeCell ref="E2:F2"/>
    <mergeCell ref="G2:H2"/>
    <mergeCell ref="B41:J41"/>
    <mergeCell ref="B42:L42"/>
    <mergeCell ref="B4:J4"/>
    <mergeCell ref="B17:J17"/>
    <mergeCell ref="B27:J27"/>
    <mergeCell ref="B31:J31"/>
    <mergeCell ref="A39:J39"/>
    <mergeCell ref="B40:J40"/>
  </mergeCells>
  <pageMargins left="0.7" right="0.7" top="0.75" bottom="0.75" header="0.3" footer="0.3"/>
  <pageSetup paperSize="9" scale="67"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7">
    <tabColor rgb="FFFFFF00"/>
  </sheetPr>
  <dimension ref="A1:N45"/>
  <sheetViews>
    <sheetView workbookViewId="0">
      <selection activeCell="G11" sqref="G11"/>
    </sheetView>
  </sheetViews>
  <sheetFormatPr defaultRowHeight="12.75" x14ac:dyDescent="0.2"/>
  <cols>
    <col min="1" max="1" width="55.5703125" style="3" customWidth="1"/>
    <col min="2" max="2" width="15" style="3" customWidth="1"/>
    <col min="3" max="3" width="12.140625" style="3" customWidth="1"/>
    <col min="4" max="4" width="13" style="3" customWidth="1"/>
    <col min="5" max="5" width="10.5703125" style="3" bestFit="1" customWidth="1"/>
    <col min="6" max="6" width="10.7109375" style="3" bestFit="1" customWidth="1"/>
    <col min="7" max="7" width="9.140625" style="3" customWidth="1"/>
    <col min="8" max="8" width="9.140625" style="3" hidden="1" customWidth="1"/>
    <col min="9" max="9" width="9.28515625" style="3" hidden="1" customWidth="1"/>
    <col min="10" max="12" width="9.140625" style="3" hidden="1" customWidth="1"/>
    <col min="13" max="13" width="10.140625" style="3" hidden="1" customWidth="1"/>
    <col min="14" max="16384" width="9.140625" style="3"/>
  </cols>
  <sheetData>
    <row r="1" spans="1:11" ht="15.75" x14ac:dyDescent="0.25">
      <c r="A1" s="6" t="s">
        <v>877</v>
      </c>
      <c r="B1" s="7"/>
      <c r="C1" s="7"/>
      <c r="D1" s="8"/>
      <c r="E1" s="564"/>
      <c r="F1" s="565"/>
      <c r="G1" s="9"/>
      <c r="H1" s="9"/>
      <c r="I1" s="10"/>
      <c r="K1" s="9"/>
    </row>
    <row r="2" spans="1:11" ht="15" x14ac:dyDescent="0.25">
      <c r="A2" s="566" t="s">
        <v>878</v>
      </c>
      <c r="B2" s="567"/>
      <c r="C2" s="567"/>
      <c r="D2" s="568"/>
      <c r="E2" s="569">
        <v>14100119</v>
      </c>
      <c r="F2" s="570"/>
      <c r="G2" s="11"/>
      <c r="H2" s="11"/>
      <c r="I2" s="11"/>
      <c r="K2" s="11"/>
    </row>
    <row r="3" spans="1:11" ht="15" x14ac:dyDescent="0.2">
      <c r="A3" s="566" t="s">
        <v>879</v>
      </c>
      <c r="B3" s="567"/>
      <c r="C3" s="567"/>
      <c r="D3" s="568"/>
      <c r="E3" s="571">
        <v>30.1</v>
      </c>
      <c r="F3" s="572"/>
      <c r="G3" s="11"/>
      <c r="H3" s="11"/>
      <c r="I3" s="11"/>
      <c r="K3" s="11"/>
    </row>
    <row r="4" spans="1:11" ht="15" x14ac:dyDescent="0.2">
      <c r="A4" s="573" t="s">
        <v>880</v>
      </c>
      <c r="B4" s="574"/>
      <c r="C4" s="574"/>
      <c r="D4" s="568"/>
      <c r="E4" s="571">
        <v>32.299999999999997</v>
      </c>
      <c r="F4" s="572"/>
      <c r="G4" s="11"/>
      <c r="H4" s="11"/>
      <c r="I4" s="11"/>
      <c r="K4" s="11"/>
    </row>
    <row r="5" spans="1:11" ht="15" x14ac:dyDescent="0.2">
      <c r="A5" s="12" t="s">
        <v>881</v>
      </c>
      <c r="B5" s="13">
        <v>43405</v>
      </c>
      <c r="C5" s="13">
        <v>43435</v>
      </c>
      <c r="D5" s="13">
        <v>43466</v>
      </c>
      <c r="E5" s="13">
        <v>43497</v>
      </c>
      <c r="F5" s="13">
        <v>43525</v>
      </c>
      <c r="G5" s="11"/>
      <c r="H5" s="11"/>
      <c r="I5" s="11"/>
      <c r="K5" s="11"/>
    </row>
    <row r="6" spans="1:11" ht="15" x14ac:dyDescent="0.25">
      <c r="A6" s="14" t="s">
        <v>831</v>
      </c>
      <c r="B6" s="15">
        <v>4</v>
      </c>
      <c r="C6" s="15">
        <v>4</v>
      </c>
      <c r="D6" s="15">
        <v>4</v>
      </c>
      <c r="E6" s="15">
        <v>4</v>
      </c>
      <c r="F6" s="15">
        <v>4</v>
      </c>
      <c r="G6" s="11"/>
      <c r="H6" s="11"/>
      <c r="I6" s="11"/>
      <c r="K6" s="11" t="s">
        <v>882</v>
      </c>
    </row>
    <row r="7" spans="1:11" ht="15" x14ac:dyDescent="0.25">
      <c r="A7" s="16" t="s">
        <v>832</v>
      </c>
      <c r="B7" s="17">
        <v>6.5</v>
      </c>
      <c r="C7" s="17">
        <v>6.5</v>
      </c>
      <c r="D7" s="17">
        <v>6.5</v>
      </c>
      <c r="E7" s="17">
        <v>6.25</v>
      </c>
      <c r="F7" s="17">
        <v>6.25</v>
      </c>
      <c r="G7" s="11"/>
      <c r="H7" s="11"/>
      <c r="I7" s="11"/>
      <c r="K7" s="11"/>
    </row>
    <row r="8" spans="1:11" ht="15" x14ac:dyDescent="0.25">
      <c r="A8" s="18" t="s">
        <v>883</v>
      </c>
      <c r="B8" s="19">
        <v>145187.9</v>
      </c>
      <c r="C8" s="19">
        <v>145515.70000000001</v>
      </c>
      <c r="D8" s="19">
        <v>147591.9</v>
      </c>
      <c r="E8" s="19">
        <v>149401</v>
      </c>
      <c r="F8" s="19">
        <v>150859.29999999999</v>
      </c>
      <c r="G8" s="11"/>
      <c r="H8" s="11"/>
      <c r="I8" s="11"/>
      <c r="J8" s="3" t="s">
        <v>884</v>
      </c>
      <c r="K8" s="11"/>
    </row>
    <row r="9" spans="1:11" ht="15" x14ac:dyDescent="0.25">
      <c r="A9" s="16" t="s">
        <v>885</v>
      </c>
      <c r="B9" s="19">
        <v>118135.8</v>
      </c>
      <c r="C9" s="19">
        <v>118182.1</v>
      </c>
      <c r="D9" s="19">
        <v>119864.6</v>
      </c>
      <c r="E9" s="19">
        <v>121211.8</v>
      </c>
      <c r="F9" s="19">
        <v>122262.39999999999</v>
      </c>
      <c r="G9" s="20"/>
      <c r="H9" s="11"/>
      <c r="I9" s="11"/>
      <c r="J9" s="3" t="s">
        <v>886</v>
      </c>
      <c r="K9" s="11"/>
    </row>
    <row r="10" spans="1:11" ht="15" x14ac:dyDescent="0.25">
      <c r="A10" s="21" t="s">
        <v>887</v>
      </c>
      <c r="B10" s="19">
        <v>91322.8</v>
      </c>
      <c r="C10" s="19">
        <v>92877.5</v>
      </c>
      <c r="D10" s="19">
        <v>93316.9</v>
      </c>
      <c r="E10" s="19">
        <v>94034.9</v>
      </c>
      <c r="F10" s="19">
        <v>95537.1</v>
      </c>
      <c r="G10" s="20"/>
      <c r="H10" s="11"/>
      <c r="I10" s="11"/>
      <c r="K10" s="11"/>
    </row>
    <row r="11" spans="1:11" ht="15.75" x14ac:dyDescent="0.25">
      <c r="A11" s="22" t="s">
        <v>888</v>
      </c>
      <c r="B11" s="23"/>
      <c r="C11" s="23"/>
      <c r="D11" s="23"/>
      <c r="E11" s="23"/>
      <c r="F11" s="23"/>
      <c r="G11" s="20"/>
      <c r="H11" s="11"/>
      <c r="I11" s="11"/>
      <c r="K11" s="11"/>
    </row>
    <row r="12" spans="1:11" ht="15" x14ac:dyDescent="0.25">
      <c r="A12" s="24" t="s">
        <v>833</v>
      </c>
      <c r="B12" s="25">
        <v>6.39</v>
      </c>
      <c r="C12" s="25">
        <v>6.57</v>
      </c>
      <c r="D12" s="25">
        <v>6.43</v>
      </c>
      <c r="E12" s="25">
        <v>6.29</v>
      </c>
      <c r="F12" s="25">
        <v>6.35</v>
      </c>
      <c r="G12" s="20"/>
      <c r="H12" s="11"/>
      <c r="I12" s="11"/>
      <c r="K12" s="11"/>
    </row>
    <row r="13" spans="1:11" ht="15" x14ac:dyDescent="0.25">
      <c r="A13" s="24" t="s">
        <v>834</v>
      </c>
      <c r="B13" s="17">
        <v>6.77</v>
      </c>
      <c r="C13" s="17">
        <v>6.65</v>
      </c>
      <c r="D13" s="17">
        <v>6.6</v>
      </c>
      <c r="E13" s="17">
        <v>6.4</v>
      </c>
      <c r="F13" s="17">
        <v>6.31</v>
      </c>
      <c r="G13" s="11"/>
      <c r="H13" s="11"/>
      <c r="I13" s="11"/>
      <c r="K13" s="11"/>
    </row>
    <row r="14" spans="1:11" ht="15" x14ac:dyDescent="0.25">
      <c r="A14" s="24" t="s">
        <v>835</v>
      </c>
      <c r="B14" s="26" t="s">
        <v>836</v>
      </c>
      <c r="C14" s="26" t="s">
        <v>836</v>
      </c>
      <c r="D14" s="26" t="s">
        <v>836</v>
      </c>
      <c r="E14" s="26" t="s">
        <v>836</v>
      </c>
      <c r="F14" s="26" t="s">
        <v>837</v>
      </c>
      <c r="G14" s="20"/>
      <c r="H14" s="11"/>
      <c r="I14" s="11"/>
      <c r="K14" s="20"/>
    </row>
    <row r="15" spans="1:11" ht="15" x14ac:dyDescent="0.25">
      <c r="A15" s="27" t="s">
        <v>838</v>
      </c>
      <c r="B15" s="17" t="s">
        <v>839</v>
      </c>
      <c r="C15" s="17" t="s">
        <v>839</v>
      </c>
      <c r="D15" s="17" t="s">
        <v>839</v>
      </c>
      <c r="E15" s="17" t="s">
        <v>839</v>
      </c>
      <c r="F15" s="17" t="s">
        <v>839</v>
      </c>
      <c r="G15" s="20"/>
      <c r="H15" s="11"/>
      <c r="I15" s="11"/>
      <c r="K15" s="20"/>
    </row>
    <row r="16" spans="1:11" ht="15.75" x14ac:dyDescent="0.25">
      <c r="A16" s="22" t="s">
        <v>889</v>
      </c>
      <c r="B16" s="23"/>
      <c r="C16" s="23"/>
      <c r="D16" s="23"/>
      <c r="E16" s="23"/>
      <c r="F16" s="23"/>
      <c r="G16" s="20"/>
      <c r="H16" s="11"/>
      <c r="I16" s="11"/>
      <c r="K16" s="11"/>
    </row>
    <row r="17" spans="1:14" ht="15.75" x14ac:dyDescent="0.3">
      <c r="A17" s="28" t="s">
        <v>890</v>
      </c>
      <c r="B17" s="29">
        <v>669977.53</v>
      </c>
      <c r="C17" s="29">
        <v>650399.91</v>
      </c>
      <c r="D17" s="29">
        <v>727221.33</v>
      </c>
      <c r="E17" s="29">
        <v>689925.69</v>
      </c>
      <c r="F17" s="29">
        <v>778201.06</v>
      </c>
      <c r="G17" s="11"/>
      <c r="I17" s="30"/>
      <c r="J17" s="31"/>
      <c r="K17" s="11" t="s">
        <v>891</v>
      </c>
      <c r="L17" s="32"/>
      <c r="M17" s="33"/>
      <c r="N17" s="34"/>
    </row>
    <row r="18" spans="1:14" ht="15" x14ac:dyDescent="0.25">
      <c r="A18" s="35" t="s">
        <v>840</v>
      </c>
      <c r="B18" s="29">
        <v>14288775.859999999</v>
      </c>
      <c r="C18" s="36">
        <v>14448465.689999999</v>
      </c>
      <c r="D18" s="29">
        <v>14099330.09</v>
      </c>
      <c r="E18" s="29">
        <v>14041530.33</v>
      </c>
      <c r="F18" s="29">
        <v>15108711.01</v>
      </c>
      <c r="G18" s="11"/>
      <c r="I18" s="11"/>
      <c r="K18" s="11"/>
      <c r="L18" s="33"/>
    </row>
    <row r="19" spans="1:14" ht="15" x14ac:dyDescent="0.25">
      <c r="A19" s="35" t="s">
        <v>841</v>
      </c>
      <c r="B19" s="29">
        <v>14122535</v>
      </c>
      <c r="C19" s="29">
        <v>14279083</v>
      </c>
      <c r="D19" s="29">
        <v>13916643</v>
      </c>
      <c r="E19" s="29">
        <v>13871449</v>
      </c>
      <c r="F19" s="29">
        <v>14934227</v>
      </c>
      <c r="G19" s="11"/>
      <c r="H19" s="11"/>
      <c r="I19" s="11"/>
      <c r="K19" s="11" t="s">
        <v>892</v>
      </c>
    </row>
    <row r="20" spans="1:14" ht="15" x14ac:dyDescent="0.25">
      <c r="A20" s="37" t="s">
        <v>842</v>
      </c>
      <c r="B20" s="19">
        <v>5980.89</v>
      </c>
      <c r="C20" s="19">
        <v>-229.91</v>
      </c>
      <c r="D20" s="19">
        <v>-7827.23</v>
      </c>
      <c r="E20" s="19">
        <v>17219.62</v>
      </c>
      <c r="F20" s="19">
        <v>33980.559999999998</v>
      </c>
      <c r="G20" s="11"/>
      <c r="H20" s="11"/>
      <c r="I20" s="11"/>
      <c r="K20" s="11" t="s">
        <v>893</v>
      </c>
    </row>
    <row r="21" spans="1:14" ht="15.75" x14ac:dyDescent="0.25">
      <c r="A21" s="22" t="s">
        <v>843</v>
      </c>
      <c r="B21" s="23"/>
      <c r="C21" s="23"/>
      <c r="D21" s="23"/>
      <c r="E21" s="23"/>
      <c r="F21" s="23"/>
      <c r="G21" s="20"/>
      <c r="H21" s="11"/>
      <c r="I21" s="11"/>
      <c r="K21" s="11"/>
    </row>
    <row r="22" spans="1:14" ht="15" x14ac:dyDescent="0.25">
      <c r="A22" s="28" t="s">
        <v>844</v>
      </c>
      <c r="B22" s="29">
        <v>393718</v>
      </c>
      <c r="C22" s="29">
        <v>393404.3</v>
      </c>
      <c r="D22" s="29">
        <v>398178.4</v>
      </c>
      <c r="E22" s="29">
        <v>399217.2</v>
      </c>
      <c r="F22" s="29">
        <v>411905</v>
      </c>
      <c r="G22" s="11"/>
      <c r="H22" s="11"/>
      <c r="I22" s="11"/>
      <c r="J22" s="3" t="s">
        <v>894</v>
      </c>
      <c r="K22" s="11"/>
    </row>
    <row r="23" spans="1:14" ht="15" x14ac:dyDescent="0.25">
      <c r="A23" s="35" t="s">
        <v>845</v>
      </c>
      <c r="B23" s="17">
        <v>69.66</v>
      </c>
      <c r="C23" s="17">
        <v>69.98</v>
      </c>
      <c r="D23" s="17">
        <v>71.11</v>
      </c>
      <c r="E23" s="17">
        <v>71.22</v>
      </c>
      <c r="F23" s="17">
        <v>69.17</v>
      </c>
      <c r="G23" s="11"/>
      <c r="H23" s="11"/>
      <c r="I23" s="11"/>
      <c r="K23" s="11"/>
    </row>
    <row r="24" spans="1:14" ht="15" x14ac:dyDescent="0.25">
      <c r="A24" s="35" t="s">
        <v>846</v>
      </c>
      <c r="B24" s="38">
        <v>79.36</v>
      </c>
      <c r="C24" s="38">
        <v>80.180000000000007</v>
      </c>
      <c r="D24" s="38">
        <v>80.5</v>
      </c>
      <c r="E24" s="26">
        <v>80.75</v>
      </c>
      <c r="F24" s="26">
        <v>77.7</v>
      </c>
      <c r="G24" s="11"/>
      <c r="H24" s="11"/>
      <c r="I24" s="11"/>
      <c r="K24" s="11"/>
    </row>
    <row r="25" spans="1:14" ht="15" x14ac:dyDescent="0.25">
      <c r="A25" s="37" t="s">
        <v>847</v>
      </c>
      <c r="B25" s="38">
        <v>4.3099999999999996</v>
      </c>
      <c r="C25" s="38">
        <v>4.09</v>
      </c>
      <c r="D25" s="38">
        <v>4.1100000000000003</v>
      </c>
      <c r="E25" s="17">
        <v>4.16</v>
      </c>
      <c r="F25" s="17">
        <v>4.16</v>
      </c>
      <c r="G25" s="11"/>
      <c r="H25" s="11"/>
      <c r="I25" s="11"/>
      <c r="K25" s="11"/>
    </row>
    <row r="26" spans="1:14" ht="15.75" x14ac:dyDescent="0.25">
      <c r="A26" s="22" t="s">
        <v>848</v>
      </c>
      <c r="B26" s="23"/>
      <c r="C26" s="23"/>
      <c r="D26" s="23"/>
      <c r="E26" s="23"/>
      <c r="F26" s="23"/>
      <c r="G26" s="20"/>
      <c r="H26" s="11"/>
      <c r="I26" s="11"/>
      <c r="K26" s="11"/>
    </row>
    <row r="27" spans="1:14" ht="15" x14ac:dyDescent="0.25">
      <c r="A27" s="28" t="s">
        <v>895</v>
      </c>
      <c r="B27" s="39">
        <v>3670</v>
      </c>
      <c r="C27" s="39">
        <v>4030</v>
      </c>
      <c r="D27" s="39">
        <v>4510</v>
      </c>
      <c r="E27" s="39">
        <v>4990</v>
      </c>
      <c r="F27" s="39">
        <v>5710</v>
      </c>
      <c r="G27" s="11"/>
      <c r="H27" s="11"/>
      <c r="I27" s="11"/>
      <c r="K27" s="11"/>
    </row>
    <row r="28" spans="1:14" ht="15" x14ac:dyDescent="0.25">
      <c r="A28" s="35" t="s">
        <v>849</v>
      </c>
      <c r="B28" s="26">
        <v>121.8</v>
      </c>
      <c r="C28" s="26">
        <v>120.1</v>
      </c>
      <c r="D28" s="26">
        <v>119.2</v>
      </c>
      <c r="E28" s="26">
        <v>119.5</v>
      </c>
      <c r="F28" s="26" t="s">
        <v>850</v>
      </c>
      <c r="G28" s="11"/>
      <c r="H28" s="11"/>
      <c r="I28" s="11"/>
      <c r="K28" s="3" t="s">
        <v>896</v>
      </c>
    </row>
    <row r="29" spans="1:14" ht="15" x14ac:dyDescent="0.25">
      <c r="A29" s="35" t="s">
        <v>851</v>
      </c>
      <c r="B29" s="26">
        <v>140.80000000000001</v>
      </c>
      <c r="C29" s="26">
        <v>140.1</v>
      </c>
      <c r="D29" s="26">
        <v>139.6</v>
      </c>
      <c r="E29" s="26">
        <v>139.9</v>
      </c>
      <c r="F29" s="26" t="s">
        <v>850</v>
      </c>
      <c r="G29" s="11"/>
      <c r="H29" s="11"/>
      <c r="I29" s="11"/>
      <c r="K29" s="40"/>
    </row>
    <row r="30" spans="1:14" ht="15.75" x14ac:dyDescent="0.25">
      <c r="A30" s="22" t="s">
        <v>852</v>
      </c>
      <c r="B30" s="23"/>
      <c r="C30" s="23"/>
      <c r="D30" s="23"/>
      <c r="E30" s="23"/>
      <c r="F30" s="23"/>
      <c r="G30" s="20"/>
      <c r="H30" s="11"/>
      <c r="I30" s="11"/>
    </row>
    <row r="31" spans="1:14" ht="15" x14ac:dyDescent="0.25">
      <c r="A31" s="28" t="s">
        <v>853</v>
      </c>
      <c r="B31" s="26">
        <v>126.4</v>
      </c>
      <c r="C31" s="26">
        <v>134</v>
      </c>
      <c r="D31" s="26">
        <v>134.5</v>
      </c>
      <c r="E31" s="26" t="s">
        <v>850</v>
      </c>
      <c r="F31" s="26" t="s">
        <v>850</v>
      </c>
      <c r="G31" s="11"/>
      <c r="H31" s="11"/>
      <c r="I31" s="11"/>
      <c r="K31" s="3" t="s">
        <v>896</v>
      </c>
    </row>
    <row r="32" spans="1:14" ht="15" x14ac:dyDescent="0.25">
      <c r="A32" s="35" t="s">
        <v>854</v>
      </c>
      <c r="B32" s="26">
        <v>110.6</v>
      </c>
      <c r="C32" s="26">
        <v>114.4</v>
      </c>
      <c r="D32" s="26">
        <v>119.2</v>
      </c>
      <c r="E32" s="26" t="s">
        <v>850</v>
      </c>
      <c r="F32" s="26" t="s">
        <v>850</v>
      </c>
      <c r="G32" s="11"/>
      <c r="H32" s="11"/>
      <c r="I32" s="11"/>
      <c r="K32" s="40"/>
    </row>
    <row r="33" spans="1:11" ht="15" x14ac:dyDescent="0.25">
      <c r="A33" s="35" t="s">
        <v>855</v>
      </c>
      <c r="B33" s="26">
        <v>127.2</v>
      </c>
      <c r="C33" s="26">
        <v>135.9</v>
      </c>
      <c r="D33" s="26">
        <v>135.6</v>
      </c>
      <c r="E33" s="26" t="s">
        <v>850</v>
      </c>
      <c r="F33" s="26" t="s">
        <v>850</v>
      </c>
      <c r="G33" s="11"/>
      <c r="H33" s="11"/>
      <c r="I33" s="11"/>
      <c r="K33" s="40"/>
    </row>
    <row r="34" spans="1:11" ht="15" x14ac:dyDescent="0.25">
      <c r="A34" s="37" t="s">
        <v>856</v>
      </c>
      <c r="B34" s="26">
        <v>147.19999999999999</v>
      </c>
      <c r="C34" s="26">
        <v>150.30000000000001</v>
      </c>
      <c r="D34" s="26">
        <v>150.69999999999999</v>
      </c>
      <c r="E34" s="26" t="s">
        <v>850</v>
      </c>
      <c r="F34" s="26" t="s">
        <v>850</v>
      </c>
      <c r="G34" s="11"/>
      <c r="H34" s="11"/>
      <c r="I34" s="11"/>
      <c r="K34" s="40"/>
    </row>
    <row r="35" spans="1:11" ht="15.75" x14ac:dyDescent="0.25">
      <c r="A35" s="22" t="s">
        <v>857</v>
      </c>
      <c r="B35" s="23"/>
      <c r="C35" s="23"/>
      <c r="D35" s="23"/>
      <c r="E35" s="23"/>
      <c r="F35" s="23"/>
      <c r="G35" s="20"/>
      <c r="H35" s="11"/>
      <c r="I35" s="11"/>
      <c r="K35" s="11"/>
    </row>
    <row r="36" spans="1:11" ht="15" x14ac:dyDescent="0.2">
      <c r="A36" s="41" t="s">
        <v>858</v>
      </c>
      <c r="B36" s="42">
        <v>26502.2</v>
      </c>
      <c r="C36" s="42">
        <v>27927.72</v>
      </c>
      <c r="D36" s="42">
        <v>26360.18</v>
      </c>
      <c r="E36" s="42">
        <v>26667.61</v>
      </c>
      <c r="F36" s="42" t="s">
        <v>850</v>
      </c>
      <c r="G36" s="11"/>
      <c r="H36" s="11"/>
      <c r="I36" s="11"/>
      <c r="K36" s="43" t="s">
        <v>897</v>
      </c>
    </row>
    <row r="37" spans="1:11" ht="15" x14ac:dyDescent="0.2">
      <c r="A37" s="44" t="s">
        <v>859</v>
      </c>
      <c r="B37" s="45">
        <v>43172.91</v>
      </c>
      <c r="C37" s="45">
        <v>41005.01</v>
      </c>
      <c r="D37" s="45">
        <v>41085.81</v>
      </c>
      <c r="E37" s="45">
        <v>36263.019999999997</v>
      </c>
      <c r="F37" s="45" t="s">
        <v>850</v>
      </c>
      <c r="G37" s="46"/>
      <c r="H37" s="46"/>
      <c r="J37" s="46"/>
    </row>
    <row r="38" spans="1:11" ht="15" x14ac:dyDescent="0.2">
      <c r="A38" s="47" t="s">
        <v>860</v>
      </c>
      <c r="B38" s="48">
        <v>-16670.71</v>
      </c>
      <c r="C38" s="48">
        <v>-13077.29</v>
      </c>
      <c r="D38" s="48">
        <v>-14725.63</v>
      </c>
      <c r="E38" s="48">
        <v>-9595.41</v>
      </c>
      <c r="F38" s="48" t="s">
        <v>850</v>
      </c>
      <c r="G38" s="46"/>
      <c r="H38" s="46"/>
      <c r="J38" s="46"/>
    </row>
    <row r="39" spans="1:11" x14ac:dyDescent="0.2">
      <c r="A39" s="562" t="s">
        <v>903</v>
      </c>
      <c r="B39" s="562"/>
      <c r="C39" s="562"/>
      <c r="D39" s="562"/>
      <c r="E39" s="46"/>
      <c r="F39" s="46"/>
      <c r="G39" s="46"/>
      <c r="H39" s="46"/>
      <c r="J39" s="46"/>
    </row>
    <row r="40" spans="1:11" x14ac:dyDescent="0.2">
      <c r="A40" s="563" t="s">
        <v>898</v>
      </c>
      <c r="B40" s="563"/>
      <c r="C40" s="563"/>
      <c r="D40" s="563"/>
      <c r="E40" s="563"/>
      <c r="F40" s="563"/>
      <c r="G40" s="46"/>
      <c r="H40" s="46"/>
      <c r="I40" s="46"/>
      <c r="K40" s="46"/>
    </row>
    <row r="41" spans="1:11" x14ac:dyDescent="0.2">
      <c r="A41" s="49" t="s">
        <v>861</v>
      </c>
      <c r="B41" s="50"/>
      <c r="C41" s="50"/>
      <c r="D41" s="50"/>
      <c r="E41" s="50"/>
      <c r="F41" s="50"/>
      <c r="G41" s="46"/>
    </row>
    <row r="42" spans="1:11" x14ac:dyDescent="0.2">
      <c r="A42" s="563" t="s">
        <v>862</v>
      </c>
      <c r="B42" s="563"/>
      <c r="C42" s="563"/>
      <c r="D42" s="563"/>
      <c r="E42" s="563"/>
      <c r="F42" s="563"/>
      <c r="G42" s="46"/>
    </row>
    <row r="43" spans="1:11" x14ac:dyDescent="0.2">
      <c r="A43" s="563" t="s">
        <v>899</v>
      </c>
      <c r="B43" s="563"/>
      <c r="C43" s="563"/>
      <c r="D43" s="563"/>
      <c r="E43" s="563"/>
      <c r="F43" s="563"/>
      <c r="G43" s="46"/>
    </row>
    <row r="44" spans="1:11" x14ac:dyDescent="0.2">
      <c r="A44" s="563" t="s">
        <v>863</v>
      </c>
      <c r="B44" s="563"/>
      <c r="C44" s="563"/>
      <c r="D44" s="563"/>
      <c r="E44" s="563"/>
      <c r="F44" s="563"/>
      <c r="G44" s="46"/>
      <c r="H44" s="46"/>
      <c r="I44" s="46"/>
      <c r="K44" s="46"/>
    </row>
    <row r="45" spans="1:11" x14ac:dyDescent="0.2">
      <c r="A45" s="51" t="s">
        <v>864</v>
      </c>
      <c r="B45" s="51"/>
      <c r="C45" s="51"/>
      <c r="D45" s="11"/>
      <c r="E45" s="11"/>
      <c r="F45" s="11"/>
      <c r="G45" s="52"/>
      <c r="H45" s="52"/>
      <c r="I45" s="52"/>
      <c r="K45" s="52"/>
    </row>
  </sheetData>
  <mergeCells count="12">
    <mergeCell ref="A4:D4"/>
    <mergeCell ref="E4:F4"/>
    <mergeCell ref="E1:F1"/>
    <mergeCell ref="A2:D2"/>
    <mergeCell ref="E2:F2"/>
    <mergeCell ref="A3:D3"/>
    <mergeCell ref="E3:F3"/>
    <mergeCell ref="A39:D39"/>
    <mergeCell ref="A40:F40"/>
    <mergeCell ref="A42:F42"/>
    <mergeCell ref="A43:F43"/>
    <mergeCell ref="A44:F44"/>
  </mergeCells>
  <hyperlinks>
    <hyperlink ref="A13" location="_edn3" display="_edn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77</vt:i4>
      </vt:variant>
      <vt:variant>
        <vt:lpstr>Named Ranges</vt:lpstr>
      </vt:variant>
      <vt:variant>
        <vt:i4>11</vt:i4>
      </vt:variant>
    </vt:vector>
  </HeadingPairs>
  <TitlesOfParts>
    <vt:vector size="88"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75</vt:lpstr>
      <vt:lpstr>76</vt:lpstr>
      <vt:lpstr>'65'!Print_Area</vt:lpstr>
      <vt:lpstr>'66'!Print_Area</vt:lpstr>
      <vt:lpstr>'67'!Print_Area</vt:lpstr>
      <vt:lpstr>'68'!Print_Area</vt:lpstr>
      <vt:lpstr>'69'!Print_Area</vt:lpstr>
      <vt:lpstr>'70'!Print_Area</vt:lpstr>
      <vt:lpstr>'71'!Print_Area</vt:lpstr>
      <vt:lpstr>'72'!Print_Area</vt:lpstr>
      <vt:lpstr>'73'!Print_Area</vt:lpstr>
      <vt:lpstr>'74'!Print_Area</vt:lpstr>
      <vt:lpstr>'75'!Print_Area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Sumit Verma</cp:lastModifiedBy>
  <dcterms:created xsi:type="dcterms:W3CDTF">2019-04-23T04:46:41Z</dcterms:created>
  <dcterms:modified xsi:type="dcterms:W3CDTF">2019-04-23T10:36:50Z</dcterms:modified>
</cp:coreProperties>
</file>