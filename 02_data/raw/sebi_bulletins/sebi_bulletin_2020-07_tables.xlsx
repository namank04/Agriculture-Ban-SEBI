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ITD\webuploads\"/>
    </mc:Choice>
  </mc:AlternateContent>
  <bookViews>
    <workbookView xWindow="0" yWindow="0" windowWidth="15345" windowHeight="4260" tabRatio="878"/>
  </bookViews>
  <sheets>
    <sheet name="Data Summary" sheetId="1" r:id="rId1"/>
    <sheet name="1" sheetId="2" r:id="rId2"/>
    <sheet name="2" sheetId="3" r:id="rId3"/>
    <sheet name="3" sheetId="4" r:id="rId4"/>
    <sheet name="4" sheetId="5" r:id="rId5"/>
    <sheet name="5" sheetId="6" r:id="rId6"/>
    <sheet name="6" sheetId="7" r:id="rId7"/>
    <sheet name="7" sheetId="8" r:id="rId8"/>
    <sheet name="8" sheetId="9" r:id="rId9"/>
    <sheet name="9" sheetId="10" r:id="rId10"/>
    <sheet name="10" sheetId="11" r:id="rId11"/>
    <sheet name="11" sheetId="12" r:id="rId12"/>
    <sheet name="12" sheetId="13" r:id="rId13"/>
    <sheet name="13" sheetId="14" r:id="rId14"/>
    <sheet name="14" sheetId="15" r:id="rId15"/>
    <sheet name="15" sheetId="16" r:id="rId16"/>
    <sheet name="16" sheetId="17" r:id="rId17"/>
    <sheet name="17" sheetId="18" r:id="rId18"/>
    <sheet name="18" sheetId="19" r:id="rId19"/>
    <sheet name="19" sheetId="20" r:id="rId20"/>
    <sheet name="20" sheetId="21" r:id="rId21"/>
    <sheet name="21" sheetId="22" r:id="rId22"/>
    <sheet name="22" sheetId="23" r:id="rId23"/>
    <sheet name="23" sheetId="24" r:id="rId24"/>
    <sheet name="24" sheetId="25" r:id="rId25"/>
    <sheet name="25" sheetId="26" r:id="rId26"/>
    <sheet name="26" sheetId="27" r:id="rId27"/>
    <sheet name="27" sheetId="28" r:id="rId28"/>
    <sheet name="28" sheetId="29" r:id="rId29"/>
    <sheet name="29" sheetId="30" r:id="rId30"/>
    <sheet name="30" sheetId="31" r:id="rId31"/>
    <sheet name="31" sheetId="32" r:id="rId32"/>
    <sheet name="32" sheetId="33" r:id="rId33"/>
    <sheet name="33" sheetId="34" r:id="rId34"/>
    <sheet name="34" sheetId="35" r:id="rId35"/>
    <sheet name="35" sheetId="36" r:id="rId36"/>
    <sheet name="36" sheetId="37" r:id="rId37"/>
    <sheet name="37" sheetId="38" r:id="rId38"/>
    <sheet name="38" sheetId="39" r:id="rId39"/>
    <sheet name="39" sheetId="40" r:id="rId40"/>
    <sheet name="40" sheetId="41" r:id="rId41"/>
    <sheet name="41" sheetId="42" r:id="rId42"/>
    <sheet name="42" sheetId="43" r:id="rId43"/>
    <sheet name="43" sheetId="44" r:id="rId44"/>
    <sheet name="44" sheetId="45" r:id="rId45"/>
    <sheet name="45" sheetId="46" r:id="rId46"/>
    <sheet name="46" sheetId="47" r:id="rId47"/>
    <sheet name="47" sheetId="48" r:id="rId48"/>
    <sheet name="48" sheetId="49" r:id="rId49"/>
    <sheet name="49" sheetId="50" r:id="rId50"/>
    <sheet name="50" sheetId="51" r:id="rId51"/>
    <sheet name="51" sheetId="52" r:id="rId52"/>
    <sheet name="52" sheetId="53" r:id="rId53"/>
    <sheet name="53" sheetId="54" r:id="rId54"/>
    <sheet name="54" sheetId="55" r:id="rId55"/>
    <sheet name="55" sheetId="56" r:id="rId56"/>
    <sheet name="56" sheetId="57" r:id="rId57"/>
    <sheet name="57" sheetId="58" r:id="rId58"/>
    <sheet name="58" sheetId="61" r:id="rId59"/>
    <sheet name="59" sheetId="62" r:id="rId60"/>
    <sheet name="60" sheetId="63" r:id="rId61"/>
    <sheet name="61" sheetId="64" r:id="rId62"/>
    <sheet name="62" sheetId="65" r:id="rId63"/>
    <sheet name="63" sheetId="66" r:id="rId64"/>
    <sheet name="64" sheetId="67" r:id="rId65"/>
    <sheet name="65" sheetId="68" r:id="rId66"/>
    <sheet name="66" sheetId="69" r:id="rId67"/>
    <sheet name="67" sheetId="71" r:id="rId68"/>
    <sheet name="68" sheetId="72" r:id="rId69"/>
    <sheet name="69" sheetId="73" r:id="rId70"/>
    <sheet name="70" sheetId="75" r:id="rId71"/>
    <sheet name="71" sheetId="79" r:id="rId72"/>
    <sheet name="72" sheetId="80" r:id="rId73"/>
    <sheet name="73" sheetId="81" r:id="rId74"/>
    <sheet name="74" sheetId="82" r:id="rId75"/>
  </sheets>
  <externalReferences>
    <externalReference r:id="rId76"/>
  </externalReferences>
  <calcPr calcId="162913"/>
</workbook>
</file>

<file path=xl/calcChain.xml><?xml version="1.0" encoding="utf-8"?>
<calcChain xmlns="http://schemas.openxmlformats.org/spreadsheetml/2006/main">
  <c r="D6" i="61" l="1"/>
  <c r="E6" i="61"/>
  <c r="F6" i="61"/>
  <c r="G6" i="61"/>
  <c r="H6" i="61"/>
  <c r="I6" i="61"/>
  <c r="J6" i="61"/>
  <c r="C6" i="61"/>
  <c r="B6" i="61"/>
  <c r="J7" i="61"/>
  <c r="G7" i="61"/>
  <c r="D7" i="61"/>
  <c r="F4" i="55" l="1"/>
  <c r="E4" i="55"/>
  <c r="L7" i="16" l="1"/>
  <c r="M7" i="16"/>
  <c r="L8" i="16"/>
  <c r="M8" i="16"/>
  <c r="M6" i="16"/>
  <c r="L6" i="16"/>
  <c r="L8" i="15"/>
  <c r="M8" i="15"/>
  <c r="L9" i="15"/>
  <c r="M9" i="15"/>
  <c r="M7" i="15"/>
  <c r="L7" i="15"/>
  <c r="K6" i="15"/>
  <c r="J6" i="15"/>
  <c r="I6" i="15"/>
  <c r="H6" i="15"/>
  <c r="G6" i="15"/>
  <c r="F6" i="15"/>
  <c r="E6" i="15"/>
  <c r="D6" i="15"/>
  <c r="C6" i="15"/>
  <c r="B6" i="15"/>
  <c r="I5" i="14"/>
  <c r="H5" i="14"/>
  <c r="G5" i="14"/>
  <c r="F5" i="14"/>
  <c r="E5" i="14"/>
  <c r="D5" i="14"/>
  <c r="C5" i="14"/>
  <c r="B5" i="14"/>
  <c r="I6" i="14"/>
  <c r="H6" i="14"/>
  <c r="M6" i="15" l="1"/>
  <c r="L6" i="15"/>
  <c r="Q7" i="6" l="1"/>
  <c r="P7" i="6"/>
  <c r="O7" i="6"/>
  <c r="N7" i="6"/>
  <c r="M7" i="6"/>
  <c r="L7" i="6"/>
  <c r="K7" i="6"/>
  <c r="J7" i="6"/>
  <c r="I7" i="6"/>
  <c r="H7" i="6"/>
  <c r="G7" i="6"/>
  <c r="F7" i="6"/>
  <c r="D7" i="6"/>
  <c r="E7" i="6"/>
  <c r="C10" i="6"/>
  <c r="E38" i="82"/>
  <c r="D38" i="82"/>
  <c r="C38" i="82"/>
  <c r="B38" i="82"/>
  <c r="B73" i="81"/>
  <c r="J69" i="81"/>
  <c r="I69" i="81"/>
  <c r="H69" i="81"/>
  <c r="G69" i="81"/>
  <c r="F69" i="81"/>
  <c r="E69" i="81"/>
  <c r="D69" i="81"/>
  <c r="C69" i="81"/>
  <c r="E64" i="81"/>
  <c r="D64" i="81"/>
  <c r="J63" i="81"/>
  <c r="I63" i="81"/>
  <c r="H63" i="81"/>
  <c r="G63" i="81"/>
  <c r="F63" i="81"/>
  <c r="E63" i="81"/>
  <c r="D63" i="81"/>
  <c r="C63" i="81"/>
  <c r="J56" i="81"/>
  <c r="J64" i="81"/>
  <c r="I56" i="81"/>
  <c r="H56" i="81"/>
  <c r="G56" i="81"/>
  <c r="F56" i="81"/>
  <c r="E56" i="81"/>
  <c r="D56" i="81"/>
  <c r="C56" i="81"/>
  <c r="J48" i="81"/>
  <c r="I48" i="81"/>
  <c r="H48" i="81"/>
  <c r="H64" i="81"/>
  <c r="G48" i="81"/>
  <c r="G64" i="81"/>
  <c r="F48" i="81"/>
  <c r="F64" i="81"/>
  <c r="E48" i="81"/>
  <c r="D48" i="81"/>
  <c r="C48" i="81"/>
  <c r="J45" i="81"/>
  <c r="I45" i="81"/>
  <c r="I64" i="81"/>
  <c r="H45" i="81"/>
  <c r="G45" i="81"/>
  <c r="F45" i="81"/>
  <c r="E45" i="81"/>
  <c r="D45" i="81"/>
  <c r="C45" i="81"/>
  <c r="C64" i="81"/>
  <c r="J35" i="81"/>
  <c r="I35" i="81"/>
  <c r="H35" i="81"/>
  <c r="G35" i="81"/>
  <c r="F35" i="81"/>
  <c r="E35" i="81"/>
  <c r="D35" i="81"/>
  <c r="C35" i="81"/>
  <c r="G31" i="81"/>
  <c r="F31" i="81"/>
  <c r="E31" i="81"/>
  <c r="D31" i="81"/>
  <c r="J30" i="81"/>
  <c r="I30" i="81"/>
  <c r="H30" i="81"/>
  <c r="G30" i="81"/>
  <c r="F30" i="81"/>
  <c r="E30" i="81"/>
  <c r="D30" i="81"/>
  <c r="C30" i="81"/>
  <c r="J26" i="81"/>
  <c r="J31" i="81"/>
  <c r="I26" i="81"/>
  <c r="I31" i="81"/>
  <c r="H26" i="81"/>
  <c r="H31" i="81"/>
  <c r="G26" i="81"/>
  <c r="F26" i="81"/>
  <c r="E26" i="81"/>
  <c r="D26" i="81"/>
  <c r="C26" i="81"/>
  <c r="C31" i="81"/>
  <c r="G19" i="81"/>
  <c r="F19" i="81"/>
  <c r="E19" i="81"/>
  <c r="D19" i="81"/>
  <c r="J18" i="81"/>
  <c r="I18" i="81"/>
  <c r="H18" i="81"/>
  <c r="G18" i="81"/>
  <c r="F18" i="81"/>
  <c r="E18" i="81"/>
  <c r="D18" i="81"/>
  <c r="C18" i="81"/>
  <c r="J12" i="81"/>
  <c r="J19" i="81"/>
  <c r="I12" i="81"/>
  <c r="I19" i="81"/>
  <c r="H12" i="81"/>
  <c r="H19" i="81"/>
  <c r="G12" i="81"/>
  <c r="F12" i="81"/>
  <c r="E12" i="81"/>
  <c r="D12" i="81"/>
  <c r="C12" i="81"/>
  <c r="C19" i="81"/>
  <c r="J9" i="81"/>
  <c r="H9" i="81"/>
  <c r="F9" i="81"/>
  <c r="D9" i="81"/>
  <c r="A30" i="80"/>
  <c r="J28" i="80"/>
  <c r="I28" i="80"/>
  <c r="H28" i="80"/>
  <c r="G28" i="80"/>
  <c r="F28" i="80"/>
  <c r="E28" i="80"/>
  <c r="D28" i="80"/>
  <c r="C28" i="80"/>
  <c r="J21" i="80"/>
  <c r="I21" i="80"/>
  <c r="H21" i="80"/>
  <c r="G21" i="80"/>
  <c r="F21" i="80"/>
  <c r="E21" i="80"/>
  <c r="D21" i="80"/>
  <c r="C21" i="80"/>
  <c r="A43" i="79"/>
  <c r="J36" i="79"/>
  <c r="I36" i="79"/>
  <c r="H36" i="79"/>
  <c r="G36" i="79"/>
  <c r="F36" i="79"/>
  <c r="E36" i="79"/>
  <c r="E39" i="79" s="1"/>
  <c r="D36" i="79"/>
  <c r="C36" i="79"/>
  <c r="C39" i="79" s="1"/>
  <c r="J32" i="79"/>
  <c r="J39" i="79" s="1"/>
  <c r="I32" i="79"/>
  <c r="I39" i="79" s="1"/>
  <c r="H32" i="79"/>
  <c r="H39" i="79" s="1"/>
  <c r="G32" i="79"/>
  <c r="G39" i="79"/>
  <c r="F32" i="79"/>
  <c r="F39" i="79" s="1"/>
  <c r="E32" i="79"/>
  <c r="D32" i="79"/>
  <c r="D39" i="79"/>
  <c r="C32" i="79"/>
  <c r="J26" i="79"/>
  <c r="I26" i="79"/>
  <c r="H26" i="79"/>
  <c r="G26" i="79"/>
  <c r="F26" i="79"/>
  <c r="F27" i="79" s="1"/>
  <c r="E26" i="79"/>
  <c r="D26" i="79"/>
  <c r="C26" i="79"/>
  <c r="C27" i="79" s="1"/>
  <c r="J22" i="79"/>
  <c r="J27" i="79" s="1"/>
  <c r="I22" i="79"/>
  <c r="H22" i="79"/>
  <c r="G22" i="79"/>
  <c r="F22" i="79"/>
  <c r="E22" i="79"/>
  <c r="D22" i="79"/>
  <c r="C22" i="79"/>
  <c r="J15" i="79"/>
  <c r="I15" i="79"/>
  <c r="I27" i="79"/>
  <c r="H15" i="79"/>
  <c r="G15" i="79"/>
  <c r="G27" i="79" s="1"/>
  <c r="F15" i="79"/>
  <c r="E15" i="79"/>
  <c r="D15" i="79"/>
  <c r="D27" i="79" s="1"/>
  <c r="C15" i="79"/>
  <c r="J8" i="79"/>
  <c r="I8" i="79"/>
  <c r="H8" i="79"/>
  <c r="H27" i="79" s="1"/>
  <c r="G8" i="79"/>
  <c r="F8" i="79"/>
  <c r="E8" i="79"/>
  <c r="E27" i="79" s="1"/>
  <c r="D8" i="79"/>
  <c r="C8" i="79"/>
  <c r="A12" i="75"/>
  <c r="A19" i="73"/>
  <c r="H17" i="73"/>
  <c r="G17" i="73"/>
  <c r="J9" i="73"/>
  <c r="J6" i="73"/>
  <c r="I9" i="73"/>
  <c r="I6" i="73" s="1"/>
  <c r="L6" i="73"/>
  <c r="K6" i="73"/>
  <c r="H6" i="73"/>
  <c r="G6" i="73"/>
  <c r="F6" i="73"/>
  <c r="E6" i="73"/>
  <c r="D6" i="73"/>
  <c r="C6" i="73"/>
  <c r="B6" i="73"/>
  <c r="A19" i="72"/>
  <c r="J16" i="72"/>
  <c r="I16" i="72"/>
  <c r="R6" i="72"/>
  <c r="Q6" i="72"/>
  <c r="P6" i="72"/>
  <c r="O6" i="72"/>
  <c r="N6" i="72"/>
  <c r="M6" i="72"/>
  <c r="L6" i="72"/>
  <c r="K6" i="72"/>
  <c r="J6" i="72"/>
  <c r="I6" i="72"/>
  <c r="H6" i="72"/>
  <c r="G6" i="72"/>
  <c r="F6" i="72"/>
  <c r="E6" i="72"/>
  <c r="D6" i="72"/>
  <c r="C6" i="72"/>
  <c r="B6" i="72"/>
  <c r="A11" i="71"/>
  <c r="O5" i="71"/>
  <c r="N5" i="71"/>
  <c r="M5" i="71"/>
  <c r="L5" i="71"/>
  <c r="K5" i="71"/>
  <c r="J5" i="71"/>
  <c r="I5" i="71"/>
  <c r="H5" i="71"/>
  <c r="G5" i="71"/>
  <c r="F5" i="71"/>
  <c r="E5" i="71"/>
  <c r="D5" i="71"/>
  <c r="C5" i="71"/>
  <c r="B5" i="71"/>
  <c r="A12" i="69"/>
  <c r="R10" i="69"/>
  <c r="Q10" i="69"/>
  <c r="J10" i="69"/>
  <c r="I10" i="69"/>
  <c r="R9" i="69"/>
  <c r="Q9" i="69"/>
  <c r="J9" i="69"/>
  <c r="I9" i="69"/>
  <c r="R8" i="69"/>
  <c r="Q8" i="69"/>
  <c r="J8" i="69"/>
  <c r="I8" i="69"/>
  <c r="T7" i="69"/>
  <c r="S7" i="69"/>
  <c r="P7" i="69"/>
  <c r="R7" i="69" s="1"/>
  <c r="O7" i="69"/>
  <c r="N7" i="69"/>
  <c r="M7" i="69"/>
  <c r="Q7" i="69"/>
  <c r="H7" i="69"/>
  <c r="G7" i="69"/>
  <c r="F7" i="69"/>
  <c r="E7" i="69"/>
  <c r="J7" i="69" s="1"/>
  <c r="D7" i="69"/>
  <c r="I7" i="69"/>
  <c r="C7" i="69"/>
  <c r="B7" i="69"/>
  <c r="R6" i="69"/>
  <c r="Q6" i="69"/>
  <c r="A22" i="68"/>
  <c r="R16" i="68"/>
  <c r="Q16" i="68"/>
  <c r="P16" i="68"/>
  <c r="O16" i="68"/>
  <c r="N16" i="68"/>
  <c r="M16" i="68"/>
  <c r="L16" i="68"/>
  <c r="K16" i="68"/>
  <c r="J16" i="68"/>
  <c r="I16" i="68"/>
  <c r="H16" i="68"/>
  <c r="G16" i="68"/>
  <c r="F16" i="68"/>
  <c r="E16" i="68"/>
  <c r="D16" i="68"/>
  <c r="C16" i="68"/>
  <c r="B16" i="68"/>
  <c r="R6" i="68"/>
  <c r="Q6" i="68"/>
  <c r="P6" i="68"/>
  <c r="O6" i="68"/>
  <c r="N6" i="68"/>
  <c r="M6" i="68"/>
  <c r="L6" i="68"/>
  <c r="K6" i="68"/>
  <c r="J6" i="68"/>
  <c r="I6" i="68"/>
  <c r="H6" i="68"/>
  <c r="G6" i="68"/>
  <c r="F6" i="68"/>
  <c r="E6" i="68"/>
  <c r="D6" i="68"/>
  <c r="C6" i="68"/>
  <c r="B6" i="68"/>
  <c r="A15" i="67"/>
  <c r="I6" i="67"/>
  <c r="E6" i="67"/>
  <c r="G13" i="62"/>
  <c r="F13" i="62"/>
  <c r="I13" i="62"/>
  <c r="I12" i="62"/>
  <c r="I11" i="62"/>
  <c r="I10" i="62"/>
  <c r="I9" i="62"/>
  <c r="I8" i="62"/>
  <c r="I7" i="62"/>
  <c r="I6" i="62"/>
  <c r="I4" i="62"/>
  <c r="F7" i="55"/>
  <c r="E7" i="55"/>
  <c r="F6" i="55"/>
  <c r="E6" i="55"/>
  <c r="F5" i="55"/>
  <c r="E5" i="55"/>
  <c r="F3" i="55"/>
  <c r="E3" i="55"/>
  <c r="M5" i="16"/>
  <c r="L5" i="16"/>
  <c r="K5" i="16"/>
  <c r="J5" i="16"/>
  <c r="I5" i="16"/>
  <c r="H5" i="16"/>
  <c r="G5" i="16"/>
  <c r="F5" i="16"/>
  <c r="E5" i="16"/>
  <c r="D5" i="16"/>
  <c r="C5" i="16"/>
  <c r="B5" i="16"/>
  <c r="G27" i="8"/>
  <c r="F27" i="8"/>
  <c r="E27" i="8"/>
  <c r="D27" i="8"/>
  <c r="C27" i="8"/>
  <c r="B27" i="8"/>
  <c r="C5" i="9"/>
  <c r="B5" i="9"/>
  <c r="C8" i="10"/>
  <c r="C6" i="10"/>
  <c r="B6" i="10"/>
  <c r="O5" i="10"/>
  <c r="N5" i="10"/>
  <c r="M5" i="10"/>
  <c r="L5" i="10"/>
  <c r="K5" i="10"/>
  <c r="J5" i="10"/>
  <c r="I5" i="10"/>
  <c r="H5" i="10"/>
  <c r="G5" i="10"/>
  <c r="F5" i="10"/>
  <c r="E5" i="10"/>
  <c r="D5" i="10"/>
  <c r="C5" i="10"/>
  <c r="B5" i="10"/>
  <c r="O10" i="6"/>
  <c r="C9" i="6"/>
  <c r="B9" i="6"/>
  <c r="C8" i="6"/>
  <c r="B8" i="6"/>
  <c r="C7" i="6"/>
  <c r="B7" i="6"/>
  <c r="C6" i="6"/>
  <c r="B6" i="6"/>
  <c r="F38" i="82"/>
</calcChain>
</file>

<file path=xl/sharedStrings.xml><?xml version="1.0" encoding="utf-8"?>
<sst xmlns="http://schemas.openxmlformats.org/spreadsheetml/2006/main" count="2635" uniqueCount="1114">
  <si>
    <t>Report Name</t>
  </si>
  <si>
    <t>Table 4: Substantial Acquisition of Shares and Takeovers</t>
  </si>
  <si>
    <t>Table 10: Capital Raised by Listed Companies from the Primary Market through QIPs</t>
  </si>
  <si>
    <t>Table 13: Trading in the Corporate Debt Market</t>
  </si>
  <si>
    <t>Table 19: Trends in Cash Segment of MSEI</t>
  </si>
  <si>
    <t>Table 21: Category-wise Share of Turnover in Cash Segment of BSE</t>
  </si>
  <si>
    <t>Table 22: Category-wise Share of Turnover in Cash Segment of NSE</t>
  </si>
  <si>
    <t>Table 23: Category-wise Share of Turnover in Cash Segment of MSEI</t>
  </si>
  <si>
    <t xml:space="preserve">Table 34: Trends in Equity Derivatives Segment at BSE (Turnover in Notional Value) </t>
  </si>
  <si>
    <t>Table 37: Category-wise Share of Turnover &amp; Open Interest in Equity Derivative Segment of BSE</t>
  </si>
  <si>
    <t>Table 38: Category-wise Share of Turnover &amp; Open Interest in Equity Derivative Segment of NSE</t>
  </si>
  <si>
    <t>Table 39: Instrument-wise Turnover in Index Derivatives at BSE</t>
  </si>
  <si>
    <t>Table 40: Instrument-wise Turnover in Index Derivatives at NSE</t>
  </si>
  <si>
    <t>Table 41: Trends in Currency Derivatives Segment at BSE</t>
  </si>
  <si>
    <t>Table 42: Trends in Currency Derivatives Segment at NSE</t>
  </si>
  <si>
    <t>Table 43: Trends in Currency Derivatives Segment at MSEI</t>
  </si>
  <si>
    <t>Table 53: Trends in Foreign Portfolio Investment</t>
  </si>
  <si>
    <t>Table 55: Assets under the Custody of Custodians</t>
  </si>
  <si>
    <t>Brokers (Cash Segment)</t>
  </si>
  <si>
    <t>Brokers (Equity Derivatives Segment)</t>
  </si>
  <si>
    <t>Brokers (Currency Derivatives Segment)</t>
  </si>
  <si>
    <t>Brokers (Debt Segment)</t>
  </si>
  <si>
    <t>Brokers (Commodity Derivatives Segment)</t>
  </si>
  <si>
    <t>Foreign Portfolio Investors (FPIs)</t>
  </si>
  <si>
    <t>Custodians</t>
  </si>
  <si>
    <t>Depositories</t>
  </si>
  <si>
    <t>Depository Participants (NSDL)</t>
  </si>
  <si>
    <t>Depository Participants (CDSL)</t>
  </si>
  <si>
    <t>Merchant Bankers</t>
  </si>
  <si>
    <t>Bankers to an Issue</t>
  </si>
  <si>
    <t>Underwriters</t>
  </si>
  <si>
    <t>Debenture Trustees</t>
  </si>
  <si>
    <t>Credit Rating Agencies</t>
  </si>
  <si>
    <t>KYC Registration Agencies (KRA)</t>
  </si>
  <si>
    <t>Registrars to an Issue &amp; Share Transfer Agents</t>
  </si>
  <si>
    <t>Venture Capital Funds</t>
  </si>
  <si>
    <t>Foreign Venture Capital Investors</t>
  </si>
  <si>
    <t>Alternative Investment Funds</t>
  </si>
  <si>
    <t>Portfolio Managers</t>
  </si>
  <si>
    <t>Mutual Funds</t>
  </si>
  <si>
    <t>Investment Advisors</t>
  </si>
  <si>
    <t>Research Analysts</t>
  </si>
  <si>
    <t>Collective Investment Schemes</t>
  </si>
  <si>
    <t>Approved Intermediaries (Stock Lending Schemes)</t>
  </si>
  <si>
    <t>STP (Centralised Hub)</t>
  </si>
  <si>
    <t>STP Service Providers</t>
  </si>
  <si>
    <t>Notes:</t>
  </si>
  <si>
    <t>Source: SEBI, NSDL.</t>
  </si>
  <si>
    <t>Sl.No.</t>
  </si>
  <si>
    <t>Name of the Issuer/Company</t>
  </si>
  <si>
    <t>Type of Issue</t>
  </si>
  <si>
    <t>Type of Instrument</t>
  </si>
  <si>
    <t>No. of Shares Issued</t>
  </si>
  <si>
    <t>Face Value (`)</t>
  </si>
  <si>
    <t>Premium Value (`)</t>
  </si>
  <si>
    <t>Issue Price (`)</t>
  </si>
  <si>
    <t>Source: SEBI.</t>
  </si>
  <si>
    <t>Sl.No</t>
  </si>
  <si>
    <t>Target Company</t>
  </si>
  <si>
    <t>Acquirer</t>
  </si>
  <si>
    <t>Offer Opening Date</t>
  </si>
  <si>
    <t>Offer Closing Date</t>
  </si>
  <si>
    <t>Offer Size</t>
  </si>
  <si>
    <t>Offer
 Price 
(`) per share</t>
  </si>
  <si>
    <t>No. of 
Shares</t>
  </si>
  <si>
    <t>Year / Month</t>
  </si>
  <si>
    <t>Objectives</t>
  </si>
  <si>
    <t>Total</t>
  </si>
  <si>
    <t>Change in Control 
of Management</t>
  </si>
  <si>
    <t>Consolidation of
 Holdings</t>
  </si>
  <si>
    <t>Substantial 
Acquisition</t>
  </si>
  <si>
    <t>No. of Offers</t>
  </si>
  <si>
    <t>Amount (` crore)</t>
  </si>
  <si>
    <t>2019-20</t>
  </si>
  <si>
    <t>May-20</t>
  </si>
  <si>
    <t>Apr-20</t>
  </si>
  <si>
    <t>2020-21$</t>
  </si>
  <si>
    <t>Issue-Type</t>
  </si>
  <si>
    <t>Public</t>
  </si>
  <si>
    <t>Rights</t>
  </si>
  <si>
    <t>Listed</t>
  </si>
  <si>
    <t>IPOs</t>
  </si>
  <si>
    <t>Debt</t>
  </si>
  <si>
    <t>At Par</t>
  </si>
  <si>
    <t>At Premium</t>
  </si>
  <si>
    <t>No. of issues</t>
  </si>
  <si>
    <t>Year/ Month</t>
  </si>
  <si>
    <t>No. of issue</t>
  </si>
  <si>
    <t>Amount  (`crore)</t>
  </si>
  <si>
    <t>2018-19</t>
  </si>
  <si>
    <t>Source: SEBI</t>
  </si>
  <si>
    <t>Industry</t>
  </si>
  <si>
    <t>Amount (`crore)</t>
  </si>
  <si>
    <t>Sector-wise</t>
  </si>
  <si>
    <t>Region-wise</t>
  </si>
  <si>
    <t>Private</t>
  </si>
  <si>
    <t>Northern</t>
  </si>
  <si>
    <t>Eastern</t>
  </si>
  <si>
    <t>Western</t>
  </si>
  <si>
    <t>Southern</t>
  </si>
  <si>
    <t>Central</t>
  </si>
  <si>
    <t>No. of Issue</t>
  </si>
  <si>
    <t>&lt; 5 crore</t>
  </si>
  <si>
    <t>≥ 5crore - &lt; 10crore</t>
  </si>
  <si>
    <t xml:space="preserve">  ≥ 10 crore - &lt; 50 crore</t>
  </si>
  <si>
    <t xml:space="preserve">  ≥ 50 crore - &lt; 100 crore</t>
  </si>
  <si>
    <t>Only BSE</t>
  </si>
  <si>
    <t>Only NSE</t>
  </si>
  <si>
    <t>Only MSEI</t>
  </si>
  <si>
    <t>Both NSE and BSE</t>
  </si>
  <si>
    <t>Source: BSE, NSE and MSEI.</t>
  </si>
  <si>
    <t>Year/Month</t>
  </si>
  <si>
    <t>No. of  issues</t>
  </si>
  <si>
    <t>TOTAL</t>
  </si>
  <si>
    <t>No. of Issues</t>
  </si>
  <si>
    <t>Source: BSE and NSE</t>
  </si>
  <si>
    <t>BSE</t>
  </si>
  <si>
    <t>NSE</t>
  </si>
  <si>
    <t>MSEI</t>
  </si>
  <si>
    <t>No. of Trades</t>
  </si>
  <si>
    <t>Traded Value (` crore)</t>
  </si>
  <si>
    <t>Table 14: Ratings Assigned for Long-term Corporate Debt Securities (Maturity ≥ 1 year)</t>
  </si>
  <si>
    <t>Grade</t>
  </si>
  <si>
    <t>Investment Grade</t>
  </si>
  <si>
    <t>Non-Investment Grade</t>
  </si>
  <si>
    <t>Highest Safety (AAA)</t>
  </si>
  <si>
    <t>High Safety (AA)</t>
  </si>
  <si>
    <t>Adequate Safety (A)</t>
  </si>
  <si>
    <t>Moderate Safety (BBB)</t>
  </si>
  <si>
    <t>Period</t>
  </si>
  <si>
    <t>Amount  (` crore)</t>
  </si>
  <si>
    <t>Source: Credit Rating Agencies.</t>
  </si>
  <si>
    <t>Table 15: Review of Accepted Ratings of Corporate Debt Securities (Maturity ≥ 1 year)</t>
  </si>
  <si>
    <t>Upgraded</t>
  </si>
  <si>
    <t>Downgraded</t>
  </si>
  <si>
    <t>Reaffirmed</t>
  </si>
  <si>
    <t>Rating Watch</t>
  </si>
  <si>
    <t>Withdrawn/ Suspended</t>
  </si>
  <si>
    <t>Stock Exchanges</t>
  </si>
  <si>
    <t xml:space="preserve">Table 17: Trends in Cash Segment of BSE </t>
  </si>
  <si>
    <t xml:space="preserve">No. of Companies Listed </t>
  </si>
  <si>
    <t xml:space="preserve">No. of companies traded </t>
  </si>
  <si>
    <t>No. of Trading Days</t>
  </si>
  <si>
    <t>Turnover (` crore)</t>
  </si>
  <si>
    <t>Average Daily Turnover (` crore)</t>
  </si>
  <si>
    <t>Average Trade Size (`)</t>
  </si>
  <si>
    <t>Demat Turnover (` crore)</t>
  </si>
  <si>
    <t xml:space="preserve">Market  Capitalisation (` crore) </t>
  </si>
  <si>
    <t xml:space="preserve">S&amp;P BSE Sensex </t>
  </si>
  <si>
    <t>High</t>
  </si>
  <si>
    <t>Low</t>
  </si>
  <si>
    <t>Close</t>
  </si>
  <si>
    <t>Source: BSE .</t>
  </si>
  <si>
    <t xml:space="preserve">Table 18: Trends in Cash Segment of NSE </t>
  </si>
  <si>
    <t xml:space="preserve">Nifty 50 Index </t>
  </si>
  <si>
    <t>Turnover Data compiled for all markets except auction market</t>
  </si>
  <si>
    <t>Source: NSE</t>
  </si>
  <si>
    <t>No. of Companies Traded</t>
  </si>
  <si>
    <t>Turnover (₹ crore)</t>
  </si>
  <si>
    <t>Average Daily Turnover (₹ crore)</t>
  </si>
  <si>
    <t>Demat Turnover (₹ crore)</t>
  </si>
  <si>
    <t xml:space="preserve">SX 50 Index </t>
  </si>
  <si>
    <t>Source: MSEI</t>
  </si>
  <si>
    <t>S.No</t>
  </si>
  <si>
    <t>City</t>
  </si>
  <si>
    <t>Ahmedabad</t>
  </si>
  <si>
    <t>Bengaluru</t>
  </si>
  <si>
    <t>Vadodra</t>
  </si>
  <si>
    <t>Bhubneshwar</t>
  </si>
  <si>
    <t>Chennai</t>
  </si>
  <si>
    <t>Ernakulum</t>
  </si>
  <si>
    <t>Coimbatore</t>
  </si>
  <si>
    <t>New Delhi</t>
  </si>
  <si>
    <t>Guwahati</t>
  </si>
  <si>
    <t>Hyderabad</t>
  </si>
  <si>
    <t>Indore</t>
  </si>
  <si>
    <t>Jaipur</t>
  </si>
  <si>
    <t>Kanpur</t>
  </si>
  <si>
    <t>Kolkata</t>
  </si>
  <si>
    <t>Ludhiana</t>
  </si>
  <si>
    <t>Mangalore</t>
  </si>
  <si>
    <t>Mumbai</t>
  </si>
  <si>
    <t>Patna</t>
  </si>
  <si>
    <t>Pune</t>
  </si>
  <si>
    <t>Rajkot</t>
  </si>
  <si>
    <t>Others</t>
  </si>
  <si>
    <t>Percentage Share in Turnover</t>
  </si>
  <si>
    <t>Proprietary</t>
  </si>
  <si>
    <t>FPIs</t>
  </si>
  <si>
    <t>Banks</t>
  </si>
  <si>
    <t>Source: BSE.</t>
  </si>
  <si>
    <t>Year /Month</t>
  </si>
  <si>
    <t>Source: NSE.</t>
  </si>
  <si>
    <t>Source: MSEI.</t>
  </si>
  <si>
    <t>Name of Security</t>
  </si>
  <si>
    <t>Issued
Capital 
(` crore)</t>
  </si>
  <si>
    <t>Free Float
Market
Capitalisation
(` crore)</t>
  </si>
  <si>
    <t>Beta</t>
  </si>
  <si>
    <t>RELIANCE</t>
  </si>
  <si>
    <t>HDFC BANK</t>
  </si>
  <si>
    <t>HDFC</t>
  </si>
  <si>
    <t>INFOSYS LTD</t>
  </si>
  <si>
    <t>ICICI BANK</t>
  </si>
  <si>
    <t>TCS LTD.</t>
  </si>
  <si>
    <t>HIND UNI LT</t>
  </si>
  <si>
    <t>ITC LTD.</t>
  </si>
  <si>
    <t>KOTAK MAH.BK</t>
  </si>
  <si>
    <t>LARSEN &amp; TOU</t>
  </si>
  <si>
    <t>BHARTI ARTL</t>
  </si>
  <si>
    <t>AXIS BANK</t>
  </si>
  <si>
    <t>ASIAN PAINTS</t>
  </si>
  <si>
    <t>MARUTISUZUK</t>
  </si>
  <si>
    <t>NESTLE (I)</t>
  </si>
  <si>
    <t>STATE BANK</t>
  </si>
  <si>
    <t>HCL TECHNO</t>
  </si>
  <si>
    <t>SUN PHARMA.</t>
  </si>
  <si>
    <t>BAJFINANCE</t>
  </si>
  <si>
    <t>ULTRATECH CM</t>
  </si>
  <si>
    <t>MAH &amp; MAH</t>
  </si>
  <si>
    <t>NTPC LTD</t>
  </si>
  <si>
    <t>TITAN</t>
  </si>
  <si>
    <t>POWER GRID</t>
  </si>
  <si>
    <t>BAJAJ AUTO</t>
  </si>
  <si>
    <t>TECH MAH</t>
  </si>
  <si>
    <t>HEROMOTOCO</t>
  </si>
  <si>
    <t>ONGC CORPN</t>
  </si>
  <si>
    <t>INDUSIND BNK</t>
  </si>
  <si>
    <t>TATA STEEL</t>
  </si>
  <si>
    <t>3. Volatility is the standard deviation of the daily returns for the trailing 12 months.</t>
  </si>
  <si>
    <t>4. Impact cost is calculated as the difference between actual buy price and ideal buy price, divided by ideal buy price, multiplied by 100. Hence ideal price is calculated as (best buy + best sell)/2.</t>
  </si>
  <si>
    <t>5. The above is calculated for a month for the portfolio size of ` 5 lakh.  It is calculated for the current month.</t>
  </si>
  <si>
    <t>Sl. No</t>
  </si>
  <si>
    <t>Reliance Industries Ltd.</t>
  </si>
  <si>
    <t>HDFC Bank Ltd.</t>
  </si>
  <si>
    <t>Housing Development Finance Corporation Ltd.</t>
  </si>
  <si>
    <t>Infosys Ltd.</t>
  </si>
  <si>
    <t>ICICI Bank Ltd.</t>
  </si>
  <si>
    <t>Tata Consultancy Services Ltd.</t>
  </si>
  <si>
    <t>ITC Ltd.</t>
  </si>
  <si>
    <t>Kotak Mahindra Bank Ltd.</t>
  </si>
  <si>
    <t>Hindustan Unilever Ltd.</t>
  </si>
  <si>
    <t>Bharti Airtel Ltd.</t>
  </si>
  <si>
    <t>Larsen &amp; Toubro Ltd.</t>
  </si>
  <si>
    <t>Axis Bank Ltd.</t>
  </si>
  <si>
    <t>Asian Paints Ltd.</t>
  </si>
  <si>
    <t>Maruti Suzuki India Ltd.</t>
  </si>
  <si>
    <t>Nestle India Ltd.</t>
  </si>
  <si>
    <t>State Bank of India</t>
  </si>
  <si>
    <t>HCL Technologies Ltd.</t>
  </si>
  <si>
    <t>Bajaj Finance Ltd.</t>
  </si>
  <si>
    <t>Sun Pharmaceutical Industries Ltd.</t>
  </si>
  <si>
    <t>Dr. Reddy's Laboratories Ltd.</t>
  </si>
  <si>
    <t>NTPC Ltd.</t>
  </si>
  <si>
    <t>UltraTech Cement Ltd.</t>
  </si>
  <si>
    <t>Mahindra &amp; Mahindra Ltd.</t>
  </si>
  <si>
    <t>Power Grid Corporation of India Ltd.</t>
  </si>
  <si>
    <t>Britannia Industries Ltd.</t>
  </si>
  <si>
    <t>Titan Company Ltd.</t>
  </si>
  <si>
    <t>Bajaj Auto Ltd.</t>
  </si>
  <si>
    <t>Cipla Ltd.</t>
  </si>
  <si>
    <t>Tech Mahindra Ltd.</t>
  </si>
  <si>
    <t>Wipro Ltd.</t>
  </si>
  <si>
    <t>Hero MotoCorp Ltd.</t>
  </si>
  <si>
    <t>Oil &amp; Natural Gas Corporation Ltd.</t>
  </si>
  <si>
    <t>Coal India Ltd.</t>
  </si>
  <si>
    <t>Shree Cement Ltd.</t>
  </si>
  <si>
    <t>Bharat Petroleum Corporation Ltd.</t>
  </si>
  <si>
    <t>Bajaj Finserv Ltd.</t>
  </si>
  <si>
    <t>Adani Ports and Special Economic Zone Ltd.</t>
  </si>
  <si>
    <t>IndusInd Bank Ltd.</t>
  </si>
  <si>
    <t>Grasim Industries Ltd.</t>
  </si>
  <si>
    <t>Eicher Motors Ltd.</t>
  </si>
  <si>
    <t>UPL Ltd.</t>
  </si>
  <si>
    <t>Tata Steel Ltd.</t>
  </si>
  <si>
    <t>Indian Oil Corporation Ltd.</t>
  </si>
  <si>
    <t>Hindalco Industries Ltd.</t>
  </si>
  <si>
    <t>Bharti Infratel Ltd.</t>
  </si>
  <si>
    <t>JSW Steel Ltd.</t>
  </si>
  <si>
    <t>GAIL (India) Ltd.</t>
  </si>
  <si>
    <t>Vedanta Ltd.</t>
  </si>
  <si>
    <t>Zee Entertainment Enterprises Ltd.</t>
  </si>
  <si>
    <t>Tata Motors Ltd.</t>
  </si>
  <si>
    <t>3. Volatility is the standard deviation of the daily returns for the the trailing 12 months.</t>
  </si>
  <si>
    <t>S.No.</t>
  </si>
  <si>
    <t>Issued Capital     (₹ crore)</t>
  </si>
  <si>
    <t>Free Float Market Capitalisation (₹ crore)</t>
  </si>
  <si>
    <t>Na</t>
  </si>
  <si>
    <t>HDFCBANK</t>
  </si>
  <si>
    <t>INFY</t>
  </si>
  <si>
    <t>TCS</t>
  </si>
  <si>
    <t>ICICIBANK</t>
  </si>
  <si>
    <t>HINDUNILVR</t>
  </si>
  <si>
    <t>ITC</t>
  </si>
  <si>
    <t>KOTAKBANK</t>
  </si>
  <si>
    <t>BHARTIARTL</t>
  </si>
  <si>
    <t>LT</t>
  </si>
  <si>
    <t>AXISBANK</t>
  </si>
  <si>
    <t>ASIANPAINT</t>
  </si>
  <si>
    <t>MARUTI</t>
  </si>
  <si>
    <t>NESTLEIND</t>
  </si>
  <si>
    <t>HCLTECH</t>
  </si>
  <si>
    <t>SBIN</t>
  </si>
  <si>
    <t>DRREDDY</t>
  </si>
  <si>
    <t>SUNPHARMA</t>
  </si>
  <si>
    <t>ULTRACEMCO</t>
  </si>
  <si>
    <t>NTPC</t>
  </si>
  <si>
    <t>M&amp;M</t>
  </si>
  <si>
    <t>POWERGRID</t>
  </si>
  <si>
    <t>BRITANNIA</t>
  </si>
  <si>
    <t>TECHM</t>
  </si>
  <si>
    <t>BAJAJ-AUTO</t>
  </si>
  <si>
    <t>WIPRO</t>
  </si>
  <si>
    <t>ONGC</t>
  </si>
  <si>
    <t>BPCL</t>
  </si>
  <si>
    <t>COALINDIA</t>
  </si>
  <si>
    <t>ADANIPORTS</t>
  </si>
  <si>
    <t>GRASIM</t>
  </si>
  <si>
    <t>INDUSINDBK</t>
  </si>
  <si>
    <t>TATASTEEL</t>
  </si>
  <si>
    <t>IOC</t>
  </si>
  <si>
    <t>HINDALCO</t>
  </si>
  <si>
    <t>TATAMOTORS</t>
  </si>
  <si>
    <t>1. Market Cap, Beta &amp; R2 as on the last day of the month</t>
  </si>
  <si>
    <t>3. Volatility for the current month</t>
  </si>
  <si>
    <t>Advances</t>
  </si>
  <si>
    <t>Declines</t>
  </si>
  <si>
    <t>Advance/Decline Ratio</t>
  </si>
  <si>
    <t>Month</t>
  </si>
  <si>
    <t>No. of Companies Listed</t>
  </si>
  <si>
    <t>BSE Sensex</t>
  </si>
  <si>
    <t>BSE 100</t>
  </si>
  <si>
    <t>BSE 500</t>
  </si>
  <si>
    <t>Nifty 50</t>
  </si>
  <si>
    <t>Nifty Next 50</t>
  </si>
  <si>
    <t>Nifty 500</t>
  </si>
  <si>
    <t>SX40</t>
  </si>
  <si>
    <t>Source: BSE, MSEI and NSE.</t>
  </si>
  <si>
    <t>Top</t>
  </si>
  <si>
    <t>5</t>
  </si>
  <si>
    <t>10</t>
  </si>
  <si>
    <t>25</t>
  </si>
  <si>
    <t>50</t>
  </si>
  <si>
    <t>100</t>
  </si>
  <si>
    <t>Securities</t>
  </si>
  <si>
    <t>Members</t>
  </si>
  <si>
    <t>Year /  Month</t>
  </si>
  <si>
    <t>Delivered Value   (` crore)</t>
  </si>
  <si>
    <t>Delivered Value in Demat Mode     (` crore)</t>
  </si>
  <si>
    <t>Funds Pay-in (` crore)</t>
  </si>
  <si>
    <t>Securities Pay-in (` crore)</t>
  </si>
  <si>
    <t>Settlement Guarantee Fund (`crore)</t>
  </si>
  <si>
    <t>Year/     Month</t>
  </si>
  <si>
    <t>Index Futures</t>
  </si>
  <si>
    <t>Stock Futures</t>
  </si>
  <si>
    <t>Index Options</t>
  </si>
  <si>
    <t>Stock Options</t>
  </si>
  <si>
    <t>Open Interest at the end of Month</t>
  </si>
  <si>
    <t>Call</t>
  </si>
  <si>
    <t>Put</t>
  </si>
  <si>
    <t>No. of
Contracts</t>
  </si>
  <si>
    <t>Turnover
(` crore)</t>
  </si>
  <si>
    <t>No. of
contracts</t>
  </si>
  <si>
    <t xml:space="preserve">Table 35: Trends in Equity Derivatives Segment at NSE (Turnover in Notional Value) </t>
  </si>
  <si>
    <t>Index/Stock
Futures</t>
  </si>
  <si>
    <t>Index/Stock
Options</t>
  </si>
  <si>
    <t>Settlement
Gurantee
Fund</t>
  </si>
  <si>
    <t>MTM
Settlement</t>
  </si>
  <si>
    <t>Final
Settlement</t>
  </si>
  <si>
    <t>Premium
Settlement</t>
  </si>
  <si>
    <t>Exercise
Settlement</t>
  </si>
  <si>
    <t>Percentage Share in Open Interest</t>
  </si>
  <si>
    <t>FPI</t>
  </si>
  <si>
    <t>BSE 30 SENSEX</t>
  </si>
  <si>
    <t>BSE SENSEX 50</t>
  </si>
  <si>
    <t>NIFTY</t>
  </si>
  <si>
    <t>NIFTYIT</t>
  </si>
  <si>
    <t>BANKNIFTY</t>
  </si>
  <si>
    <t>Currency Futures</t>
  </si>
  <si>
    <t>Currency  Options</t>
  </si>
  <si>
    <t>Open Interest at the end of  the Month</t>
  </si>
  <si>
    <t>No. of Contracts</t>
  </si>
  <si>
    <t xml:space="preserve">No. of Contracts </t>
  </si>
  <si>
    <t>Value 
(` crore)</t>
  </si>
  <si>
    <t>Source: BSE</t>
  </si>
  <si>
    <t>No. of Trading  Days</t>
  </si>
  <si>
    <t>Currency Options</t>
  </si>
  <si>
    <t>Open Interest at the
end of Month</t>
  </si>
  <si>
    <t>Value
(` crore)</t>
  </si>
  <si>
    <t>Currency
Futures</t>
  </si>
  <si>
    <t>Open Interest as on last day of the month (in lots)</t>
  </si>
  <si>
    <t>USDINR</t>
  </si>
  <si>
    <t>EURINR</t>
  </si>
  <si>
    <t>GBPINR</t>
  </si>
  <si>
    <t>JPYINR</t>
  </si>
  <si>
    <t>EURUSD</t>
  </si>
  <si>
    <t>GBPUSD</t>
  </si>
  <si>
    <t>USDJPY</t>
  </si>
  <si>
    <t>1. USDINR includes Futures and options both other currencys have only futures till February 26, 2018.</t>
  </si>
  <si>
    <t>2. All Products include both Futures &amp; options from February 27, 2018 onwards.</t>
  </si>
  <si>
    <t>3. EURUSD, GBPUSD, USDJPY wer launched in Feb 2018</t>
  </si>
  <si>
    <t>Turnover ( ` crore)</t>
  </si>
  <si>
    <t>Open Interest as on last day of the month ( in lots)</t>
  </si>
  <si>
    <t>1. Cross Currency was introduced wef Feb 27, 2018</t>
  </si>
  <si>
    <t>2. Options contracts on EURINR,GBPINR,JPYINR were introduced wef Feb 27, 2018</t>
  </si>
  <si>
    <t>Open Interest as on last day of the month
(in lots)</t>
  </si>
  <si>
    <t>Data includes Notional Value for Options</t>
  </si>
  <si>
    <t>Excludes data of Interest Rate Futures</t>
  </si>
  <si>
    <t>1 Month</t>
  </si>
  <si>
    <t>2 Month</t>
  </si>
  <si>
    <t>3 Month</t>
  </si>
  <si>
    <t>&gt; 3 Months</t>
  </si>
  <si>
    <t xml:space="preserve">2 Month   </t>
  </si>
  <si>
    <t>Interest Rate Futures</t>
  </si>
  <si>
    <t>Open Interest at
the end of</t>
  </si>
  <si>
    <t>Interest RateFutures</t>
  </si>
  <si>
    <t xml:space="preserve">Open Interest at the end of </t>
  </si>
  <si>
    <t>Traded Value 
(` crore)</t>
  </si>
  <si>
    <t>Source: BSE, NSE and MSEI</t>
  </si>
  <si>
    <t>Physical Delivery Settlement</t>
  </si>
  <si>
    <t>MTM Settlement</t>
  </si>
  <si>
    <t>Gross Purchase (` crore)</t>
  </si>
  <si>
    <t>Source: NSDL, CDSL</t>
  </si>
  <si>
    <t>Notional value of ODIs on Equity, Debt &amp; Derivatives as % of  Assets Under Custody of FPIs/Deemed FPIs</t>
  </si>
  <si>
    <t>Notional value of ODIs on Equity &amp; Debt  excluding Derivatives as % of  Assets Under Custody of FPIs/Deemed FPIs</t>
  </si>
  <si>
    <t>Type of Client</t>
  </si>
  <si>
    <t xml:space="preserve">FPIs </t>
  </si>
  <si>
    <t>Foreign
Depositories</t>
  </si>
  <si>
    <t>FDI
Investments</t>
  </si>
  <si>
    <t>Foreign
Venture
Capital
Investments</t>
  </si>
  <si>
    <t>OCBs</t>
  </si>
  <si>
    <t>NRIs</t>
  </si>
  <si>
    <t>Mutual
Funds</t>
  </si>
  <si>
    <t>Corporates</t>
  </si>
  <si>
    <t>Insurance
Companies</t>
  </si>
  <si>
    <t>Local
Pension
Funds</t>
  </si>
  <si>
    <t>Financial
Institutions</t>
  </si>
  <si>
    <t>No.</t>
  </si>
  <si>
    <t>MAY-20</t>
  </si>
  <si>
    <t>APR-20</t>
  </si>
  <si>
    <t>2. "Others" include Portfolio manager, partnership firm, trusts, depository receipts, AIFs, FCCB, HUFs, Brokers etc.</t>
  </si>
  <si>
    <t>Source: Custodians.</t>
  </si>
  <si>
    <t>Gross Mobilisation</t>
  </si>
  <si>
    <t>Redemption</t>
  </si>
  <si>
    <t>Net Inflow/ Outflow</t>
  </si>
  <si>
    <t>Assets at the
End of
Period</t>
  </si>
  <si>
    <t>Pvt. Sector</t>
  </si>
  <si>
    <t>Public Sector</t>
  </si>
  <si>
    <t>Open</t>
  </si>
  <si>
    <t>Year/  Month</t>
  </si>
  <si>
    <t>Equity</t>
  </si>
  <si>
    <t>Gross Purchases</t>
  </si>
  <si>
    <t>Gross Sales</t>
  </si>
  <si>
    <t>Net Purchases /Sales</t>
  </si>
  <si>
    <t>Net purchases /Sale</t>
  </si>
  <si>
    <t>Particulars</t>
  </si>
  <si>
    <t>No. of Clients</t>
  </si>
  <si>
    <t>AUM (` crore)</t>
  </si>
  <si>
    <t>Listed Equity</t>
  </si>
  <si>
    <t>Unlisted Equity</t>
  </si>
  <si>
    <t>Plain Debt</t>
  </si>
  <si>
    <t>Structured Debt</t>
  </si>
  <si>
    <t>Equity Derivatives</t>
  </si>
  <si>
    <t>Parameter</t>
  </si>
  <si>
    <t>Unit</t>
  </si>
  <si>
    <t>NSDL</t>
  </si>
  <si>
    <t>CDSL</t>
  </si>
  <si>
    <t>% Change during the year</t>
  </si>
  <si>
    <t>% Change during the month</t>
  </si>
  <si>
    <t>Number of companies signed up to make their shares available for dematerialization</t>
  </si>
  <si>
    <t>Number</t>
  </si>
  <si>
    <t>Number of Depository Participants (registered)</t>
  </si>
  <si>
    <t>Number of Stock Exchanges (connected)</t>
  </si>
  <si>
    <t>Number of Investors Accounts</t>
  </si>
  <si>
    <t>Quantity of Shares dematerialized</t>
  </si>
  <si>
    <t>Value of Shares dematerialized</t>
  </si>
  <si>
    <t>Quantity of Securities dematerialized #</t>
  </si>
  <si>
    <t>Value of Securities dematerialized #</t>
  </si>
  <si>
    <t>Quantity of shares settled during the month</t>
  </si>
  <si>
    <t>Average Quantity of shares settled daily (quantity of shares settled during the month (divided by 30))</t>
  </si>
  <si>
    <t>Value of shares settled during the month in dematerialized form</t>
  </si>
  <si>
    <t>Average Value of shares settled daily (value of shares settled during the month (divided by 30))</t>
  </si>
  <si>
    <t>Training Programmes conducted for representatives of Corporates, DPs and Brokers</t>
  </si>
  <si>
    <t>The ratio of dematerialized equity shares to the total outstanding shares market value</t>
  </si>
  <si>
    <t>The ratio of dematerialized equity shares to the total outstanding shares (market value)</t>
  </si>
  <si>
    <t>Source: NSDL and CDSL.</t>
  </si>
  <si>
    <t>Companies Live</t>
  </si>
  <si>
    <t>DPs Live</t>
  </si>
  <si>
    <t>DPs
Locations</t>
  </si>
  <si>
    <t>Demat 
Quantity 
(million securities)</t>
  </si>
  <si>
    <t>Demat Value (` crore)</t>
  </si>
  <si>
    <t>Demat Value  (` crore)</t>
  </si>
  <si>
    <t>* Includes Nine Participants which are under closure/termination process and SEBI registration is not yet cancelled/suspended</t>
  </si>
  <si>
    <t>Unlisted</t>
  </si>
  <si>
    <t>No.of issuers debt/Companies(equity)</t>
  </si>
  <si>
    <t>(numbers)</t>
  </si>
  <si>
    <t>No.of Active Instruments</t>
  </si>
  <si>
    <t>Demat Quantity</t>
  </si>
  <si>
    <t>(lakhs)</t>
  </si>
  <si>
    <t>Demat Value</t>
  </si>
  <si>
    <t>Quantity settled during the month</t>
  </si>
  <si>
    <t>Value Settled during the month</t>
  </si>
  <si>
    <t>No. of Issuers (Debt) / Companies (Equity)</t>
  </si>
  <si>
    <t>No. of Active Instruments</t>
  </si>
  <si>
    <t>(lakh)</t>
  </si>
  <si>
    <t>(Rs.crore)</t>
  </si>
  <si>
    <t>Exchanges</t>
  </si>
  <si>
    <t>Futures</t>
  </si>
  <si>
    <t>Options</t>
  </si>
  <si>
    <t>Agriculture</t>
  </si>
  <si>
    <t>Metals other than bullion</t>
  </si>
  <si>
    <t xml:space="preserve">Bullion </t>
  </si>
  <si>
    <t>Energy</t>
  </si>
  <si>
    <t>Gems and Stones</t>
  </si>
  <si>
    <t>Bullion</t>
  </si>
  <si>
    <t>NCDEX</t>
  </si>
  <si>
    <t>Permitted for trading</t>
  </si>
  <si>
    <t>Traded</t>
  </si>
  <si>
    <t>MCX</t>
  </si>
  <si>
    <t>Source: MCX and NCDEX</t>
  </si>
  <si>
    <t>Metals</t>
  </si>
  <si>
    <t>Volume ('000 tonnes)</t>
  </si>
  <si>
    <t>Source: MCX</t>
  </si>
  <si>
    <t>Source: NCDEX</t>
  </si>
  <si>
    <t>No.of Trading days</t>
  </si>
  <si>
    <t>Volume 
(in cents)</t>
  </si>
  <si>
    <t>No. of contracts traded</t>
  </si>
  <si>
    <t>Open interest at the end of the period</t>
  </si>
  <si>
    <t>Hedgers</t>
  </si>
  <si>
    <t>Name of the Commodity</t>
  </si>
  <si>
    <t>Gold</t>
  </si>
  <si>
    <t>Silver</t>
  </si>
  <si>
    <t>Aluminium</t>
  </si>
  <si>
    <t>Copper</t>
  </si>
  <si>
    <t>Lead</t>
  </si>
  <si>
    <t>Nickel</t>
  </si>
  <si>
    <t>Zinc</t>
  </si>
  <si>
    <t>Cardamom</t>
  </si>
  <si>
    <t>Cotton</t>
  </si>
  <si>
    <t>CPO</t>
  </si>
  <si>
    <t>Mentha Oil</t>
  </si>
  <si>
    <t>Crude Oil</t>
  </si>
  <si>
    <t>Natural Gas (trln. Btu)</t>
  </si>
  <si>
    <t>Grand Total (A+B+C+D)</t>
  </si>
  <si>
    <t>Source : MCX</t>
  </si>
  <si>
    <t>Barley</t>
  </si>
  <si>
    <t>Castorseed</t>
  </si>
  <si>
    <t>Chana</t>
  </si>
  <si>
    <t>Cotton seed oil cake</t>
  </si>
  <si>
    <t>Coriander</t>
  </si>
  <si>
    <t>Guar seed</t>
  </si>
  <si>
    <t>Guargum</t>
  </si>
  <si>
    <t>Jeera</t>
  </si>
  <si>
    <t>Kapas</t>
  </si>
  <si>
    <t>Maize</t>
  </si>
  <si>
    <t>Turmeric</t>
  </si>
  <si>
    <t>Wheat</t>
  </si>
  <si>
    <t>E</t>
  </si>
  <si>
    <t>! First revised estimates of national income, consumption expenditure, saving and capital formation for 2017-18 dated, 31.01.2019</t>
  </si>
  <si>
    <t>Data for CPI, WPI, IIP and External sector have been complied based on available information.</t>
  </si>
  <si>
    <t>Source :  RBI, FBIL,  MOSPI,  Ministry of Commerce &amp; Industry, Office of the Economic Adviser.</t>
  </si>
  <si>
    <t>Table 4 : Substantial Acquisition of Shares and Takeovers</t>
  </si>
  <si>
    <t>Table 5 : Capital Raised from the Primary Market through  Public and Rights Issues</t>
  </si>
  <si>
    <t>Table 6 : Issues Listed on SME Platform</t>
  </si>
  <si>
    <t>Table 7 : Industry-wise Classification of Capital Raised through Public and Rights Issues (Equity)</t>
  </si>
  <si>
    <t>Table 8 : Sector-wise and Region-wise Distribution of Capital Mobilised through Public and Rights Issues (Equity)</t>
  </si>
  <si>
    <t>Table 9 : Size-wise Classification of Capital Raised through Public and Rights Issues (Equity)</t>
  </si>
  <si>
    <t>Table 10 : Capital Raised by Listed Companies from the Primary Market through QIPs</t>
  </si>
  <si>
    <t>Table 13 : Trading in the Corporate Debt Market</t>
  </si>
  <si>
    <t>Table 14 : Ratings Assigned for Long-term Corporate Debt Securities (Maturity ≥ 1 year)</t>
  </si>
  <si>
    <t>Table 15 : Review of Accepted Ratings of Corporate Debt Securities (Maturity ≥ 1 year)</t>
  </si>
  <si>
    <t>Table 17 : Trends in Cash Segment of BSE</t>
  </si>
  <si>
    <t>Table 18 : Trends in Cash Segment of NSE</t>
  </si>
  <si>
    <t>Table 19 : Trends in Cash Segment of MSEI</t>
  </si>
  <si>
    <t>Table 21 : Category-wise Share of Turnover in Cash Segment of BSE</t>
  </si>
  <si>
    <t>Table 22 : Category-wise Share of Turnover in Cash Segment of NSE</t>
  </si>
  <si>
    <t>Table 23 : Category-wise Share of Turnover in Cash Segment of MSEI</t>
  </si>
  <si>
    <t>Table 31 : Settlement Statistics for Cash Segment of ICCL</t>
  </si>
  <si>
    <t>Table 32 : Settlement Statistics for Cash Segment of NSCCL</t>
  </si>
  <si>
    <t>Table 33 : Settlement Statistics for Cash Segment of MCCIL</t>
  </si>
  <si>
    <t>Table 34 : Trends in Equity Derivatives Segment at BSE (Turnover in Notional Value)</t>
  </si>
  <si>
    <t>Table 35 : Trends in Equity Derivatives Segment at NSE (Turnover in Notional Value)</t>
  </si>
  <si>
    <t>Table 37 : Category-wise Share of Turnover &amp; Open Interest in Equity Derivative Segment of BSE</t>
  </si>
  <si>
    <t>Table 38 : Category-wise Share of Turnover &amp; Open Interest in Equity Derivative Segment of NSE</t>
  </si>
  <si>
    <t>Table 39 : Instrument-wise Turnover in Index Derivatives at BSE</t>
  </si>
  <si>
    <t>Table 40 : Instrument-wise Turnover in Index Derivatives at NSE</t>
  </si>
  <si>
    <t>Table 41 : Trends in Currency Derivatives Segment at BSE</t>
  </si>
  <si>
    <t>Table 42 : Trends in Currency Derivatives Segment at NSE</t>
  </si>
  <si>
    <t>Table 43 : Trends in Currency Derivatives Segment at MSEI</t>
  </si>
  <si>
    <t>Table 45 : Instrument-wise Turnover in Currency Derivative Segment of BSE</t>
  </si>
  <si>
    <t>Table 46 : Instrument-wise Turnover in Currency Derivatives of NSE</t>
  </si>
  <si>
    <t>Table 47 : Instrument-wise Turnover in Currency Derivative Segment of MSEI</t>
  </si>
  <si>
    <t>Table 53 : Trends in Foreign Portfolio Investment</t>
  </si>
  <si>
    <t>Table 55 : Assets under the Custody of Custodians</t>
  </si>
  <si>
    <t>Table 57 : Status of Mutual Funds Industry in India</t>
  </si>
  <si>
    <t>Table 61 : Progress of Dematerialisation at NSDL and CDSL (Listed and Unlisted Companies)</t>
  </si>
  <si>
    <t>Table 66 : Trends in commodity derivatives at NCDEX</t>
  </si>
  <si>
    <t>Table 74 : Macro Economic Indicators</t>
  </si>
  <si>
    <t>Table 61: Progress of Dematerialisation at NSDL and CDSL (Listed and Unlisted Companies)</t>
  </si>
  <si>
    <t xml:space="preserve">Energy </t>
  </si>
  <si>
    <t xml:space="preserve">Contracts floated </t>
  </si>
  <si>
    <t>ICEX</t>
  </si>
  <si>
    <t xml:space="preserve"> </t>
  </si>
  <si>
    <t>2 </t>
  </si>
  <si>
    <t>Source: NCDEX, MCX, ICEX, BSE and NSE</t>
  </si>
  <si>
    <t>MCX  INDEX</t>
  </si>
  <si>
    <t>Nkrishi NCDEX INDEX</t>
  </si>
  <si>
    <t>2019-20 @ MCX COMDEX</t>
  </si>
  <si>
    <t>2019-20 @@ MCX   iCOMDEX</t>
  </si>
  <si>
    <t xml:space="preserve">2020-21$ </t>
  </si>
  <si>
    <t>Note 2: @@Data from January 2020 are for the MCX icomdex composite index and accordingly open, high, low and close is calculated for the indices from January 2020 onwards.</t>
  </si>
  <si>
    <t>Volume ('000 tonnes)*</t>
  </si>
  <si>
    <t>Year / 
Month</t>
  </si>
  <si>
    <t>Volume
('000 tonnes)</t>
  </si>
  <si>
    <t>Open interest 
  at the end of the period</t>
  </si>
  <si>
    <t>Agriculture Futures</t>
  </si>
  <si>
    <t>Metals Futures</t>
  </si>
  <si>
    <t>Gems and Stones Futures</t>
  </si>
  <si>
    <t xml:space="preserve">Total </t>
  </si>
  <si>
    <t>Volume 
('000 tonnes)</t>
  </si>
  <si>
    <t>Source: ICEX</t>
  </si>
  <si>
    <t>Volume ( '000 tonnes)</t>
  </si>
  <si>
    <t>Volume ('000  tonnes)</t>
  </si>
  <si>
    <t xml:space="preserve">Agriculture </t>
  </si>
  <si>
    <t xml:space="preserve">Client </t>
  </si>
  <si>
    <t>NA</t>
  </si>
  <si>
    <t>Source: MCX, NCDEX, ICEX, BSE and NSE</t>
  </si>
  <si>
    <t>Sr.No</t>
  </si>
  <si>
    <t>A</t>
  </si>
  <si>
    <t>Total for A</t>
  </si>
  <si>
    <t>B</t>
  </si>
  <si>
    <t>Metals other than Bullion</t>
  </si>
  <si>
    <t>Total for  B</t>
  </si>
  <si>
    <t>C</t>
  </si>
  <si>
    <t>Agricultural commodities</t>
  </si>
  <si>
    <t>Total for C</t>
  </si>
  <si>
    <t>D</t>
  </si>
  <si>
    <t>Total for D*</t>
  </si>
  <si>
    <t>Total  of E</t>
  </si>
  <si>
    <t>F</t>
  </si>
  <si>
    <t xml:space="preserve">Metals </t>
  </si>
  <si>
    <t>Total of F</t>
  </si>
  <si>
    <t>G</t>
  </si>
  <si>
    <t>Grand Total (E+F+G)</t>
  </si>
  <si>
    <t xml:space="preserve">            Turnover of options contract is notional value. </t>
  </si>
  <si>
    <t xml:space="preserve">           Conversion factors: Cotton (1 Bale=170 kg), Crude Oil (1 Tonne = 7.33Barrels)</t>
  </si>
  <si>
    <t>Value 
( crore)</t>
  </si>
  <si>
    <t>RM seed</t>
  </si>
  <si>
    <t>Soy bean</t>
  </si>
  <si>
    <t>Refined Soy Oil</t>
  </si>
  <si>
    <t>Guarseed</t>
  </si>
  <si>
    <t>Soybean</t>
  </si>
  <si>
    <t>Ref. Soy Oil</t>
  </si>
  <si>
    <t xml:space="preserve"> Turnover of options contract is notional value. </t>
  </si>
  <si>
    <t xml:space="preserve">Isabgulseed </t>
  </si>
  <si>
    <t>Pepper Mini</t>
  </si>
  <si>
    <t xml:space="preserve">Rubber </t>
  </si>
  <si>
    <t>Diamond 1 CT</t>
  </si>
  <si>
    <t>Diamond .5 CT</t>
  </si>
  <si>
    <t>Diamond .3 CT</t>
  </si>
  <si>
    <t>Steel</t>
  </si>
  <si>
    <t>Paddy Basmati</t>
  </si>
  <si>
    <t>Gold M</t>
  </si>
  <si>
    <t>Guar Gum</t>
  </si>
  <si>
    <t>Guar Seed</t>
  </si>
  <si>
    <t>Cotton29</t>
  </si>
  <si>
    <t>C.</t>
  </si>
  <si>
    <t>Total (NSE)</t>
  </si>
  <si>
    <t>Gold Mini</t>
  </si>
  <si>
    <t>BR Crude</t>
  </si>
  <si>
    <t>BR Crude Mini</t>
  </si>
  <si>
    <t>Note</t>
  </si>
  <si>
    <t>ii. Conversion factors: Brent Crude Oil (1 Tonne = 7.33Barrels)</t>
  </si>
  <si>
    <t>Source : ICEX, BSE and NSE</t>
  </si>
  <si>
    <t xml:space="preserve">Table 5:  Capital Raised from the Primary Market through  Public and Rights Issues </t>
  </si>
  <si>
    <t>Total (Equity + Debt)</t>
  </si>
  <si>
    <t>Equity Issue</t>
  </si>
  <si>
    <t>Debt Issue</t>
  </si>
  <si>
    <t>Amount  (₹crore)</t>
  </si>
  <si>
    <t>Amount (₹ crore)</t>
  </si>
  <si>
    <t>1. Equity public issues also includes issues listed on SME platform.</t>
  </si>
  <si>
    <t>Table 6:  Issues Listed on SME Platform</t>
  </si>
  <si>
    <t>Table 7:  Industry-wise Classification of Capital Raised through Public and Rights Issues (Equity)</t>
  </si>
  <si>
    <t>Amount (₹crore)</t>
  </si>
  <si>
    <t>Airlines</t>
  </si>
  <si>
    <t>Automobiles</t>
  </si>
  <si>
    <t>Cement/ Constructions</t>
  </si>
  <si>
    <t>Chemical</t>
  </si>
  <si>
    <t>Consumer Services</t>
  </si>
  <si>
    <t>Electronic Equipments/ Products</t>
  </si>
  <si>
    <t>Engineering</t>
  </si>
  <si>
    <t>Entertainment</t>
  </si>
  <si>
    <t>Finance</t>
  </si>
  <si>
    <t>Food processing</t>
  </si>
  <si>
    <t>Healthcare</t>
  </si>
  <si>
    <t>Hotels</t>
  </si>
  <si>
    <t>Info Tech</t>
  </si>
  <si>
    <t>Insurance</t>
  </si>
  <si>
    <t>Oil &amp; Natural Gas</t>
  </si>
  <si>
    <t>Plastic</t>
  </si>
  <si>
    <t>Power</t>
  </si>
  <si>
    <t>Printing</t>
  </si>
  <si>
    <t>Roads &amp; Highways</t>
  </si>
  <si>
    <t>Telecom</t>
  </si>
  <si>
    <t>Textile</t>
  </si>
  <si>
    <t xml:space="preserve">Banks/FIs   </t>
  </si>
  <si>
    <t>Misc</t>
  </si>
  <si>
    <t>2012-21$</t>
  </si>
  <si>
    <t xml:space="preserve">Table 57:  Status of Mutual Funds Industry in India </t>
  </si>
  <si>
    <t>Sr. No.</t>
  </si>
  <si>
    <t>Scheme Category</t>
  </si>
  <si>
    <t xml:space="preserve">No. of schemes </t>
  </si>
  <si>
    <t xml:space="preserve">No. of Folios </t>
  </si>
  <si>
    <t>Open ended Schemes</t>
  </si>
  <si>
    <t>I</t>
  </si>
  <si>
    <t>Income/Debt Oriented Schemes</t>
  </si>
  <si>
    <t>Overnight Fund</t>
  </si>
  <si>
    <t>Liquid Fund</t>
  </si>
  <si>
    <t>Ultra Short Duration Fund</t>
  </si>
  <si>
    <t>Low Duration Fund</t>
  </si>
  <si>
    <t>Money Market Fund</t>
  </si>
  <si>
    <t>Short Duration Fund</t>
  </si>
  <si>
    <t>Medium Duration Fund</t>
  </si>
  <si>
    <t>Medium to Long Duration Fund</t>
  </si>
  <si>
    <t>Long Duration Fund</t>
  </si>
  <si>
    <t>Dynamic Bond Fund</t>
  </si>
  <si>
    <t>Corporate Bond Fund</t>
  </si>
  <si>
    <t>Credit Risk Fund</t>
  </si>
  <si>
    <t>Banking and PSU Fund</t>
  </si>
  <si>
    <t>Gilt Fund</t>
  </si>
  <si>
    <t>Gilt Fund with 10 year constant duration</t>
  </si>
  <si>
    <t>Floater Fund</t>
  </si>
  <si>
    <t>Sub total - I (1+2+3+4+5+6+7+8+9+10+11+12+13+14+15+16)</t>
  </si>
  <si>
    <t>II</t>
  </si>
  <si>
    <t>Growth/Equity Oriented Schemes</t>
  </si>
  <si>
    <t>Multi Cap Fund</t>
  </si>
  <si>
    <t>Large Cap Fund</t>
  </si>
  <si>
    <t>Large &amp; Mid Cap Fund</t>
  </si>
  <si>
    <t>Mid Cap Fund</t>
  </si>
  <si>
    <t>Small Cap Fund</t>
  </si>
  <si>
    <t>Dividend Yield Fund</t>
  </si>
  <si>
    <t>Value Fund/Contra Fund</t>
  </si>
  <si>
    <t>Focused Fund</t>
  </si>
  <si>
    <t>Sectoral/Thematic Funds</t>
  </si>
  <si>
    <t>ELSS</t>
  </si>
  <si>
    <t>Sub total - II (17+18+19+20+21+22+23+24+25+26)</t>
  </si>
  <si>
    <t>III</t>
  </si>
  <si>
    <t>Hybrid Schemes</t>
  </si>
  <si>
    <t>Conservative Hybrid Fund</t>
  </si>
  <si>
    <t>Balanced Hybrid Fund/Aggressive Hybrid Fund</t>
  </si>
  <si>
    <t>Dynamic Asset Allocation/Balanced Advantage</t>
  </si>
  <si>
    <t>Multi Asset Allocation</t>
  </si>
  <si>
    <t>Arbitrage Fund</t>
  </si>
  <si>
    <t>Equity Savings Fund</t>
  </si>
  <si>
    <t>Sub total - III (27+28+29+30+31+32)</t>
  </si>
  <si>
    <t>IV</t>
  </si>
  <si>
    <t>Solution Oriented  Schemes</t>
  </si>
  <si>
    <t>Retirement Fund</t>
  </si>
  <si>
    <t>Childrens' Fund</t>
  </si>
  <si>
    <t>Sub total - IV (33+34)</t>
  </si>
  <si>
    <t>V</t>
  </si>
  <si>
    <t>Other Schemes</t>
  </si>
  <si>
    <t>Index Funds</t>
  </si>
  <si>
    <t>GOLD ETFs</t>
  </si>
  <si>
    <t>Other ETFs</t>
  </si>
  <si>
    <t>Fund of funds investing overseas</t>
  </si>
  <si>
    <t>Sub total - V (35+36+37+38)</t>
  </si>
  <si>
    <t>Total A-Open ended Schemes</t>
  </si>
  <si>
    <t>Close  Ended Schemes</t>
  </si>
  <si>
    <t>i</t>
  </si>
  <si>
    <t>Fixed Term Plan</t>
  </si>
  <si>
    <t>ii</t>
  </si>
  <si>
    <t>Capital Protection Oriented  Schemes</t>
  </si>
  <si>
    <t>iii</t>
  </si>
  <si>
    <t xml:space="preserve">Infrastructure Debt Fund </t>
  </si>
  <si>
    <t>iv</t>
  </si>
  <si>
    <t>Other Debt</t>
  </si>
  <si>
    <t>Sub total (i+ii+iii+iv)</t>
  </si>
  <si>
    <t>Sub total (i+ii)</t>
  </si>
  <si>
    <t>Total B -Close ended Schemes</t>
  </si>
  <si>
    <t>Interval Schemes</t>
  </si>
  <si>
    <t>Total C -Interval Schemes</t>
  </si>
  <si>
    <t>Grand Total (A+B+C)</t>
  </si>
  <si>
    <t>Fund of Funds Scheme (Domestic)</t>
  </si>
  <si>
    <t>2019-20$</t>
  </si>
  <si>
    <t>Discretionary</t>
  </si>
  <si>
    <t>Non-Discretionary</t>
  </si>
  <si>
    <t>Advisory</t>
  </si>
  <si>
    <t>Discretionary#</t>
  </si>
  <si>
    <t>Advisory**</t>
  </si>
  <si>
    <t>Total*</t>
  </si>
  <si>
    <t xml:space="preserve">2. **Value of Assets for which Advisory Services are being given. </t>
  </si>
  <si>
    <t>4.  The above data is based on the monthly report received from Portfolio Managers.</t>
  </si>
  <si>
    <t>Table 8:  Sector-wise and Region-wise Distribution of Capital Mobilised through Public and Rights Issues (Equity)</t>
  </si>
  <si>
    <t>Table 9:  Size-wise Classification of Capital Raised through Public and Rights Issues (Equity)</t>
  </si>
  <si>
    <t xml:space="preserve">  ≥ 100 crore - &lt; 500 crore</t>
  </si>
  <si>
    <t>&gt;=500 crore</t>
  </si>
  <si>
    <t xml:space="preserve">I. GDP at Current prices for 2019-20 (` crore)#                         </t>
  </si>
  <si>
    <t>2,03,39,849</t>
  </si>
  <si>
    <t>III. Gross Capital Formation as a per cent of GDP at current market prices in 2019-20#</t>
  </si>
  <si>
    <t xml:space="preserve">IV.  Monetary and Banking Indicators                  </t>
  </si>
  <si>
    <t xml:space="preserve">V. Interest Rate                        </t>
  </si>
  <si>
    <t>Call Money Rate (Weighted Average)</t>
  </si>
  <si>
    <t>91-Day-Treasury Bill (Primary Yield)</t>
  </si>
  <si>
    <t>8.45/9.4</t>
  </si>
  <si>
    <t>8.15/9.40</t>
  </si>
  <si>
    <t xml:space="preserve">Term Deposit Rate &gt; 1 year (Maximum) </t>
  </si>
  <si>
    <t>6.00/6.40</t>
  </si>
  <si>
    <t>5.90/6.40</t>
  </si>
  <si>
    <t>5.70/6.00</t>
  </si>
  <si>
    <t>5.10/5.90</t>
  </si>
  <si>
    <t xml:space="preserve">Equity Cash Turnover (BSE+NSE) </t>
  </si>
  <si>
    <t xml:space="preserve">Market Cap-BSE </t>
  </si>
  <si>
    <t xml:space="preserve">Market Cap-NSE </t>
  </si>
  <si>
    <t xml:space="preserve">Net FPI Investment in Equity </t>
  </si>
  <si>
    <t>VII. Exchange Rate and Reserves</t>
  </si>
  <si>
    <t>Forex Reserves (USD million)</t>
  </si>
  <si>
    <t>Re/ Dollar</t>
  </si>
  <si>
    <t>Re/Euro</t>
  </si>
  <si>
    <t>Forward Premia of USD  6-month</t>
  </si>
  <si>
    <t>VIII.  Public Borrowing and Inflation</t>
  </si>
  <si>
    <t>7,100^^</t>
  </si>
  <si>
    <t>680^</t>
  </si>
  <si>
    <t>1,780^</t>
  </si>
  <si>
    <t>Wholesale Price Index (2011-12=100)</t>
  </si>
  <si>
    <t>Na@</t>
  </si>
  <si>
    <t>Consumer Price Index (2012 =100)</t>
  </si>
  <si>
    <t>General</t>
  </si>
  <si>
    <t>Mining</t>
  </si>
  <si>
    <t>Manufacturing</t>
  </si>
  <si>
    <t>Electricity</t>
  </si>
  <si>
    <t>X. External Sector Indicators (USD million)</t>
  </si>
  <si>
    <t xml:space="preserve">Exports </t>
  </si>
  <si>
    <t>Imports</t>
  </si>
  <si>
    <t>Trade Balance</t>
  </si>
  <si>
    <t xml:space="preserve">Notes: </t>
  </si>
  <si>
    <t># Provisional Extimates as per MOSPI press release dated 31.05.2020</t>
  </si>
  <si>
    <t xml:space="preserve">^ cumulative figure value of the respective month for 2020-21 </t>
  </si>
  <si>
    <t>^^ cumulative figure value of the respective month for 2019-20</t>
  </si>
  <si>
    <t xml:space="preserve"> @ All Commodities WPI could not be computed for April-2020 due to non availability of manufactured product group index</t>
  </si>
  <si>
    <t>Table 74:  Macro Economic Indicators</t>
  </si>
  <si>
    <t>Offer Size (` crore)</t>
  </si>
  <si>
    <t>VI. Capital Market Indicators (₹crore)</t>
  </si>
  <si>
    <t>$ indicates as on June 30,2020</t>
  </si>
  <si>
    <t>1</t>
  </si>
  <si>
    <t>Billwin Industries Limited</t>
  </si>
  <si>
    <t>2</t>
  </si>
  <si>
    <t>Reliance Industries Limited</t>
  </si>
  <si>
    <t>Rights Issue</t>
  </si>
  <si>
    <t>$ indicates as on June 30, 2020</t>
  </si>
  <si>
    <t>Jun-20</t>
  </si>
  <si>
    <t>$ Indicates as on June 30, 2020</t>
  </si>
  <si>
    <t>1. *one of the PMS entity has closed/terminated its PMS activities as on April 30, 2019. The data includes holding/AUM not yet transferred to other Fund Managers</t>
  </si>
  <si>
    <t>$ indicates up to April 30, 2020</t>
  </si>
  <si>
    <t>Table 16: Distribution of Turnover on Cash Segments of Stock Exchanges (`crore)</t>
  </si>
  <si>
    <t>June-20</t>
  </si>
  <si>
    <t>BAJAJ FINSE</t>
  </si>
  <si>
    <t>Pro</t>
  </si>
  <si>
    <t>JUN-20</t>
  </si>
  <si>
    <t>Jun-19</t>
  </si>
  <si>
    <t xml:space="preserve">Agridex Index </t>
  </si>
  <si>
    <t xml:space="preserve">Metal </t>
  </si>
  <si>
    <t>Conversion factors: Brent Crude Oil (1 Tonne = 7.33 Barrels)</t>
  </si>
  <si>
    <t>Agri Segment</t>
  </si>
  <si>
    <t>Non-Agri Segment</t>
  </si>
  <si>
    <t>Agridex Index</t>
  </si>
  <si>
    <t xml:space="preserve">Name of Agri. Commodity </t>
  </si>
  <si>
    <t>AGRIDEX   Index</t>
  </si>
  <si>
    <t>ICEX Futures</t>
  </si>
  <si>
    <t>Gems &amp; Stones</t>
  </si>
  <si>
    <t>Metal other than gems &amp; stones</t>
  </si>
  <si>
    <t>Total for B</t>
  </si>
  <si>
    <t>Agricultural Commodities</t>
  </si>
  <si>
    <t>Total - ICEX Futures (A+B+C)</t>
  </si>
  <si>
    <t>NSE Futures</t>
  </si>
  <si>
    <t>Total -NSE Futures (A+B)</t>
  </si>
  <si>
    <t>NSE Options</t>
  </si>
  <si>
    <t>Total - NSE Options( C)</t>
  </si>
  <si>
    <t xml:space="preserve">BSE Futures </t>
  </si>
  <si>
    <t>Silver KG</t>
  </si>
  <si>
    <t>Silver M</t>
  </si>
  <si>
    <t>Agricultural Cmmodities</t>
  </si>
  <si>
    <t>BSE Almond</t>
  </si>
  <si>
    <t>Brent Crude</t>
  </si>
  <si>
    <t>Total for D</t>
  </si>
  <si>
    <t>Total- BSE Futures (A+B+C+D)</t>
  </si>
  <si>
    <t>BSE Options</t>
  </si>
  <si>
    <t>Total - BSE Options</t>
  </si>
  <si>
    <t>i) Volume for Diamond 1 CT, 0.5CT &amp; 0.3CT are in carat and are not added to the total volume as they can not be cnverted into '000 tonnes. One carat is equivalent to 100 cents.</t>
  </si>
  <si>
    <t>7.40/9.00</t>
  </si>
  <si>
    <t>5.10/5.65</t>
  </si>
  <si>
    <t>2,040^</t>
  </si>
  <si>
    <t>Aggregate Deposit, Bank Credit, Money Supply (M3) and Forex Reserve are updated as per available information on WSS dated July 03 2020</t>
  </si>
  <si>
    <t>1. Figures are compiled based on reports submitted by FPIs/deemed FPIs issuing ODIs.</t>
  </si>
  <si>
    <t>2. Column 4 Figures are compiled on the basis of reports submitted by custodians &amp; does not includes positions taken by FPIs/deemed FPIs in derivatives.</t>
  </si>
  <si>
    <t>3. The total value of ODIs excludes the unhedged positions &amp; portfolio hedging positions taken by the FPIs/deemed FPIs issuing ODIs.</t>
  </si>
  <si>
    <t>Stock Exchanges (Cash Segment)#</t>
  </si>
  <si>
    <t>Stock Exchanges (Equity Derivatives Segment)#</t>
  </si>
  <si>
    <t>Stock Exchanges (Currency Derivatives Segment)#</t>
  </si>
  <si>
    <t>Stock Exchanges (Commodity Derivatives Segment)#</t>
  </si>
  <si>
    <t>International Exchange (IFSC)#</t>
  </si>
  <si>
    <t># SEBI has granted recognition for carring out operations in the respective segment.</t>
  </si>
  <si>
    <t>Clearing Corporations</t>
  </si>
  <si>
    <t>Date of Listing</t>
  </si>
  <si>
    <t>SME IPO</t>
  </si>
  <si>
    <t>Angel Fibers Ltd.</t>
  </si>
  <si>
    <t>Jitendra G Raiyani &amp; Rameshkumar Jiyrajbhai Ranipa</t>
  </si>
  <si>
    <t>Iel Ltd.</t>
  </si>
  <si>
    <t>Ronit Champaklal Shah, Kalpanaben Champaklal Shah &amp; Romit Champaklal Shah</t>
  </si>
  <si>
    <t>Titan Securities Ltd.</t>
  </si>
  <si>
    <t>Manju Singla, Udit Singla, Supriya Singla, Raja Singla, Shivom Singla, Connoisseur Management Services (P) Ltd, Tanita Leasing &amp; Finance Ltd.</t>
  </si>
  <si>
    <t>Indostar Capital Finance Ltd.</t>
  </si>
  <si>
    <t>Bcp V Multiple Holdings Pte Ltd.</t>
  </si>
  <si>
    <t xml:space="preserve"> Offers</t>
  </si>
  <si>
    <t>3. The data of Debt is being prepared based on closing date.</t>
  </si>
  <si>
    <t>No. of Companies Permitted</t>
  </si>
  <si>
    <t xml:space="preserve">No. of Companies Permitted </t>
  </si>
  <si>
    <t>* The data of the Market Capitalization provided in the Bulletin includes listed as well as permitted to trade companies</t>
  </si>
  <si>
    <t>Market  Capitalisation (₹ crore) *</t>
  </si>
  <si>
    <t>Table 31: Settlement Statistics for Cash Segment of ICCL</t>
  </si>
  <si>
    <t>Source: ICCL</t>
  </si>
  <si>
    <t>S&amp;P BSE Bharat 22 Index</t>
  </si>
  <si>
    <t>Table 32: Settlement Statistics for Cash Segment of NSCCL</t>
  </si>
  <si>
    <t>Source: NSCCL</t>
  </si>
  <si>
    <t>Table 33: Settlement Statistics for Cash Segment of MCCIL</t>
  </si>
  <si>
    <t>Source: MCCIL</t>
  </si>
  <si>
    <t>Source: ICCL and NSCCL</t>
  </si>
  <si>
    <t>Source: ICCL, NSCCL and MCCIL.</t>
  </si>
  <si>
    <t>Source: ICCL, NSCCL and MCCIL</t>
  </si>
  <si>
    <t>8,06,744</t>
  </si>
  <si>
    <t>7,15,142</t>
  </si>
  <si>
    <t>22,63,317</t>
  </si>
  <si>
    <t>18,44,703</t>
  </si>
  <si>
    <t>4,18,614</t>
  </si>
  <si>
    <t>30,70,061</t>
  </si>
  <si>
    <t>25,59,845</t>
  </si>
  <si>
    <t>5,10,216</t>
  </si>
  <si>
    <t xml:space="preserve">Call </t>
  </si>
  <si>
    <t xml:space="preserve">Put </t>
  </si>
  <si>
    <t>Table 1: SEBI Recognised/Registered Intermediaries / Market Infrastructure Institutions</t>
  </si>
  <si>
    <t>Table 11: Preferential Allotments Listed at Stock Exchanges</t>
  </si>
  <si>
    <t>Particular</t>
  </si>
  <si>
    <t>Amount ` crore)</t>
  </si>
  <si>
    <t>Gross Sales (` crore)</t>
  </si>
  <si>
    <t>Net Investment (` crore)</t>
  </si>
  <si>
    <t>3. #of the above AUM Rs. 13,62,310.275/- crore are contributed by funds from EPFO/PFs.</t>
  </si>
  <si>
    <t>Table 12: Private Placement of Corporate Debt Reported to Stock Exchanges</t>
  </si>
  <si>
    <t>Table 45: Instrument-wise Turnover in Currency Derivatives Segment of BSE</t>
  </si>
  <si>
    <t>Table 46: Instrument-wise Turnover in Currency Derivatives Segment of NSE</t>
  </si>
  <si>
    <t>Table 47:  Instrument-wise Turnover in Currency Derivatives Segment of MSEI</t>
  </si>
  <si>
    <t>Table 64: Trends in Commodity Indices</t>
  </si>
  <si>
    <t>Table 71: Commodity-wise Turnover and Trading Volume at MCX</t>
  </si>
  <si>
    <t>Table 73: Commodity-wise Turnover and Trading Volume at ICEX, BSE and NSE</t>
  </si>
  <si>
    <t>per cent</t>
  </si>
  <si>
    <t>IX.  Index of Industrial Production (y-o-y) per cent (Base year 2011-12 = 100)</t>
  </si>
  <si>
    <t>II. Gross Saving as a per cent of Gross national Disposable Income at current market prices in 2018-19!</t>
  </si>
  <si>
    <t>Cash Reserve Ratio (per cent)</t>
  </si>
  <si>
    <t>Repo Rate (per cent)</t>
  </si>
  <si>
    <t>Base rate (per cent)</t>
  </si>
  <si>
    <t>Weightage (per cent)</t>
  </si>
  <si>
    <t>Daily
Volatility
(per cent)</t>
  </si>
  <si>
    <t>Monthly
Return
(per cent)</t>
  </si>
  <si>
    <t>Impact
Cost
(per cent)</t>
  </si>
  <si>
    <t xml:space="preserve">Weightage (per cent)   </t>
  </si>
  <si>
    <t>Daily Volatility (per cent)</t>
  </si>
  <si>
    <t>Monthly Return (per cent)</t>
  </si>
  <si>
    <t>Impact Cost (per cent) *</t>
  </si>
  <si>
    <t>Traded to Listed (per cent)</t>
  </si>
  <si>
    <t>Delivered Quantity to Traded Quantity (per cent)</t>
  </si>
  <si>
    <t>Delivered Value to Total Turnover (per cent)</t>
  </si>
  <si>
    <t>Demat Delivered Quantity to Total Delivered Quantity (per cent)</t>
  </si>
  <si>
    <t>Short Delivery to Delivery Quantity (per cent)</t>
  </si>
  <si>
    <t>Demat Delivered Value to Total Delivered Value (per cent)</t>
  </si>
  <si>
    <t>Table 16 : Distribution of Turnover on Cash Segments of Stock Exchanges  (₹crore)</t>
  </si>
  <si>
    <t>Infrastructure Investment Trusts (InvITs)</t>
  </si>
  <si>
    <t>Table 3: Open Offers Closed under SAST Regulations (during the month)</t>
  </si>
  <si>
    <t>Table 3 :  Open Offers Closed under SAST Regulations (during the month)</t>
  </si>
  <si>
    <t>Category-wise</t>
  </si>
  <si>
    <t>Instrument-wise</t>
  </si>
  <si>
    <t>Table 2: Company-wise Capital Raised through Public and Rights Issues (Equity) during the month</t>
  </si>
  <si>
    <t>Table 2 : Company-wise Capital Raised through Public and Rights Issues (Equity) during the month</t>
  </si>
  <si>
    <t>Table 11 : Preferential Allotments Listed at Stock Exchanges</t>
  </si>
  <si>
    <t>Table 12 : Private Placement of Corporate Debt Reported to Stock Exchanges</t>
  </si>
  <si>
    <t>Table 1 : SEBI Registered Market Intermediaries/Market Infrastructure Institutions</t>
  </si>
  <si>
    <t xml:space="preserve">Table 20: City-wise Distribution of Turnover on Cash Segment of Exchanges </t>
  </si>
  <si>
    <t xml:space="preserve">Table 20 : City-wise Distribution of Turnover on Cash Segment of Exchanges </t>
  </si>
  <si>
    <t>Table 24 : Component Stocks: S&amp;P BSE Sensex during June 2020</t>
  </si>
  <si>
    <t>Table 24: Component Stocks: S&amp;P BSE Sensex during June 2020</t>
  </si>
  <si>
    <t>Table 25: Component Stocks: Nifty 50 Index during June 2020</t>
  </si>
  <si>
    <t>Table 25 : Component Stocks: Nifty 50 Index during  June 2020</t>
  </si>
  <si>
    <t>Table 26: Component Stocks: SX40 Index during June 2020</t>
  </si>
  <si>
    <t>Table 26 : Component Stocks: SX40 Index during  June 2020</t>
  </si>
  <si>
    <t>Table 27: Advances/Declines in Cash Segment of Exchanges</t>
  </si>
  <si>
    <t>Table 27 : Advances/Declines in Cash Segment of Exchanges</t>
  </si>
  <si>
    <t>Table 28: Trading Frequency in Cash Segment of Exchanges</t>
  </si>
  <si>
    <t>Table 28 : Trading Frequency in Cash Segment of of Exchanges</t>
  </si>
  <si>
    <t>(per cent)</t>
  </si>
  <si>
    <t xml:space="preserve">Table 36: Settlement Statistics in Equity Derivatives Segment </t>
  </si>
  <si>
    <t xml:space="preserve"> (` crore)</t>
  </si>
  <si>
    <t xml:space="preserve"> (per cent)</t>
  </si>
  <si>
    <t>Table 44: Settlement Statistics of Currency Derivatives Segment</t>
  </si>
  <si>
    <t xml:space="preserve"> (₹ crore)</t>
  </si>
  <si>
    <t xml:space="preserve">Table 44 : Settlement Statistics of Currency Derivatives Segment </t>
  </si>
  <si>
    <t>(₹ crore)</t>
  </si>
  <si>
    <t xml:space="preserve">Table 48: Maturity-wise Turnover in Currency Derivatives Segment of BSE </t>
  </si>
  <si>
    <t xml:space="preserve">Table 48 : Maturity-wise Turnover in Currency Derivative Segment of BSE </t>
  </si>
  <si>
    <t xml:space="preserve">Table 49: Maturity-wise Turnover in Currency Derivatives Segment of NSE  </t>
  </si>
  <si>
    <t xml:space="preserve">Table 49 : Maturity-wise Turnover in Currency Derivative Segment of NSE </t>
  </si>
  <si>
    <t xml:space="preserve">Table 29: Daily Volatility of Major Indices  </t>
  </si>
  <si>
    <t xml:space="preserve">Table 29 : Daily Volatility of Major Indices  </t>
  </si>
  <si>
    <t xml:space="preserve">Table 50 : Maturity-wise Turnover in Currency Derivative Segment of MSEI </t>
  </si>
  <si>
    <t xml:space="preserve">Table 50: Maturity-wise Turnover in Currency Derivatives Segment of MSEI </t>
  </si>
  <si>
    <t xml:space="preserve">Table 51: Trading Statistics in Interest Rate Futures Segment </t>
  </si>
  <si>
    <t xml:space="preserve">Table 51 :  Trading Statistics in Interest Rate Futures Segment </t>
  </si>
  <si>
    <t xml:space="preserve">Table 52: Settlement Statistics in Interest Rate Futures Segment </t>
  </si>
  <si>
    <t>Table 52 : Settlement Statistics in Interest Rate Futures Segment</t>
  </si>
  <si>
    <t>Table 54 : Notional Value of Offshore Derivative Instruments (ODIs) compared to Assets Under Custody (AUC) of FPIs/Deemed FPIs</t>
  </si>
  <si>
    <t>Table 54: Notional Value of Offshore Derivative Instruments (ODIs) compared to Assets Under Custody (AUC) of FPIs/Deemed FPIs</t>
  </si>
  <si>
    <t xml:space="preserve">Table 56: Trends in Resource Mobilization by Mutual Funds </t>
  </si>
  <si>
    <t>Table 56 : Trends in Resource Mobilization by Mutual Funds</t>
  </si>
  <si>
    <t>Table 58: Trends in Transactions on Stock Exchanges by Mutual Funds</t>
  </si>
  <si>
    <t>Table 58 : Trends in Transactions on Stock Exchanges by Mutual Funds</t>
  </si>
  <si>
    <t>Table 59: Assets Managed by Portfolio Managers</t>
  </si>
  <si>
    <t>Table 59 : Assets Managed by Portfolio Managers</t>
  </si>
  <si>
    <t>Table 60: Progress Report of NSDL &amp; CDSL for Listed Companies (as on end of June 2020)</t>
  </si>
  <si>
    <t>Table 60 : Progress Report of NSDL &amp; CDSL for Listed Companies (as on end of June 2020)</t>
  </si>
  <si>
    <t>Table 62: Depository Statistics as on  June 2020</t>
  </si>
  <si>
    <t>Table 62 : Depository Statistics as on June 2020</t>
  </si>
  <si>
    <t>Table 63: Number of Commodities Permitted and Traded at Exchanges</t>
  </si>
  <si>
    <t>Table 63 : Number of Commodities Permitted and Traded at Exchanges</t>
  </si>
  <si>
    <t>Table 64 : Trends in Commodity Indices</t>
  </si>
  <si>
    <t xml:space="preserve">Table 65: Trends in Commodity Derivatives at MCX </t>
  </si>
  <si>
    <t xml:space="preserve">Table 65 : Trends in Commodity Derivatives at MCX </t>
  </si>
  <si>
    <t xml:space="preserve">Table 66: Trends in Commodity Derivatives at NCDEX </t>
  </si>
  <si>
    <t>Table 67: Trends in Commodity Derivatives at ICEX</t>
  </si>
  <si>
    <t>Table 67 : Trends in Commodity Derivatives at ICEX</t>
  </si>
  <si>
    <t>Table 68 : Trends in Commodity Derivatives Segment at BSE</t>
  </si>
  <si>
    <t>Table 69 : Trends in Commodity Derivatives Segment at NSE</t>
  </si>
  <si>
    <t xml:space="preserve">Table 68: Trends in Commodity Derivatives Segment at BSE </t>
  </si>
  <si>
    <t>Table 69: Trends in Commodity Derivatives Segment at NSE</t>
  </si>
  <si>
    <t>Table 70: Participant-wise percentage Share of Turnover in Commodity Derivatives at various Exchanges</t>
  </si>
  <si>
    <t>Table 70 : Participant-wise percentage Share of Turnover in Commodity Derivatives at various Exchanges</t>
  </si>
  <si>
    <t>Table 71 : Commodity-wise Turnover and Trading Volume at MCX</t>
  </si>
  <si>
    <t xml:space="preserve">Table 72: Commodity-wise Turnover and Trading Volume at NCDEX </t>
  </si>
  <si>
    <t xml:space="preserve">Table 72 : Commodity-wise Turnover and Trading Volume at NCDEX </t>
  </si>
  <si>
    <t>Table 73 : Commodity-wise Turnover and Trading Volume at ICEX, BSE and NSE</t>
  </si>
  <si>
    <t>Money Supply (M3)  (₹ billion)</t>
  </si>
  <si>
    <t>Aggregate Deposit (₹ billion)</t>
  </si>
  <si>
    <t>Bank Credit (₹ billion)</t>
  </si>
  <si>
    <t>Govt. Market Borrowing-Gross (₹ billion)</t>
  </si>
  <si>
    <t>Cumulative Net Investment (USD million)</t>
  </si>
  <si>
    <t>Net Investment (USD million)</t>
  </si>
  <si>
    <t xml:space="preserve">Table 30 : Percentage Share of Top ‘N’ Securities/Members in Turnover of Cash Segment of Exchanges </t>
  </si>
  <si>
    <t xml:space="preserve">Table 30: Percentage Share of Top ‘N’ Securities/Members in Turnover of Cash Segment of Exchanges </t>
  </si>
  <si>
    <t>No. of Trades (lakh)</t>
  </si>
  <si>
    <t>Traded Quantity (lakh)</t>
  </si>
  <si>
    <t>Demat Securities Traded (lakh)</t>
  </si>
  <si>
    <t>5. Impact Cost for Nifty 50 is for a portfolio of Rs. 50 lakhs  and is weightage average impact cost.</t>
  </si>
  <si>
    <t>No. of Trades(lakh)</t>
  </si>
  <si>
    <t>Traded Quantity   (lakh)</t>
  </si>
  <si>
    <t>Delivered Quantity   (lakh)</t>
  </si>
  <si>
    <t>Delivered Quantity in Demat Mode (lakh)</t>
  </si>
  <si>
    <t>Short Delivery (Auctioned quantity) (lakh)</t>
  </si>
  <si>
    <t>lakh</t>
  </si>
  <si>
    <t>Size of Issue  (` crore)</t>
  </si>
  <si>
    <t>Issued
Capital 
(`crore)</t>
  </si>
  <si>
    <t>crore</t>
  </si>
  <si>
    <t>Turnover 
(₹ crore)</t>
  </si>
  <si>
    <t>Value
(₹ crore)</t>
  </si>
  <si>
    <t>Value 
(₹ crore)</t>
  </si>
  <si>
    <r>
      <rPr>
        <b/>
        <sz val="11"/>
        <color indexed="8"/>
        <rFont val="Palatino Linotype"/>
        <family val="1"/>
      </rPr>
      <t>Note</t>
    </r>
    <r>
      <rPr>
        <sz val="11"/>
        <color indexed="8"/>
        <rFont val="Palatino Linotype"/>
        <family val="1"/>
      </rPr>
      <t>- No. - Number</t>
    </r>
  </si>
  <si>
    <t>as per cent of Equity 
Capital</t>
  </si>
  <si>
    <t>2. From April, 2020 onwards the data of equity is being prepared based on the listing date of the issues as against earlier practice of preparing it based on the closing date.</t>
  </si>
  <si>
    <t>From April, 2020 onwards the data of equity is being prepared based on the listing date of the issues as against earlier practice of preparing it based on the closing date.</t>
  </si>
  <si>
    <t>The city-wise distribution of turnover is based on the cities uploaded in the UCC database of the Exchange for clientele trades and members registered office city for proprietary trades.</t>
  </si>
  <si>
    <t>(percentage share in Turnover)</t>
  </si>
  <si>
    <r>
      <t>R</t>
    </r>
    <r>
      <rPr>
        <b/>
        <vertAlign val="superscript"/>
        <sz val="10"/>
        <color indexed="8"/>
        <rFont val="Arial"/>
        <family val="2"/>
      </rPr>
      <t>2</t>
    </r>
  </si>
  <si>
    <r>
      <t>2. The coefficient of determination (R</t>
    </r>
    <r>
      <rPr>
        <vertAlign val="superscript"/>
        <sz val="9"/>
        <color indexed="8"/>
        <rFont val="Arial"/>
        <family val="2"/>
      </rPr>
      <t>2</t>
    </r>
    <r>
      <rPr>
        <sz val="9"/>
        <color indexed="8"/>
        <rFont val="Arial"/>
        <family val="2"/>
      </rPr>
      <t>) measures the strength of relationship between two variables the return on  a security versus that of the market.</t>
    </r>
  </si>
  <si>
    <r>
      <t>R</t>
    </r>
    <r>
      <rPr>
        <b/>
        <vertAlign val="superscript"/>
        <sz val="9"/>
        <color indexed="8"/>
        <rFont val="Arial"/>
        <family val="2"/>
      </rPr>
      <t>2</t>
    </r>
  </si>
  <si>
    <r>
      <t>2. Beta &amp; R</t>
    </r>
    <r>
      <rPr>
        <vertAlign val="superscript"/>
        <sz val="9"/>
        <color indexed="8"/>
        <rFont val="Arial"/>
        <family val="2"/>
      </rPr>
      <t>2</t>
    </r>
    <r>
      <rPr>
        <sz val="9"/>
        <color indexed="8"/>
        <rFont val="Arial"/>
        <family val="2"/>
      </rPr>
      <t xml:space="preserve"> are calculated for the trailing 12 months</t>
    </r>
  </si>
  <si>
    <t>4. *Since there is no trading in the SX40 constituents, the Impact Cost for the given stocks is NiL.</t>
  </si>
  <si>
    <r>
      <t>From April, 2020 onwards the data is being prepared based on the listing date of the issues</t>
    </r>
    <r>
      <rPr>
        <sz val="12"/>
        <color rgb="FF1F497D"/>
        <rFont val="Calibri"/>
        <family val="2"/>
      </rPr>
      <t> </t>
    </r>
    <r>
      <rPr>
        <sz val="12"/>
        <color rgb="FF000000"/>
        <rFont val="Calibri"/>
        <family val="2"/>
      </rPr>
      <t>as against earlier practice of preparing it based on the closing date.</t>
    </r>
  </si>
  <si>
    <r>
      <rPr>
        <b/>
        <sz val="9"/>
        <color indexed="8"/>
        <rFont val="Arial"/>
        <family val="2"/>
      </rPr>
      <t>Note:</t>
    </r>
    <r>
      <rPr>
        <sz val="9"/>
        <color indexed="8"/>
        <rFont val="Arial"/>
        <family val="2"/>
      </rPr>
      <t xml:space="preserve"> All the issues are compiled from the Prospectus of Issuer Companies filed with SEBI.</t>
    </r>
  </si>
  <si>
    <t>Note - $ indicates as on June 30,2020</t>
  </si>
  <si>
    <t>Notes -</t>
  </si>
  <si>
    <r>
      <rPr>
        <b/>
        <sz val="11"/>
        <color indexed="8"/>
        <rFont val="Garamond"/>
        <family val="1"/>
      </rPr>
      <t xml:space="preserve">Notes </t>
    </r>
    <r>
      <rPr>
        <sz val="11"/>
        <color indexed="8"/>
        <rFont val="Garamond"/>
        <family val="1"/>
      </rPr>
      <t>- From April, 2020 onwards the data of equity is being prepared based on the listing date of the issues as against earlier practice of preparing it based on the closing date.</t>
    </r>
  </si>
  <si>
    <r>
      <rPr>
        <b/>
        <sz val="11"/>
        <color indexed="8"/>
        <rFont val="Garamond"/>
        <family val="1"/>
      </rPr>
      <t>Notes -</t>
    </r>
    <r>
      <rPr>
        <sz val="11"/>
        <color indexed="8"/>
        <rFont val="Garamond"/>
        <family val="1"/>
      </rPr>
      <t xml:space="preserve"> From April, 2020 onwards the data of equity is being prepared based on the listing date of the issues as against earlier practice of preparing it based on the closing date.</t>
    </r>
  </si>
  <si>
    <r>
      <rPr>
        <b/>
        <sz val="11"/>
        <color indexed="8"/>
        <rFont val="Garamond"/>
        <family val="1"/>
      </rPr>
      <t xml:space="preserve">Notes - </t>
    </r>
    <r>
      <rPr>
        <sz val="11"/>
        <color indexed="8"/>
        <rFont val="Garamond"/>
        <family val="1"/>
      </rPr>
      <t>From April, 2020 onwards the data of equity is being prepared based on the listing date of the issues as against earlier practice of preparing it based on the closing date.</t>
    </r>
  </si>
  <si>
    <r>
      <rPr>
        <b/>
        <sz val="9"/>
        <color indexed="8"/>
        <rFont val="Arial"/>
        <family val="2"/>
      </rPr>
      <t>Notes:</t>
    </r>
    <r>
      <rPr>
        <sz val="9"/>
        <color indexed="8"/>
        <rFont val="Arial"/>
        <family val="2"/>
      </rPr>
      <t xml:space="preserve"> 1. Beta &amp; R2 are calculated for the trailing 12 months. Beta measures the  degree to which any portfolio of stocks is affected as compared to the effect on the market as a whole.</t>
    </r>
  </si>
  <si>
    <r>
      <rPr>
        <b/>
        <sz val="9"/>
        <color indexed="8"/>
        <rFont val="Arial"/>
        <family val="2"/>
      </rPr>
      <t>Notes:</t>
    </r>
    <r>
      <rPr>
        <sz val="9"/>
        <color indexed="8"/>
        <rFont val="Arial"/>
        <family val="2"/>
      </rPr>
      <t xml:space="preserve"> 1. Beta &amp; R2 are calculated for the the trailing 12 months. Beta measures the  degree to which any portfolio of stocks is affected as compared to the effect on the market as a whole.</t>
    </r>
  </si>
  <si>
    <r>
      <rPr>
        <b/>
        <sz val="9"/>
        <color indexed="8"/>
        <rFont val="Arial"/>
        <family val="2"/>
      </rPr>
      <t>Notes:</t>
    </r>
    <r>
      <rPr>
        <sz val="9"/>
        <color indexed="8"/>
        <rFont val="Arial"/>
        <family val="2"/>
      </rPr>
      <t xml:space="preserve">  Advance/Decline is calculated based on the average price methodology.                                                                           </t>
    </r>
  </si>
  <si>
    <r>
      <rPr>
        <b/>
        <sz val="9"/>
        <color indexed="8"/>
        <rFont val="Arial"/>
        <family val="2"/>
      </rPr>
      <t xml:space="preserve">Notes: </t>
    </r>
    <r>
      <rPr>
        <sz val="9"/>
        <color indexed="8"/>
        <rFont val="Arial"/>
        <family val="2"/>
      </rPr>
      <t>Volatility is calculated as the standard deviation of the natural log of daily returns in indices for the respective period.</t>
    </r>
  </si>
  <si>
    <r>
      <rPr>
        <b/>
        <sz val="9"/>
        <color indexed="8"/>
        <rFont val="Arial"/>
        <family val="2"/>
      </rPr>
      <t>Notes</t>
    </r>
    <r>
      <rPr>
        <sz val="9"/>
        <color indexed="8"/>
        <rFont val="Arial"/>
        <family val="2"/>
      </rPr>
      <t>: 1. Data for Top N scrips has been compiled for all markets except auction market &amp; retail debt market and includes series EQ, BE,BT, BL and IL.</t>
    </r>
  </si>
  <si>
    <r>
      <rPr>
        <b/>
        <sz val="9"/>
        <color indexed="8"/>
        <rFont val="Arial"/>
        <family val="2"/>
      </rPr>
      <t xml:space="preserve">Notes </t>
    </r>
    <r>
      <rPr>
        <sz val="9"/>
        <color indexed="8"/>
        <rFont val="Arial"/>
        <family val="2"/>
      </rPr>
      <t>- Settlement Statistics for settlement type N, excluding CM Series IL &amp; BL</t>
    </r>
  </si>
  <si>
    <r>
      <rPr>
        <b/>
        <sz val="9"/>
        <color indexed="8"/>
        <rFont val="Arial"/>
        <family val="2"/>
      </rPr>
      <t>Notes</t>
    </r>
    <r>
      <rPr>
        <sz val="9"/>
        <color indexed="8"/>
        <rFont val="Arial"/>
        <family val="2"/>
      </rPr>
      <t>: 1. Notional Turnover = (Strike Price + Premium) * Quantity.</t>
    </r>
  </si>
  <si>
    <r>
      <rPr>
        <b/>
        <sz val="9"/>
        <color indexed="8"/>
        <rFont val="Arial"/>
        <family val="2"/>
      </rPr>
      <t>Notes:</t>
    </r>
    <r>
      <rPr>
        <sz val="9"/>
        <color indexed="8"/>
        <rFont val="Arial"/>
        <family val="2"/>
      </rPr>
      <t xml:space="preserve"> 1. Notional Turnover = (Strike Price + Premium) * Quantity.</t>
    </r>
  </si>
  <si>
    <r>
      <rPr>
        <b/>
        <sz val="9"/>
        <color indexed="8"/>
        <rFont val="Arial"/>
        <family val="2"/>
      </rPr>
      <t>Notes:</t>
    </r>
    <r>
      <rPr>
        <sz val="9"/>
        <color indexed="8"/>
        <rFont val="Arial"/>
        <family val="2"/>
      </rPr>
      <t xml:space="preserve"> 1. Trading Value :- For Futures, Value of contract = Traded Qty*Traded Price. 2. For Options, Value of contract = Traded Qty*(Strike Price+Traded Premium)</t>
    </r>
  </si>
  <si>
    <r>
      <rPr>
        <b/>
        <sz val="9"/>
        <color indexed="8"/>
        <rFont val="Arial"/>
        <family val="2"/>
      </rPr>
      <t>Notes:</t>
    </r>
    <r>
      <rPr>
        <sz val="9"/>
        <color indexed="8"/>
        <rFont val="Arial"/>
        <family val="2"/>
      </rPr>
      <t xml:space="preserve"> 1. With the commencement of FPI Regime from June 1, 2014, the erstwhile FIIs, Sub Accounts and QFIs are merged into a new investor class termed as .Foreign Portfolio Investors (FPIs).</t>
    </r>
  </si>
  <si>
    <r>
      <rPr>
        <b/>
        <sz val="9"/>
        <color indexed="8"/>
        <rFont val="Arial"/>
        <family val="2"/>
      </rPr>
      <t xml:space="preserve">Notes: </t>
    </r>
    <r>
      <rPr>
        <sz val="9"/>
        <color indexed="8"/>
        <rFont val="Arial"/>
        <family val="2"/>
      </rPr>
      <t>1. Shares includes only equity shares. 2. Securities include common equity shares, preference shares, debenture, MF units, etc. 3. No. of days taken for calculating Daily Average is 30 days instead of Actual settlement days. 4. Quantity and value of shares mentioned are single sided. 5. #Source for listed securities information: Issuer/ NSE/BSE.</t>
    </r>
  </si>
  <si>
    <r>
      <rPr>
        <b/>
        <sz val="9"/>
        <color indexed="8"/>
        <rFont val="Arial"/>
        <family val="2"/>
      </rPr>
      <t>Notes</t>
    </r>
    <r>
      <rPr>
        <sz val="9"/>
        <color indexed="8"/>
        <rFont val="Arial"/>
        <family val="2"/>
      </rPr>
      <t>: 1. For CDSL, the current and historical data of Companies Live has been revised to exclude MF schemes count. 2. The Companies Live figure  includes only the number of mutual fund companies and not the mutual fund schemes. 3. DPs Locations represents the total live (main DPs and branch DPs as well as non-live (back office connected collection centres).</t>
    </r>
  </si>
  <si>
    <r>
      <t xml:space="preserve">Note: </t>
    </r>
    <r>
      <rPr>
        <sz val="9"/>
        <color indexed="8"/>
        <rFont val="Arial"/>
        <family val="2"/>
      </rPr>
      <t>The categories included in Others are Preference Shares, Mutual Fund Units, Warrants, PTCs, Treasury Bills, CPs, CDs and Government Securities.</t>
    </r>
  </si>
  <si>
    <r>
      <rPr>
        <b/>
        <sz val="10"/>
        <color theme="1"/>
        <rFont val="Garamond"/>
        <family val="1"/>
      </rPr>
      <t>Notes -</t>
    </r>
    <r>
      <rPr>
        <sz val="10"/>
        <color theme="1"/>
        <rFont val="Garamond"/>
        <family val="1"/>
      </rPr>
      <t xml:space="preserve"> 1:@ Figures for MCX COMDEX for the F.Y. 2019-20 are upto Dec. 2019 (Apr- Dec 2019) as the Exchange discontiuned disseminating data  for MCX COMDEX from 16th January 2020.  </t>
    </r>
  </si>
  <si>
    <r>
      <rPr>
        <b/>
        <sz val="10"/>
        <color theme="1"/>
        <rFont val="Garamond"/>
        <family val="1"/>
      </rPr>
      <t>Notes</t>
    </r>
    <r>
      <rPr>
        <sz val="10"/>
        <color theme="1"/>
        <rFont val="Garamond"/>
        <family val="1"/>
      </rPr>
      <t>: Natural Gas volume is in Trillion BTU and is not included in volume ('000 tonnes) of energy contracts.</t>
    </r>
  </si>
  <si>
    <r>
      <rPr>
        <b/>
        <sz val="10"/>
        <rFont val="Garamond"/>
        <family val="1"/>
      </rPr>
      <t>Notes</t>
    </r>
    <r>
      <rPr>
        <sz val="10"/>
        <rFont val="Garamond"/>
        <family val="1"/>
      </rPr>
      <t xml:space="preserve">: Contract size for all diamond futures contract at ICEX is one cent. </t>
    </r>
  </si>
  <si>
    <t>Notes-</t>
  </si>
  <si>
    <r>
      <rPr>
        <b/>
        <sz val="10"/>
        <color theme="1"/>
        <rFont val="Garamond"/>
        <family val="1"/>
      </rPr>
      <t xml:space="preserve">Notes </t>
    </r>
    <r>
      <rPr>
        <sz val="10"/>
        <color theme="1"/>
        <rFont val="Garamond"/>
        <family val="1"/>
      </rPr>
      <t>: Natural Gas volume is in trillion BTU and is not included in total volume.</t>
    </r>
  </si>
  <si>
    <t>Notes  -</t>
  </si>
  <si>
    <t xml:space="preserve">Table 36 : Settlement Statistics in Equity Derivatives Segment </t>
  </si>
  <si>
    <t xml:space="preserve">Notional value of ODIs on Equity, Debt &amp; Derivatives  (₹ crore) </t>
  </si>
  <si>
    <t xml:space="preserve">Notional value of ODIs on Equity &amp; Debt  excluding Derivatives  (₹ crore) </t>
  </si>
  <si>
    <t>Assets Under Custody of FPIs/Deemed FPIs  (₹ crore)</t>
  </si>
  <si>
    <t>Funds mobilized  (₹ crore)</t>
  </si>
  <si>
    <t>Repurchase/ Redemptio  (₹ crore)</t>
  </si>
  <si>
    <t>Net Inflow (+ve)/ Outflow (-ve)   (₹ crore)</t>
  </si>
  <si>
    <t>Net Assets Under Management as on  (₹ crore)</t>
  </si>
</sst>
</file>

<file path=xl/styles.xml><?xml version="1.0" encoding="utf-8"?>
<styleSheet xmlns="http://schemas.openxmlformats.org/spreadsheetml/2006/main" xmlns:mc="http://schemas.openxmlformats.org/markup-compatibility/2006" xmlns:x14ac="http://schemas.microsoft.com/office/spreadsheetml/2009/9/ac" mc:Ignorable="x14ac">
  <numFmts count="44">
    <numFmt numFmtId="164" formatCode="_(* #,##0.00_);_(* \(#,##0.00\);_(* &quot;-&quot;??_);_(@_)"/>
    <numFmt numFmtId="165" formatCode="#,##0;\-#,##0;0"/>
    <numFmt numFmtId="166" formatCode="0.0"/>
    <numFmt numFmtId="167" formatCode="0.0;\-0.0;0"/>
    <numFmt numFmtId="168" formatCode="#,##0;\-#,##0;0.0"/>
    <numFmt numFmtId="169" formatCode="0\,00\,000;\-0\,00\,000;0.0"/>
    <numFmt numFmtId="170" formatCode="0;\(0\)"/>
    <numFmt numFmtId="171" formatCode="0\,00\,000;\-0\,00\,000;0"/>
    <numFmt numFmtId="172" formatCode="0\,00\,00\,000;\-0\,00\,00\,000;0"/>
    <numFmt numFmtId="173" formatCode="0.0;\-0.0;0.0"/>
    <numFmt numFmtId="174" formatCode="0.0;0.0;0"/>
    <numFmt numFmtId="175" formatCode="0.0;\(0\);0.0"/>
    <numFmt numFmtId="176" formatCode="0.00;\-0.00;0.0"/>
    <numFmt numFmtId="177" formatCode="#,##0.0;\-#,##0.0;0.0"/>
    <numFmt numFmtId="178" formatCode="#,##0.0"/>
    <numFmt numFmtId="179" formatCode="0;\-0;0"/>
    <numFmt numFmtId="180" formatCode="0\,00\,00\,00\,000;\-0\,00\,00\,00\,000;0"/>
    <numFmt numFmtId="181" formatCode="0.00;\-0.00;0.00"/>
    <numFmt numFmtId="182" formatCode="#,##0.00;\-#,##0.00;0.0"/>
    <numFmt numFmtId="183" formatCode="[$-409]d\-mmm\-yy;@"/>
    <numFmt numFmtId="184" formatCode="[$-409]mmm\-yy;@"/>
    <numFmt numFmtId="185" formatCode="#,##0.00000"/>
    <numFmt numFmtId="186" formatCode="[&gt;=10000000]#.###\,##\,##0;[&gt;=100000]#.###\,##0;##,##0.0"/>
    <numFmt numFmtId="187" formatCode="[&gt;=10000000]#\,##\,##\,##0;[&gt;=100000]#\,##\,##0;##,##0"/>
    <numFmt numFmtId="188" formatCode="_(* #,##0_);_(* \(#,##0\);_(* &quot;-&quot;??_);_(@_)"/>
    <numFmt numFmtId="189" formatCode="[&gt;=10000000]#.0\,##\,##\,##0;[&gt;=100000]#.0\,##\,##0;##,##0.0"/>
    <numFmt numFmtId="190" formatCode="[&gt;=10000000]#.##;[&gt;=100000]#;##,##0"/>
    <numFmt numFmtId="191" formatCode="#,##0.0;\-#,##0.0"/>
    <numFmt numFmtId="192" formatCode="[&gt;=10000000]#.##\,##\,##0;[&gt;=100000]#.##\,##0;##,##0"/>
    <numFmt numFmtId="193" formatCode="[&gt;=10000000]#.00\,##\,##\,##0;[&gt;=100000]#.00\,##\,##0;##,##0.00"/>
    <numFmt numFmtId="194" formatCode="[&gt;=10000000]#.####\,##\,##0;[&gt;=100000]#.####\,##0;##,##0.00"/>
    <numFmt numFmtId="195" formatCode="0.0000"/>
    <numFmt numFmtId="196" formatCode="[&gt;=10000000]#.0000\,##\,##\,##0;[&gt;=100000]#.0000\,##\,##0;##,##0.0000"/>
    <numFmt numFmtId="197" formatCode="[&gt;=10000000]#.#####\,##\,##0;[&gt;=100000]#.#####\,##0;##,##0.000"/>
    <numFmt numFmtId="198" formatCode="[&gt;=10000000]#.000\,##\,##\,##0;[&gt;=100000]#.000\,##\,##0;##,##0.000"/>
    <numFmt numFmtId="199" formatCode="_(* #,##0.0_);_(* \(#,##0.0\);_(* &quot;-&quot;??_);_(@_)"/>
    <numFmt numFmtId="200" formatCode="_(* #,##0.000_);_(* \(#,##0.000\);_(* &quot;-&quot;??_);_(@_)"/>
    <numFmt numFmtId="201" formatCode="_(* #,##0.0000_);_(* \(#,##0.0000\);_(* &quot;-&quot;??_);_(@_)"/>
    <numFmt numFmtId="202" formatCode="0.00000"/>
    <numFmt numFmtId="203" formatCode="dd\-mmm\-yy;@"/>
    <numFmt numFmtId="204" formatCode="_(* #,##0.00000_);_(* \(#,##0.00000\);_(* &quot;-&quot;??_);_(@_)"/>
    <numFmt numFmtId="205" formatCode="0.000"/>
    <numFmt numFmtId="206" formatCode="#,##0.000"/>
    <numFmt numFmtId="207" formatCode="#,##0.00;\-#,##0.00;0.00"/>
  </numFmts>
  <fonts count="93" x14ac:knownFonts="1">
    <font>
      <sz val="10"/>
      <name val="Arial"/>
    </font>
    <font>
      <sz val="10"/>
      <name val="Arial"/>
    </font>
    <font>
      <b/>
      <sz val="10"/>
      <color indexed="8"/>
      <name val="Arial"/>
      <family val="2"/>
    </font>
    <font>
      <b/>
      <sz val="9"/>
      <color indexed="8"/>
      <name val="Arial"/>
      <family val="2"/>
    </font>
    <font>
      <sz val="10"/>
      <color indexed="8"/>
      <name val="Arial"/>
      <family val="2"/>
    </font>
    <font>
      <sz val="6"/>
      <color indexed="8"/>
      <name val="Arial"/>
      <family val="2"/>
    </font>
    <font>
      <sz val="9"/>
      <color indexed="8"/>
      <name val="Arial"/>
      <family val="2"/>
    </font>
    <font>
      <b/>
      <sz val="7"/>
      <color indexed="8"/>
      <name val="Arial"/>
      <family val="2"/>
    </font>
    <font>
      <b/>
      <sz val="10"/>
      <color indexed="8"/>
      <name val="Rupee Foradian"/>
      <family val="2"/>
    </font>
    <font>
      <sz val="10"/>
      <name val="Arial"/>
      <family val="2"/>
    </font>
    <font>
      <b/>
      <sz val="9"/>
      <color indexed="8"/>
      <name val="Arial"/>
      <family val="2"/>
    </font>
    <font>
      <b/>
      <sz val="11"/>
      <color indexed="8"/>
      <name val="Palatino Linotype"/>
      <family val="1"/>
    </font>
    <font>
      <sz val="11"/>
      <color indexed="8"/>
      <name val="Palatino Linotype"/>
      <family val="1"/>
    </font>
    <font>
      <b/>
      <sz val="11"/>
      <color indexed="8"/>
      <name val="Garamond"/>
      <family val="1"/>
    </font>
    <font>
      <sz val="10"/>
      <color indexed="8"/>
      <name val="Garamond"/>
      <family val="1"/>
    </font>
    <font>
      <b/>
      <sz val="10"/>
      <color indexed="8"/>
      <name val="Garamond"/>
      <family val="1"/>
    </font>
    <font>
      <sz val="10"/>
      <name val="Garamond"/>
      <family val="1"/>
    </font>
    <font>
      <b/>
      <sz val="9"/>
      <color indexed="8"/>
      <name val="Garamond"/>
      <family val="1"/>
    </font>
    <font>
      <sz val="11"/>
      <color indexed="8"/>
      <name val="Garamond"/>
      <family val="1"/>
    </font>
    <font>
      <b/>
      <sz val="10"/>
      <name val="Garamond"/>
      <family val="1"/>
    </font>
    <font>
      <sz val="9"/>
      <color indexed="8"/>
      <name val="Garamond"/>
      <family val="1"/>
    </font>
    <font>
      <sz val="9"/>
      <name val="Garamond"/>
      <family val="1"/>
    </font>
    <font>
      <sz val="10"/>
      <name val="Times New Roman"/>
      <family val="1"/>
    </font>
    <font>
      <b/>
      <sz val="12"/>
      <name val="Garamond"/>
      <family val="1"/>
    </font>
    <font>
      <sz val="12"/>
      <name val="Garamond"/>
      <family val="1"/>
    </font>
    <font>
      <sz val="11"/>
      <name val="Garamond"/>
      <family val="1"/>
    </font>
    <font>
      <b/>
      <sz val="11"/>
      <name val="Garamond"/>
      <family val="1"/>
    </font>
    <font>
      <b/>
      <sz val="10"/>
      <name val="Arial"/>
      <family val="2"/>
    </font>
    <font>
      <b/>
      <sz val="9"/>
      <name val="Garamond"/>
      <family val="1"/>
    </font>
    <font>
      <b/>
      <sz val="6"/>
      <color indexed="8"/>
      <name val="Arial"/>
      <family val="2"/>
    </font>
    <font>
      <sz val="11"/>
      <name val="Arial"/>
      <family val="2"/>
    </font>
    <font>
      <sz val="11"/>
      <name val="Times New Roman"/>
      <family val="1"/>
      <charset val="1"/>
    </font>
    <font>
      <sz val="11"/>
      <color indexed="8"/>
      <name val="Times New Roman"/>
      <family val="1"/>
      <charset val="1"/>
    </font>
    <font>
      <sz val="10"/>
      <color indexed="8"/>
      <name val="Arial"/>
      <family val="2"/>
      <charset val="1"/>
    </font>
    <font>
      <b/>
      <sz val="10"/>
      <color indexed="8"/>
      <name val="Arial"/>
    </font>
    <font>
      <sz val="6"/>
      <color indexed="8"/>
      <name val="Arial"/>
    </font>
    <font>
      <b/>
      <sz val="10"/>
      <color indexed="8"/>
      <name val="Rupee Foradian"/>
    </font>
    <font>
      <sz val="10"/>
      <color indexed="8"/>
      <name val="Arial"/>
    </font>
    <font>
      <b/>
      <sz val="9"/>
      <color indexed="8"/>
      <name val="Arial"/>
    </font>
    <font>
      <b/>
      <sz val="9"/>
      <color indexed="8"/>
      <name val="Rupee Foradian"/>
    </font>
    <font>
      <sz val="9"/>
      <color indexed="8"/>
      <name val="Arial"/>
    </font>
    <font>
      <b/>
      <sz val="12"/>
      <color indexed="8"/>
      <name val="Arial"/>
    </font>
    <font>
      <b/>
      <sz val="11"/>
      <color indexed="8"/>
      <name val="Arial"/>
    </font>
    <font>
      <b/>
      <sz val="9"/>
      <color indexed="9"/>
      <name val="Arial"/>
    </font>
    <font>
      <b/>
      <i/>
      <sz val="9"/>
      <color indexed="8"/>
      <name val="Arial"/>
    </font>
    <font>
      <sz val="9"/>
      <color indexed="9"/>
      <name val="Arial"/>
    </font>
    <font>
      <sz val="11"/>
      <color theme="1"/>
      <name val="Calibri"/>
      <family val="2"/>
      <scheme val="minor"/>
    </font>
    <font>
      <sz val="10"/>
      <color theme="1"/>
      <name val="Garamond"/>
      <family val="2"/>
    </font>
    <font>
      <b/>
      <sz val="11"/>
      <color rgb="FF000000"/>
      <name val="Garamond"/>
      <family val="1"/>
    </font>
    <font>
      <sz val="10"/>
      <color theme="1"/>
      <name val="Garamond"/>
      <family val="1"/>
    </font>
    <font>
      <b/>
      <sz val="10"/>
      <color theme="1"/>
      <name val="Garamond"/>
      <family val="1"/>
    </font>
    <font>
      <b/>
      <sz val="9"/>
      <color theme="1"/>
      <name val="Garamond"/>
      <family val="1"/>
    </font>
    <font>
      <sz val="11"/>
      <color theme="1"/>
      <name val="Garamond"/>
      <family val="1"/>
    </font>
    <font>
      <sz val="8"/>
      <color theme="1"/>
      <name val="Arial"/>
      <family val="2"/>
    </font>
    <font>
      <sz val="9"/>
      <color theme="1"/>
      <name val="Garamond"/>
      <family val="1"/>
    </font>
    <font>
      <sz val="10"/>
      <color rgb="FFFF0000"/>
      <name val="Garamond"/>
      <family val="1"/>
    </font>
    <font>
      <b/>
      <sz val="12"/>
      <color rgb="FF000000"/>
      <name val="Garamond"/>
      <family val="1"/>
    </font>
    <font>
      <sz val="12"/>
      <color theme="1"/>
      <name val="Calibri"/>
      <family val="2"/>
      <scheme val="minor"/>
    </font>
    <font>
      <b/>
      <sz val="12"/>
      <color theme="1"/>
      <name val="Garamond"/>
      <family val="1"/>
    </font>
    <font>
      <sz val="12"/>
      <color theme="1"/>
      <name val="Garamond"/>
      <family val="1"/>
    </font>
    <font>
      <b/>
      <sz val="10"/>
      <color rgb="FF000000"/>
      <name val="Garamond"/>
      <family val="1"/>
    </font>
    <font>
      <sz val="10"/>
      <color theme="1"/>
      <name val="Calibri"/>
      <family val="2"/>
      <scheme val="minor"/>
    </font>
    <font>
      <b/>
      <sz val="10"/>
      <color rgb="FFFF0000"/>
      <name val="Calibri"/>
      <family val="2"/>
      <scheme val="minor"/>
    </font>
    <font>
      <sz val="10"/>
      <color rgb="FFFF0000"/>
      <name val="Calibri"/>
      <family val="2"/>
      <scheme val="minor"/>
    </font>
    <font>
      <sz val="10"/>
      <color rgb="FF0000FF"/>
      <name val="Calibri"/>
      <family val="2"/>
      <scheme val="minor"/>
    </font>
    <font>
      <sz val="10"/>
      <color theme="1"/>
      <name val="Times New Roman"/>
      <family val="1"/>
    </font>
    <font>
      <sz val="10"/>
      <color rgb="FF000000"/>
      <name val="Garamond"/>
      <family val="1"/>
    </font>
    <font>
      <sz val="11"/>
      <color rgb="FF000000"/>
      <name val="Garamond"/>
      <family val="1"/>
    </font>
    <font>
      <sz val="12"/>
      <color rgb="FF000000"/>
      <name val="Calibri"/>
      <family val="2"/>
      <scheme val="minor"/>
    </font>
    <font>
      <b/>
      <sz val="10"/>
      <color rgb="FF000000"/>
      <name val="Arial"/>
      <family val="2"/>
    </font>
    <font>
      <sz val="10"/>
      <color rgb="FF000000"/>
      <name val="Arial"/>
      <family val="2"/>
    </font>
    <font>
      <sz val="10"/>
      <color rgb="FF000000"/>
      <name val="Calibri"/>
      <family val="2"/>
      <scheme val="minor"/>
    </font>
    <font>
      <sz val="11"/>
      <name val="Calibri"/>
      <family val="2"/>
      <scheme val="minor"/>
    </font>
    <font>
      <sz val="11"/>
      <color rgb="FF000000"/>
      <name val="Calibri"/>
      <family val="2"/>
      <scheme val="minor"/>
    </font>
    <font>
      <sz val="10"/>
      <color theme="1"/>
      <name val="Arial"/>
      <family val="2"/>
    </font>
    <font>
      <b/>
      <sz val="11"/>
      <color theme="1"/>
      <name val="Garamond"/>
      <family val="1"/>
    </font>
    <font>
      <sz val="9"/>
      <color theme="1"/>
      <name val="Arial"/>
      <family val="2"/>
    </font>
    <font>
      <b/>
      <sz val="11"/>
      <color rgb="FF000000"/>
      <name val="Calibri"/>
      <family val="2"/>
      <scheme val="minor"/>
    </font>
    <font>
      <b/>
      <sz val="11"/>
      <name val="Calibri"/>
      <family val="2"/>
      <scheme val="minor"/>
    </font>
    <font>
      <b/>
      <sz val="12"/>
      <name val="Calibri"/>
      <family val="2"/>
      <scheme val="minor"/>
    </font>
    <font>
      <b/>
      <sz val="10"/>
      <color rgb="FFFF0000"/>
      <name val="Garamond"/>
      <family val="1"/>
    </font>
    <font>
      <b/>
      <sz val="12"/>
      <color rgb="FF000000"/>
      <name val="Calibri"/>
      <family val="2"/>
      <scheme val="minor"/>
    </font>
    <font>
      <b/>
      <sz val="10"/>
      <color theme="1"/>
      <name val="Rupee Foradian"/>
      <family val="2"/>
    </font>
    <font>
      <sz val="11"/>
      <name val="Calibri"/>
      <family val="2"/>
    </font>
    <font>
      <b/>
      <sz val="12"/>
      <color indexed="8"/>
      <name val="Arial"/>
      <family val="2"/>
    </font>
    <font>
      <sz val="12"/>
      <name val="Arial"/>
      <family val="2"/>
    </font>
    <font>
      <b/>
      <vertAlign val="superscript"/>
      <sz val="10"/>
      <color indexed="8"/>
      <name val="Arial"/>
      <family val="2"/>
    </font>
    <font>
      <b/>
      <vertAlign val="superscript"/>
      <sz val="9"/>
      <color indexed="8"/>
      <name val="Arial"/>
      <family val="2"/>
    </font>
    <font>
      <vertAlign val="superscript"/>
      <sz val="9"/>
      <color indexed="8"/>
      <name val="Arial"/>
      <family val="2"/>
    </font>
    <font>
      <sz val="6"/>
      <color indexed="8"/>
      <name val="Garamond"/>
      <family val="1"/>
    </font>
    <font>
      <sz val="7"/>
      <color indexed="8"/>
      <name val="Arial"/>
      <family val="2"/>
    </font>
    <font>
      <sz val="12"/>
      <color rgb="FF000000"/>
      <name val="Calibri"/>
      <family val="2"/>
    </font>
    <font>
      <sz val="12"/>
      <color rgb="FF1F497D"/>
      <name val="Calibri"/>
      <family val="2"/>
    </font>
  </fonts>
  <fills count="5">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theme="0" tint="-0.14999847407452621"/>
        <bgColor indexed="64"/>
      </patternFill>
    </fill>
  </fills>
  <borders count="60">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bottom style="thin">
        <color indexed="64"/>
      </bottom>
      <diagonal/>
    </border>
    <border>
      <left style="thin">
        <color indexed="64"/>
      </left>
      <right/>
      <top style="thin">
        <color indexed="64"/>
      </top>
      <bottom style="thin">
        <color indexed="64"/>
      </bottom>
      <diagonal/>
    </border>
    <border>
      <left style="thin">
        <color indexed="8"/>
      </left>
      <right style="thin">
        <color indexed="8"/>
      </right>
      <top/>
      <bottom style="thin">
        <color indexed="8"/>
      </bottom>
      <diagonal/>
    </border>
    <border>
      <left style="thin">
        <color indexed="8"/>
      </left>
      <right style="thin">
        <color indexed="8"/>
      </right>
      <top/>
      <bottom/>
      <diagonal/>
    </border>
    <border>
      <left style="thin">
        <color indexed="64"/>
      </left>
      <right style="thin">
        <color indexed="8"/>
      </right>
      <top style="thin">
        <color indexed="64"/>
      </top>
      <bottom style="thin">
        <color indexed="8"/>
      </bottom>
      <diagonal/>
    </border>
    <border>
      <left style="thin">
        <color indexed="8"/>
      </left>
      <right/>
      <top style="thin">
        <color indexed="64"/>
      </top>
      <bottom style="thin">
        <color indexed="8"/>
      </bottom>
      <diagonal/>
    </border>
    <border>
      <left/>
      <right/>
      <top style="thin">
        <color indexed="64"/>
      </top>
      <bottom style="thin">
        <color indexed="8"/>
      </bottom>
      <diagonal/>
    </border>
    <border>
      <left/>
      <right style="thin">
        <color indexed="8"/>
      </right>
      <top style="thin">
        <color indexed="64"/>
      </top>
      <bottom style="thin">
        <color indexed="8"/>
      </bottom>
      <diagonal/>
    </border>
    <border>
      <left/>
      <right style="thin">
        <color indexed="64"/>
      </right>
      <top style="thin">
        <color indexed="64"/>
      </top>
      <bottom style="thin">
        <color indexed="8"/>
      </bottom>
      <diagonal/>
    </border>
    <border>
      <left style="thin">
        <color indexed="64"/>
      </left>
      <right style="thin">
        <color indexed="8"/>
      </right>
      <top style="thin">
        <color indexed="8"/>
      </top>
      <bottom style="thin">
        <color indexed="8"/>
      </bottom>
      <diagonal/>
    </border>
    <border>
      <left style="thin">
        <color indexed="8"/>
      </left>
      <right style="thin">
        <color indexed="64"/>
      </right>
      <top style="thin">
        <color indexed="8"/>
      </top>
      <bottom style="thin">
        <color indexed="8"/>
      </bottom>
      <diagonal/>
    </border>
    <border>
      <left/>
      <right style="thin">
        <color indexed="64"/>
      </right>
      <top/>
      <bottom style="thin">
        <color indexed="64"/>
      </bottom>
      <diagonal/>
    </border>
    <border>
      <left style="thin">
        <color indexed="64"/>
      </left>
      <right style="thin">
        <color indexed="8"/>
      </right>
      <top style="thin">
        <color indexed="8"/>
      </top>
      <bottom style="thin">
        <color indexed="64"/>
      </bottom>
      <diagonal/>
    </border>
    <border>
      <left style="thin">
        <color indexed="8"/>
      </left>
      <right style="thin">
        <color indexed="8"/>
      </right>
      <top style="thin">
        <color indexed="8"/>
      </top>
      <bottom style="thin">
        <color indexed="64"/>
      </bottom>
      <diagonal/>
    </border>
    <border>
      <left/>
      <right/>
      <top style="thin">
        <color indexed="64"/>
      </top>
      <bottom style="thin">
        <color indexed="64"/>
      </bottom>
      <diagonal/>
    </border>
    <border>
      <left/>
      <right/>
      <top style="thin">
        <color indexed="64"/>
      </top>
      <bottom/>
      <diagonal/>
    </border>
    <border>
      <left style="thin">
        <color indexed="64"/>
      </left>
      <right style="thin">
        <color indexed="64"/>
      </right>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style="thin">
        <color indexed="8"/>
      </right>
      <top style="thin">
        <color indexed="8"/>
      </top>
      <bottom/>
      <diagonal/>
    </border>
    <border>
      <left/>
      <right style="thin">
        <color indexed="8"/>
      </right>
      <top/>
      <bottom/>
      <diagonal/>
    </border>
    <border>
      <left/>
      <right style="thin">
        <color indexed="8"/>
      </right>
      <top/>
      <bottom style="thin">
        <color indexed="8"/>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right/>
      <top style="thin">
        <color indexed="8"/>
      </top>
      <bottom style="thin">
        <color indexed="8"/>
      </bottom>
      <diagonal/>
    </border>
    <border>
      <left/>
      <right style="thin">
        <color indexed="64"/>
      </right>
      <top style="thin">
        <color indexed="64"/>
      </top>
      <bottom/>
      <diagonal/>
    </border>
    <border>
      <left/>
      <right style="thin">
        <color indexed="64"/>
      </right>
      <top/>
      <bottom/>
      <diagonal/>
    </border>
    <border>
      <left style="thin">
        <color indexed="8"/>
      </left>
      <right/>
      <top style="thin">
        <color indexed="8"/>
      </top>
      <bottom/>
      <diagonal/>
    </border>
    <border>
      <left style="thin">
        <color indexed="8"/>
      </left>
      <right/>
      <top/>
      <bottom style="thin">
        <color indexed="8"/>
      </bottom>
      <diagonal/>
    </border>
    <border>
      <left style="thin">
        <color indexed="31"/>
      </left>
      <right/>
      <top style="thin">
        <color indexed="31"/>
      </top>
      <bottom style="thin">
        <color indexed="31"/>
      </bottom>
      <diagonal/>
    </border>
    <border>
      <left/>
      <right/>
      <top style="thin">
        <color indexed="31"/>
      </top>
      <bottom style="thin">
        <color indexed="31"/>
      </bottom>
      <diagonal/>
    </border>
    <border>
      <left/>
      <right style="thin">
        <color indexed="31"/>
      </right>
      <top style="thin">
        <color indexed="31"/>
      </top>
      <bottom style="thin">
        <color indexed="31"/>
      </bottom>
      <diagonal/>
    </border>
    <border>
      <left/>
      <right/>
      <top style="thin">
        <color indexed="8"/>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rgb="FF000000"/>
      </left>
      <right/>
      <top/>
      <bottom style="thin">
        <color indexed="64"/>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thin">
        <color indexed="64"/>
      </top>
      <bottom style="thin">
        <color indexed="64"/>
      </bottom>
      <diagonal/>
    </border>
  </borders>
  <cellStyleXfs count="14">
    <xf numFmtId="0" fontId="0" fillId="0" borderId="0" applyNumberFormat="0" applyFont="0" applyFill="0" applyBorder="0" applyAlignment="0" applyProtection="0"/>
    <xf numFmtId="164" fontId="1" fillId="0" borderId="0" applyNumberFormat="0" applyFont="0" applyFill="0" applyBorder="0" applyAlignment="0" applyProtection="0"/>
    <xf numFmtId="164" fontId="46" fillId="0" borderId="0" applyFont="0" applyFill="0" applyBorder="0" applyAlignment="0" applyProtection="0"/>
    <xf numFmtId="164" fontId="46" fillId="0" borderId="0" applyFont="0" applyFill="0" applyBorder="0" applyAlignment="0" applyProtection="0"/>
    <xf numFmtId="186" fontId="22" fillId="0" borderId="0">
      <alignment horizontal="right"/>
    </xf>
    <xf numFmtId="183" fontId="9" fillId="0" borderId="0" applyNumberFormat="0" applyFill="0" applyBorder="0" applyAlignment="0" applyProtection="0"/>
    <xf numFmtId="0" fontId="9" fillId="0" borderId="0"/>
    <xf numFmtId="183" fontId="9" fillId="0" borderId="0" applyNumberFormat="0" applyFill="0" applyBorder="0" applyAlignment="0" applyProtection="0"/>
    <xf numFmtId="183" fontId="9" fillId="0" borderId="0"/>
    <xf numFmtId="0" fontId="46" fillId="0" borderId="0"/>
    <xf numFmtId="0" fontId="47" fillId="0" borderId="0" applyNumberFormat="0" applyFill="0" applyBorder="0" applyAlignment="0" applyProtection="0"/>
    <xf numFmtId="183" fontId="9" fillId="0" borderId="0" applyNumberFormat="0" applyFill="0" applyBorder="0" applyAlignment="0" applyProtection="0"/>
    <xf numFmtId="183" fontId="9" fillId="0" borderId="0"/>
    <xf numFmtId="9" fontId="1" fillId="0" borderId="0" applyNumberFormat="0" applyFont="0" applyFill="0" applyBorder="0" applyAlignment="0" applyProtection="0"/>
  </cellStyleXfs>
  <cellXfs count="1152">
    <xf numFmtId="0" fontId="0" fillId="0" borderId="0" xfId="0" applyNumberFormat="1" applyFont="1" applyFill="1" applyBorder="1" applyAlignment="1"/>
    <xf numFmtId="49" fontId="4" fillId="2" borderId="1" xfId="0" applyNumberFormat="1" applyFont="1" applyFill="1" applyBorder="1" applyAlignment="1">
      <alignment horizontal="left"/>
    </xf>
    <xf numFmtId="49" fontId="8" fillId="2" borderId="1" xfId="0" applyNumberFormat="1" applyFont="1" applyFill="1" applyBorder="1" applyAlignment="1">
      <alignment horizontal="center" vertical="center" wrapText="1"/>
    </xf>
    <xf numFmtId="49" fontId="11" fillId="0" borderId="3" xfId="0" applyNumberFormat="1" applyFont="1" applyFill="1" applyBorder="1" applyAlignment="1">
      <alignment horizontal="center"/>
    </xf>
    <xf numFmtId="0" fontId="12" fillId="0" borderId="3" xfId="0" applyFont="1" applyFill="1" applyBorder="1" applyAlignment="1">
      <alignment vertical="center"/>
    </xf>
    <xf numFmtId="0" fontId="12" fillId="0" borderId="3" xfId="0" applyFont="1" applyFill="1" applyBorder="1" applyAlignment="1">
      <alignment horizontal="left" vertical="center" wrapText="1"/>
    </xf>
    <xf numFmtId="0" fontId="48" fillId="0" borderId="0" xfId="0" applyNumberFormat="1" applyFont="1" applyFill="1" applyBorder="1" applyAlignment="1">
      <alignment vertical="center"/>
    </xf>
    <xf numFmtId="0" fontId="49" fillId="0" borderId="0" xfId="0" applyNumberFormat="1" applyFont="1" applyFill="1"/>
    <xf numFmtId="0" fontId="50" fillId="0" borderId="3" xfId="0" applyNumberFormat="1" applyFont="1" applyFill="1" applyBorder="1" applyAlignment="1">
      <alignment horizontal="center" vertical="center" wrapText="1"/>
    </xf>
    <xf numFmtId="0" fontId="50" fillId="0" borderId="4" xfId="0" applyNumberFormat="1" applyFont="1" applyFill="1" applyBorder="1" applyAlignment="1">
      <alignment horizontal="center" vertical="center"/>
    </xf>
    <xf numFmtId="0" fontId="49" fillId="0" borderId="3" xfId="0" applyNumberFormat="1" applyFont="1" applyFill="1" applyBorder="1"/>
    <xf numFmtId="1" fontId="49" fillId="0" borderId="3" xfId="0" applyNumberFormat="1" applyFont="1" applyFill="1" applyBorder="1"/>
    <xf numFmtId="1" fontId="16" fillId="0" borderId="4" xfId="0" applyNumberFormat="1" applyFont="1" applyFill="1" applyBorder="1" applyAlignment="1">
      <alignment horizontal="right" vertical="center"/>
    </xf>
    <xf numFmtId="1" fontId="49" fillId="0" borderId="0" xfId="0" applyNumberFormat="1" applyFont="1" applyFill="1"/>
    <xf numFmtId="1" fontId="16" fillId="0" borderId="3" xfId="0" applyNumberFormat="1" applyFont="1" applyFill="1" applyBorder="1" applyAlignment="1">
      <alignment horizontal="right" vertical="center"/>
    </xf>
    <xf numFmtId="1" fontId="49" fillId="0" borderId="4" xfId="0" applyNumberFormat="1" applyFont="1" applyFill="1" applyBorder="1"/>
    <xf numFmtId="1" fontId="16" fillId="0" borderId="5" xfId="0" applyNumberFormat="1" applyFont="1" applyFill="1" applyBorder="1" applyAlignment="1">
      <alignment horizontal="right" vertical="center"/>
    </xf>
    <xf numFmtId="0" fontId="51" fillId="0" borderId="6" xfId="0" applyNumberFormat="1" applyFont="1" applyFill="1" applyBorder="1"/>
    <xf numFmtId="0" fontId="51" fillId="0" borderId="0" xfId="0" applyNumberFormat="1" applyFont="1" applyFill="1"/>
    <xf numFmtId="0" fontId="50" fillId="0" borderId="0" xfId="0" applyNumberFormat="1" applyFont="1" applyFill="1"/>
    <xf numFmtId="3" fontId="19" fillId="0" borderId="8" xfId="12" applyNumberFormat="1" applyFont="1" applyFill="1" applyBorder="1" applyAlignment="1">
      <alignment horizontal="right" wrapText="1"/>
    </xf>
    <xf numFmtId="3" fontId="19" fillId="0" borderId="3" xfId="12" applyNumberFormat="1" applyFont="1" applyFill="1" applyBorder="1" applyAlignment="1">
      <alignment horizontal="right" wrapText="1"/>
    </xf>
    <xf numFmtId="184" fontId="16" fillId="2" borderId="3" xfId="0" applyNumberFormat="1" applyFont="1" applyFill="1" applyBorder="1" applyAlignment="1">
      <alignment horizontal="left"/>
    </xf>
    <xf numFmtId="3" fontId="16" fillId="0" borderId="3" xfId="12" applyNumberFormat="1" applyFont="1" applyFill="1" applyBorder="1" applyAlignment="1">
      <alignment horizontal="right" wrapText="1"/>
    </xf>
    <xf numFmtId="3" fontId="16" fillId="0" borderId="0" xfId="12" applyNumberFormat="1" applyFont="1" applyFill="1" applyBorder="1" applyAlignment="1">
      <alignment horizontal="right" wrapText="1"/>
    </xf>
    <xf numFmtId="0" fontId="51" fillId="0" borderId="0" xfId="0" applyNumberFormat="1" applyFont="1"/>
    <xf numFmtId="3" fontId="21" fillId="0" borderId="0" xfId="12" applyNumberFormat="1" applyFont="1" applyFill="1" applyBorder="1" applyAlignment="1">
      <alignment horizontal="right" wrapText="1"/>
    </xf>
    <xf numFmtId="0" fontId="50" fillId="4" borderId="3" xfId="0" applyNumberFormat="1" applyFont="1" applyFill="1" applyBorder="1" applyAlignment="1">
      <alignment vertical="center" wrapText="1"/>
    </xf>
    <xf numFmtId="184" fontId="19" fillId="0" borderId="3" xfId="0" applyNumberFormat="1" applyFont="1" applyFill="1" applyBorder="1" applyAlignment="1">
      <alignment horizontal="left"/>
    </xf>
    <xf numFmtId="187" fontId="19" fillId="0" borderId="3" xfId="4" applyNumberFormat="1" applyFont="1" applyFill="1" applyBorder="1" applyAlignment="1">
      <alignment horizontal="right" vertical="top"/>
    </xf>
    <xf numFmtId="184" fontId="16" fillId="0" borderId="3" xfId="0" applyNumberFormat="1" applyFont="1" applyFill="1" applyBorder="1" applyAlignment="1">
      <alignment horizontal="left"/>
    </xf>
    <xf numFmtId="187" fontId="16" fillId="3" borderId="3" xfId="4" applyNumberFormat="1" applyFont="1" applyFill="1" applyBorder="1" applyAlignment="1">
      <alignment horizontal="right" vertical="top"/>
    </xf>
    <xf numFmtId="184" fontId="16" fillId="0" borderId="0" xfId="0" applyNumberFormat="1" applyFont="1" applyFill="1" applyBorder="1" applyAlignment="1">
      <alignment horizontal="left"/>
    </xf>
    <xf numFmtId="187" fontId="19" fillId="0" borderId="0" xfId="4" applyNumberFormat="1" applyFont="1" applyFill="1" applyBorder="1" applyAlignment="1">
      <alignment horizontal="right" vertical="top"/>
    </xf>
    <xf numFmtId="187" fontId="19" fillId="3" borderId="3" xfId="4" applyNumberFormat="1" applyFont="1" applyFill="1" applyBorder="1" applyAlignment="1">
      <alignment horizontal="right" vertical="top"/>
    </xf>
    <xf numFmtId="0" fontId="50" fillId="0" borderId="3" xfId="0" applyNumberFormat="1" applyFont="1" applyBorder="1" applyAlignment="1">
      <alignment vertical="center" wrapText="1"/>
    </xf>
    <xf numFmtId="187" fontId="19" fillId="0" borderId="3" xfId="4" applyNumberFormat="1" applyFont="1" applyFill="1" applyBorder="1" applyAlignment="1">
      <alignment horizontal="right"/>
    </xf>
    <xf numFmtId="192" fontId="19" fillId="0" borderId="3" xfId="4" applyNumberFormat="1" applyFont="1" applyFill="1" applyBorder="1" applyAlignment="1">
      <alignment horizontal="right" vertical="top"/>
    </xf>
    <xf numFmtId="189" fontId="19" fillId="0" borderId="3" xfId="4" applyNumberFormat="1" applyFont="1" applyFill="1" applyBorder="1" applyAlignment="1">
      <alignment horizontal="right" vertical="top"/>
    </xf>
    <xf numFmtId="193" fontId="19" fillId="0" borderId="3" xfId="4" applyNumberFormat="1" applyFont="1" applyFill="1" applyBorder="1" applyAlignment="1">
      <alignment horizontal="right" vertical="top"/>
    </xf>
    <xf numFmtId="187" fontId="16" fillId="0" borderId="3" xfId="4" applyNumberFormat="1" applyFont="1" applyFill="1" applyBorder="1" applyAlignment="1">
      <alignment horizontal="right" vertical="top"/>
    </xf>
    <xf numFmtId="186" fontId="16" fillId="0" borderId="3" xfId="4" applyNumberFormat="1" applyFont="1" applyFill="1" applyBorder="1" applyAlignment="1">
      <alignment horizontal="right" vertical="top"/>
    </xf>
    <xf numFmtId="0" fontId="51" fillId="0" borderId="0" xfId="0" applyFont="1"/>
    <xf numFmtId="0" fontId="0" fillId="0" borderId="0" xfId="0"/>
    <xf numFmtId="0" fontId="48" fillId="0" borderId="9" xfId="0" applyNumberFormat="1" applyFont="1" applyFill="1" applyBorder="1" applyAlignment="1">
      <alignment vertical="center"/>
    </xf>
    <xf numFmtId="0" fontId="48" fillId="0" borderId="10" xfId="0" applyNumberFormat="1" applyFont="1" applyFill="1" applyBorder="1" applyAlignment="1">
      <alignment vertical="center"/>
    </xf>
    <xf numFmtId="192" fontId="16" fillId="3" borderId="3" xfId="4" applyNumberFormat="1" applyFont="1" applyFill="1" applyBorder="1" applyAlignment="1">
      <alignment horizontal="right" vertical="top"/>
    </xf>
    <xf numFmtId="17" fontId="16" fillId="0" borderId="0" xfId="6" applyNumberFormat="1" applyFont="1" applyBorder="1" applyAlignment="1">
      <alignment horizontal="left"/>
    </xf>
    <xf numFmtId="17" fontId="19" fillId="0" borderId="0" xfId="6" applyNumberFormat="1" applyFont="1" applyBorder="1" applyAlignment="1">
      <alignment horizontal="left"/>
    </xf>
    <xf numFmtId="192" fontId="16" fillId="0" borderId="3" xfId="4" applyNumberFormat="1" applyFont="1" applyFill="1" applyBorder="1" applyAlignment="1">
      <alignment horizontal="right" vertical="top"/>
    </xf>
    <xf numFmtId="0" fontId="56" fillId="3" borderId="0" xfId="0" applyNumberFormat="1" applyFont="1" applyFill="1" applyBorder="1" applyAlignment="1">
      <alignment horizontal="left" vertical="center"/>
    </xf>
    <xf numFmtId="0" fontId="57" fillId="0" borderId="0" xfId="0" applyFont="1"/>
    <xf numFmtId="0" fontId="58" fillId="4" borderId="3" xfId="0" applyNumberFormat="1" applyFont="1" applyFill="1" applyBorder="1" applyAlignment="1">
      <alignment vertical="center" wrapText="1"/>
    </xf>
    <xf numFmtId="0" fontId="58" fillId="0" borderId="3" xfId="0" applyNumberFormat="1" applyFont="1" applyBorder="1" applyAlignment="1">
      <alignment vertical="center" wrapText="1"/>
    </xf>
    <xf numFmtId="187" fontId="23" fillId="3" borderId="3" xfId="4" applyNumberFormat="1" applyFont="1" applyFill="1" applyBorder="1" applyAlignment="1">
      <alignment horizontal="right" vertical="top"/>
    </xf>
    <xf numFmtId="193" fontId="23" fillId="3" borderId="3" xfId="4" applyNumberFormat="1" applyFont="1" applyFill="1" applyBorder="1" applyAlignment="1">
      <alignment horizontal="right" vertical="top"/>
    </xf>
    <xf numFmtId="193" fontId="23" fillId="0" borderId="3" xfId="4" applyNumberFormat="1" applyFont="1" applyFill="1" applyBorder="1" applyAlignment="1">
      <alignment horizontal="right" vertical="top"/>
    </xf>
    <xf numFmtId="189" fontId="23" fillId="3" borderId="3" xfId="4" applyNumberFormat="1" applyFont="1" applyFill="1" applyBorder="1" applyAlignment="1">
      <alignment horizontal="right" vertical="top"/>
    </xf>
    <xf numFmtId="196" fontId="23" fillId="3" borderId="3" xfId="4" applyNumberFormat="1" applyFont="1" applyFill="1" applyBorder="1" applyAlignment="1">
      <alignment horizontal="right" vertical="top"/>
    </xf>
    <xf numFmtId="184" fontId="24" fillId="2" borderId="3" xfId="0" applyNumberFormat="1" applyFont="1" applyFill="1" applyBorder="1" applyAlignment="1">
      <alignment horizontal="left"/>
    </xf>
    <xf numFmtId="187" fontId="24" fillId="3" borderId="3" xfId="4" applyNumberFormat="1" applyFont="1" applyFill="1" applyBorder="1" applyAlignment="1">
      <alignment horizontal="right" vertical="top"/>
    </xf>
    <xf numFmtId="196" fontId="24" fillId="3" borderId="3" xfId="4" applyNumberFormat="1" applyFont="1" applyFill="1" applyBorder="1" applyAlignment="1">
      <alignment horizontal="right" vertical="top"/>
    </xf>
    <xf numFmtId="194" fontId="24" fillId="3" borderId="3" xfId="4" applyNumberFormat="1" applyFont="1" applyFill="1" applyBorder="1" applyAlignment="1">
      <alignment horizontal="right" vertical="top"/>
    </xf>
    <xf numFmtId="189" fontId="24" fillId="3" borderId="3" xfId="4" applyNumberFormat="1" applyFont="1" applyFill="1" applyBorder="1" applyAlignment="1">
      <alignment horizontal="right" vertical="top"/>
    </xf>
    <xf numFmtId="0" fontId="59" fillId="0" borderId="0" xfId="0" applyNumberFormat="1" applyFont="1"/>
    <xf numFmtId="166" fontId="57" fillId="0" borderId="0" xfId="0" applyNumberFormat="1" applyFont="1"/>
    <xf numFmtId="0" fontId="58" fillId="0" borderId="0" xfId="0" applyNumberFormat="1" applyFont="1"/>
    <xf numFmtId="2" fontId="57" fillId="0" borderId="0" xfId="0" applyNumberFormat="1" applyFont="1"/>
    <xf numFmtId="0" fontId="52" fillId="0" borderId="0" xfId="0" applyNumberFormat="1" applyFont="1" applyFill="1" applyAlignment="1">
      <alignment horizontal="left"/>
    </xf>
    <xf numFmtId="1" fontId="50" fillId="0" borderId="3" xfId="0" applyNumberFormat="1" applyFont="1" applyFill="1" applyBorder="1"/>
    <xf numFmtId="1" fontId="19" fillId="0" borderId="3" xfId="4" applyNumberFormat="1" applyFont="1" applyFill="1" applyBorder="1" applyAlignment="1">
      <alignment horizontal="right" vertical="top"/>
    </xf>
    <xf numFmtId="184" fontId="16" fillId="0" borderId="3" xfId="9" applyNumberFormat="1" applyFont="1" applyFill="1" applyBorder="1" applyAlignment="1">
      <alignment horizontal="left"/>
    </xf>
    <xf numFmtId="1" fontId="16" fillId="0" borderId="3" xfId="4" applyNumberFormat="1" applyFont="1" applyFill="1" applyBorder="1" applyAlignment="1">
      <alignment horizontal="right" vertical="top"/>
    </xf>
    <xf numFmtId="2" fontId="16" fillId="0" borderId="3" xfId="4" applyNumberFormat="1" applyFont="1" applyFill="1" applyBorder="1" applyAlignment="1">
      <alignment horizontal="right" vertical="top"/>
    </xf>
    <xf numFmtId="188" fontId="16" fillId="0" borderId="3" xfId="0" applyNumberFormat="1" applyFont="1" applyFill="1" applyBorder="1" applyAlignment="1">
      <alignment horizontal="center" vertical="center" wrapText="1"/>
    </xf>
    <xf numFmtId="188" fontId="16" fillId="0" borderId="3" xfId="0" applyNumberFormat="1" applyFont="1" applyFill="1" applyBorder="1" applyAlignment="1">
      <alignment horizontal="left" vertical="top" wrapText="1"/>
    </xf>
    <xf numFmtId="188" fontId="19" fillId="0" borderId="3" xfId="0" applyNumberFormat="1" applyFont="1" applyFill="1" applyBorder="1" applyAlignment="1">
      <alignment horizontal="center" vertical="center" wrapText="1"/>
    </xf>
    <xf numFmtId="0" fontId="19" fillId="0" borderId="3" xfId="0" applyFont="1" applyFill="1" applyBorder="1" applyAlignment="1">
      <alignment horizontal="center" vertical="top" wrapText="1"/>
    </xf>
    <xf numFmtId="199" fontId="22" fillId="0" borderId="3" xfId="0" applyNumberFormat="1" applyFont="1" applyFill="1" applyBorder="1" applyAlignment="1">
      <alignment horizontal="left" vertical="top" wrapText="1"/>
    </xf>
    <xf numFmtId="199" fontId="19" fillId="0" borderId="3" xfId="0" applyNumberFormat="1" applyFont="1" applyFill="1" applyBorder="1" applyAlignment="1">
      <alignment horizontal="center" vertical="top" wrapText="1"/>
    </xf>
    <xf numFmtId="199" fontId="16" fillId="0" borderId="3" xfId="0" applyNumberFormat="1" applyFont="1" applyFill="1" applyBorder="1" applyAlignment="1">
      <alignment horizontal="left" vertical="top" wrapText="1"/>
    </xf>
    <xf numFmtId="199" fontId="16" fillId="0" borderId="3" xfId="0" applyNumberFormat="1" applyFont="1" applyFill="1" applyBorder="1" applyAlignment="1">
      <alignment horizontal="center" vertical="center" wrapText="1"/>
    </xf>
    <xf numFmtId="0" fontId="49" fillId="0" borderId="0" xfId="0" applyFont="1" applyFill="1"/>
    <xf numFmtId="0" fontId="19" fillId="0" borderId="0" xfId="0" applyFont="1" applyFill="1" applyBorder="1" applyAlignment="1">
      <alignment horizontal="center" vertical="top" wrapText="1"/>
    </xf>
    <xf numFmtId="0" fontId="61" fillId="0" borderId="0" xfId="0" applyFont="1" applyFill="1"/>
    <xf numFmtId="2" fontId="64" fillId="0" borderId="0" xfId="0" applyNumberFormat="1" applyFont="1" applyFill="1"/>
    <xf numFmtId="188" fontId="16" fillId="0" borderId="3" xfId="0" applyNumberFormat="1" applyFont="1" applyFill="1" applyBorder="1" applyAlignment="1">
      <alignment horizontal="center" vertical="top" wrapText="1"/>
    </xf>
    <xf numFmtId="188" fontId="61" fillId="0" borderId="3" xfId="0" applyNumberFormat="1" applyFont="1" applyFill="1" applyBorder="1"/>
    <xf numFmtId="188" fontId="16" fillId="0" borderId="3" xfId="0" applyNumberFormat="1" applyFont="1" applyFill="1" applyBorder="1" applyAlignment="1">
      <alignment horizontal="right" vertical="top" wrapText="1"/>
    </xf>
    <xf numFmtId="0" fontId="50" fillId="0" borderId="0" xfId="0" applyFont="1" applyFill="1"/>
    <xf numFmtId="0" fontId="65" fillId="0" borderId="0" xfId="0" applyFont="1" applyFill="1"/>
    <xf numFmtId="0" fontId="61" fillId="0" borderId="0" xfId="0" applyFont="1" applyFill="1" applyBorder="1"/>
    <xf numFmtId="166" fontId="63" fillId="0" borderId="0" xfId="0" applyNumberFormat="1" applyFont="1" applyFill="1" applyBorder="1"/>
    <xf numFmtId="166" fontId="61" fillId="0" borderId="0" xfId="0" applyNumberFormat="1" applyFont="1" applyFill="1" applyBorder="1"/>
    <xf numFmtId="0" fontId="48" fillId="0" borderId="11" xfId="0" applyNumberFormat="1" applyFont="1" applyFill="1" applyBorder="1" applyAlignment="1">
      <alignment vertical="center"/>
    </xf>
    <xf numFmtId="0" fontId="60" fillId="0" borderId="9" xfId="0" applyFont="1" applyFill="1" applyBorder="1" applyAlignment="1">
      <alignment horizontal="center" vertical="center" wrapText="1"/>
    </xf>
    <xf numFmtId="0" fontId="50" fillId="0" borderId="9" xfId="0" applyNumberFormat="1" applyFont="1" applyFill="1" applyBorder="1" applyAlignment="1">
      <alignment horizontal="center" vertical="center" wrapText="1"/>
    </xf>
    <xf numFmtId="0" fontId="60" fillId="0" borderId="12" xfId="0" applyFont="1" applyFill="1" applyBorder="1" applyAlignment="1">
      <alignment horizontal="right" vertical="top"/>
    </xf>
    <xf numFmtId="0" fontId="66" fillId="0" borderId="56" xfId="0" applyNumberFormat="1" applyFont="1" applyFill="1" applyBorder="1" applyAlignment="1">
      <alignment horizontal="right" vertical="top"/>
    </xf>
    <xf numFmtId="1" fontId="66" fillId="0" borderId="56" xfId="0" applyNumberFormat="1" applyFont="1" applyFill="1" applyBorder="1" applyAlignment="1">
      <alignment horizontal="right" vertical="top"/>
    </xf>
    <xf numFmtId="166" fontId="66" fillId="0" borderId="56" xfId="0" applyNumberFormat="1" applyFont="1" applyFill="1" applyBorder="1" applyAlignment="1">
      <alignment horizontal="right" vertical="top"/>
    </xf>
    <xf numFmtId="1" fontId="61" fillId="0" borderId="0" xfId="0" applyNumberFormat="1" applyFont="1" applyFill="1"/>
    <xf numFmtId="166" fontId="66" fillId="0" borderId="3" xfId="0" applyNumberFormat="1" applyFont="1" applyFill="1" applyBorder="1" applyAlignment="1">
      <alignment horizontal="right" vertical="top"/>
    </xf>
    <xf numFmtId="2" fontId="66" fillId="0" borderId="56" xfId="0" applyNumberFormat="1" applyFont="1" applyFill="1" applyBorder="1" applyAlignment="1">
      <alignment horizontal="right" vertical="top"/>
    </xf>
    <xf numFmtId="0" fontId="60" fillId="0" borderId="56" xfId="0" applyFont="1" applyFill="1" applyBorder="1" applyAlignment="1">
      <alignment horizontal="right" vertical="top"/>
    </xf>
    <xf numFmtId="199" fontId="66" fillId="0" borderId="3" xfId="0" applyNumberFormat="1" applyFont="1" applyFill="1" applyBorder="1" applyAlignment="1">
      <alignment horizontal="left" vertical="top"/>
    </xf>
    <xf numFmtId="2" fontId="66" fillId="0" borderId="3" xfId="0" applyNumberFormat="1" applyFont="1" applyFill="1" applyBorder="1" applyAlignment="1">
      <alignment horizontal="right" vertical="top"/>
    </xf>
    <xf numFmtId="164" fontId="66" fillId="0" borderId="56" xfId="0" applyNumberFormat="1" applyFont="1" applyFill="1" applyBorder="1" applyAlignment="1">
      <alignment horizontal="right" vertical="top"/>
    </xf>
    <xf numFmtId="188" fontId="66" fillId="0" borderId="56" xfId="0" applyNumberFormat="1" applyFont="1" applyFill="1" applyBorder="1" applyAlignment="1">
      <alignment horizontal="right" vertical="top"/>
    </xf>
    <xf numFmtId="201" fontId="66" fillId="0" borderId="56" xfId="0" applyNumberFormat="1" applyFont="1" applyFill="1" applyBorder="1" applyAlignment="1">
      <alignment horizontal="right" vertical="top"/>
    </xf>
    <xf numFmtId="199" fontId="66" fillId="0" borderId="56" xfId="0" applyNumberFormat="1" applyFont="1" applyFill="1" applyBorder="1" applyAlignment="1">
      <alignment horizontal="right" vertical="top"/>
    </xf>
    <xf numFmtId="199" fontId="66" fillId="0" borderId="12" xfId="0" applyNumberFormat="1" applyFont="1" applyFill="1" applyBorder="1" applyAlignment="1">
      <alignment horizontal="left" vertical="top"/>
    </xf>
    <xf numFmtId="188" fontId="60" fillId="0" borderId="56" xfId="0" applyNumberFormat="1" applyFont="1" applyFill="1" applyBorder="1" applyAlignment="1">
      <alignment horizontal="right" vertical="top"/>
    </xf>
    <xf numFmtId="0" fontId="66" fillId="0" borderId="3" xfId="0" applyFont="1" applyFill="1" applyBorder="1" applyAlignment="1">
      <alignment horizontal="left" vertical="top"/>
    </xf>
    <xf numFmtId="199" fontId="19" fillId="0" borderId="3" xfId="5" applyNumberFormat="1" applyFont="1" applyFill="1" applyBorder="1" applyAlignment="1" applyProtection="1"/>
    <xf numFmtId="200" fontId="66" fillId="0" borderId="56" xfId="0" applyNumberFormat="1" applyFont="1" applyFill="1" applyBorder="1" applyAlignment="1">
      <alignment horizontal="right" vertical="top"/>
    </xf>
    <xf numFmtId="201" fontId="60" fillId="0" borderId="56" xfId="0" applyNumberFormat="1" applyFont="1" applyFill="1" applyBorder="1" applyAlignment="1">
      <alignment horizontal="right" vertical="top"/>
    </xf>
    <xf numFmtId="200" fontId="60" fillId="0" borderId="56" xfId="0" applyNumberFormat="1" applyFont="1" applyFill="1" applyBorder="1" applyAlignment="1">
      <alignment horizontal="right" vertical="top"/>
    </xf>
    <xf numFmtId="199" fontId="66" fillId="0" borderId="0" xfId="0" applyNumberFormat="1" applyFont="1" applyFill="1" applyBorder="1" applyAlignment="1">
      <alignment horizontal="right" vertical="top"/>
    </xf>
    <xf numFmtId="0" fontId="49" fillId="0" borderId="0" xfId="0" applyNumberFormat="1" applyFont="1" applyFill="1" applyAlignment="1">
      <alignment horizontal="left" wrapText="1"/>
    </xf>
    <xf numFmtId="188" fontId="66" fillId="0" borderId="0" xfId="0" applyNumberFormat="1" applyFont="1" applyFill="1" applyBorder="1" applyAlignment="1">
      <alignment horizontal="right" vertical="top"/>
    </xf>
    <xf numFmtId="0" fontId="61" fillId="0" borderId="0" xfId="0" applyNumberFormat="1" applyFont="1" applyFill="1"/>
    <xf numFmtId="202" fontId="61" fillId="0" borderId="0" xfId="0" applyNumberFormat="1" applyFont="1" applyFill="1"/>
    <xf numFmtId="195" fontId="61" fillId="0" borderId="0" xfId="0" applyNumberFormat="1" applyFont="1" applyFill="1"/>
    <xf numFmtId="188" fontId="16" fillId="0" borderId="12" xfId="0" applyNumberFormat="1" applyFont="1" applyFill="1" applyBorder="1" applyAlignment="1">
      <alignment horizontal="right" vertical="top" wrapText="1"/>
    </xf>
    <xf numFmtId="0" fontId="25" fillId="0" borderId="0" xfId="0" applyNumberFormat="1" applyFont="1" applyFill="1" applyBorder="1" applyAlignment="1"/>
    <xf numFmtId="168" fontId="25" fillId="0" borderId="0" xfId="0" applyNumberFormat="1" applyFont="1" applyFill="1" applyBorder="1" applyAlignment="1"/>
    <xf numFmtId="0" fontId="67" fillId="0" borderId="3" xfId="0" applyNumberFormat="1" applyFont="1" applyFill="1" applyBorder="1" applyAlignment="1">
      <alignment horizontal="right" vertical="center" wrapText="1"/>
    </xf>
    <xf numFmtId="188" fontId="67" fillId="0" borderId="3" xfId="1" applyNumberFormat="1" applyFont="1" applyFill="1" applyBorder="1" applyAlignment="1">
      <alignment horizontal="right" vertical="center" wrapText="1"/>
    </xf>
    <xf numFmtId="1" fontId="67" fillId="0" borderId="3" xfId="0" applyNumberFormat="1" applyFont="1" applyFill="1" applyBorder="1" applyAlignment="1">
      <alignment horizontal="right" vertical="center" wrapText="1"/>
    </xf>
    <xf numFmtId="0" fontId="9" fillId="0" borderId="57" xfId="0" applyFont="1" applyFill="1" applyBorder="1" applyAlignment="1">
      <alignment horizontal="left" wrapText="1"/>
    </xf>
    <xf numFmtId="0" fontId="9" fillId="0" borderId="58" xfId="0" applyFont="1" applyFill="1" applyBorder="1" applyAlignment="1">
      <alignment horizontal="left" wrapText="1"/>
    </xf>
    <xf numFmtId="0" fontId="27" fillId="0" borderId="3" xfId="0" applyFont="1" applyFill="1" applyBorder="1" applyAlignment="1">
      <alignment horizontal="left" wrapText="1"/>
    </xf>
    <xf numFmtId="49" fontId="58" fillId="0" borderId="0" xfId="0" applyNumberFormat="1" applyFont="1" applyFill="1"/>
    <xf numFmtId="0" fontId="58" fillId="0" borderId="0" xfId="0" applyFont="1" applyFill="1"/>
    <xf numFmtId="3" fontId="58" fillId="0" borderId="0" xfId="0" applyNumberFormat="1" applyFont="1" applyFill="1"/>
    <xf numFmtId="0" fontId="51" fillId="0" borderId="0" xfId="0" applyFont="1" applyFill="1"/>
    <xf numFmtId="0" fontId="28" fillId="0" borderId="3" xfId="10" applyFont="1" applyFill="1" applyBorder="1" applyAlignment="1">
      <alignment vertical="center"/>
    </xf>
    <xf numFmtId="3" fontId="28" fillId="0" borderId="3" xfId="10" applyNumberFormat="1" applyFont="1" applyFill="1" applyBorder="1" applyAlignment="1">
      <alignment vertical="center"/>
    </xf>
    <xf numFmtId="0" fontId="21" fillId="0" borderId="3" xfId="10" applyFont="1" applyFill="1" applyBorder="1" applyAlignment="1">
      <alignment horizontal="center" vertical="center"/>
    </xf>
    <xf numFmtId="0" fontId="21" fillId="0" borderId="3" xfId="10" applyFont="1" applyFill="1" applyBorder="1" applyAlignment="1">
      <alignment vertical="center"/>
    </xf>
    <xf numFmtId="0" fontId="54" fillId="0" borderId="0" xfId="0" applyFont="1" applyFill="1"/>
    <xf numFmtId="0" fontId="21" fillId="0" borderId="3" xfId="10" applyFont="1" applyFill="1" applyBorder="1" applyAlignment="1">
      <alignment horizontal="left" vertical="center"/>
    </xf>
    <xf numFmtId="0" fontId="21" fillId="0" borderId="3" xfId="10" applyFont="1" applyFill="1" applyBorder="1" applyAlignment="1">
      <alignment vertical="center" wrapText="1"/>
    </xf>
    <xf numFmtId="1" fontId="21" fillId="0" borderId="3" xfId="10" applyNumberFormat="1" applyFont="1" applyFill="1" applyBorder="1" applyAlignment="1">
      <alignment horizontal="left" vertical="center" wrapText="1"/>
    </xf>
    <xf numFmtId="0" fontId="27" fillId="0" borderId="3" xfId="10" applyFont="1" applyFill="1" applyBorder="1" applyAlignment="1">
      <alignment vertical="center" wrapText="1"/>
    </xf>
    <xf numFmtId="3" fontId="21" fillId="0" borderId="1" xfId="0" applyNumberFormat="1" applyFont="1" applyFill="1" applyBorder="1" applyAlignment="1">
      <alignment horizontal="right"/>
    </xf>
    <xf numFmtId="0" fontId="27" fillId="0" borderId="3" xfId="0" applyFont="1" applyFill="1" applyBorder="1" applyAlignment="1">
      <alignment vertical="center"/>
    </xf>
    <xf numFmtId="0" fontId="28" fillId="0" borderId="12" xfId="10" applyFont="1" applyFill="1" applyBorder="1" applyAlignment="1">
      <alignment vertical="center" wrapText="1"/>
    </xf>
    <xf numFmtId="3" fontId="49" fillId="0" borderId="0" xfId="0" applyNumberFormat="1" applyFont="1" applyFill="1"/>
    <xf numFmtId="188" fontId="68" fillId="0" borderId="3" xfId="1" applyNumberFormat="1" applyFont="1" applyFill="1" applyBorder="1"/>
    <xf numFmtId="0" fontId="69" fillId="0" borderId="0" xfId="0" applyFont="1" applyFill="1" applyAlignment="1">
      <alignment horizontal="left" wrapText="1"/>
    </xf>
    <xf numFmtId="2" fontId="70" fillId="0" borderId="0" xfId="0" applyNumberFormat="1" applyFont="1" applyFill="1" applyAlignment="1">
      <alignment horizontal="right" wrapText="1"/>
    </xf>
    <xf numFmtId="2" fontId="71" fillId="0" borderId="0" xfId="0" applyNumberFormat="1" applyFont="1" applyFill="1" applyAlignment="1">
      <alignment horizontal="right"/>
    </xf>
    <xf numFmtId="0" fontId="70" fillId="0" borderId="0" xfId="0" applyFont="1" applyFill="1" applyAlignment="1">
      <alignment horizontal="center" wrapText="1"/>
    </xf>
    <xf numFmtId="0" fontId="72" fillId="0" borderId="0" xfId="0" applyFont="1" applyFill="1" applyBorder="1" applyAlignment="1"/>
    <xf numFmtId="0" fontId="30" fillId="0" borderId="0" xfId="0" applyFont="1" applyFill="1" applyBorder="1" applyAlignment="1">
      <alignment wrapText="1"/>
    </xf>
    <xf numFmtId="0" fontId="14" fillId="2" borderId="0" xfId="0" applyFont="1" applyFill="1" applyAlignment="1">
      <alignment vertical="center"/>
    </xf>
    <xf numFmtId="49" fontId="13" fillId="2" borderId="1" xfId="0" applyNumberFormat="1" applyFont="1" applyFill="1" applyBorder="1" applyAlignment="1">
      <alignment horizontal="center" vertical="center" wrapText="1"/>
    </xf>
    <xf numFmtId="49" fontId="13" fillId="2" borderId="1" xfId="0" applyNumberFormat="1" applyFont="1" applyFill="1" applyBorder="1" applyAlignment="1">
      <alignment horizontal="left" vertical="center"/>
    </xf>
    <xf numFmtId="0" fontId="15" fillId="2" borderId="0" xfId="0" applyFont="1" applyFill="1" applyAlignment="1">
      <alignment vertical="center"/>
    </xf>
    <xf numFmtId="165" fontId="13" fillId="0" borderId="3" xfId="0" applyNumberFormat="1" applyFont="1" applyFill="1" applyBorder="1" applyAlignment="1">
      <alignment horizontal="right"/>
    </xf>
    <xf numFmtId="184" fontId="18" fillId="0" borderId="1" xfId="0" applyNumberFormat="1" applyFont="1" applyFill="1" applyBorder="1" applyAlignment="1">
      <alignment horizontal="left" vertical="center"/>
    </xf>
    <xf numFmtId="0" fontId="18" fillId="2" borderId="0" xfId="0" applyFont="1" applyFill="1" applyAlignment="1">
      <alignment vertical="center"/>
    </xf>
    <xf numFmtId="165" fontId="25" fillId="0" borderId="0" xfId="0" applyNumberFormat="1" applyFont="1" applyFill="1" applyBorder="1" applyAlignment="1"/>
    <xf numFmtId="3" fontId="13" fillId="2" borderId="1" xfId="0" applyNumberFormat="1" applyFont="1" applyFill="1" applyBorder="1" applyAlignment="1">
      <alignment horizontal="right" vertical="center"/>
    </xf>
    <xf numFmtId="165" fontId="18" fillId="0" borderId="3" xfId="0" applyNumberFormat="1" applyFont="1" applyFill="1" applyBorder="1" applyAlignment="1">
      <alignment horizontal="right"/>
    </xf>
    <xf numFmtId="3" fontId="18" fillId="2" borderId="1" xfId="0" applyNumberFormat="1" applyFont="1" applyFill="1" applyBorder="1" applyAlignment="1">
      <alignment horizontal="right" vertical="center"/>
    </xf>
    <xf numFmtId="0" fontId="20" fillId="2" borderId="0" xfId="0" applyFont="1" applyFill="1" applyAlignment="1">
      <alignment vertical="center"/>
    </xf>
    <xf numFmtId="49" fontId="17" fillId="2" borderId="0" xfId="0" applyNumberFormat="1" applyFont="1" applyFill="1" applyAlignment="1"/>
    <xf numFmtId="166" fontId="52" fillId="0" borderId="9" xfId="8" applyNumberFormat="1" applyFont="1" applyFill="1" applyBorder="1" applyAlignment="1">
      <alignment horizontal="right" wrapText="1"/>
    </xf>
    <xf numFmtId="2" fontId="52" fillId="0" borderId="27" xfId="8" applyNumberFormat="1" applyFont="1" applyFill="1" applyBorder="1" applyAlignment="1">
      <alignment horizontal="right" wrapText="1"/>
    </xf>
    <xf numFmtId="187" fontId="52" fillId="0" borderId="27" xfId="8" applyNumberFormat="1" applyFont="1" applyFill="1" applyBorder="1" applyAlignment="1">
      <alignment horizontal="right" wrapText="1"/>
    </xf>
    <xf numFmtId="187" fontId="52" fillId="0" borderId="0" xfId="8" applyNumberFormat="1" applyFont="1" applyFill="1" applyBorder="1" applyAlignment="1">
      <alignment horizontal="right" wrapText="1"/>
    </xf>
    <xf numFmtId="2" fontId="52" fillId="0" borderId="9" xfId="8" applyNumberFormat="1" applyFont="1" applyFill="1" applyBorder="1" applyAlignment="1">
      <alignment horizontal="right" wrapText="1"/>
    </xf>
    <xf numFmtId="166" fontId="52" fillId="0" borderId="27" xfId="8" applyNumberFormat="1" applyFont="1" applyFill="1" applyBorder="1" applyAlignment="1">
      <alignment horizontal="right" wrapText="1"/>
    </xf>
    <xf numFmtId="187" fontId="52" fillId="0" borderId="27" xfId="4" applyNumberFormat="1" applyFont="1" applyFill="1" applyBorder="1">
      <alignment horizontal="right"/>
    </xf>
    <xf numFmtId="3" fontId="52" fillId="0" borderId="9" xfId="0" applyNumberFormat="1" applyFont="1" applyFill="1" applyBorder="1" applyAlignment="1">
      <alignment horizontal="right" vertical="top" wrapText="1"/>
    </xf>
    <xf numFmtId="3" fontId="52" fillId="0" borderId="27" xfId="0" applyNumberFormat="1" applyFont="1" applyFill="1" applyBorder="1" applyAlignment="1">
      <alignment horizontal="right" vertical="top" wrapText="1"/>
    </xf>
    <xf numFmtId="3" fontId="52" fillId="0" borderId="29" xfId="0" applyNumberFormat="1" applyFont="1" applyFill="1" applyBorder="1" applyAlignment="1">
      <alignment horizontal="right" vertical="top" wrapText="1"/>
    </xf>
    <xf numFmtId="3" fontId="20" fillId="0" borderId="1" xfId="0" applyNumberFormat="1" applyFont="1" applyFill="1" applyBorder="1" applyAlignment="1">
      <alignment horizontal="right"/>
    </xf>
    <xf numFmtId="3" fontId="17" fillId="0" borderId="1" xfId="0" applyNumberFormat="1" applyFont="1" applyFill="1" applyBorder="1" applyAlignment="1">
      <alignment horizontal="right"/>
    </xf>
    <xf numFmtId="0" fontId="50" fillId="4" borderId="9" xfId="0" applyNumberFormat="1" applyFont="1" applyFill="1" applyBorder="1" applyAlignment="1">
      <alignment horizontal="center" vertical="center" wrapText="1"/>
    </xf>
    <xf numFmtId="0" fontId="50" fillId="4" borderId="3" xfId="0" applyNumberFormat="1" applyFont="1" applyFill="1" applyBorder="1" applyAlignment="1">
      <alignment horizontal="center" vertical="center" wrapText="1"/>
    </xf>
    <xf numFmtId="0" fontId="58" fillId="4" borderId="3" xfId="0" applyNumberFormat="1" applyFont="1" applyFill="1" applyBorder="1" applyAlignment="1">
      <alignment horizontal="center" vertical="center" wrapText="1"/>
    </xf>
    <xf numFmtId="199" fontId="60" fillId="0" borderId="25" xfId="0" applyNumberFormat="1" applyFont="1" applyFill="1" applyBorder="1" applyAlignment="1">
      <alignment horizontal="center" vertical="top"/>
    </xf>
    <xf numFmtId="0" fontId="60" fillId="0" borderId="25" xfId="0" applyFont="1" applyFill="1" applyBorder="1" applyAlignment="1">
      <alignment horizontal="center" vertical="top"/>
    </xf>
    <xf numFmtId="203" fontId="31" fillId="0" borderId="1" xfId="0" applyNumberFormat="1" applyFont="1" applyFill="1" applyBorder="1" applyAlignment="1">
      <alignment horizontal="center"/>
    </xf>
    <xf numFmtId="1" fontId="31" fillId="0" borderId="1" xfId="0" applyNumberFormat="1" applyFont="1" applyFill="1" applyBorder="1" applyAlignment="1">
      <alignment horizontal="center"/>
    </xf>
    <xf numFmtId="0" fontId="32" fillId="0" borderId="1" xfId="0" applyFont="1" applyFill="1" applyBorder="1" applyAlignment="1">
      <alignment horizontal="center"/>
    </xf>
    <xf numFmtId="2" fontId="32" fillId="0" borderId="1" xfId="0" applyNumberFormat="1" applyFont="1" applyFill="1" applyBorder="1" applyAlignment="1">
      <alignment horizontal="right"/>
    </xf>
    <xf numFmtId="0" fontId="14" fillId="0" borderId="0" xfId="0" applyFont="1" applyFill="1" applyAlignment="1">
      <alignment vertical="center"/>
    </xf>
    <xf numFmtId="49" fontId="13" fillId="0" borderId="3" xfId="0" applyNumberFormat="1" applyFont="1" applyFill="1" applyBorder="1" applyAlignment="1">
      <alignment horizontal="left" vertical="center"/>
    </xf>
    <xf numFmtId="0" fontId="13" fillId="0" borderId="3" xfId="0" applyFont="1" applyFill="1" applyBorder="1" applyAlignment="1">
      <alignment horizontal="right"/>
    </xf>
    <xf numFmtId="168" fontId="13" fillId="0" borderId="3" xfId="0" applyNumberFormat="1" applyFont="1" applyFill="1" applyBorder="1" applyAlignment="1">
      <alignment horizontal="right"/>
    </xf>
    <xf numFmtId="165" fontId="13" fillId="2" borderId="3" xfId="0" applyNumberFormat="1" applyFont="1" applyFill="1" applyBorder="1" applyAlignment="1">
      <alignment horizontal="right"/>
    </xf>
    <xf numFmtId="0" fontId="15" fillId="0" borderId="0" xfId="0" applyFont="1" applyFill="1" applyAlignment="1">
      <alignment vertical="center"/>
    </xf>
    <xf numFmtId="165" fontId="13" fillId="0" borderId="0" xfId="0" applyNumberFormat="1" applyFont="1" applyFill="1" applyAlignment="1">
      <alignment vertical="center"/>
    </xf>
    <xf numFmtId="0" fontId="13" fillId="0" borderId="0" xfId="0" applyFont="1" applyFill="1" applyAlignment="1">
      <alignment vertical="center"/>
    </xf>
    <xf numFmtId="184" fontId="18" fillId="0" borderId="3" xfId="0" applyNumberFormat="1" applyFont="1" applyFill="1" applyBorder="1" applyAlignment="1">
      <alignment horizontal="left" vertical="center"/>
    </xf>
    <xf numFmtId="0" fontId="18" fillId="0" borderId="3" xfId="0" applyFont="1" applyFill="1" applyBorder="1" applyAlignment="1">
      <alignment horizontal="right"/>
    </xf>
    <xf numFmtId="168" fontId="18" fillId="0" borderId="3" xfId="0" applyNumberFormat="1" applyFont="1" applyFill="1" applyBorder="1" applyAlignment="1">
      <alignment horizontal="right"/>
    </xf>
    <xf numFmtId="165" fontId="18" fillId="2" borderId="3" xfId="0" applyNumberFormat="1" applyFont="1" applyFill="1" applyBorder="1" applyAlignment="1">
      <alignment horizontal="right"/>
    </xf>
    <xf numFmtId="1" fontId="18" fillId="0" borderId="3" xfId="0" applyNumberFormat="1" applyFont="1" applyFill="1" applyBorder="1" applyAlignment="1">
      <alignment horizontal="right"/>
    </xf>
    <xf numFmtId="0" fontId="35" fillId="2" borderId="0" xfId="0" applyFont="1" applyFill="1" applyAlignment="1">
      <alignment vertical="center"/>
    </xf>
    <xf numFmtId="49" fontId="34" fillId="2" borderId="1" xfId="0" applyNumberFormat="1" applyFont="1" applyFill="1" applyBorder="1" applyAlignment="1">
      <alignment horizontal="center" vertical="center" wrapText="1"/>
    </xf>
    <xf numFmtId="49" fontId="36" fillId="2" borderId="1" xfId="0" applyNumberFormat="1" applyFont="1" applyFill="1" applyBorder="1" applyAlignment="1">
      <alignment horizontal="center" vertical="center" wrapText="1"/>
    </xf>
    <xf numFmtId="49" fontId="37" fillId="2" borderId="1" xfId="0" applyNumberFormat="1" applyFont="1" applyFill="1" applyBorder="1" applyAlignment="1">
      <alignment horizontal="left"/>
    </xf>
    <xf numFmtId="0" fontId="37" fillId="2" borderId="1" xfId="0" applyFont="1" applyFill="1" applyBorder="1" applyAlignment="1">
      <alignment horizontal="right"/>
    </xf>
    <xf numFmtId="165" fontId="37" fillId="2" borderId="1" xfId="0" applyNumberFormat="1" applyFont="1" applyFill="1" applyBorder="1" applyAlignment="1">
      <alignment horizontal="right"/>
    </xf>
    <xf numFmtId="49" fontId="13" fillId="2" borderId="3" xfId="0" applyNumberFormat="1" applyFont="1" applyFill="1" applyBorder="1" applyAlignment="1">
      <alignment horizontal="center" vertical="center" wrapText="1"/>
    </xf>
    <xf numFmtId="49" fontId="17" fillId="2" borderId="0" xfId="0" applyNumberFormat="1" applyFont="1" applyFill="1" applyAlignment="1">
      <alignment wrapText="1"/>
    </xf>
    <xf numFmtId="49" fontId="38" fillId="2" borderId="1" xfId="0" applyNumberFormat="1" applyFont="1" applyFill="1" applyBorder="1" applyAlignment="1">
      <alignment horizontal="center" vertical="center"/>
    </xf>
    <xf numFmtId="49" fontId="40" fillId="2" borderId="1" xfId="0" applyNumberFormat="1" applyFont="1" applyFill="1" applyBorder="1" applyAlignment="1">
      <alignment horizontal="left"/>
    </xf>
    <xf numFmtId="165" fontId="40" fillId="2" borderId="1" xfId="0" applyNumberFormat="1" applyFont="1" applyFill="1" applyBorder="1" applyAlignment="1">
      <alignment horizontal="right"/>
    </xf>
    <xf numFmtId="0" fontId="40" fillId="2" borderId="1" xfId="0" applyFont="1" applyFill="1" applyBorder="1" applyAlignment="1">
      <alignment horizontal="right"/>
    </xf>
    <xf numFmtId="177" fontId="18" fillId="2" borderId="3" xfId="0" applyNumberFormat="1" applyFont="1" applyFill="1" applyBorder="1" applyAlignment="1">
      <alignment horizontal="right"/>
    </xf>
    <xf numFmtId="166" fontId="67" fillId="0" borderId="3" xfId="0" applyNumberFormat="1" applyFont="1" applyFill="1" applyBorder="1" applyAlignment="1">
      <alignment horizontal="right" vertical="center" wrapText="1"/>
    </xf>
    <xf numFmtId="0" fontId="13" fillId="2" borderId="0" xfId="0" applyFont="1" applyFill="1" applyAlignment="1">
      <alignment vertical="center"/>
    </xf>
    <xf numFmtId="49" fontId="34" fillId="2" borderId="1" xfId="0" applyNumberFormat="1" applyFont="1" applyFill="1" applyBorder="1" applyAlignment="1">
      <alignment horizontal="center"/>
    </xf>
    <xf numFmtId="49" fontId="36" fillId="2" borderId="1" xfId="0" applyNumberFormat="1" applyFont="1" applyFill="1" applyBorder="1" applyAlignment="1">
      <alignment horizontal="center" wrapText="1"/>
    </xf>
    <xf numFmtId="171" fontId="37" fillId="2" borderId="1" xfId="0" applyNumberFormat="1" applyFont="1" applyFill="1" applyBorder="1" applyAlignment="1">
      <alignment horizontal="right"/>
    </xf>
    <xf numFmtId="0" fontId="23" fillId="0" borderId="0" xfId="0" applyFont="1" applyFill="1"/>
    <xf numFmtId="3" fontId="28" fillId="0" borderId="1" xfId="0" applyNumberFormat="1" applyFont="1" applyFill="1" applyBorder="1" applyAlignment="1">
      <alignment horizontal="right"/>
    </xf>
    <xf numFmtId="0" fontId="16" fillId="0" borderId="0" xfId="0" applyFont="1" applyFill="1"/>
    <xf numFmtId="3" fontId="16" fillId="0" borderId="0" xfId="0" applyNumberFormat="1" applyFont="1" applyFill="1"/>
    <xf numFmtId="0" fontId="73" fillId="0" borderId="0" xfId="0" applyFont="1" applyFill="1" applyBorder="1" applyAlignment="1">
      <alignment horizontal="left" wrapText="1"/>
    </xf>
    <xf numFmtId="2" fontId="77" fillId="0" borderId="0" xfId="0" applyNumberFormat="1" applyFont="1" applyFill="1" applyBorder="1" applyAlignment="1">
      <alignment horizontal="center" vertical="center" wrapText="1"/>
    </xf>
    <xf numFmtId="0" fontId="77" fillId="0" borderId="0" xfId="0" applyFont="1" applyFill="1" applyBorder="1" applyAlignment="1">
      <alignment horizontal="center" vertical="center" wrapText="1"/>
    </xf>
    <xf numFmtId="0" fontId="77" fillId="0" borderId="0" xfId="0" applyFont="1" applyFill="1" applyBorder="1" applyAlignment="1">
      <alignment horizontal="left" wrapText="1"/>
    </xf>
    <xf numFmtId="188" fontId="68" fillId="0" borderId="0" xfId="1" applyNumberFormat="1" applyFont="1" applyFill="1" applyBorder="1"/>
    <xf numFmtId="0" fontId="77" fillId="0" borderId="0" xfId="0" applyFont="1" applyFill="1" applyBorder="1" applyAlignment="1">
      <alignment horizontal="left" vertical="center" wrapText="1"/>
    </xf>
    <xf numFmtId="188" fontId="68" fillId="0" borderId="0" xfId="1" applyNumberFormat="1" applyFont="1" applyFill="1" applyBorder="1" applyAlignment="1">
      <alignment horizontal="right" wrapText="1"/>
    </xf>
    <xf numFmtId="0" fontId="72" fillId="0" borderId="0" xfId="0" applyFont="1" applyFill="1" applyBorder="1" applyAlignment="1">
      <alignment horizontal="right" wrapText="1"/>
    </xf>
    <xf numFmtId="0" fontId="78" fillId="0" borderId="0" xfId="0" applyFont="1" applyFill="1" applyBorder="1" applyAlignment="1">
      <alignment horizontal="right"/>
    </xf>
    <xf numFmtId="188" fontId="79" fillId="0" borderId="0" xfId="1" applyNumberFormat="1" applyFont="1" applyFill="1" applyBorder="1" applyAlignment="1">
      <alignment horizontal="right"/>
    </xf>
    <xf numFmtId="164" fontId="79" fillId="0" borderId="0" xfId="2" applyFont="1" applyFill="1" applyBorder="1" applyAlignment="1"/>
    <xf numFmtId="49" fontId="34" fillId="2" borderId="1" xfId="0" applyNumberFormat="1" applyFont="1" applyFill="1" applyBorder="1" applyAlignment="1">
      <alignment horizontal="center" vertical="center"/>
    </xf>
    <xf numFmtId="3" fontId="37" fillId="2" borderId="1" xfId="0" applyNumberFormat="1" applyFont="1" applyFill="1" applyBorder="1" applyAlignment="1">
      <alignment horizontal="right"/>
    </xf>
    <xf numFmtId="49" fontId="38" fillId="2" borderId="1" xfId="0" applyNumberFormat="1" applyFont="1" applyFill="1" applyBorder="1" applyAlignment="1">
      <alignment horizontal="center"/>
    </xf>
    <xf numFmtId="49" fontId="38" fillId="2" borderId="1" xfId="0" applyNumberFormat="1" applyFont="1" applyFill="1" applyBorder="1" applyAlignment="1">
      <alignment horizontal="left"/>
    </xf>
    <xf numFmtId="171" fontId="40" fillId="2" borderId="1" xfId="0" applyNumberFormat="1" applyFont="1" applyFill="1" applyBorder="1" applyAlignment="1">
      <alignment horizontal="right"/>
    </xf>
    <xf numFmtId="49" fontId="38" fillId="2" borderId="1" xfId="0" applyNumberFormat="1" applyFont="1" applyFill="1" applyBorder="1" applyAlignment="1">
      <alignment horizontal="center" vertical="center" wrapText="1"/>
    </xf>
    <xf numFmtId="172" fontId="40" fillId="2" borderId="1" xfId="0" applyNumberFormat="1" applyFont="1" applyFill="1" applyBorder="1" applyAlignment="1">
      <alignment horizontal="right"/>
    </xf>
    <xf numFmtId="172" fontId="37" fillId="2" borderId="1" xfId="0" applyNumberFormat="1" applyFont="1" applyFill="1" applyBorder="1" applyAlignment="1">
      <alignment horizontal="right"/>
    </xf>
    <xf numFmtId="173" fontId="37" fillId="2" borderId="1" xfId="0" applyNumberFormat="1" applyFont="1" applyFill="1" applyBorder="1" applyAlignment="1">
      <alignment horizontal="right"/>
    </xf>
    <xf numFmtId="49" fontId="34" fillId="2" borderId="0" xfId="0" applyNumberFormat="1" applyFont="1" applyFill="1" applyAlignment="1"/>
    <xf numFmtId="0" fontId="36" fillId="2" borderId="1" xfId="0" applyFont="1" applyFill="1" applyBorder="1" applyAlignment="1">
      <alignment horizontal="center" vertical="center" wrapText="1"/>
    </xf>
    <xf numFmtId="0" fontId="34" fillId="2" borderId="1" xfId="0" applyFont="1" applyFill="1" applyBorder="1" applyAlignment="1">
      <alignment horizontal="center" vertical="center" wrapText="1"/>
    </xf>
    <xf numFmtId="180" fontId="37" fillId="2" borderId="1" xfId="0" applyNumberFormat="1" applyFont="1" applyFill="1" applyBorder="1" applyAlignment="1">
      <alignment horizontal="right"/>
    </xf>
    <xf numFmtId="181" fontId="37" fillId="2" borderId="1" xfId="0" applyNumberFormat="1" applyFont="1" applyFill="1" applyBorder="1" applyAlignment="1">
      <alignment horizontal="right"/>
    </xf>
    <xf numFmtId="0" fontId="36" fillId="2" borderId="1" xfId="0" applyFont="1" applyFill="1" applyBorder="1" applyAlignment="1">
      <alignment horizontal="center" wrapText="1"/>
    </xf>
    <xf numFmtId="0" fontId="38" fillId="2" borderId="1" xfId="0" applyFont="1" applyFill="1" applyBorder="1" applyAlignment="1">
      <alignment horizontal="center" vertical="center" wrapText="1"/>
    </xf>
    <xf numFmtId="0" fontId="39" fillId="2" borderId="1" xfId="0" applyFont="1" applyFill="1" applyBorder="1" applyAlignment="1">
      <alignment horizontal="center" vertical="center" wrapText="1"/>
    </xf>
    <xf numFmtId="188" fontId="16" fillId="3" borderId="3" xfId="2" applyNumberFormat="1" applyFont="1" applyFill="1" applyBorder="1" applyAlignment="1">
      <alignment horizontal="right" vertical="top"/>
    </xf>
    <xf numFmtId="191" fontId="19" fillId="0" borderId="3" xfId="4" applyNumberFormat="1" applyFont="1" applyFill="1" applyBorder="1" applyAlignment="1">
      <alignment horizontal="right" vertical="top"/>
    </xf>
    <xf numFmtId="189" fontId="16" fillId="0" borderId="3" xfId="4" applyNumberFormat="1" applyFont="1" applyFill="1" applyBorder="1" applyAlignment="1">
      <alignment horizontal="right" vertical="top"/>
    </xf>
    <xf numFmtId="186" fontId="66" fillId="0" borderId="3" xfId="2" applyNumberFormat="1" applyFont="1" applyFill="1" applyBorder="1" applyAlignment="1">
      <alignment vertical="center"/>
    </xf>
    <xf numFmtId="194" fontId="66" fillId="0" borderId="3" xfId="2" applyNumberFormat="1" applyFont="1" applyFill="1" applyBorder="1" applyAlignment="1">
      <alignment vertical="center"/>
    </xf>
    <xf numFmtId="187" fontId="16" fillId="0" borderId="3" xfId="4" applyNumberFormat="1" applyFont="1" applyFill="1" applyBorder="1" applyAlignment="1">
      <alignment horizontal="right"/>
    </xf>
    <xf numFmtId="39" fontId="66" fillId="0" borderId="3" xfId="2" applyNumberFormat="1" applyFont="1" applyFill="1" applyBorder="1" applyAlignment="1">
      <alignment horizontal="right" vertical="center"/>
    </xf>
    <xf numFmtId="191" fontId="66" fillId="0" borderId="3" xfId="2" applyNumberFormat="1" applyFont="1" applyFill="1" applyBorder="1" applyAlignment="1">
      <alignment horizontal="right" vertical="center"/>
    </xf>
    <xf numFmtId="187" fontId="50" fillId="0" borderId="0" xfId="0" applyNumberFormat="1" applyFont="1" applyBorder="1"/>
    <xf numFmtId="187" fontId="16" fillId="0" borderId="0" xfId="4" applyNumberFormat="1" applyFont="1" applyFill="1" applyBorder="1" applyAlignment="1">
      <alignment horizontal="right" vertical="top"/>
    </xf>
    <xf numFmtId="184" fontId="19" fillId="0" borderId="29" xfId="0" applyNumberFormat="1" applyFont="1" applyFill="1" applyBorder="1" applyAlignment="1">
      <alignment horizontal="left"/>
    </xf>
    <xf numFmtId="192" fontId="23" fillId="3" borderId="3" xfId="4" applyNumberFormat="1" applyFont="1" applyFill="1" applyBorder="1" applyAlignment="1">
      <alignment horizontal="right" vertical="top"/>
    </xf>
    <xf numFmtId="192" fontId="24" fillId="3" borderId="3" xfId="4" applyNumberFormat="1" applyFont="1" applyFill="1" applyBorder="1" applyAlignment="1">
      <alignment horizontal="right" vertical="top"/>
    </xf>
    <xf numFmtId="0" fontId="23" fillId="4" borderId="3" xfId="6" applyFont="1" applyFill="1" applyBorder="1" applyAlignment="1">
      <alignment horizontal="center" vertical="center" wrapText="1"/>
    </xf>
    <xf numFmtId="184" fontId="23" fillId="0" borderId="29" xfId="0" applyNumberFormat="1" applyFont="1" applyFill="1" applyBorder="1" applyAlignment="1">
      <alignment horizontal="left"/>
    </xf>
    <xf numFmtId="0" fontId="58" fillId="0" borderId="29" xfId="0" applyNumberFormat="1" applyFont="1" applyBorder="1" applyAlignment="1">
      <alignment horizontal="right"/>
    </xf>
    <xf numFmtId="188" fontId="58" fillId="0" borderId="29" xfId="2" applyNumberFormat="1" applyFont="1" applyBorder="1" applyAlignment="1">
      <alignment horizontal="center"/>
    </xf>
    <xf numFmtId="188" fontId="58" fillId="0" borderId="28" xfId="2" applyNumberFormat="1" applyFont="1" applyBorder="1" applyAlignment="1">
      <alignment horizontal="center"/>
    </xf>
    <xf numFmtId="188" fontId="58" fillId="0" borderId="11" xfId="2" applyNumberFormat="1" applyFont="1" applyBorder="1" applyAlignment="1">
      <alignment horizontal="center"/>
    </xf>
    <xf numFmtId="1" fontId="58" fillId="0" borderId="29" xfId="0" applyNumberFormat="1" applyFont="1" applyBorder="1" applyAlignment="1">
      <alignment horizontal="center"/>
    </xf>
    <xf numFmtId="17" fontId="58" fillId="0" borderId="3" xfId="0" applyNumberFormat="1" applyFont="1" applyBorder="1" applyAlignment="1">
      <alignment horizontal="left" vertical="center"/>
    </xf>
    <xf numFmtId="188" fontId="59" fillId="0" borderId="3" xfId="2" applyNumberFormat="1" applyFont="1" applyBorder="1" applyAlignment="1">
      <alignment horizontal="center"/>
    </xf>
    <xf numFmtId="1" fontId="59" fillId="0" borderId="3" xfId="0" applyNumberFormat="1" applyFont="1" applyBorder="1" applyAlignment="1">
      <alignment horizontal="center"/>
    </xf>
    <xf numFmtId="199" fontId="49" fillId="0" borderId="3" xfId="2" applyNumberFormat="1" applyFont="1" applyFill="1" applyBorder="1" applyAlignment="1">
      <alignment horizontal="right"/>
    </xf>
    <xf numFmtId="188" fontId="49" fillId="0" borderId="3" xfId="2" applyNumberFormat="1" applyFont="1" applyFill="1" applyBorder="1" applyAlignment="1">
      <alignment horizontal="right"/>
    </xf>
    <xf numFmtId="199" fontId="16" fillId="0" borderId="3" xfId="2" applyNumberFormat="1" applyFont="1" applyFill="1" applyBorder="1" applyAlignment="1">
      <alignment horizontal="right"/>
    </xf>
    <xf numFmtId="188" fontId="16" fillId="0" borderId="3" xfId="2" applyNumberFormat="1" applyFont="1" applyFill="1" applyBorder="1" applyAlignment="1">
      <alignment horizontal="right"/>
    </xf>
    <xf numFmtId="199" fontId="16" fillId="0" borderId="8" xfId="2" applyNumberFormat="1" applyFont="1" applyFill="1" applyBorder="1" applyAlignment="1">
      <alignment horizontal="right" vertical="top"/>
    </xf>
    <xf numFmtId="188" fontId="16" fillId="0" borderId="3" xfId="2" applyNumberFormat="1" applyFont="1" applyFill="1" applyBorder="1" applyAlignment="1">
      <alignment horizontal="right" vertical="top"/>
    </xf>
    <xf numFmtId="188" fontId="50" fillId="0" borderId="3" xfId="2" applyNumberFormat="1" applyFont="1" applyFill="1" applyBorder="1" applyAlignment="1">
      <alignment horizontal="right"/>
    </xf>
    <xf numFmtId="200" fontId="16" fillId="0" borderId="3" xfId="2" applyNumberFormat="1" applyFont="1" applyFill="1" applyBorder="1" applyAlignment="1">
      <alignment horizontal="right" vertical="top"/>
    </xf>
    <xf numFmtId="188" fontId="16" fillId="0" borderId="3" xfId="2" applyNumberFormat="1" applyFont="1" applyFill="1" applyBorder="1" applyAlignment="1">
      <alignment vertical="center"/>
    </xf>
    <xf numFmtId="188" fontId="49" fillId="0" borderId="3" xfId="2" applyNumberFormat="1" applyFont="1" applyFill="1" applyBorder="1" applyAlignment="1">
      <alignment vertical="center"/>
    </xf>
    <xf numFmtId="188" fontId="19" fillId="0" borderId="3" xfId="2" applyNumberFormat="1" applyFont="1" applyFill="1" applyBorder="1" applyAlignment="1">
      <alignment horizontal="right" vertical="top"/>
    </xf>
    <xf numFmtId="164" fontId="49" fillId="0" borderId="3" xfId="2" quotePrefix="1" applyNumberFormat="1" applyFont="1" applyFill="1" applyBorder="1" applyAlignment="1">
      <alignment horizontal="right"/>
    </xf>
    <xf numFmtId="188" fontId="49" fillId="0" borderId="3" xfId="2" quotePrefix="1" applyNumberFormat="1" applyFont="1" applyFill="1" applyBorder="1" applyAlignment="1">
      <alignment horizontal="right"/>
    </xf>
    <xf numFmtId="199" fontId="49" fillId="0" borderId="3" xfId="2" quotePrefix="1" applyNumberFormat="1" applyFont="1" applyFill="1" applyBorder="1" applyAlignment="1">
      <alignment horizontal="right"/>
    </xf>
    <xf numFmtId="1" fontId="49" fillId="0" borderId="3" xfId="2" applyNumberFormat="1" applyFont="1" applyFill="1" applyBorder="1" applyAlignment="1">
      <alignment horizontal="right"/>
    </xf>
    <xf numFmtId="1" fontId="50" fillId="0" borderId="3" xfId="2" applyNumberFormat="1" applyFont="1" applyFill="1" applyBorder="1" applyAlignment="1">
      <alignment horizontal="right"/>
    </xf>
    <xf numFmtId="164" fontId="50" fillId="0" borderId="3" xfId="2" quotePrefix="1" applyNumberFormat="1" applyFont="1" applyFill="1" applyBorder="1" applyAlignment="1">
      <alignment horizontal="right"/>
    </xf>
    <xf numFmtId="188" fontId="50" fillId="0" borderId="3" xfId="2" quotePrefix="1" applyNumberFormat="1" applyFont="1" applyFill="1" applyBorder="1" applyAlignment="1">
      <alignment horizontal="right"/>
    </xf>
    <xf numFmtId="199" fontId="19" fillId="0" borderId="0" xfId="2" applyNumberFormat="1" applyFont="1" applyFill="1" applyBorder="1" applyAlignment="1">
      <alignment horizontal="right" vertical="top"/>
    </xf>
    <xf numFmtId="0" fontId="16" fillId="0" borderId="3" xfId="0" applyFont="1" applyFill="1" applyBorder="1" applyAlignment="1">
      <alignment horizontal="left" vertical="top"/>
    </xf>
    <xf numFmtId="2" fontId="49" fillId="0" borderId="3" xfId="2" applyNumberFormat="1" applyFont="1" applyFill="1" applyBorder="1" applyAlignment="1">
      <alignment horizontal="right"/>
    </xf>
    <xf numFmtId="164" fontId="49" fillId="0" borderId="3" xfId="2" applyNumberFormat="1" applyFont="1" applyFill="1" applyBorder="1" applyAlignment="1">
      <alignment horizontal="right"/>
    </xf>
    <xf numFmtId="166" fontId="49" fillId="0" borderId="3" xfId="2" applyNumberFormat="1" applyFont="1" applyFill="1" applyBorder="1" applyAlignment="1">
      <alignment horizontal="right"/>
    </xf>
    <xf numFmtId="166" fontId="50" fillId="0" borderId="3" xfId="2" applyNumberFormat="1" applyFont="1" applyFill="1" applyBorder="1" applyAlignment="1">
      <alignment horizontal="right"/>
    </xf>
    <xf numFmtId="0" fontId="60" fillId="0" borderId="59" xfId="0" applyFont="1" applyFill="1" applyBorder="1" applyAlignment="1">
      <alignment vertical="top"/>
    </xf>
    <xf numFmtId="0" fontId="56" fillId="0" borderId="25" xfId="0" applyFont="1" applyFill="1" applyBorder="1" applyAlignment="1">
      <alignment horizontal="center" vertical="top"/>
    </xf>
    <xf numFmtId="0" fontId="56" fillId="0" borderId="8" xfId="0" applyFont="1" applyFill="1" applyBorder="1" applyAlignment="1">
      <alignment horizontal="center" vertical="top"/>
    </xf>
    <xf numFmtId="0" fontId="60" fillId="0" borderId="56" xfId="0" applyFont="1" applyFill="1" applyBorder="1" applyAlignment="1">
      <alignment horizontal="left" vertical="top"/>
    </xf>
    <xf numFmtId="0" fontId="56" fillId="0" borderId="11" xfId="0" applyFont="1" applyFill="1" applyBorder="1" applyAlignment="1">
      <alignment horizontal="center" vertical="top"/>
    </xf>
    <xf numFmtId="199" fontId="66" fillId="0" borderId="11" xfId="0" applyNumberFormat="1" applyFont="1" applyFill="1" applyBorder="1" applyAlignment="1">
      <alignment horizontal="left" vertical="top"/>
    </xf>
    <xf numFmtId="188" fontId="66" fillId="0" borderId="11" xfId="2" applyNumberFormat="1" applyFont="1" applyFill="1" applyBorder="1" applyAlignment="1">
      <alignment horizontal="center" vertical="top"/>
    </xf>
    <xf numFmtId="188" fontId="66" fillId="0" borderId="11" xfId="2" applyNumberFormat="1" applyFont="1" applyFill="1" applyBorder="1" applyAlignment="1">
      <alignment horizontal="right" vertical="top"/>
    </xf>
    <xf numFmtId="1" fontId="66" fillId="0" borderId="11" xfId="0" applyNumberFormat="1" applyFont="1" applyFill="1" applyBorder="1" applyAlignment="1">
      <alignment horizontal="right" vertical="top"/>
    </xf>
    <xf numFmtId="199" fontId="66" fillId="0" borderId="11" xfId="2" applyNumberFormat="1" applyFont="1" applyFill="1" applyBorder="1" applyAlignment="1">
      <alignment horizontal="center" vertical="top"/>
    </xf>
    <xf numFmtId="200" fontId="66" fillId="0" borderId="11" xfId="2" applyNumberFormat="1" applyFont="1" applyFill="1" applyBorder="1" applyAlignment="1">
      <alignment horizontal="center" vertical="top"/>
    </xf>
    <xf numFmtId="164" fontId="66" fillId="0" borderId="11" xfId="2" applyNumberFormat="1" applyFont="1" applyFill="1" applyBorder="1" applyAlignment="1">
      <alignment horizontal="right" vertical="top"/>
    </xf>
    <xf numFmtId="2" fontId="66" fillId="0" borderId="11" xfId="0" applyNumberFormat="1" applyFont="1" applyFill="1" applyBorder="1" applyAlignment="1">
      <alignment horizontal="right" vertical="top"/>
    </xf>
    <xf numFmtId="2" fontId="60" fillId="0" borderId="11" xfId="0" applyNumberFormat="1" applyFont="1" applyFill="1" applyBorder="1" applyAlignment="1">
      <alignment horizontal="right" vertical="top"/>
    </xf>
    <xf numFmtId="199" fontId="60" fillId="0" borderId="3" xfId="0" applyNumberFormat="1" applyFont="1" applyFill="1" applyBorder="1" applyAlignment="1">
      <alignment horizontal="left" vertical="top"/>
    </xf>
    <xf numFmtId="188" fontId="60" fillId="0" borderId="25" xfId="2" applyNumberFormat="1" applyFont="1" applyFill="1" applyBorder="1" applyAlignment="1">
      <alignment horizontal="center" vertical="top"/>
    </xf>
    <xf numFmtId="0" fontId="60" fillId="0" borderId="56" xfId="0" applyFont="1" applyFill="1" applyBorder="1" applyAlignment="1">
      <alignment horizontal="left" vertical="top" wrapText="1"/>
    </xf>
    <xf numFmtId="0" fontId="60" fillId="0" borderId="11" xfId="0" applyFont="1" applyFill="1" applyBorder="1" applyAlignment="1">
      <alignment horizontal="center" vertical="top"/>
    </xf>
    <xf numFmtId="188" fontId="60" fillId="0" borderId="11" xfId="2" applyNumberFormat="1" applyFont="1" applyFill="1" applyBorder="1" applyAlignment="1">
      <alignment horizontal="center" vertical="top"/>
    </xf>
    <xf numFmtId="199" fontId="60" fillId="0" borderId="3" xfId="0" applyNumberFormat="1" applyFont="1" applyFill="1" applyBorder="1" applyAlignment="1">
      <alignment horizontal="left" vertical="top" wrapText="1"/>
    </xf>
    <xf numFmtId="199" fontId="66" fillId="0" borderId="56" xfId="0" applyNumberFormat="1" applyFont="1" applyFill="1" applyBorder="1" applyAlignment="1">
      <alignment horizontal="left" vertical="top"/>
    </xf>
    <xf numFmtId="1" fontId="66" fillId="0" borderId="11" xfId="0" applyNumberFormat="1" applyFont="1" applyFill="1" applyBorder="1" applyAlignment="1">
      <alignment vertical="top"/>
    </xf>
    <xf numFmtId="1" fontId="60" fillId="0" borderId="11" xfId="0" applyNumberFormat="1" applyFont="1" applyFill="1" applyBorder="1" applyAlignment="1">
      <alignment horizontal="right" vertical="top"/>
    </xf>
    <xf numFmtId="188" fontId="16" fillId="0" borderId="34" xfId="0" applyNumberFormat="1" applyFont="1" applyFill="1" applyBorder="1" applyAlignment="1">
      <alignment horizontal="right" vertical="top" wrapText="1"/>
    </xf>
    <xf numFmtId="199" fontId="60" fillId="0" borderId="35" xfId="0" applyNumberFormat="1" applyFont="1" applyFill="1" applyBorder="1" applyAlignment="1">
      <alignment horizontal="left" vertical="top"/>
    </xf>
    <xf numFmtId="0" fontId="60" fillId="0" borderId="11" xfId="0" applyFont="1" applyFill="1" applyBorder="1" applyAlignment="1">
      <alignment horizontal="right" vertical="top"/>
    </xf>
    <xf numFmtId="199" fontId="60" fillId="0" borderId="12" xfId="0" applyNumberFormat="1" applyFont="1" applyFill="1" applyBorder="1" applyAlignment="1">
      <alignment horizontal="left" vertical="top"/>
    </xf>
    <xf numFmtId="2" fontId="49" fillId="0" borderId="3" xfId="2" quotePrefix="1" applyNumberFormat="1" applyFont="1" applyFill="1" applyBorder="1" applyAlignment="1">
      <alignment horizontal="right"/>
    </xf>
    <xf numFmtId="204" fontId="66" fillId="0" borderId="56" xfId="0" applyNumberFormat="1" applyFont="1" applyFill="1" applyBorder="1" applyAlignment="1">
      <alignment horizontal="right" vertical="top"/>
    </xf>
    <xf numFmtId="195" fontId="49" fillId="0" borderId="3" xfId="2" quotePrefix="1" applyNumberFormat="1" applyFont="1" applyFill="1" applyBorder="1" applyAlignment="1">
      <alignment horizontal="right"/>
    </xf>
    <xf numFmtId="199" fontId="60" fillId="0" borderId="11" xfId="0" applyNumberFormat="1" applyFont="1" applyFill="1" applyBorder="1" applyAlignment="1">
      <alignment horizontal="left" vertical="top"/>
    </xf>
    <xf numFmtId="195" fontId="50" fillId="0" borderId="3" xfId="2" quotePrefix="1" applyNumberFormat="1" applyFont="1" applyFill="1" applyBorder="1" applyAlignment="1">
      <alignment horizontal="right"/>
    </xf>
    <xf numFmtId="1" fontId="50" fillId="0" borderId="3" xfId="2" quotePrefix="1" applyNumberFormat="1" applyFont="1" applyFill="1" applyBorder="1" applyAlignment="1">
      <alignment horizontal="right"/>
    </xf>
    <xf numFmtId="205" fontId="50" fillId="0" borderId="3" xfId="2" quotePrefix="1" applyNumberFormat="1" applyFont="1" applyFill="1" applyBorder="1" applyAlignment="1">
      <alignment horizontal="right"/>
    </xf>
    <xf numFmtId="201" fontId="50" fillId="0" borderId="3" xfId="2" quotePrefix="1" applyNumberFormat="1" applyFont="1" applyFill="1" applyBorder="1" applyAlignment="1">
      <alignment horizontal="right"/>
    </xf>
    <xf numFmtId="188" fontId="19" fillId="0" borderId="3" xfId="0" applyNumberFormat="1" applyFont="1" applyFill="1" applyBorder="1" applyAlignment="1">
      <alignment horizontal="right" vertical="top" wrapText="1"/>
    </xf>
    <xf numFmtId="200" fontId="66" fillId="0" borderId="11" xfId="0" applyNumberFormat="1" applyFont="1" applyFill="1" applyBorder="1" applyAlignment="1">
      <alignment horizontal="right" vertical="top"/>
    </xf>
    <xf numFmtId="188" fontId="66" fillId="0" borderId="11" xfId="0" applyNumberFormat="1" applyFont="1" applyFill="1" applyBorder="1" applyAlignment="1">
      <alignment horizontal="right" vertical="top"/>
    </xf>
    <xf numFmtId="204" fontId="66" fillId="0" borderId="3" xfId="0" applyNumberFormat="1" applyFont="1" applyFill="1" applyBorder="1" applyAlignment="1">
      <alignment horizontal="right" vertical="top"/>
    </xf>
    <xf numFmtId="200" fontId="66" fillId="0" borderId="3" xfId="0" applyNumberFormat="1" applyFont="1" applyFill="1" applyBorder="1" applyAlignment="1">
      <alignment horizontal="right" vertical="top"/>
    </xf>
    <xf numFmtId="0" fontId="60" fillId="0" borderId="11" xfId="0" applyFont="1" applyFill="1" applyBorder="1" applyAlignment="1">
      <alignment horizontal="left" vertical="top"/>
    </xf>
    <xf numFmtId="2" fontId="50" fillId="0" borderId="11" xfId="2" quotePrefix="1" applyNumberFormat="1" applyFont="1" applyFill="1" applyBorder="1" applyAlignment="1">
      <alignment horizontal="right"/>
    </xf>
    <xf numFmtId="205" fontId="50" fillId="0" borderId="11" xfId="2" quotePrefix="1" applyNumberFormat="1" applyFont="1" applyFill="1" applyBorder="1" applyAlignment="1">
      <alignment horizontal="right"/>
    </xf>
    <xf numFmtId="1" fontId="50" fillId="0" borderId="11" xfId="2" quotePrefix="1" applyNumberFormat="1" applyFont="1" applyFill="1" applyBorder="1" applyAlignment="1">
      <alignment horizontal="right"/>
    </xf>
    <xf numFmtId="199" fontId="60" fillId="0" borderId="56" xfId="0" applyNumberFormat="1" applyFont="1" applyFill="1" applyBorder="1" applyAlignment="1">
      <alignment horizontal="left" vertical="top"/>
    </xf>
    <xf numFmtId="199" fontId="56" fillId="0" borderId="59" xfId="0" applyNumberFormat="1" applyFont="1" applyFill="1" applyBorder="1" applyAlignment="1">
      <alignment horizontal="left" vertical="top"/>
    </xf>
    <xf numFmtId="199" fontId="60" fillId="0" borderId="59" xfId="0" applyNumberFormat="1" applyFont="1" applyFill="1" applyBorder="1" applyAlignment="1">
      <alignment horizontal="left" vertical="top"/>
    </xf>
    <xf numFmtId="199" fontId="56" fillId="0" borderId="25" xfId="0" applyNumberFormat="1" applyFont="1" applyFill="1" applyBorder="1" applyAlignment="1">
      <alignment horizontal="left" vertical="top"/>
    </xf>
    <xf numFmtId="0" fontId="60" fillId="0" borderId="3" xfId="0" applyFont="1" applyFill="1" applyBorder="1" applyAlignment="1">
      <alignment horizontal="left" vertical="top"/>
    </xf>
    <xf numFmtId="199" fontId="60" fillId="0" borderId="11" xfId="0" applyNumberFormat="1" applyFont="1" applyFill="1" applyBorder="1" applyAlignment="1">
      <alignment horizontal="center" vertical="top"/>
    </xf>
    <xf numFmtId="199" fontId="60" fillId="0" borderId="0" xfId="0" applyNumberFormat="1" applyFont="1" applyFill="1" applyBorder="1" applyAlignment="1">
      <alignment horizontal="center" vertical="top"/>
    </xf>
    <xf numFmtId="200" fontId="66" fillId="0" borderId="11" xfId="0" applyNumberFormat="1" applyFont="1" applyFill="1" applyBorder="1" applyAlignment="1">
      <alignment horizontal="center" vertical="top"/>
    </xf>
    <xf numFmtId="188" fontId="66" fillId="0" borderId="11" xfId="0" applyNumberFormat="1" applyFont="1" applyFill="1" applyBorder="1" applyAlignment="1">
      <alignment horizontal="center" vertical="top"/>
    </xf>
    <xf numFmtId="188" fontId="16" fillId="0" borderId="35" xfId="0" applyNumberFormat="1" applyFont="1" applyFill="1" applyBorder="1" applyAlignment="1">
      <alignment horizontal="right" vertical="top" wrapText="1"/>
    </xf>
    <xf numFmtId="200" fontId="60" fillId="0" borderId="35" xfId="0" applyNumberFormat="1" applyFont="1" applyFill="1" applyBorder="1" applyAlignment="1">
      <alignment horizontal="right" vertical="top"/>
    </xf>
    <xf numFmtId="188" fontId="60" fillId="0" borderId="35" xfId="0" applyNumberFormat="1" applyFont="1" applyFill="1" applyBorder="1" applyAlignment="1">
      <alignment horizontal="right" vertical="top"/>
    </xf>
    <xf numFmtId="188" fontId="16" fillId="0" borderId="11" xfId="0" applyNumberFormat="1" applyFont="1" applyFill="1" applyBorder="1" applyAlignment="1">
      <alignment horizontal="right" vertical="top" wrapText="1"/>
    </xf>
    <xf numFmtId="201" fontId="60" fillId="0" borderId="11" xfId="0" applyNumberFormat="1" applyFont="1" applyFill="1" applyBorder="1" applyAlignment="1">
      <alignment horizontal="right" vertical="top"/>
    </xf>
    <xf numFmtId="188" fontId="60" fillId="0" borderId="11" xfId="0" applyNumberFormat="1" applyFont="1" applyFill="1" applyBorder="1" applyAlignment="1">
      <alignment horizontal="right" vertical="top"/>
    </xf>
    <xf numFmtId="200" fontId="60" fillId="0" borderId="11" xfId="0" applyNumberFormat="1" applyFont="1" applyFill="1" applyBorder="1" applyAlignment="1">
      <alignment horizontal="right" vertical="top"/>
    </xf>
    <xf numFmtId="199" fontId="60" fillId="0" borderId="12" xfId="0" applyNumberFormat="1" applyFont="1" applyFill="1" applyBorder="1" applyAlignment="1">
      <alignment vertical="top"/>
    </xf>
    <xf numFmtId="202" fontId="66" fillId="0" borderId="3" xfId="0" applyNumberFormat="1" applyFont="1" applyFill="1" applyBorder="1" applyAlignment="1">
      <alignment horizontal="right" vertical="top"/>
    </xf>
    <xf numFmtId="1" fontId="66" fillId="0" borderId="3" xfId="0" applyNumberFormat="1" applyFont="1" applyFill="1" applyBorder="1" applyAlignment="1">
      <alignment horizontal="right" vertical="top"/>
    </xf>
    <xf numFmtId="195" fontId="66" fillId="0" borderId="3" xfId="0" applyNumberFormat="1" applyFont="1" applyFill="1" applyBorder="1" applyAlignment="1">
      <alignment horizontal="right" vertical="top"/>
    </xf>
    <xf numFmtId="205" fontId="49" fillId="0" borderId="3" xfId="2" quotePrefix="1" applyNumberFormat="1" applyFont="1" applyFill="1" applyBorder="1" applyAlignment="1">
      <alignment horizontal="right"/>
    </xf>
    <xf numFmtId="1" fontId="49" fillId="0" borderId="8" xfId="2" quotePrefix="1" applyNumberFormat="1" applyFont="1" applyFill="1" applyBorder="1" applyAlignment="1">
      <alignment horizontal="right"/>
    </xf>
    <xf numFmtId="202" fontId="49" fillId="0" borderId="3" xfId="2" quotePrefix="1" applyNumberFormat="1" applyFont="1" applyFill="1" applyBorder="1" applyAlignment="1">
      <alignment horizontal="right"/>
    </xf>
    <xf numFmtId="166" fontId="49" fillId="0" borderId="8" xfId="2" quotePrefix="1" applyNumberFormat="1" applyFont="1" applyFill="1" applyBorder="1" applyAlignment="1">
      <alignment horizontal="right"/>
    </xf>
    <xf numFmtId="205" fontId="60" fillId="0" borderId="3" xfId="0" applyNumberFormat="1" applyFont="1" applyFill="1" applyBorder="1" applyAlignment="1">
      <alignment horizontal="right" vertical="top"/>
    </xf>
    <xf numFmtId="1" fontId="60" fillId="0" borderId="3" xfId="0" applyNumberFormat="1" applyFont="1" applyFill="1" applyBorder="1" applyAlignment="1">
      <alignment horizontal="right" vertical="top"/>
    </xf>
    <xf numFmtId="164" fontId="60" fillId="0" borderId="56" xfId="0" applyNumberFormat="1" applyFont="1" applyFill="1" applyBorder="1" applyAlignment="1">
      <alignment horizontal="right" vertical="top"/>
    </xf>
    <xf numFmtId="2" fontId="60" fillId="0" borderId="3" xfId="0" applyNumberFormat="1" applyFont="1" applyFill="1" applyBorder="1" applyAlignment="1">
      <alignment horizontal="right" vertical="top"/>
    </xf>
    <xf numFmtId="166" fontId="60" fillId="0" borderId="3" xfId="0" applyNumberFormat="1" applyFont="1" applyFill="1" applyBorder="1" applyAlignment="1">
      <alignment horizontal="right" vertical="top"/>
    </xf>
    <xf numFmtId="166" fontId="49" fillId="0" borderId="11" xfId="2" quotePrefix="1" applyNumberFormat="1" applyFont="1" applyFill="1" applyBorder="1" applyAlignment="1">
      <alignment horizontal="right"/>
    </xf>
    <xf numFmtId="2" fontId="49" fillId="0" borderId="11" xfId="2" quotePrefix="1" applyNumberFormat="1" applyFont="1" applyFill="1" applyBorder="1" applyAlignment="1">
      <alignment horizontal="right"/>
    </xf>
    <xf numFmtId="1" fontId="49" fillId="0" borderId="3" xfId="2" quotePrefix="1" applyNumberFormat="1" applyFont="1" applyFill="1" applyBorder="1" applyAlignment="1">
      <alignment horizontal="right"/>
    </xf>
    <xf numFmtId="188" fontId="49" fillId="0" borderId="11" xfId="2" quotePrefix="1" applyNumberFormat="1" applyFont="1" applyFill="1" applyBorder="1" applyAlignment="1">
      <alignment horizontal="right"/>
    </xf>
    <xf numFmtId="188" fontId="66" fillId="0" borderId="56" xfId="2" applyNumberFormat="1" applyFont="1" applyFill="1" applyBorder="1" applyAlignment="1">
      <alignment horizontal="right" vertical="top"/>
    </xf>
    <xf numFmtId="188" fontId="49" fillId="0" borderId="8" xfId="2" quotePrefix="1" applyNumberFormat="1" applyFont="1" applyFill="1" applyBorder="1" applyAlignment="1">
      <alignment horizontal="right"/>
    </xf>
    <xf numFmtId="188" fontId="66" fillId="0" borderId="0" xfId="2" applyNumberFormat="1" applyFont="1" applyFill="1" applyBorder="1" applyAlignment="1">
      <alignment horizontal="right" vertical="top"/>
    </xf>
    <xf numFmtId="1" fontId="66" fillId="0" borderId="56" xfId="2" applyNumberFormat="1" applyFont="1" applyFill="1" applyBorder="1" applyAlignment="1">
      <alignment horizontal="right" vertical="top"/>
    </xf>
    <xf numFmtId="188" fontId="50" fillId="0" borderId="11" xfId="2" quotePrefix="1" applyNumberFormat="1" applyFont="1" applyFill="1" applyBorder="1" applyAlignment="1">
      <alignment horizontal="right"/>
    </xf>
    <xf numFmtId="2" fontId="49" fillId="0" borderId="8" xfId="2" quotePrefix="1" applyNumberFormat="1" applyFont="1" applyFill="1" applyBorder="1" applyAlignment="1">
      <alignment horizontal="right"/>
    </xf>
    <xf numFmtId="199" fontId="16" fillId="0" borderId="3" xfId="0" applyNumberFormat="1" applyFont="1" applyFill="1" applyBorder="1" applyAlignment="1">
      <alignment horizontal="right" vertical="top" wrapText="1"/>
    </xf>
    <xf numFmtId="199" fontId="19" fillId="0" borderId="3" xfId="2" applyNumberFormat="1" applyFont="1" applyFill="1" applyBorder="1" applyAlignment="1">
      <alignment horizontal="right" vertical="top"/>
    </xf>
    <xf numFmtId="166" fontId="50" fillId="0" borderId="3" xfId="2" quotePrefix="1" applyNumberFormat="1" applyFont="1" applyFill="1" applyBorder="1" applyAlignment="1">
      <alignment horizontal="right"/>
    </xf>
    <xf numFmtId="2" fontId="50" fillId="0" borderId="3" xfId="2" quotePrefix="1" applyNumberFormat="1" applyFont="1" applyFill="1" applyBorder="1" applyAlignment="1">
      <alignment horizontal="right"/>
    </xf>
    <xf numFmtId="188" fontId="16" fillId="0" borderId="5" xfId="0" applyNumberFormat="1" applyFont="1" applyFill="1" applyBorder="1" applyAlignment="1">
      <alignment horizontal="right" vertical="top" wrapText="1"/>
    </xf>
    <xf numFmtId="199" fontId="60" fillId="0" borderId="5" xfId="0" applyNumberFormat="1" applyFont="1" applyFill="1" applyBorder="1" applyAlignment="1">
      <alignment horizontal="left" vertical="top"/>
    </xf>
    <xf numFmtId="164" fontId="60" fillId="0" borderId="5" xfId="0" applyNumberFormat="1" applyFont="1" applyFill="1" applyBorder="1" applyAlignment="1">
      <alignment horizontal="right" vertical="top"/>
    </xf>
    <xf numFmtId="188" fontId="60" fillId="0" borderId="5" xfId="0" applyNumberFormat="1" applyFont="1" applyFill="1" applyBorder="1" applyAlignment="1">
      <alignment horizontal="right" vertical="top"/>
    </xf>
    <xf numFmtId="2" fontId="60" fillId="0" borderId="5" xfId="0" applyNumberFormat="1" applyFont="1" applyFill="1" applyBorder="1" applyAlignment="1">
      <alignment horizontal="right" vertical="top"/>
    </xf>
    <xf numFmtId="188" fontId="60" fillId="0" borderId="5" xfId="2" applyNumberFormat="1" applyFont="1" applyFill="1" applyBorder="1" applyAlignment="1">
      <alignment horizontal="right" vertical="top"/>
    </xf>
    <xf numFmtId="1" fontId="60" fillId="0" borderId="35" xfId="0" applyNumberFormat="1" applyFont="1" applyFill="1" applyBorder="1" applyAlignment="1">
      <alignment horizontal="right" vertical="top"/>
    </xf>
    <xf numFmtId="188" fontId="60" fillId="0" borderId="35" xfId="2" applyNumberFormat="1" applyFont="1" applyFill="1" applyBorder="1" applyAlignment="1">
      <alignment horizontal="right" vertical="top"/>
    </xf>
    <xf numFmtId="188" fontId="49" fillId="0" borderId="12" xfId="2" applyNumberFormat="1" applyFont="1" applyFill="1" applyBorder="1" applyAlignment="1">
      <alignment horizontal="right"/>
    </xf>
    <xf numFmtId="188" fontId="50" fillId="0" borderId="12" xfId="2" applyNumberFormat="1" applyFont="1" applyFill="1" applyBorder="1" applyAlignment="1">
      <alignment horizontal="right"/>
    </xf>
    <xf numFmtId="166" fontId="49" fillId="0" borderId="12" xfId="2" applyNumberFormat="1" applyFont="1" applyFill="1" applyBorder="1" applyAlignment="1">
      <alignment horizontal="right"/>
    </xf>
    <xf numFmtId="166" fontId="50" fillId="0" borderId="12" xfId="2" applyNumberFormat="1" applyFont="1" applyFill="1" applyBorder="1" applyAlignment="1">
      <alignment horizontal="right"/>
    </xf>
    <xf numFmtId="0" fontId="61" fillId="0" borderId="6" xfId="0" applyFont="1" applyFill="1" applyBorder="1"/>
    <xf numFmtId="166" fontId="80" fillId="0" borderId="6" xfId="13" applyNumberFormat="1" applyFont="1" applyFill="1" applyBorder="1" applyAlignment="1">
      <alignment horizontal="right"/>
    </xf>
    <xf numFmtId="1" fontId="55" fillId="0" borderId="0" xfId="0" applyNumberFormat="1" applyFont="1" applyFill="1"/>
    <xf numFmtId="171" fontId="0" fillId="0" borderId="0" xfId="0" applyNumberFormat="1" applyFont="1" applyFill="1" applyBorder="1" applyAlignment="1"/>
    <xf numFmtId="0" fontId="5" fillId="0" borderId="0" xfId="0" applyFont="1" applyFill="1" applyAlignment="1">
      <alignment vertical="center"/>
    </xf>
    <xf numFmtId="49" fontId="2" fillId="0" borderId="0" xfId="0" applyNumberFormat="1" applyFont="1" applyFill="1" applyBorder="1" applyAlignment="1">
      <alignment horizontal="center" vertical="center" wrapText="1"/>
    </xf>
    <xf numFmtId="0" fontId="2" fillId="0" borderId="0" xfId="0" applyFont="1" applyFill="1" applyBorder="1" applyAlignment="1">
      <alignment horizontal="center" vertical="center" wrapText="1"/>
    </xf>
    <xf numFmtId="0" fontId="8" fillId="0" borderId="0" xfId="0" applyFont="1" applyFill="1" applyBorder="1" applyAlignment="1">
      <alignment horizontal="center" vertical="center" wrapText="1"/>
    </xf>
    <xf numFmtId="49" fontId="8" fillId="0" borderId="0" xfId="0" applyNumberFormat="1" applyFont="1" applyFill="1" applyBorder="1" applyAlignment="1">
      <alignment horizontal="center" vertical="center" wrapText="1"/>
    </xf>
    <xf numFmtId="184" fontId="18" fillId="0" borderId="0" xfId="0" applyNumberFormat="1" applyFont="1" applyFill="1" applyBorder="1" applyAlignment="1">
      <alignment horizontal="left" vertical="center"/>
    </xf>
    <xf numFmtId="1" fontId="0" fillId="0" borderId="0" xfId="0" applyNumberFormat="1" applyFont="1" applyFill="1" applyBorder="1" applyAlignment="1"/>
    <xf numFmtId="0" fontId="0" fillId="0" borderId="0" xfId="13" applyNumberFormat="1" applyFont="1" applyFill="1" applyBorder="1" applyAlignment="1"/>
    <xf numFmtId="0" fontId="0" fillId="0" borderId="0" xfId="0" applyNumberFormat="1" applyFont="1" applyFill="1" applyBorder="1" applyAlignment="1">
      <alignment vertical="center"/>
    </xf>
    <xf numFmtId="49" fontId="13" fillId="2" borderId="3" xfId="0" applyNumberFormat="1" applyFont="1" applyFill="1" applyBorder="1" applyAlignment="1">
      <alignment horizontal="center" vertical="center" wrapText="1"/>
    </xf>
    <xf numFmtId="165" fontId="40" fillId="2" borderId="0" xfId="0" applyNumberFormat="1" applyFont="1" applyFill="1" applyBorder="1" applyAlignment="1">
      <alignment horizontal="right"/>
    </xf>
    <xf numFmtId="171" fontId="40" fillId="2" borderId="0" xfId="0" applyNumberFormat="1" applyFont="1" applyFill="1" applyBorder="1" applyAlignment="1">
      <alignment horizontal="right"/>
    </xf>
    <xf numFmtId="183" fontId="24" fillId="0" borderId="27" xfId="12" applyFont="1" applyFill="1" applyBorder="1" applyAlignment="1">
      <alignment horizontal="justify" vertical="top" wrapText="1"/>
    </xf>
    <xf numFmtId="183" fontId="59" fillId="0" borderId="6" xfId="12" applyFont="1" applyFill="1" applyBorder="1" applyAlignment="1">
      <alignment horizontal="justify" vertical="top" wrapText="1"/>
    </xf>
    <xf numFmtId="183" fontId="59" fillId="0" borderId="28" xfId="12" applyFont="1" applyFill="1" applyBorder="1" applyAlignment="1">
      <alignment horizontal="justify" vertical="top" wrapText="1"/>
    </xf>
    <xf numFmtId="183" fontId="59" fillId="0" borderId="27" xfId="12" applyFont="1" applyFill="1" applyBorder="1" applyAlignment="1">
      <alignment vertical="center" wrapText="1"/>
    </xf>
    <xf numFmtId="183" fontId="59" fillId="0" borderId="29" xfId="12" applyFont="1" applyFill="1" applyBorder="1" applyAlignment="1">
      <alignment vertical="center" wrapText="1"/>
    </xf>
    <xf numFmtId="183" fontId="59" fillId="0" borderId="9" xfId="12" applyFont="1" applyFill="1" applyBorder="1" applyAlignment="1">
      <alignment vertical="top" wrapText="1"/>
    </xf>
    <xf numFmtId="183" fontId="59" fillId="0" borderId="27" xfId="12" applyFont="1" applyFill="1" applyBorder="1" applyAlignment="1">
      <alignment vertical="top" wrapText="1"/>
    </xf>
    <xf numFmtId="183" fontId="59" fillId="0" borderId="29" xfId="12" applyFont="1" applyFill="1" applyBorder="1" applyAlignment="1">
      <alignment vertical="top" wrapText="1"/>
    </xf>
    <xf numFmtId="183" fontId="59" fillId="0" borderId="10" xfId="12" applyFont="1" applyFill="1" applyBorder="1" applyAlignment="1">
      <alignment vertical="top" wrapText="1"/>
    </xf>
    <xf numFmtId="183" fontId="59" fillId="0" borderId="6" xfId="12" applyFont="1" applyFill="1" applyBorder="1" applyAlignment="1">
      <alignment vertical="top" wrapText="1"/>
    </xf>
    <xf numFmtId="183" fontId="59" fillId="0" borderId="28" xfId="12" applyFont="1" applyFill="1" applyBorder="1" applyAlignment="1">
      <alignment vertical="top" wrapText="1"/>
    </xf>
    <xf numFmtId="0" fontId="12" fillId="0" borderId="0" xfId="0" applyNumberFormat="1" applyFont="1" applyFill="1" applyBorder="1" applyAlignment="1">
      <alignment vertical="center"/>
    </xf>
    <xf numFmtId="0" fontId="40" fillId="2" borderId="0" xfId="0" applyFont="1" applyFill="1" applyBorder="1" applyAlignment="1">
      <alignment horizontal="right"/>
    </xf>
    <xf numFmtId="49" fontId="3" fillId="2" borderId="0" xfId="0" applyNumberFormat="1" applyFont="1" applyFill="1" applyBorder="1" applyAlignment="1">
      <alignment horizontal="left"/>
    </xf>
    <xf numFmtId="0" fontId="37" fillId="2" borderId="0" xfId="0" applyFont="1" applyFill="1" applyBorder="1" applyAlignment="1">
      <alignment horizontal="right"/>
    </xf>
    <xf numFmtId="165" fontId="37" fillId="2" borderId="0" xfId="0" applyNumberFormat="1" applyFont="1" applyFill="1" applyBorder="1" applyAlignment="1">
      <alignment horizontal="right"/>
    </xf>
    <xf numFmtId="49" fontId="2" fillId="2" borderId="0" xfId="0" applyNumberFormat="1" applyFont="1" applyFill="1" applyBorder="1" applyAlignment="1">
      <alignment horizontal="left"/>
    </xf>
    <xf numFmtId="171" fontId="37" fillId="2" borderId="0" xfId="0" applyNumberFormat="1" applyFont="1" applyFill="1" applyBorder="1" applyAlignment="1">
      <alignment horizontal="right"/>
    </xf>
    <xf numFmtId="165" fontId="4" fillId="0" borderId="0" xfId="0" applyNumberFormat="1" applyFont="1" applyFill="1" applyBorder="1" applyAlignment="1">
      <alignment horizontal="right"/>
    </xf>
    <xf numFmtId="0" fontId="4" fillId="0" borderId="0" xfId="0" applyFont="1" applyFill="1" applyBorder="1" applyAlignment="1">
      <alignment horizontal="right"/>
    </xf>
    <xf numFmtId="171" fontId="4" fillId="0" borderId="0" xfId="0" applyNumberFormat="1" applyFont="1" applyFill="1" applyBorder="1" applyAlignment="1">
      <alignment horizontal="right"/>
    </xf>
    <xf numFmtId="165" fontId="37" fillId="0" borderId="0" xfId="0" applyNumberFormat="1" applyFont="1" applyFill="1" applyBorder="1" applyAlignment="1">
      <alignment horizontal="right"/>
    </xf>
    <xf numFmtId="49" fontId="2" fillId="0" borderId="0" xfId="0" applyNumberFormat="1" applyFont="1" applyFill="1" applyBorder="1" applyAlignment="1">
      <alignment horizontal="left"/>
    </xf>
    <xf numFmtId="49" fontId="38" fillId="2" borderId="0" xfId="0" applyNumberFormat="1" applyFont="1" applyFill="1" applyBorder="1" applyAlignment="1">
      <alignment horizontal="left"/>
    </xf>
    <xf numFmtId="172" fontId="40" fillId="2" borderId="0" xfId="0" applyNumberFormat="1" applyFont="1" applyFill="1" applyBorder="1" applyAlignment="1">
      <alignment horizontal="right"/>
    </xf>
    <xf numFmtId="172" fontId="37" fillId="2" borderId="0" xfId="0" applyNumberFormat="1" applyFont="1" applyFill="1" applyBorder="1" applyAlignment="1">
      <alignment horizontal="right"/>
    </xf>
    <xf numFmtId="173" fontId="37" fillId="2" borderId="0" xfId="0" applyNumberFormat="1" applyFont="1" applyFill="1" applyBorder="1" applyAlignment="1">
      <alignment horizontal="right"/>
    </xf>
    <xf numFmtId="181" fontId="37" fillId="2" borderId="0" xfId="0" applyNumberFormat="1" applyFont="1" applyFill="1" applyBorder="1" applyAlignment="1">
      <alignment horizontal="right"/>
    </xf>
    <xf numFmtId="0" fontId="21" fillId="0" borderId="0" xfId="10" applyFont="1" applyFill="1" applyBorder="1" applyAlignment="1">
      <alignment vertical="center"/>
    </xf>
    <xf numFmtId="3" fontId="21" fillId="0" borderId="0" xfId="0" applyNumberFormat="1" applyFont="1" applyFill="1" applyBorder="1" applyAlignment="1">
      <alignment horizontal="right"/>
    </xf>
    <xf numFmtId="3" fontId="20" fillId="0" borderId="0" xfId="0" applyNumberFormat="1" applyFont="1" applyFill="1" applyBorder="1" applyAlignment="1">
      <alignment horizontal="right"/>
    </xf>
    <xf numFmtId="0" fontId="28" fillId="0" borderId="0" xfId="10" applyFont="1" applyFill="1" applyBorder="1" applyAlignment="1">
      <alignment horizontal="center" vertical="center"/>
    </xf>
    <xf numFmtId="186" fontId="66" fillId="0" borderId="0" xfId="2" applyNumberFormat="1" applyFont="1" applyFill="1" applyBorder="1" applyAlignment="1">
      <alignment vertical="center"/>
    </xf>
    <xf numFmtId="186" fontId="16" fillId="0" borderId="0" xfId="4" applyNumberFormat="1" applyFont="1" applyFill="1" applyBorder="1" applyAlignment="1">
      <alignment horizontal="right" vertical="top"/>
    </xf>
    <xf numFmtId="194" fontId="66" fillId="0" borderId="0" xfId="2" applyNumberFormat="1" applyFont="1" applyFill="1" applyBorder="1" applyAlignment="1">
      <alignment vertical="center"/>
    </xf>
    <xf numFmtId="187" fontId="16" fillId="0" borderId="0" xfId="4" applyNumberFormat="1" applyFont="1" applyFill="1" applyBorder="1" applyAlignment="1">
      <alignment horizontal="right"/>
    </xf>
    <xf numFmtId="191" fontId="66" fillId="0" borderId="0" xfId="2" applyNumberFormat="1" applyFont="1" applyFill="1" applyBorder="1" applyAlignment="1">
      <alignment horizontal="right" vertical="center"/>
    </xf>
    <xf numFmtId="184" fontId="19" fillId="0" borderId="0" xfId="0" applyNumberFormat="1" applyFont="1" applyFill="1" applyBorder="1" applyAlignment="1">
      <alignment horizontal="left"/>
    </xf>
    <xf numFmtId="17" fontId="58" fillId="0" borderId="0" xfId="0" applyNumberFormat="1" applyFont="1" applyBorder="1" applyAlignment="1">
      <alignment horizontal="left" vertical="center"/>
    </xf>
    <xf numFmtId="187" fontId="24" fillId="3" borderId="0" xfId="4" applyNumberFormat="1" applyFont="1" applyFill="1" applyBorder="1" applyAlignment="1">
      <alignment horizontal="right" vertical="top"/>
    </xf>
    <xf numFmtId="188" fontId="59" fillId="0" borderId="0" xfId="2" applyNumberFormat="1" applyFont="1" applyBorder="1" applyAlignment="1">
      <alignment horizontal="center"/>
    </xf>
    <xf numFmtId="1" fontId="59" fillId="0" borderId="0" xfId="0" applyNumberFormat="1" applyFont="1" applyBorder="1" applyAlignment="1">
      <alignment horizontal="center"/>
    </xf>
    <xf numFmtId="1" fontId="49" fillId="0" borderId="0" xfId="0" applyNumberFormat="1" applyFont="1" applyFill="1" applyBorder="1"/>
    <xf numFmtId="1" fontId="16" fillId="0" borderId="0" xfId="4" applyNumberFormat="1" applyFont="1" applyFill="1" applyBorder="1" applyAlignment="1">
      <alignment horizontal="right" vertical="top"/>
    </xf>
    <xf numFmtId="184" fontId="19" fillId="0" borderId="0" xfId="9" applyNumberFormat="1" applyFont="1" applyFill="1" applyBorder="1" applyAlignment="1">
      <alignment horizontal="left"/>
    </xf>
    <xf numFmtId="188" fontId="19" fillId="0" borderId="0" xfId="0" applyNumberFormat="1" applyFont="1" applyFill="1" applyBorder="1" applyAlignment="1">
      <alignment horizontal="left" vertical="top" wrapText="1"/>
    </xf>
    <xf numFmtId="166" fontId="50" fillId="0" borderId="0" xfId="2" applyNumberFormat="1" applyFont="1" applyFill="1" applyBorder="1" applyAlignment="1">
      <alignment horizontal="right"/>
    </xf>
    <xf numFmtId="166" fontId="80" fillId="0" borderId="0" xfId="13" applyNumberFormat="1" applyFont="1" applyFill="1" applyBorder="1" applyAlignment="1">
      <alignment horizontal="right"/>
    </xf>
    <xf numFmtId="183" fontId="59" fillId="0" borderId="0" xfId="12" applyFont="1" applyFill="1" applyBorder="1" applyAlignment="1">
      <alignment horizontal="left" vertical="center"/>
    </xf>
    <xf numFmtId="49" fontId="3" fillId="0" borderId="0" xfId="0" applyNumberFormat="1" applyFont="1" applyFill="1" applyAlignment="1">
      <alignment horizontal="left"/>
    </xf>
    <xf numFmtId="49" fontId="13" fillId="0" borderId="3" xfId="0" applyNumberFormat="1" applyFont="1" applyFill="1" applyBorder="1" applyAlignment="1">
      <alignment horizontal="center" vertical="center"/>
    </xf>
    <xf numFmtId="49" fontId="13" fillId="0" borderId="3" xfId="0" applyNumberFormat="1" applyFont="1" applyFill="1" applyBorder="1" applyAlignment="1">
      <alignment horizontal="center" vertical="center" wrapText="1"/>
    </xf>
    <xf numFmtId="0" fontId="28" fillId="0" borderId="3" xfId="10" applyFont="1" applyFill="1" applyBorder="1" applyAlignment="1">
      <alignment horizontal="center" vertical="center"/>
    </xf>
    <xf numFmtId="0" fontId="28" fillId="0" borderId="3" xfId="10" applyFont="1" applyFill="1" applyBorder="1" applyAlignment="1">
      <alignment horizontal="center" vertical="center" wrapText="1"/>
    </xf>
    <xf numFmtId="0" fontId="50" fillId="0" borderId="3" xfId="0" applyNumberFormat="1" applyFont="1" applyFill="1" applyBorder="1" applyAlignment="1">
      <alignment horizontal="center" vertical="center"/>
    </xf>
    <xf numFmtId="0" fontId="49" fillId="0" borderId="0" xfId="0" applyFont="1" applyFill="1" applyAlignment="1">
      <alignment horizontal="left"/>
    </xf>
    <xf numFmtId="199" fontId="19" fillId="0" borderId="3" xfId="0" applyNumberFormat="1" applyFont="1" applyFill="1" applyBorder="1" applyAlignment="1">
      <alignment horizontal="left" vertical="top" wrapText="1"/>
    </xf>
    <xf numFmtId="188" fontId="19" fillId="0" borderId="3" xfId="0" applyNumberFormat="1" applyFont="1" applyFill="1" applyBorder="1" applyAlignment="1">
      <alignment horizontal="left" vertical="top" wrapText="1"/>
    </xf>
    <xf numFmtId="0" fontId="19" fillId="0" borderId="3" xfId="0" applyFont="1" applyFill="1" applyBorder="1" applyAlignment="1">
      <alignment horizontal="center" vertical="center" wrapText="1"/>
    </xf>
    <xf numFmtId="199" fontId="56" fillId="0" borderId="11" xfId="0" applyNumberFormat="1" applyFont="1" applyFill="1" applyBorder="1" applyAlignment="1">
      <alignment horizontal="center" vertical="top"/>
    </xf>
    <xf numFmtId="199" fontId="56" fillId="0" borderId="25" xfId="0" applyNumberFormat="1" applyFont="1" applyFill="1" applyBorder="1" applyAlignment="1">
      <alignment horizontal="center" vertical="top"/>
    </xf>
    <xf numFmtId="0" fontId="49" fillId="0" borderId="0" xfId="0" applyNumberFormat="1" applyFont="1" applyFill="1" applyAlignment="1">
      <alignment horizontal="left" vertical="top" wrapText="1"/>
    </xf>
    <xf numFmtId="183" fontId="49" fillId="0" borderId="0" xfId="12" applyFont="1" applyFill="1" applyBorder="1" applyAlignment="1">
      <alignment horizontal="left" vertical="center" wrapText="1"/>
    </xf>
    <xf numFmtId="49" fontId="2" fillId="0" borderId="1" xfId="0" applyNumberFormat="1" applyFont="1" applyFill="1" applyBorder="1" applyAlignment="1">
      <alignment horizontal="center" vertical="center"/>
    </xf>
    <xf numFmtId="49" fontId="10" fillId="0" borderId="1" xfId="0" applyNumberFormat="1" applyFont="1" applyFill="1" applyBorder="1" applyAlignment="1">
      <alignment horizontal="center"/>
    </xf>
    <xf numFmtId="49" fontId="4" fillId="0" borderId="1" xfId="0" applyNumberFormat="1" applyFont="1" applyFill="1" applyBorder="1" applyAlignment="1">
      <alignment horizontal="left"/>
    </xf>
    <xf numFmtId="165" fontId="6" fillId="0" borderId="1" xfId="0" applyNumberFormat="1" applyFont="1" applyFill="1" applyBorder="1" applyAlignment="1">
      <alignment horizontal="right"/>
    </xf>
    <xf numFmtId="49" fontId="90" fillId="0" borderId="0" xfId="0" applyNumberFormat="1" applyFont="1" applyFill="1" applyAlignment="1">
      <alignment horizontal="left"/>
    </xf>
    <xf numFmtId="49" fontId="2" fillId="0" borderId="2" xfId="0" applyNumberFormat="1" applyFont="1" applyFill="1" applyBorder="1" applyAlignment="1">
      <alignment horizontal="center" vertical="center" wrapText="1"/>
    </xf>
    <xf numFmtId="49" fontId="8" fillId="0" borderId="2" xfId="0" applyNumberFormat="1" applyFont="1" applyFill="1" applyBorder="1" applyAlignment="1">
      <alignment horizontal="center" vertical="center" wrapText="1"/>
    </xf>
    <xf numFmtId="49" fontId="2" fillId="0" borderId="3" xfId="0" applyNumberFormat="1" applyFont="1" applyFill="1" applyBorder="1" applyAlignment="1">
      <alignment horizontal="center" vertical="center" wrapText="1"/>
    </xf>
    <xf numFmtId="49" fontId="4" fillId="0" borderId="3" xfId="0" applyNumberFormat="1" applyFont="1" applyFill="1" applyBorder="1" applyAlignment="1">
      <alignment horizontal="left" vertical="center" wrapText="1"/>
    </xf>
    <xf numFmtId="0" fontId="33" fillId="0" borderId="1" xfId="0" applyFont="1" applyFill="1" applyBorder="1" applyAlignment="1">
      <alignment horizontal="center"/>
    </xf>
    <xf numFmtId="0" fontId="91" fillId="0" borderId="0" xfId="0" applyNumberFormat="1" applyFont="1" applyFill="1" applyBorder="1" applyAlignment="1"/>
    <xf numFmtId="49" fontId="6" fillId="0" borderId="0" xfId="0" applyNumberFormat="1" applyFont="1" applyFill="1" applyAlignment="1">
      <alignment horizontal="left"/>
    </xf>
    <xf numFmtId="0" fontId="2" fillId="0" borderId="2" xfId="0" applyFont="1" applyFill="1" applyBorder="1" applyAlignment="1">
      <alignment horizontal="center" vertical="center" wrapText="1"/>
    </xf>
    <xf numFmtId="0" fontId="30" fillId="0" borderId="12" xfId="0" applyFont="1" applyFill="1" applyBorder="1" applyAlignment="1">
      <alignment horizontal="center" vertical="center" wrapText="1"/>
    </xf>
    <xf numFmtId="0" fontId="9" fillId="0" borderId="3" xfId="0" applyFont="1" applyFill="1" applyBorder="1" applyAlignment="1">
      <alignment horizontal="center" vertical="center" wrapText="1"/>
    </xf>
    <xf numFmtId="15" fontId="61" fillId="0" borderId="3" xfId="0" applyNumberFormat="1" applyFont="1" applyFill="1" applyBorder="1" applyAlignment="1">
      <alignment horizontal="center" vertical="center"/>
    </xf>
    <xf numFmtId="3" fontId="61" fillId="0" borderId="3" xfId="0" applyNumberFormat="1" applyFont="1" applyFill="1" applyBorder="1" applyAlignment="1">
      <alignment horizontal="center" vertical="center"/>
    </xf>
    <xf numFmtId="178" fontId="61" fillId="0" borderId="3" xfId="0" applyNumberFormat="1" applyFont="1" applyFill="1" applyBorder="1" applyAlignment="1">
      <alignment horizontal="center" vertical="center"/>
    </xf>
    <xf numFmtId="178" fontId="61" fillId="0" borderId="3" xfId="1" applyNumberFormat="1" applyFont="1" applyFill="1" applyBorder="1" applyAlignment="1">
      <alignment horizontal="center" vertical="center"/>
    </xf>
    <xf numFmtId="3" fontId="61" fillId="0" borderId="3" xfId="1" applyNumberFormat="1" applyFont="1" applyFill="1" applyBorder="1" applyAlignment="1">
      <alignment horizontal="center" vertical="center"/>
    </xf>
    <xf numFmtId="0" fontId="35" fillId="0" borderId="0" xfId="0" applyFont="1" applyFill="1" applyAlignment="1">
      <alignment vertical="center"/>
    </xf>
    <xf numFmtId="49" fontId="34" fillId="0" borderId="1" xfId="0" applyNumberFormat="1" applyFont="1" applyFill="1" applyBorder="1" applyAlignment="1">
      <alignment horizontal="center" vertical="center" wrapText="1"/>
    </xf>
    <xf numFmtId="49" fontId="36" fillId="0" borderId="1" xfId="0" applyNumberFormat="1" applyFont="1" applyFill="1" applyBorder="1" applyAlignment="1">
      <alignment horizontal="center" vertical="center" wrapText="1"/>
    </xf>
    <xf numFmtId="49" fontId="37" fillId="0" borderId="1" xfId="0" applyNumberFormat="1" applyFont="1" applyFill="1" applyBorder="1" applyAlignment="1">
      <alignment horizontal="left"/>
    </xf>
    <xf numFmtId="0" fontId="37" fillId="0" borderId="1" xfId="0" applyFont="1" applyFill="1" applyBorder="1" applyAlignment="1">
      <alignment horizontal="right"/>
    </xf>
    <xf numFmtId="165" fontId="37" fillId="0" borderId="1" xfId="0" applyNumberFormat="1" applyFont="1" applyFill="1" applyBorder="1" applyAlignment="1">
      <alignment horizontal="right"/>
    </xf>
    <xf numFmtId="168" fontId="37" fillId="0" borderId="1" xfId="0" applyNumberFormat="1" applyFont="1" applyFill="1" applyBorder="1" applyAlignment="1">
      <alignment horizontal="right"/>
    </xf>
    <xf numFmtId="184" fontId="15" fillId="0" borderId="0" xfId="0" applyNumberFormat="1" applyFont="1" applyFill="1" applyBorder="1" applyAlignment="1">
      <alignment horizontal="left" vertical="center"/>
    </xf>
    <xf numFmtId="0" fontId="18" fillId="0" borderId="0" xfId="0" applyFont="1" applyFill="1" applyBorder="1" applyAlignment="1">
      <alignment horizontal="right"/>
    </xf>
    <xf numFmtId="168" fontId="18" fillId="0" borderId="0" xfId="0" applyNumberFormat="1" applyFont="1" applyFill="1" applyBorder="1" applyAlignment="1">
      <alignment horizontal="right"/>
    </xf>
    <xf numFmtId="0" fontId="18" fillId="0" borderId="0" xfId="0" applyFont="1" applyFill="1" applyAlignment="1">
      <alignment vertical="center"/>
    </xf>
    <xf numFmtId="0" fontId="20" fillId="0" borderId="0" xfId="0" applyFont="1" applyFill="1" applyAlignment="1">
      <alignment vertical="center"/>
    </xf>
    <xf numFmtId="49" fontId="8" fillId="0" borderId="3" xfId="0" applyNumberFormat="1" applyFont="1" applyFill="1" applyBorder="1" applyAlignment="1">
      <alignment horizontal="center" vertical="center" wrapText="1"/>
    </xf>
    <xf numFmtId="165" fontId="13" fillId="0" borderId="3" xfId="0" applyNumberFormat="1" applyFont="1" applyFill="1" applyBorder="1" applyAlignment="1">
      <alignment horizontal="right" vertical="center"/>
    </xf>
    <xf numFmtId="168" fontId="13" fillId="0" borderId="3" xfId="0" applyNumberFormat="1" applyFont="1" applyFill="1" applyBorder="1" applyAlignment="1">
      <alignment horizontal="right" vertical="center"/>
    </xf>
    <xf numFmtId="165" fontId="18" fillId="0" borderId="3" xfId="0" applyNumberFormat="1" applyFont="1" applyFill="1" applyBorder="1" applyAlignment="1">
      <alignment horizontal="right" vertical="center"/>
    </xf>
    <xf numFmtId="168" fontId="18" fillId="0" borderId="3" xfId="0" applyNumberFormat="1" applyFont="1" applyFill="1" applyBorder="1" applyAlignment="1">
      <alignment horizontal="right" vertical="center"/>
    </xf>
    <xf numFmtId="49" fontId="17" fillId="0" borderId="0" xfId="0" applyNumberFormat="1" applyFont="1" applyFill="1" applyAlignment="1">
      <alignment wrapText="1"/>
    </xf>
    <xf numFmtId="49" fontId="17" fillId="0" borderId="0" xfId="0" applyNumberFormat="1" applyFont="1" applyFill="1" applyBorder="1" applyAlignment="1">
      <alignment horizontal="left" vertical="center" wrapText="1"/>
    </xf>
    <xf numFmtId="49" fontId="13" fillId="0" borderId="1" xfId="0" applyNumberFormat="1" applyFont="1" applyFill="1" applyBorder="1" applyAlignment="1">
      <alignment horizontal="center" vertical="center" wrapText="1"/>
    </xf>
    <xf numFmtId="49" fontId="8" fillId="0" borderId="1" xfId="0" applyNumberFormat="1" applyFont="1" applyFill="1" applyBorder="1" applyAlignment="1">
      <alignment horizontal="center" vertical="center" wrapText="1"/>
    </xf>
    <xf numFmtId="49" fontId="13" fillId="0" borderId="1" xfId="0" applyNumberFormat="1" applyFont="1" applyFill="1" applyBorder="1" applyAlignment="1">
      <alignment horizontal="left" vertical="center"/>
    </xf>
    <xf numFmtId="1" fontId="13" fillId="0" borderId="1" xfId="0" applyNumberFormat="1" applyFont="1" applyFill="1" applyBorder="1" applyAlignment="1">
      <alignment horizontal="right"/>
    </xf>
    <xf numFmtId="165" fontId="13" fillId="0" borderId="1" xfId="0" applyNumberFormat="1" applyFont="1" applyFill="1" applyBorder="1" applyAlignment="1">
      <alignment horizontal="right"/>
    </xf>
    <xf numFmtId="0" fontId="13" fillId="0" borderId="1" xfId="0" applyFont="1" applyFill="1" applyBorder="1" applyAlignment="1">
      <alignment horizontal="right"/>
    </xf>
    <xf numFmtId="1" fontId="18" fillId="0" borderId="1" xfId="0" applyNumberFormat="1" applyFont="1" applyFill="1" applyBorder="1" applyAlignment="1">
      <alignment horizontal="right"/>
    </xf>
    <xf numFmtId="165" fontId="18" fillId="0" borderId="1" xfId="0" applyNumberFormat="1" applyFont="1" applyFill="1" applyBorder="1" applyAlignment="1">
      <alignment horizontal="right"/>
    </xf>
    <xf numFmtId="1" fontId="18" fillId="0" borderId="0" xfId="0" applyNumberFormat="1" applyFont="1" applyFill="1" applyBorder="1" applyAlignment="1">
      <alignment horizontal="right"/>
    </xf>
    <xf numFmtId="165" fontId="18" fillId="0" borderId="0" xfId="0" applyNumberFormat="1" applyFont="1" applyFill="1" applyBorder="1" applyAlignment="1">
      <alignment horizontal="right"/>
    </xf>
    <xf numFmtId="49" fontId="38" fillId="0" borderId="1" xfId="0" applyNumberFormat="1" applyFont="1" applyFill="1" applyBorder="1" applyAlignment="1">
      <alignment horizontal="center" vertical="center"/>
    </xf>
    <xf numFmtId="49" fontId="39" fillId="0" borderId="1" xfId="0" applyNumberFormat="1" applyFont="1" applyFill="1" applyBorder="1" applyAlignment="1">
      <alignment horizontal="center" vertical="center" wrapText="1"/>
    </xf>
    <xf numFmtId="49" fontId="40" fillId="0" borderId="1" xfId="0" applyNumberFormat="1" applyFont="1" applyFill="1" applyBorder="1" applyAlignment="1">
      <alignment horizontal="left"/>
    </xf>
    <xf numFmtId="3" fontId="40" fillId="0" borderId="1" xfId="0" applyNumberFormat="1" applyFont="1" applyFill="1" applyBorder="1" applyAlignment="1">
      <alignment horizontal="right"/>
    </xf>
    <xf numFmtId="165" fontId="40" fillId="0" borderId="1" xfId="0" applyNumberFormat="1" applyFont="1" applyFill="1" applyBorder="1" applyAlignment="1">
      <alignment horizontal="right"/>
    </xf>
    <xf numFmtId="0" fontId="40" fillId="0" borderId="1" xfId="0" applyFont="1" applyFill="1" applyBorder="1" applyAlignment="1">
      <alignment horizontal="right"/>
    </xf>
    <xf numFmtId="49" fontId="3" fillId="0" borderId="0" xfId="0" applyNumberFormat="1" applyFont="1" applyFill="1" applyBorder="1" applyAlignment="1">
      <alignment horizontal="left"/>
    </xf>
    <xf numFmtId="3" fontId="40" fillId="0" borderId="0" xfId="0" applyNumberFormat="1" applyFont="1" applyFill="1" applyBorder="1" applyAlignment="1">
      <alignment horizontal="right"/>
    </xf>
    <xf numFmtId="165" fontId="40" fillId="0" borderId="0" xfId="0" applyNumberFormat="1" applyFont="1" applyFill="1" applyBorder="1" applyAlignment="1">
      <alignment horizontal="right"/>
    </xf>
    <xf numFmtId="0" fontId="40" fillId="0" borderId="0" xfId="0" applyFont="1" applyFill="1" applyBorder="1" applyAlignment="1">
      <alignment horizontal="right"/>
    </xf>
    <xf numFmtId="49" fontId="34" fillId="0" borderId="1" xfId="0" applyNumberFormat="1" applyFont="1" applyFill="1" applyBorder="1" applyAlignment="1">
      <alignment horizontal="center" vertical="center"/>
    </xf>
    <xf numFmtId="49" fontId="37" fillId="0" borderId="1" xfId="0" applyNumberFormat="1" applyFont="1" applyFill="1" applyBorder="1" applyAlignment="1">
      <alignment horizontal="left" vertical="center"/>
    </xf>
    <xf numFmtId="3" fontId="37" fillId="0" borderId="1" xfId="0" applyNumberFormat="1" applyFont="1" applyFill="1" applyBorder="1" applyAlignment="1">
      <alignment horizontal="right"/>
    </xf>
    <xf numFmtId="169" fontId="37" fillId="0" borderId="1" xfId="0" applyNumberFormat="1" applyFont="1" applyFill="1" applyBorder="1" applyAlignment="1">
      <alignment horizontal="right"/>
    </xf>
    <xf numFmtId="49" fontId="2" fillId="0" borderId="0" xfId="0" applyNumberFormat="1" applyFont="1" applyFill="1" applyBorder="1" applyAlignment="1">
      <alignment horizontal="left" vertical="center"/>
    </xf>
    <xf numFmtId="0" fontId="37" fillId="0" borderId="0" xfId="0" applyFont="1" applyFill="1" applyBorder="1" applyAlignment="1">
      <alignment horizontal="right"/>
    </xf>
    <xf numFmtId="168" fontId="37" fillId="0" borderId="0" xfId="0" applyNumberFormat="1" applyFont="1" applyFill="1" applyBorder="1" applyAlignment="1">
      <alignment horizontal="right"/>
    </xf>
    <xf numFmtId="3" fontId="37" fillId="0" borderId="0" xfId="0" applyNumberFormat="1" applyFont="1" applyFill="1" applyBorder="1" applyAlignment="1">
      <alignment horizontal="right"/>
    </xf>
    <xf numFmtId="49" fontId="34" fillId="0" borderId="1" xfId="0" applyNumberFormat="1" applyFont="1" applyFill="1" applyBorder="1" applyAlignment="1">
      <alignment horizontal="center" wrapText="1"/>
    </xf>
    <xf numFmtId="49" fontId="36" fillId="0" borderId="1" xfId="0" applyNumberFormat="1" applyFont="1" applyFill="1" applyBorder="1" applyAlignment="1">
      <alignment horizontal="center" wrapText="1"/>
    </xf>
    <xf numFmtId="170" fontId="37" fillId="0" borderId="1" xfId="0" applyNumberFormat="1" applyFont="1" applyFill="1" applyBorder="1" applyAlignment="1">
      <alignment horizontal="right"/>
    </xf>
    <xf numFmtId="171" fontId="37" fillId="0" borderId="1" xfId="0" applyNumberFormat="1" applyFont="1" applyFill="1" applyBorder="1" applyAlignment="1">
      <alignment horizontal="right"/>
    </xf>
    <xf numFmtId="170" fontId="37" fillId="0" borderId="0" xfId="0" applyNumberFormat="1" applyFont="1" applyFill="1" applyBorder="1" applyAlignment="1">
      <alignment horizontal="right"/>
    </xf>
    <xf numFmtId="49" fontId="34" fillId="0" borderId="3" xfId="0" applyNumberFormat="1" applyFont="1" applyFill="1" applyBorder="1" applyAlignment="1">
      <alignment horizontal="center" vertical="center" wrapText="1"/>
    </xf>
    <xf numFmtId="49" fontId="36" fillId="0" borderId="3" xfId="0" applyNumberFormat="1" applyFont="1" applyFill="1" applyBorder="1" applyAlignment="1">
      <alignment horizontal="center" vertical="center" wrapText="1"/>
    </xf>
    <xf numFmtId="49" fontId="36" fillId="0" borderId="3" xfId="0" applyNumberFormat="1" applyFont="1" applyFill="1" applyBorder="1" applyAlignment="1">
      <alignment horizontal="center" wrapText="1"/>
    </xf>
    <xf numFmtId="49" fontId="34" fillId="0" borderId="3" xfId="0" applyNumberFormat="1" applyFont="1" applyFill="1" applyBorder="1" applyAlignment="1">
      <alignment horizontal="center" wrapText="1"/>
    </xf>
    <xf numFmtId="49" fontId="37" fillId="0" borderId="3" xfId="0" applyNumberFormat="1" applyFont="1" applyFill="1" applyBorder="1" applyAlignment="1">
      <alignment horizontal="left"/>
    </xf>
    <xf numFmtId="165" fontId="37" fillId="0" borderId="3" xfId="0" applyNumberFormat="1" applyFont="1" applyFill="1" applyBorder="1" applyAlignment="1">
      <alignment horizontal="right"/>
    </xf>
    <xf numFmtId="171" fontId="37" fillId="0" borderId="3" xfId="0" applyNumberFormat="1" applyFont="1" applyFill="1" applyBorder="1" applyAlignment="1">
      <alignment horizontal="right"/>
    </xf>
    <xf numFmtId="3" fontId="37" fillId="0" borderId="3" xfId="0" applyNumberFormat="1" applyFont="1" applyFill="1" applyBorder="1" applyAlignment="1">
      <alignment horizontal="right"/>
    </xf>
    <xf numFmtId="171" fontId="37" fillId="0" borderId="0" xfId="0" applyNumberFormat="1" applyFont="1" applyFill="1" applyBorder="1" applyAlignment="1">
      <alignment horizontal="right"/>
    </xf>
    <xf numFmtId="49" fontId="34" fillId="0" borderId="1" xfId="0" applyNumberFormat="1" applyFont="1" applyFill="1" applyBorder="1" applyAlignment="1">
      <alignment horizontal="left"/>
    </xf>
    <xf numFmtId="49" fontId="34" fillId="0" borderId="1" xfId="0" applyNumberFormat="1" applyFont="1" applyFill="1" applyBorder="1" applyAlignment="1">
      <alignment horizontal="center"/>
    </xf>
    <xf numFmtId="49" fontId="2" fillId="0" borderId="1" xfId="0" applyNumberFormat="1" applyFont="1" applyFill="1" applyBorder="1" applyAlignment="1">
      <alignment horizontal="right"/>
    </xf>
    <xf numFmtId="49" fontId="2" fillId="0" borderId="1" xfId="0" applyNumberFormat="1" applyFont="1" applyFill="1" applyBorder="1" applyAlignment="1">
      <alignment horizontal="left"/>
    </xf>
    <xf numFmtId="49" fontId="2" fillId="0" borderId="1" xfId="0" applyNumberFormat="1" applyFont="1" applyFill="1" applyBorder="1" applyAlignment="1">
      <alignment horizontal="center"/>
    </xf>
    <xf numFmtId="49" fontId="8" fillId="0" borderId="1" xfId="0" applyNumberFormat="1" applyFont="1" applyFill="1" applyBorder="1" applyAlignment="1">
      <alignment horizontal="center" wrapText="1"/>
    </xf>
    <xf numFmtId="165" fontId="4" fillId="0" borderId="1" xfId="0" applyNumberFormat="1" applyFont="1" applyFill="1" applyBorder="1" applyAlignment="1">
      <alignment horizontal="right"/>
    </xf>
    <xf numFmtId="0" fontId="4" fillId="0" borderId="1" xfId="0" applyFont="1" applyFill="1" applyBorder="1" applyAlignment="1">
      <alignment horizontal="right"/>
    </xf>
    <xf numFmtId="171" fontId="4" fillId="0" borderId="1" xfId="0" applyNumberFormat="1" applyFont="1" applyFill="1" applyBorder="1" applyAlignment="1">
      <alignment horizontal="right"/>
    </xf>
    <xf numFmtId="172" fontId="4" fillId="0" borderId="1" xfId="0" applyNumberFormat="1" applyFont="1" applyFill="1" applyBorder="1" applyAlignment="1">
      <alignment horizontal="right"/>
    </xf>
    <xf numFmtId="49" fontId="38" fillId="0" borderId="1" xfId="0" applyNumberFormat="1" applyFont="1" applyFill="1" applyBorder="1" applyAlignment="1">
      <alignment horizontal="center" vertical="center" wrapText="1"/>
    </xf>
    <xf numFmtId="207" fontId="40" fillId="0" borderId="1" xfId="0" applyNumberFormat="1" applyFont="1" applyFill="1" applyBorder="1" applyAlignment="1">
      <alignment horizontal="right"/>
    </xf>
    <xf numFmtId="171" fontId="40" fillId="0" borderId="1" xfId="0" applyNumberFormat="1" applyFont="1" applyFill="1" applyBorder="1" applyAlignment="1">
      <alignment horizontal="right"/>
    </xf>
    <xf numFmtId="172" fontId="40" fillId="0" borderId="1" xfId="0" applyNumberFormat="1" applyFont="1" applyFill="1" applyBorder="1" applyAlignment="1">
      <alignment horizontal="right"/>
    </xf>
    <xf numFmtId="177" fontId="40" fillId="0" borderId="1" xfId="0" applyNumberFormat="1" applyFont="1" applyFill="1" applyBorder="1" applyAlignment="1">
      <alignment horizontal="right"/>
    </xf>
    <xf numFmtId="207" fontId="40" fillId="0" borderId="0" xfId="0" applyNumberFormat="1" applyFont="1" applyFill="1" applyBorder="1" applyAlignment="1">
      <alignment horizontal="right"/>
    </xf>
    <xf numFmtId="177" fontId="40" fillId="0" borderId="0" xfId="0" applyNumberFormat="1" applyFont="1" applyFill="1" applyBorder="1" applyAlignment="1">
      <alignment horizontal="right"/>
    </xf>
    <xf numFmtId="171" fontId="40" fillId="0" borderId="0" xfId="0" applyNumberFormat="1" applyFont="1" applyFill="1" applyBorder="1" applyAlignment="1">
      <alignment horizontal="right"/>
    </xf>
    <xf numFmtId="172" fontId="40" fillId="0" borderId="0" xfId="0" applyNumberFormat="1" applyFont="1" applyFill="1" applyBorder="1" applyAlignment="1">
      <alignment horizontal="right"/>
    </xf>
    <xf numFmtId="49" fontId="40" fillId="0" borderId="0" xfId="0" applyNumberFormat="1" applyFont="1" applyFill="1" applyBorder="1" applyAlignment="1">
      <alignment horizontal="left"/>
    </xf>
    <xf numFmtId="173" fontId="37" fillId="0" borderId="1" xfId="0" applyNumberFormat="1" applyFont="1" applyFill="1" applyBorder="1" applyAlignment="1">
      <alignment horizontal="right"/>
    </xf>
    <xf numFmtId="166" fontId="37" fillId="0" borderId="1" xfId="0" applyNumberFormat="1" applyFont="1" applyFill="1" applyBorder="1" applyAlignment="1">
      <alignment horizontal="right"/>
    </xf>
    <xf numFmtId="173" fontId="38" fillId="0" borderId="1" xfId="0" applyNumberFormat="1" applyFont="1" applyFill="1" applyBorder="1" applyAlignment="1">
      <alignment horizontal="right"/>
    </xf>
    <xf numFmtId="166" fontId="38" fillId="0" borderId="1" xfId="0" applyNumberFormat="1" applyFont="1" applyFill="1" applyBorder="1" applyAlignment="1">
      <alignment horizontal="right"/>
    </xf>
    <xf numFmtId="173" fontId="38" fillId="0" borderId="0" xfId="0" applyNumberFormat="1" applyFont="1" applyFill="1" applyBorder="1" applyAlignment="1">
      <alignment horizontal="right"/>
    </xf>
    <xf numFmtId="166" fontId="38" fillId="0" borderId="0" xfId="0" applyNumberFormat="1" applyFont="1" applyFill="1" applyBorder="1" applyAlignment="1">
      <alignment horizontal="right"/>
    </xf>
    <xf numFmtId="0" fontId="36" fillId="0" borderId="1" xfId="0" applyFont="1" applyFill="1" applyBorder="1" applyAlignment="1">
      <alignment horizontal="center" vertical="center" wrapText="1"/>
    </xf>
    <xf numFmtId="49" fontId="2" fillId="0" borderId="1" xfId="0" applyNumberFormat="1" applyFont="1" applyFill="1" applyBorder="1" applyAlignment="1">
      <alignment horizontal="center" vertical="center" wrapText="1"/>
    </xf>
    <xf numFmtId="0" fontId="34" fillId="0" borderId="1" xfId="0" applyFont="1" applyFill="1" applyBorder="1" applyAlignment="1">
      <alignment horizontal="center" vertical="center" wrapText="1"/>
    </xf>
    <xf numFmtId="0" fontId="37" fillId="0" borderId="1" xfId="0" applyFont="1" applyFill="1" applyBorder="1" applyAlignment="1">
      <alignment horizontal="center" vertical="center"/>
    </xf>
    <xf numFmtId="49" fontId="37" fillId="0" borderId="1" xfId="0" applyNumberFormat="1" applyFont="1" applyFill="1" applyBorder="1" applyAlignment="1">
      <alignment horizontal="left" vertical="center" wrapText="1"/>
    </xf>
    <xf numFmtId="165" fontId="37" fillId="0" borderId="1" xfId="0" applyNumberFormat="1" applyFont="1" applyFill="1" applyBorder="1" applyAlignment="1">
      <alignment horizontal="right" vertical="center"/>
    </xf>
    <xf numFmtId="171" fontId="37" fillId="0" borderId="1" xfId="0" applyNumberFormat="1" applyFont="1" applyFill="1" applyBorder="1" applyAlignment="1">
      <alignment horizontal="right" vertical="center"/>
    </xf>
    <xf numFmtId="167" fontId="37" fillId="0" borderId="1" xfId="0" applyNumberFormat="1" applyFont="1" applyFill="1" applyBorder="1" applyAlignment="1">
      <alignment horizontal="right" vertical="center"/>
    </xf>
    <xf numFmtId="173" fontId="37" fillId="0" borderId="1" xfId="0" applyNumberFormat="1" applyFont="1" applyFill="1" applyBorder="1" applyAlignment="1">
      <alignment horizontal="right" vertical="center"/>
    </xf>
    <xf numFmtId="49" fontId="84" fillId="0" borderId="0" xfId="0" applyNumberFormat="1" applyFont="1" applyFill="1" applyAlignment="1">
      <alignment vertical="center"/>
    </xf>
    <xf numFmtId="49" fontId="41" fillId="0" borderId="0" xfId="0" applyNumberFormat="1" applyFont="1" applyFill="1" applyAlignment="1">
      <alignment vertical="center"/>
    </xf>
    <xf numFmtId="49" fontId="3" fillId="0" borderId="1" xfId="0" applyNumberFormat="1" applyFont="1" applyFill="1" applyBorder="1" applyAlignment="1">
      <alignment horizontal="center" vertical="center" wrapText="1"/>
    </xf>
    <xf numFmtId="0" fontId="40" fillId="0" borderId="1" xfId="0" applyFont="1" applyFill="1" applyBorder="1" applyAlignment="1">
      <alignment horizontal="center" vertical="center"/>
    </xf>
    <xf numFmtId="49" fontId="40" fillId="0" borderId="1" xfId="0" applyNumberFormat="1" applyFont="1" applyFill="1" applyBorder="1" applyAlignment="1">
      <alignment horizontal="left" vertical="center"/>
    </xf>
    <xf numFmtId="165" fontId="40" fillId="0" borderId="1" xfId="0" applyNumberFormat="1" applyFont="1" applyFill="1" applyBorder="1" applyAlignment="1">
      <alignment horizontal="left" vertical="center"/>
    </xf>
    <xf numFmtId="171" fontId="40" fillId="0" borderId="1" xfId="0" applyNumberFormat="1" applyFont="1" applyFill="1" applyBorder="1" applyAlignment="1">
      <alignment horizontal="left" vertical="center"/>
    </xf>
    <xf numFmtId="0" fontId="40" fillId="0" borderId="1" xfId="0" applyFont="1" applyFill="1" applyBorder="1" applyAlignment="1">
      <alignment horizontal="left" vertical="center"/>
    </xf>
    <xf numFmtId="174" fontId="37" fillId="0" borderId="1" xfId="0" applyNumberFormat="1" applyFont="1" applyFill="1" applyBorder="1" applyAlignment="1">
      <alignment horizontal="right"/>
    </xf>
    <xf numFmtId="167" fontId="37" fillId="0" borderId="1" xfId="0" applyNumberFormat="1" applyFont="1" applyFill="1" applyBorder="1" applyAlignment="1">
      <alignment horizontal="right"/>
    </xf>
    <xf numFmtId="175" fontId="37" fillId="0" borderId="1" xfId="0" applyNumberFormat="1" applyFont="1" applyFill="1" applyBorder="1" applyAlignment="1">
      <alignment horizontal="right"/>
    </xf>
    <xf numFmtId="175" fontId="37" fillId="0" borderId="0" xfId="0" applyNumberFormat="1" applyFont="1" applyFill="1" applyBorder="1" applyAlignment="1">
      <alignment horizontal="right"/>
    </xf>
    <xf numFmtId="167" fontId="37" fillId="0" borderId="0" xfId="0" applyNumberFormat="1" applyFont="1" applyFill="1" applyBorder="1" applyAlignment="1">
      <alignment horizontal="right"/>
    </xf>
    <xf numFmtId="49" fontId="34" fillId="0" borderId="0" xfId="0" applyNumberFormat="1" applyFont="1" applyFill="1" applyAlignment="1">
      <alignment horizontal="left" vertical="top"/>
    </xf>
    <xf numFmtId="176" fontId="37" fillId="0" borderId="1" xfId="0" applyNumberFormat="1" applyFont="1" applyFill="1" applyBorder="1" applyAlignment="1">
      <alignment horizontal="right"/>
    </xf>
    <xf numFmtId="1" fontId="37" fillId="0" borderId="1" xfId="0" applyNumberFormat="1" applyFont="1" applyFill="1" applyBorder="1" applyAlignment="1">
      <alignment horizontal="right"/>
    </xf>
    <xf numFmtId="49" fontId="15" fillId="0" borderId="1" xfId="0" applyNumberFormat="1" applyFont="1" applyFill="1" applyBorder="1" applyAlignment="1">
      <alignment horizontal="center" vertical="center" wrapText="1"/>
    </xf>
    <xf numFmtId="0" fontId="89" fillId="0" borderId="0" xfId="0" applyFont="1" applyFill="1" applyAlignment="1">
      <alignment vertical="center"/>
    </xf>
    <xf numFmtId="177" fontId="37" fillId="0" borderId="1" xfId="0" applyNumberFormat="1" applyFont="1" applyFill="1" applyBorder="1" applyAlignment="1">
      <alignment horizontal="right"/>
    </xf>
    <xf numFmtId="178" fontId="37" fillId="0" borderId="1" xfId="0" applyNumberFormat="1" applyFont="1" applyFill="1" applyBorder="1" applyAlignment="1">
      <alignment horizontal="right"/>
    </xf>
    <xf numFmtId="177" fontId="37" fillId="0" borderId="0" xfId="0" applyNumberFormat="1" applyFont="1" applyFill="1" applyBorder="1" applyAlignment="1">
      <alignment horizontal="right"/>
    </xf>
    <xf numFmtId="178" fontId="37" fillId="0" borderId="0" xfId="0" applyNumberFormat="1" applyFont="1" applyFill="1" applyBorder="1" applyAlignment="1">
      <alignment horizontal="right"/>
    </xf>
    <xf numFmtId="173" fontId="37" fillId="0" borderId="0" xfId="0" applyNumberFormat="1" applyFont="1" applyFill="1" applyBorder="1" applyAlignment="1">
      <alignment horizontal="right"/>
    </xf>
    <xf numFmtId="176" fontId="37" fillId="0" borderId="0" xfId="0" applyNumberFormat="1" applyFont="1" applyFill="1" applyBorder="1" applyAlignment="1">
      <alignment horizontal="right"/>
    </xf>
    <xf numFmtId="172" fontId="37" fillId="0" borderId="1" xfId="0" applyNumberFormat="1" applyFont="1" applyFill="1" applyBorder="1" applyAlignment="1">
      <alignment horizontal="right"/>
    </xf>
    <xf numFmtId="49" fontId="34" fillId="0" borderId="0" xfId="0" applyNumberFormat="1" applyFont="1" applyFill="1" applyAlignment="1"/>
    <xf numFmtId="49" fontId="40" fillId="0" borderId="1" xfId="0" applyNumberFormat="1" applyFont="1" applyFill="1" applyBorder="1" applyAlignment="1">
      <alignment horizontal="left" vertical="center" wrapText="1"/>
    </xf>
    <xf numFmtId="166" fontId="40" fillId="0" borderId="1" xfId="0" applyNumberFormat="1" applyFont="1" applyFill="1" applyBorder="1" applyAlignment="1">
      <alignment horizontal="right" vertical="center" wrapText="1"/>
    </xf>
    <xf numFmtId="179" fontId="40" fillId="0" borderId="1" xfId="0" applyNumberFormat="1" applyFont="1" applyFill="1" applyBorder="1" applyAlignment="1">
      <alignment horizontal="right" vertical="center" wrapText="1"/>
    </xf>
    <xf numFmtId="167" fontId="40" fillId="0" borderId="1" xfId="0" applyNumberFormat="1" applyFont="1" applyFill="1" applyBorder="1" applyAlignment="1">
      <alignment horizontal="right" vertical="center" wrapText="1"/>
    </xf>
    <xf numFmtId="49" fontId="3" fillId="0" borderId="0" xfId="0" applyNumberFormat="1" applyFont="1" applyFill="1" applyBorder="1" applyAlignment="1">
      <alignment horizontal="left" vertical="center" wrapText="1"/>
    </xf>
    <xf numFmtId="166" fontId="40" fillId="0" borderId="0" xfId="0" applyNumberFormat="1" applyFont="1" applyFill="1" applyBorder="1" applyAlignment="1">
      <alignment horizontal="right" vertical="center" wrapText="1"/>
    </xf>
    <xf numFmtId="179" fontId="40" fillId="0" borderId="0" xfId="0" applyNumberFormat="1" applyFont="1" applyFill="1" applyBorder="1" applyAlignment="1">
      <alignment horizontal="right" vertical="center" wrapText="1"/>
    </xf>
    <xf numFmtId="167" fontId="40" fillId="0" borderId="0" xfId="0" applyNumberFormat="1" applyFont="1" applyFill="1" applyBorder="1" applyAlignment="1">
      <alignment horizontal="right" vertical="center" wrapText="1"/>
    </xf>
    <xf numFmtId="49" fontId="36" fillId="0" borderId="0" xfId="0" applyNumberFormat="1" applyFont="1" applyFill="1" applyAlignment="1">
      <alignment horizontal="left" vertical="top"/>
    </xf>
    <xf numFmtId="49" fontId="34" fillId="0" borderId="13" xfId="0" applyNumberFormat="1" applyFont="1" applyFill="1" applyBorder="1" applyAlignment="1">
      <alignment vertical="center"/>
    </xf>
    <xf numFmtId="49" fontId="34" fillId="0" borderId="13" xfId="0" applyNumberFormat="1" applyFont="1" applyFill="1" applyBorder="1" applyAlignment="1">
      <alignment horizontal="center" vertical="center" wrapText="1"/>
    </xf>
    <xf numFmtId="0" fontId="83" fillId="0" borderId="29" xfId="0" applyFont="1" applyFill="1" applyBorder="1" applyAlignment="1">
      <alignment horizontal="center" vertical="center" wrapText="1"/>
    </xf>
    <xf numFmtId="179" fontId="37" fillId="0" borderId="1" xfId="0" applyNumberFormat="1" applyFont="1" applyFill="1" applyBorder="1" applyAlignment="1">
      <alignment horizontal="right"/>
    </xf>
    <xf numFmtId="179" fontId="37" fillId="0" borderId="0" xfId="0" applyNumberFormat="1" applyFont="1" applyFill="1" applyBorder="1" applyAlignment="1">
      <alignment horizontal="right"/>
    </xf>
    <xf numFmtId="49" fontId="8" fillId="0" borderId="0" xfId="0" applyNumberFormat="1" applyFont="1" applyFill="1" applyAlignment="1">
      <alignment horizontal="left" vertical="top"/>
    </xf>
    <xf numFmtId="49" fontId="8" fillId="0" borderId="0" xfId="0" applyNumberFormat="1" applyFont="1" applyFill="1" applyAlignment="1">
      <alignment horizontal="left" vertical="top" wrapText="1"/>
    </xf>
    <xf numFmtId="49" fontId="36" fillId="0" borderId="0" xfId="0" applyNumberFormat="1" applyFont="1" applyFill="1" applyAlignment="1">
      <alignment horizontal="left" vertical="top" wrapText="1"/>
    </xf>
    <xf numFmtId="182" fontId="37" fillId="0" borderId="1" xfId="0" applyNumberFormat="1" applyFont="1" applyFill="1" applyBorder="1" applyAlignment="1">
      <alignment horizontal="right"/>
    </xf>
    <xf numFmtId="182" fontId="37" fillId="0" borderId="0" xfId="0" applyNumberFormat="1" applyFont="1" applyFill="1" applyBorder="1" applyAlignment="1">
      <alignment horizontal="right"/>
    </xf>
    <xf numFmtId="49" fontId="4" fillId="0" borderId="1" xfId="0" applyNumberFormat="1" applyFont="1" applyFill="1" applyBorder="1" applyAlignment="1">
      <alignment horizontal="left" vertical="center" wrapText="1"/>
    </xf>
    <xf numFmtId="3" fontId="35" fillId="0" borderId="0" xfId="0" applyNumberFormat="1" applyFont="1" applyFill="1" applyAlignment="1">
      <alignment vertical="center"/>
    </xf>
    <xf numFmtId="49" fontId="8" fillId="0" borderId="0" xfId="0" applyNumberFormat="1" applyFont="1" applyFill="1" applyAlignment="1">
      <alignment vertical="top"/>
    </xf>
    <xf numFmtId="173" fontId="4" fillId="0" borderId="1" xfId="0" applyNumberFormat="1" applyFont="1" applyFill="1" applyBorder="1" applyAlignment="1">
      <alignment horizontal="right"/>
    </xf>
    <xf numFmtId="165" fontId="4" fillId="0" borderId="3" xfId="0" applyNumberFormat="1" applyFont="1" applyFill="1" applyBorder="1" applyAlignment="1">
      <alignment horizontal="right"/>
    </xf>
    <xf numFmtId="171" fontId="4" fillId="0" borderId="3" xfId="0" applyNumberFormat="1" applyFont="1" applyFill="1" applyBorder="1" applyAlignment="1">
      <alignment horizontal="right"/>
    </xf>
    <xf numFmtId="173" fontId="4" fillId="0" borderId="3" xfId="0" applyNumberFormat="1" applyFont="1" applyFill="1" applyBorder="1" applyAlignment="1">
      <alignment horizontal="right"/>
    </xf>
    <xf numFmtId="49" fontId="4" fillId="0" borderId="2" xfId="0" applyNumberFormat="1" applyFont="1" applyFill="1" applyBorder="1" applyAlignment="1">
      <alignment horizontal="left"/>
    </xf>
    <xf numFmtId="165" fontId="4" fillId="0" borderId="2" xfId="0" applyNumberFormat="1" applyFont="1" applyFill="1" applyBorder="1" applyAlignment="1">
      <alignment horizontal="right"/>
    </xf>
    <xf numFmtId="171" fontId="4" fillId="0" borderId="2" xfId="0" applyNumberFormat="1" applyFont="1" applyFill="1" applyBorder="1" applyAlignment="1">
      <alignment horizontal="right"/>
    </xf>
    <xf numFmtId="173" fontId="4" fillId="0" borderId="2" xfId="0" applyNumberFormat="1" applyFont="1" applyFill="1" applyBorder="1" applyAlignment="1">
      <alignment horizontal="right"/>
    </xf>
    <xf numFmtId="49" fontId="4" fillId="0" borderId="3" xfId="0" applyNumberFormat="1" applyFont="1" applyFill="1" applyBorder="1" applyAlignment="1">
      <alignment horizontal="left"/>
    </xf>
    <xf numFmtId="0" fontId="2" fillId="0" borderId="0" xfId="0" applyFont="1" applyFill="1" applyBorder="1" applyAlignment="1">
      <alignment vertical="center"/>
    </xf>
    <xf numFmtId="0" fontId="5" fillId="0" borderId="0" xfId="0" applyFont="1" applyFill="1" applyBorder="1" applyAlignment="1">
      <alignment vertical="center"/>
    </xf>
    <xf numFmtId="0" fontId="4" fillId="0" borderId="0" xfId="0" applyFont="1" applyFill="1" applyBorder="1" applyAlignment="1">
      <alignment vertical="center"/>
    </xf>
    <xf numFmtId="49" fontId="36" fillId="0" borderId="0" xfId="0" applyNumberFormat="1" applyFont="1" applyFill="1" applyAlignment="1">
      <alignment horizontal="left"/>
    </xf>
    <xf numFmtId="0" fontId="27" fillId="0" borderId="0" xfId="0" applyNumberFormat="1" applyFont="1" applyFill="1" applyBorder="1" applyAlignment="1"/>
    <xf numFmtId="49" fontId="36" fillId="0" borderId="0" xfId="0" applyNumberFormat="1" applyFont="1" applyFill="1" applyAlignment="1">
      <alignment horizontal="left" vertical="center"/>
    </xf>
    <xf numFmtId="49" fontId="3" fillId="0" borderId="0" xfId="0" applyNumberFormat="1" applyFont="1" applyFill="1" applyBorder="1" applyAlignment="1">
      <alignment horizontal="left" vertical="center"/>
    </xf>
    <xf numFmtId="165" fontId="37" fillId="0" borderId="0" xfId="0" applyNumberFormat="1" applyFont="1" applyFill="1" applyBorder="1" applyAlignment="1">
      <alignment horizontal="right" vertical="center"/>
    </xf>
    <xf numFmtId="171" fontId="37" fillId="0" borderId="0" xfId="0" applyNumberFormat="1" applyFont="1" applyFill="1" applyBorder="1" applyAlignment="1">
      <alignment horizontal="right" vertical="center"/>
    </xf>
    <xf numFmtId="49" fontId="2" fillId="0" borderId="0" xfId="0" applyNumberFormat="1" applyFont="1" applyFill="1" applyAlignment="1">
      <alignment horizontal="left" vertical="top"/>
    </xf>
    <xf numFmtId="49" fontId="2" fillId="0" borderId="15" xfId="0" applyNumberFormat="1" applyFont="1" applyFill="1" applyBorder="1" applyAlignment="1">
      <alignment horizontal="left"/>
    </xf>
    <xf numFmtId="49" fontId="2" fillId="0" borderId="16" xfId="0" applyNumberFormat="1" applyFont="1" applyFill="1" applyBorder="1" applyAlignment="1">
      <alignment horizontal="center" vertical="center"/>
    </xf>
    <xf numFmtId="49" fontId="2" fillId="0" borderId="17" xfId="0" applyNumberFormat="1" applyFont="1" applyFill="1" applyBorder="1" applyAlignment="1">
      <alignment horizontal="center" vertical="center"/>
    </xf>
    <xf numFmtId="49" fontId="2" fillId="0" borderId="18" xfId="0" applyNumberFormat="1" applyFont="1" applyFill="1" applyBorder="1" applyAlignment="1">
      <alignment horizontal="center" vertical="center"/>
    </xf>
    <xf numFmtId="49" fontId="2" fillId="0" borderId="19" xfId="0" applyNumberFormat="1" applyFont="1" applyFill="1" applyBorder="1" applyAlignment="1">
      <alignment horizontal="center" vertical="center"/>
    </xf>
    <xf numFmtId="49" fontId="2" fillId="0" borderId="20" xfId="0" applyNumberFormat="1" applyFont="1" applyFill="1" applyBorder="1" applyAlignment="1">
      <alignment horizontal="center" vertical="center"/>
    </xf>
    <xf numFmtId="49" fontId="2" fillId="0" borderId="21" xfId="0" applyNumberFormat="1" applyFont="1" applyFill="1" applyBorder="1" applyAlignment="1">
      <alignment horizontal="center" vertical="center" wrapText="1"/>
    </xf>
    <xf numFmtId="49" fontId="4" fillId="0" borderId="20" xfId="0" applyNumberFormat="1" applyFont="1" applyFill="1" applyBorder="1" applyAlignment="1">
      <alignment horizontal="left"/>
    </xf>
    <xf numFmtId="49" fontId="2" fillId="0" borderId="23" xfId="0" applyNumberFormat="1" applyFont="1" applyFill="1" applyBorder="1" applyAlignment="1">
      <alignment horizontal="left"/>
    </xf>
    <xf numFmtId="171" fontId="2" fillId="0" borderId="24" xfId="0" applyNumberFormat="1" applyFont="1" applyFill="1" applyBorder="1" applyAlignment="1">
      <alignment horizontal="right"/>
    </xf>
    <xf numFmtId="0" fontId="29" fillId="0" borderId="0" xfId="0" applyFont="1" applyFill="1" applyAlignment="1">
      <alignment vertical="center"/>
    </xf>
    <xf numFmtId="0" fontId="0" fillId="0" borderId="0" xfId="0" applyFill="1"/>
    <xf numFmtId="0" fontId="73" fillId="0" borderId="0" xfId="0" applyFont="1" applyFill="1"/>
    <xf numFmtId="0" fontId="0" fillId="0" borderId="0" xfId="0" applyFill="1" applyAlignment="1"/>
    <xf numFmtId="0" fontId="0" fillId="0" borderId="0" xfId="0" applyFont="1" applyFill="1" applyAlignment="1"/>
    <xf numFmtId="0" fontId="0" fillId="0" borderId="0" xfId="0" applyFill="1" applyBorder="1"/>
    <xf numFmtId="49" fontId="3" fillId="0" borderId="0" xfId="0" applyNumberFormat="1" applyFont="1" applyFill="1" applyAlignment="1">
      <alignment horizontal="left" wrapText="1"/>
    </xf>
    <xf numFmtId="49" fontId="34" fillId="0" borderId="0" xfId="0" applyNumberFormat="1" applyFont="1" applyFill="1" applyAlignment="1">
      <alignment horizontal="left"/>
    </xf>
    <xf numFmtId="49" fontId="38" fillId="0" borderId="30" xfId="0" applyNumberFormat="1" applyFont="1" applyFill="1" applyBorder="1" applyAlignment="1">
      <alignment horizontal="center" vertical="center"/>
    </xf>
    <xf numFmtId="49" fontId="43" fillId="0" borderId="31" xfId="0" applyNumberFormat="1" applyFont="1" applyFill="1" applyBorder="1" applyAlignment="1">
      <alignment horizontal="center" vertical="center" wrapText="1"/>
    </xf>
    <xf numFmtId="49" fontId="40" fillId="0" borderId="1" xfId="0" applyNumberFormat="1" applyFont="1" applyFill="1" applyBorder="1" applyAlignment="1">
      <alignment horizontal="left" vertical="top"/>
    </xf>
    <xf numFmtId="49" fontId="44" fillId="0" borderId="1" xfId="0" applyNumberFormat="1" applyFont="1" applyFill="1" applyBorder="1" applyAlignment="1">
      <alignment horizontal="center"/>
    </xf>
    <xf numFmtId="176" fontId="40" fillId="0" borderId="1" xfId="0" applyNumberFormat="1" applyFont="1" applyFill="1" applyBorder="1" applyAlignment="1">
      <alignment horizontal="right"/>
    </xf>
    <xf numFmtId="49" fontId="45" fillId="0" borderId="31" xfId="0" applyNumberFormat="1" applyFont="1" applyFill="1" applyBorder="1" applyAlignment="1">
      <alignment horizontal="left"/>
    </xf>
    <xf numFmtId="49" fontId="45" fillId="0" borderId="32" xfId="0" applyNumberFormat="1" applyFont="1" applyFill="1" applyBorder="1" applyAlignment="1">
      <alignment horizontal="left"/>
    </xf>
    <xf numFmtId="49" fontId="37" fillId="0" borderId="1" xfId="0" applyNumberFormat="1" applyFont="1" applyFill="1" applyBorder="1" applyAlignment="1">
      <alignment horizontal="left" wrapText="1"/>
    </xf>
    <xf numFmtId="1" fontId="16" fillId="0" borderId="8" xfId="0" applyNumberFormat="1" applyFont="1" applyFill="1" applyBorder="1" applyAlignment="1">
      <alignment horizontal="right" vertical="center"/>
    </xf>
    <xf numFmtId="0" fontId="49" fillId="0" borderId="5" xfId="0" applyNumberFormat="1" applyFont="1" applyFill="1" applyBorder="1"/>
    <xf numFmtId="1" fontId="16" fillId="0" borderId="33" xfId="0" applyNumberFormat="1" applyFont="1" applyFill="1" applyBorder="1" applyAlignment="1">
      <alignment horizontal="right" vertical="center"/>
    </xf>
    <xf numFmtId="0" fontId="52" fillId="0" borderId="0" xfId="0" applyNumberFormat="1" applyFont="1" applyFill="1"/>
    <xf numFmtId="183" fontId="19" fillId="0" borderId="7" xfId="11" applyNumberFormat="1" applyFont="1" applyFill="1" applyBorder="1" applyAlignment="1">
      <alignment horizontal="center" vertical="center" wrapText="1"/>
    </xf>
    <xf numFmtId="183" fontId="19" fillId="0" borderId="3" xfId="7" applyNumberFormat="1" applyFont="1" applyFill="1" applyBorder="1" applyAlignment="1">
      <alignment horizontal="center" vertical="top" wrapText="1"/>
    </xf>
    <xf numFmtId="183" fontId="19" fillId="0" borderId="4" xfId="7" applyNumberFormat="1" applyFont="1" applyFill="1" applyBorder="1" applyAlignment="1">
      <alignment horizontal="center" vertical="top" wrapText="1"/>
    </xf>
    <xf numFmtId="184" fontId="19" fillId="0" borderId="3" xfId="0" applyNumberFormat="1" applyFont="1" applyFill="1" applyBorder="1" applyAlignment="1">
      <alignment horizontal="left" vertical="top" wrapText="1"/>
    </xf>
    <xf numFmtId="10" fontId="50" fillId="0" borderId="0" xfId="13" applyNumberFormat="1" applyFont="1" applyFill="1"/>
    <xf numFmtId="185" fontId="50" fillId="0" borderId="0" xfId="0" applyNumberFormat="1" applyFont="1" applyFill="1"/>
    <xf numFmtId="0" fontId="50" fillId="0" borderId="3" xfId="0" applyNumberFormat="1" applyFont="1" applyFill="1" applyBorder="1"/>
    <xf numFmtId="0" fontId="53" fillId="0" borderId="0" xfId="0" applyFont="1" applyFill="1"/>
    <xf numFmtId="0" fontId="54" fillId="0" borderId="0" xfId="0" applyNumberFormat="1" applyFont="1" applyFill="1"/>
    <xf numFmtId="0" fontId="49" fillId="0" borderId="0" xfId="0" applyNumberFormat="1" applyFont="1" applyFill="1" applyAlignment="1">
      <alignment horizontal="center"/>
    </xf>
    <xf numFmtId="0" fontId="50" fillId="0" borderId="3" xfId="0" applyNumberFormat="1" applyFont="1" applyFill="1" applyBorder="1" applyAlignment="1">
      <alignment vertical="center" wrapText="1"/>
    </xf>
    <xf numFmtId="0" fontId="50" fillId="0" borderId="9" xfId="0" applyNumberFormat="1" applyFont="1" applyFill="1" applyBorder="1" applyAlignment="1">
      <alignment vertical="center" wrapText="1"/>
    </xf>
    <xf numFmtId="0" fontId="50" fillId="0" borderId="0" xfId="0" applyNumberFormat="1" applyFont="1" applyFill="1" applyBorder="1"/>
    <xf numFmtId="0" fontId="19" fillId="0" borderId="3" xfId="6" applyFont="1" applyFill="1" applyBorder="1" applyAlignment="1">
      <alignment horizontal="center" vertical="center" wrapText="1"/>
    </xf>
    <xf numFmtId="187" fontId="49" fillId="0" borderId="0" xfId="0" applyNumberFormat="1" applyFont="1" applyFill="1"/>
    <xf numFmtId="189" fontId="49" fillId="0" borderId="0" xfId="0" applyNumberFormat="1" applyFont="1" applyFill="1"/>
    <xf numFmtId="188" fontId="49" fillId="0" borderId="0" xfId="2" applyNumberFormat="1" applyFont="1" applyFill="1"/>
    <xf numFmtId="2" fontId="49" fillId="0" borderId="0" xfId="0" applyNumberFormat="1" applyFont="1" applyFill="1"/>
    <xf numFmtId="188" fontId="49" fillId="0" borderId="0" xfId="0" applyNumberFormat="1" applyFont="1" applyFill="1"/>
    <xf numFmtId="188" fontId="55" fillId="0" borderId="0" xfId="0" applyNumberFormat="1" applyFont="1" applyFill="1"/>
    <xf numFmtId="190" fontId="55" fillId="0" borderId="0" xfId="0" applyNumberFormat="1" applyFont="1" applyFill="1"/>
    <xf numFmtId="0" fontId="49" fillId="0" borderId="0" xfId="0" quotePrefix="1" applyNumberFormat="1" applyFont="1" applyFill="1"/>
    <xf numFmtId="0" fontId="48" fillId="0" borderId="0" xfId="0" applyNumberFormat="1" applyFont="1" applyFill="1" applyBorder="1" applyAlignment="1">
      <alignment horizontal="left" vertical="center"/>
    </xf>
    <xf numFmtId="188" fontId="16" fillId="0" borderId="0" xfId="2" applyNumberFormat="1" applyFont="1" applyFill="1" applyBorder="1" applyAlignment="1">
      <alignment horizontal="right" vertical="top"/>
    </xf>
    <xf numFmtId="188" fontId="50" fillId="0" borderId="0" xfId="0" applyNumberFormat="1" applyFont="1" applyFill="1"/>
    <xf numFmtId="0" fontId="50" fillId="0" borderId="0" xfId="0" applyNumberFormat="1" applyFont="1" applyFill="1" applyBorder="1" applyAlignment="1">
      <alignment vertical="center" wrapText="1"/>
    </xf>
    <xf numFmtId="164" fontId="49" fillId="0" borderId="0" xfId="0" applyNumberFormat="1" applyFont="1" applyFill="1"/>
    <xf numFmtId="192" fontId="49" fillId="0" borderId="0" xfId="0" applyNumberFormat="1" applyFont="1" applyFill="1"/>
    <xf numFmtId="166" fontId="49" fillId="0" borderId="0" xfId="0" applyNumberFormat="1" applyFont="1" applyFill="1"/>
    <xf numFmtId="198" fontId="19" fillId="0" borderId="3" xfId="4" applyNumberFormat="1" applyFont="1" applyFill="1" applyBorder="1" applyAlignment="1">
      <alignment horizontal="right" vertical="top"/>
    </xf>
    <xf numFmtId="197" fontId="16" fillId="0" borderId="3" xfId="4" applyNumberFormat="1" applyFont="1" applyFill="1" applyBorder="1" applyAlignment="1">
      <alignment horizontal="right" vertical="top"/>
    </xf>
    <xf numFmtId="193" fontId="16" fillId="0" borderId="3" xfId="4" applyNumberFormat="1" applyFont="1" applyFill="1" applyBorder="1" applyAlignment="1">
      <alignment horizontal="right" vertical="top"/>
    </xf>
    <xf numFmtId="198" fontId="16" fillId="0" borderId="3" xfId="4" applyNumberFormat="1" applyFont="1" applyFill="1" applyBorder="1" applyAlignment="1">
      <alignment horizontal="right" vertical="top"/>
    </xf>
    <xf numFmtId="0" fontId="50" fillId="0" borderId="0" xfId="0" applyNumberFormat="1" applyFont="1" applyFill="1" applyBorder="1" applyAlignment="1">
      <alignment horizontal="center"/>
    </xf>
    <xf numFmtId="0" fontId="50" fillId="0" borderId="29" xfId="0" applyNumberFormat="1" applyFont="1" applyFill="1" applyBorder="1" applyAlignment="1">
      <alignment horizontal="right"/>
    </xf>
    <xf numFmtId="188" fontId="50" fillId="0" borderId="29" xfId="2" applyNumberFormat="1" applyFont="1" applyFill="1" applyBorder="1" applyAlignment="1">
      <alignment horizontal="center"/>
    </xf>
    <xf numFmtId="188" fontId="50" fillId="0" borderId="28" xfId="2" applyNumberFormat="1" applyFont="1" applyFill="1" applyBorder="1" applyAlignment="1">
      <alignment horizontal="center"/>
    </xf>
    <xf numFmtId="188" fontId="50" fillId="0" borderId="11" xfId="2" applyNumberFormat="1" applyFont="1" applyFill="1" applyBorder="1" applyAlignment="1">
      <alignment horizontal="center"/>
    </xf>
    <xf numFmtId="0" fontId="50" fillId="0" borderId="29" xfId="0" applyNumberFormat="1" applyFont="1" applyFill="1" applyBorder="1" applyAlignment="1">
      <alignment horizontal="center"/>
    </xf>
    <xf numFmtId="188" fontId="50" fillId="0" borderId="0" xfId="0" applyNumberFormat="1" applyFont="1" applyFill="1" applyBorder="1" applyAlignment="1">
      <alignment horizontal="center"/>
    </xf>
    <xf numFmtId="166" fontId="50" fillId="0" borderId="0" xfId="0" applyNumberFormat="1" applyFont="1" applyFill="1" applyBorder="1" applyAlignment="1">
      <alignment horizontal="center"/>
    </xf>
    <xf numFmtId="17" fontId="50" fillId="0" borderId="3" xfId="0" applyNumberFormat="1" applyFont="1" applyFill="1" applyBorder="1" applyAlignment="1">
      <alignment horizontal="left" vertical="center"/>
    </xf>
    <xf numFmtId="188" fontId="49" fillId="0" borderId="3" xfId="2" applyNumberFormat="1" applyFont="1" applyFill="1" applyBorder="1" applyAlignment="1">
      <alignment horizontal="center"/>
    </xf>
    <xf numFmtId="0" fontId="49" fillId="0" borderId="3" xfId="0" applyNumberFormat="1" applyFont="1" applyFill="1" applyBorder="1" applyAlignment="1">
      <alignment horizontal="center"/>
    </xf>
    <xf numFmtId="17" fontId="50" fillId="0" borderId="0" xfId="0" applyNumberFormat="1" applyFont="1" applyFill="1" applyBorder="1" applyAlignment="1">
      <alignment horizontal="left" vertical="center"/>
    </xf>
    <xf numFmtId="188" fontId="49" fillId="0" borderId="0" xfId="2" applyNumberFormat="1" applyFont="1" applyFill="1" applyBorder="1" applyAlignment="1">
      <alignment horizontal="center"/>
    </xf>
    <xf numFmtId="0" fontId="49" fillId="0" borderId="0" xfId="0" applyNumberFormat="1" applyFont="1" applyFill="1" applyBorder="1" applyAlignment="1">
      <alignment horizontal="center"/>
    </xf>
    <xf numFmtId="9" fontId="49" fillId="0" borderId="0" xfId="13" applyFont="1" applyFill="1"/>
    <xf numFmtId="195" fontId="0" fillId="0" borderId="0" xfId="0" applyNumberFormat="1" applyFill="1"/>
    <xf numFmtId="0" fontId="60" fillId="0" borderId="3" xfId="0" applyNumberFormat="1" applyFont="1" applyFill="1" applyBorder="1" applyAlignment="1">
      <alignment horizontal="center" vertical="center"/>
    </xf>
    <xf numFmtId="166" fontId="19" fillId="0" borderId="3" xfId="4" applyNumberFormat="1" applyFont="1" applyFill="1" applyBorder="1" applyAlignment="1">
      <alignment horizontal="right" vertical="top"/>
    </xf>
    <xf numFmtId="166" fontId="16" fillId="0" borderId="3" xfId="4" applyNumberFormat="1" applyFont="1" applyFill="1" applyBorder="1" applyAlignment="1">
      <alignment horizontal="right" vertical="top"/>
    </xf>
    <xf numFmtId="166" fontId="16" fillId="0" borderId="0" xfId="4" applyNumberFormat="1" applyFont="1" applyFill="1" applyBorder="1" applyAlignment="1">
      <alignment horizontal="right" vertical="top"/>
    </xf>
    <xf numFmtId="166" fontId="49" fillId="0" borderId="0" xfId="0" applyNumberFormat="1" applyFont="1" applyFill="1" applyBorder="1"/>
    <xf numFmtId="0" fontId="60" fillId="0" borderId="3" xfId="0" applyFont="1" applyFill="1" applyBorder="1" applyAlignment="1">
      <alignment horizontal="center" vertical="center" wrapText="1"/>
    </xf>
    <xf numFmtId="0" fontId="61" fillId="0" borderId="0" xfId="0" applyFont="1" applyFill="1" applyAlignment="1">
      <alignment horizontal="right"/>
    </xf>
    <xf numFmtId="166" fontId="61" fillId="0" borderId="0" xfId="0" applyNumberFormat="1" applyFont="1" applyFill="1"/>
    <xf numFmtId="166" fontId="63" fillId="0" borderId="0" xfId="0" applyNumberFormat="1" applyFont="1" applyFill="1"/>
    <xf numFmtId="164" fontId="16" fillId="0" borderId="3" xfId="2" applyNumberFormat="1" applyFont="1" applyFill="1" applyBorder="1" applyAlignment="1">
      <alignment horizontal="right" vertical="top"/>
    </xf>
    <xf numFmtId="199" fontId="16" fillId="0" borderId="3" xfId="2" applyNumberFormat="1" applyFont="1" applyFill="1" applyBorder="1" applyAlignment="1">
      <alignment horizontal="right" vertical="top"/>
    </xf>
    <xf numFmtId="166" fontId="62" fillId="0" borderId="0" xfId="0" applyNumberFormat="1" applyFont="1" applyFill="1"/>
    <xf numFmtId="164" fontId="19" fillId="0" borderId="3" xfId="2" applyNumberFormat="1" applyFont="1" applyFill="1" applyBorder="1" applyAlignment="1">
      <alignment horizontal="right" vertical="top"/>
    </xf>
    <xf numFmtId="2" fontId="61" fillId="0" borderId="0" xfId="0" applyNumberFormat="1" applyFont="1" applyFill="1"/>
    <xf numFmtId="2" fontId="63" fillId="0" borderId="0" xfId="0" applyNumberFormat="1" applyFont="1" applyFill="1"/>
    <xf numFmtId="166" fontId="49" fillId="0" borderId="3" xfId="0" applyNumberFormat="1" applyFont="1" applyFill="1" applyBorder="1"/>
    <xf numFmtId="166" fontId="49" fillId="0" borderId="12" xfId="0" applyNumberFormat="1" applyFont="1" applyFill="1" applyBorder="1"/>
    <xf numFmtId="2" fontId="49" fillId="0" borderId="3" xfId="0" applyNumberFormat="1" applyFont="1" applyFill="1" applyBorder="1"/>
    <xf numFmtId="2" fontId="49" fillId="0" borderId="12" xfId="0" applyNumberFormat="1" applyFont="1" applyFill="1" applyBorder="1"/>
    <xf numFmtId="0" fontId="66" fillId="0" borderId="12" xfId="0" applyFont="1" applyFill="1" applyBorder="1" applyAlignment="1">
      <alignment horizontal="left" vertical="top"/>
    </xf>
    <xf numFmtId="4" fontId="66" fillId="0" borderId="3" xfId="0" applyNumberFormat="1" applyFont="1" applyFill="1" applyBorder="1" applyAlignment="1">
      <alignment horizontal="right" vertical="top"/>
    </xf>
    <xf numFmtId="206" fontId="66" fillId="0" borderId="3" xfId="0" applyNumberFormat="1" applyFont="1" applyFill="1" applyBorder="1" applyAlignment="1">
      <alignment horizontal="right" vertical="top"/>
    </xf>
    <xf numFmtId="3" fontId="66" fillId="0" borderId="3" xfId="0" applyNumberFormat="1" applyFont="1" applyFill="1" applyBorder="1" applyAlignment="1">
      <alignment horizontal="right" vertical="top"/>
    </xf>
    <xf numFmtId="4" fontId="60" fillId="0" borderId="5" xfId="0" applyNumberFormat="1" applyFont="1" applyFill="1" applyBorder="1" applyAlignment="1">
      <alignment horizontal="right" vertical="top"/>
    </xf>
    <xf numFmtId="206" fontId="60" fillId="0" borderId="5" xfId="0" applyNumberFormat="1" applyFont="1" applyFill="1" applyBorder="1" applyAlignment="1">
      <alignment horizontal="right" vertical="top"/>
    </xf>
    <xf numFmtId="3" fontId="60" fillId="0" borderId="5" xfId="0" applyNumberFormat="1" applyFont="1" applyFill="1" applyBorder="1" applyAlignment="1">
      <alignment horizontal="right" vertical="top"/>
    </xf>
    <xf numFmtId="183" fontId="58" fillId="0" borderId="12" xfId="12" applyFont="1" applyFill="1" applyBorder="1"/>
    <xf numFmtId="183" fontId="58" fillId="0" borderId="25" xfId="12" applyFont="1" applyFill="1" applyBorder="1"/>
    <xf numFmtId="183" fontId="52" fillId="0" borderId="25" xfId="12" applyFont="1" applyFill="1" applyBorder="1"/>
    <xf numFmtId="183" fontId="52" fillId="0" borderId="26" xfId="12" applyFont="1" applyFill="1" applyBorder="1"/>
    <xf numFmtId="183" fontId="74" fillId="0" borderId="0" xfId="12" applyFont="1" applyFill="1"/>
    <xf numFmtId="0" fontId="58" fillId="0" borderId="9" xfId="0" applyFont="1" applyFill="1" applyBorder="1" applyAlignment="1">
      <alignment vertical="center"/>
    </xf>
    <xf numFmtId="184" fontId="75" fillId="0" borderId="9" xfId="12" applyNumberFormat="1" applyFont="1" applyFill="1" applyBorder="1" applyAlignment="1">
      <alignment horizontal="center" vertical="top" wrapText="1"/>
    </xf>
    <xf numFmtId="183" fontId="59" fillId="0" borderId="10" xfId="12" applyFont="1" applyFill="1" applyBorder="1" applyAlignment="1">
      <alignment horizontal="justify" vertical="top" wrapText="1"/>
    </xf>
    <xf numFmtId="183" fontId="0" fillId="0" borderId="0" xfId="0" applyNumberFormat="1" applyFill="1"/>
    <xf numFmtId="0" fontId="58" fillId="0" borderId="12" xfId="0" applyFont="1" applyFill="1" applyBorder="1" applyAlignment="1"/>
    <xf numFmtId="0" fontId="58" fillId="0" borderId="25" xfId="0" applyFont="1" applyFill="1" applyBorder="1" applyAlignment="1"/>
    <xf numFmtId="183" fontId="49" fillId="0" borderId="0" xfId="12" applyFont="1" applyFill="1" applyAlignment="1">
      <alignment vertical="center"/>
    </xf>
    <xf numFmtId="183" fontId="58" fillId="0" borderId="0" xfId="12" applyFont="1" applyFill="1" applyAlignment="1">
      <alignment vertical="center"/>
    </xf>
    <xf numFmtId="183" fontId="50" fillId="0" borderId="0" xfId="12" applyFont="1" applyFill="1" applyAlignment="1">
      <alignment vertical="center"/>
    </xf>
    <xf numFmtId="183" fontId="76" fillId="0" borderId="0" xfId="12" applyFont="1" applyFill="1"/>
    <xf numFmtId="0" fontId="85" fillId="0" borderId="0" xfId="0" applyFont="1" applyFill="1"/>
    <xf numFmtId="49" fontId="2" fillId="0" borderId="0" xfId="0" applyNumberFormat="1" applyFont="1" applyFill="1" applyAlignment="1">
      <alignment horizontal="left"/>
    </xf>
    <xf numFmtId="49" fontId="7" fillId="0" borderId="0" xfId="0" applyNumberFormat="1" applyFont="1" applyFill="1" applyAlignment="1">
      <alignment horizontal="left"/>
    </xf>
    <xf numFmtId="49" fontId="90" fillId="0" borderId="0" xfId="0" applyNumberFormat="1" applyFont="1" applyFill="1" applyAlignment="1">
      <alignment horizontal="left"/>
    </xf>
    <xf numFmtId="49" fontId="6" fillId="0" borderId="0" xfId="0" applyNumberFormat="1" applyFont="1" applyFill="1" applyAlignment="1">
      <alignment horizontal="left"/>
    </xf>
    <xf numFmtId="49" fontId="3" fillId="0" borderId="0" xfId="0" applyNumberFormat="1" applyFont="1" applyFill="1" applyAlignment="1">
      <alignment horizontal="left"/>
    </xf>
    <xf numFmtId="49" fontId="2" fillId="0" borderId="0" xfId="0" applyNumberFormat="1" applyFont="1" applyFill="1" applyAlignment="1">
      <alignment horizontal="left" vertical="center"/>
    </xf>
    <xf numFmtId="49" fontId="2" fillId="0" borderId="2" xfId="0" applyNumberFormat="1" applyFont="1" applyFill="1" applyBorder="1" applyAlignment="1">
      <alignment horizontal="center" vertical="center" wrapText="1"/>
    </xf>
    <xf numFmtId="49" fontId="2" fillId="0" borderId="14" xfId="0" applyNumberFormat="1" applyFont="1" applyFill="1" applyBorder="1" applyAlignment="1">
      <alignment horizontal="center" vertical="center" wrapText="1"/>
    </xf>
    <xf numFmtId="49" fontId="2" fillId="0" borderId="36" xfId="0" applyNumberFormat="1" applyFont="1" applyFill="1" applyBorder="1" applyAlignment="1">
      <alignment horizontal="center" vertical="center" wrapText="1"/>
    </xf>
    <xf numFmtId="49" fontId="2" fillId="0" borderId="37" xfId="0" applyNumberFormat="1" applyFont="1" applyFill="1" applyBorder="1" applyAlignment="1">
      <alignment horizontal="center" vertical="center" wrapText="1"/>
    </xf>
    <xf numFmtId="0" fontId="8" fillId="0" borderId="2" xfId="0" applyFont="1" applyFill="1" applyBorder="1" applyAlignment="1">
      <alignment horizontal="center" vertical="center" wrapText="1"/>
    </xf>
    <xf numFmtId="0" fontId="8" fillId="0" borderId="14" xfId="0" applyFont="1" applyFill="1" applyBorder="1" applyAlignment="1">
      <alignment horizontal="center" vertical="center" wrapText="1"/>
    </xf>
    <xf numFmtId="49" fontId="8" fillId="0" borderId="2" xfId="0" applyNumberFormat="1" applyFont="1" applyFill="1" applyBorder="1" applyAlignment="1">
      <alignment horizontal="center" vertical="center" wrapText="1"/>
    </xf>
    <xf numFmtId="49" fontId="8" fillId="0" borderId="14" xfId="0" applyNumberFormat="1" applyFont="1" applyFill="1" applyBorder="1" applyAlignment="1">
      <alignment horizontal="center" vertical="center" wrapText="1"/>
    </xf>
    <xf numFmtId="49" fontId="38" fillId="0" borderId="0" xfId="0" applyNumberFormat="1" applyFont="1" applyFill="1" applyAlignment="1">
      <alignment horizontal="left"/>
    </xf>
    <xf numFmtId="49" fontId="34" fillId="0" borderId="0" xfId="0" applyNumberFormat="1" applyFont="1" applyFill="1" applyAlignment="1">
      <alignment horizontal="left" vertical="center"/>
    </xf>
    <xf numFmtId="49" fontId="34" fillId="0" borderId="2" xfId="0" applyNumberFormat="1" applyFont="1" applyFill="1" applyBorder="1" applyAlignment="1">
      <alignment horizontal="center" vertical="center"/>
    </xf>
    <xf numFmtId="49" fontId="34" fillId="0" borderId="14" xfId="0" applyNumberFormat="1" applyFont="1" applyFill="1" applyBorder="1" applyAlignment="1">
      <alignment horizontal="center" vertical="center"/>
    </xf>
    <xf numFmtId="49" fontId="34" fillId="0" borderId="13" xfId="0" applyNumberFormat="1" applyFont="1" applyFill="1" applyBorder="1" applyAlignment="1">
      <alignment horizontal="center" vertical="center"/>
    </xf>
    <xf numFmtId="49" fontId="2" fillId="0" borderId="36" xfId="0" applyNumberFormat="1" applyFont="1" applyFill="1" applyBorder="1" applyAlignment="1">
      <alignment horizontal="center" wrapText="1"/>
    </xf>
    <xf numFmtId="49" fontId="34" fillId="0" borderId="38" xfId="0" applyNumberFormat="1" applyFont="1" applyFill="1" applyBorder="1" applyAlignment="1">
      <alignment horizontal="center" wrapText="1"/>
    </xf>
    <xf numFmtId="49" fontId="34" fillId="0" borderId="37" xfId="0" applyNumberFormat="1" applyFont="1" applyFill="1" applyBorder="1" applyAlignment="1">
      <alignment horizontal="center" wrapText="1"/>
    </xf>
    <xf numFmtId="49" fontId="34" fillId="0" borderId="36" xfId="0" applyNumberFormat="1" applyFont="1" applyFill="1" applyBorder="1" applyAlignment="1">
      <alignment horizontal="center" wrapText="1"/>
    </xf>
    <xf numFmtId="49" fontId="34" fillId="0" borderId="36" xfId="0" applyNumberFormat="1" applyFont="1" applyFill="1" applyBorder="1" applyAlignment="1">
      <alignment horizontal="center"/>
    </xf>
    <xf numFmtId="49" fontId="34" fillId="0" borderId="37" xfId="0" applyNumberFormat="1" applyFont="1" applyFill="1" applyBorder="1" applyAlignment="1">
      <alignment horizontal="center"/>
    </xf>
    <xf numFmtId="0" fontId="34" fillId="0" borderId="36" xfId="0" applyFont="1" applyFill="1" applyBorder="1" applyAlignment="1">
      <alignment horizontal="center" vertical="center" wrapText="1"/>
    </xf>
    <xf numFmtId="0" fontId="34" fillId="0" borderId="37" xfId="0" applyFont="1" applyFill="1" applyBorder="1" applyAlignment="1">
      <alignment horizontal="center" vertical="center" wrapText="1"/>
    </xf>
    <xf numFmtId="49" fontId="34" fillId="0" borderId="2" xfId="0" applyNumberFormat="1" applyFont="1" applyFill="1" applyBorder="1" applyAlignment="1">
      <alignment horizontal="center" vertical="center" wrapText="1"/>
    </xf>
    <xf numFmtId="49" fontId="34" fillId="0" borderId="13" xfId="0" applyNumberFormat="1" applyFont="1" applyFill="1" applyBorder="1" applyAlignment="1">
      <alignment horizontal="center" vertical="center" wrapText="1"/>
    </xf>
    <xf numFmtId="49" fontId="36" fillId="0" borderId="2" xfId="0" applyNumberFormat="1" applyFont="1" applyFill="1" applyBorder="1" applyAlignment="1">
      <alignment horizontal="center" vertical="center" wrapText="1"/>
    </xf>
    <xf numFmtId="49" fontId="36" fillId="0" borderId="13" xfId="0" applyNumberFormat="1" applyFont="1" applyFill="1" applyBorder="1" applyAlignment="1">
      <alignment horizontal="center" vertical="center" wrapText="1"/>
    </xf>
    <xf numFmtId="0" fontId="26" fillId="0" borderId="3" xfId="0" applyNumberFormat="1" applyFont="1" applyFill="1" applyBorder="1" applyAlignment="1">
      <alignment horizontal="center"/>
    </xf>
    <xf numFmtId="49" fontId="13" fillId="0" borderId="3" xfId="0" applyNumberFormat="1" applyFont="1" applyFill="1" applyBorder="1" applyAlignment="1">
      <alignment horizontal="center" vertical="center"/>
    </xf>
    <xf numFmtId="49" fontId="13" fillId="0" borderId="3" xfId="0" applyNumberFormat="1" applyFont="1" applyFill="1" applyBorder="1" applyAlignment="1">
      <alignment horizontal="center" wrapText="1"/>
    </xf>
    <xf numFmtId="49" fontId="8" fillId="0" borderId="3" xfId="0" applyNumberFormat="1" applyFont="1" applyFill="1" applyBorder="1" applyAlignment="1">
      <alignment horizontal="center" wrapText="1"/>
    </xf>
    <xf numFmtId="49" fontId="13" fillId="0" borderId="12" xfId="0" applyNumberFormat="1" applyFont="1" applyFill="1" applyBorder="1" applyAlignment="1">
      <alignment horizontal="center" vertical="center"/>
    </xf>
    <xf numFmtId="49" fontId="13" fillId="0" borderId="8" xfId="0" applyNumberFormat="1" applyFont="1" applyFill="1" applyBorder="1" applyAlignment="1">
      <alignment horizontal="center" vertical="center"/>
    </xf>
    <xf numFmtId="49" fontId="17" fillId="0" borderId="0" xfId="0" applyNumberFormat="1" applyFont="1" applyFill="1" applyAlignment="1">
      <alignment horizontal="left" wrapText="1"/>
    </xf>
    <xf numFmtId="0" fontId="17" fillId="0" borderId="0" xfId="0" applyFont="1" applyFill="1" applyAlignment="1">
      <alignment horizontal="left" wrapText="1"/>
    </xf>
    <xf numFmtId="49" fontId="13" fillId="0" borderId="0" xfId="0" applyNumberFormat="1" applyFont="1" applyFill="1" applyAlignment="1">
      <alignment horizontal="left" wrapText="1"/>
    </xf>
    <xf numFmtId="49" fontId="13" fillId="0" borderId="12" xfId="0" applyNumberFormat="1" applyFont="1" applyFill="1" applyBorder="1" applyAlignment="1">
      <alignment horizontal="center"/>
    </xf>
    <xf numFmtId="49" fontId="13" fillId="0" borderId="25" xfId="0" applyNumberFormat="1" applyFont="1" applyFill="1" applyBorder="1" applyAlignment="1">
      <alignment horizontal="center"/>
    </xf>
    <xf numFmtId="49" fontId="13" fillId="0" borderId="8" xfId="0" applyNumberFormat="1" applyFont="1" applyFill="1" applyBorder="1" applyAlignment="1">
      <alignment horizontal="center"/>
    </xf>
    <xf numFmtId="49" fontId="13" fillId="0" borderId="3" xfId="0" applyNumberFormat="1" applyFont="1" applyFill="1" applyBorder="1" applyAlignment="1">
      <alignment horizontal="center" vertical="center" wrapText="1"/>
    </xf>
    <xf numFmtId="49" fontId="13" fillId="0" borderId="10" xfId="0" applyNumberFormat="1" applyFont="1" applyFill="1" applyBorder="1" applyAlignment="1">
      <alignment horizontal="center" vertical="center" wrapText="1"/>
    </xf>
    <xf numFmtId="49" fontId="13" fillId="0" borderId="39" xfId="0" applyNumberFormat="1" applyFont="1" applyFill="1" applyBorder="1" applyAlignment="1">
      <alignment horizontal="center" vertical="center" wrapText="1"/>
    </xf>
    <xf numFmtId="49" fontId="13" fillId="0" borderId="6" xfId="0" applyNumberFormat="1" applyFont="1" applyFill="1" applyBorder="1" applyAlignment="1">
      <alignment horizontal="center" vertical="center" wrapText="1"/>
    </xf>
    <xf numFmtId="49" fontId="13" fillId="0" borderId="40" xfId="0" applyNumberFormat="1" applyFont="1" applyFill="1" applyBorder="1" applyAlignment="1">
      <alignment horizontal="center" vertical="center" wrapText="1"/>
    </xf>
    <xf numFmtId="49" fontId="13" fillId="0" borderId="28" xfId="0" applyNumberFormat="1" applyFont="1" applyFill="1" applyBorder="1" applyAlignment="1">
      <alignment horizontal="center" vertical="center" wrapText="1"/>
    </xf>
    <xf numFmtId="49" fontId="13" fillId="0" borderId="22" xfId="0" applyNumberFormat="1" applyFont="1" applyFill="1" applyBorder="1" applyAlignment="1">
      <alignment horizontal="center" vertical="center" wrapText="1"/>
    </xf>
    <xf numFmtId="49" fontId="13" fillId="0" borderId="0" xfId="0" applyNumberFormat="1" applyFont="1" applyFill="1" applyAlignment="1">
      <alignment horizontal="left"/>
    </xf>
    <xf numFmtId="49" fontId="17" fillId="0" borderId="26" xfId="0" applyNumberFormat="1" applyFont="1" applyFill="1" applyBorder="1" applyAlignment="1">
      <alignment horizontal="left" vertical="center" wrapText="1"/>
    </xf>
    <xf numFmtId="49" fontId="17" fillId="0" borderId="0" xfId="0" applyNumberFormat="1" applyFont="1" applyFill="1" applyAlignment="1">
      <alignment horizontal="left"/>
    </xf>
    <xf numFmtId="49" fontId="17" fillId="0" borderId="0" xfId="0" applyNumberFormat="1" applyFont="1" applyFill="1" applyBorder="1" applyAlignment="1">
      <alignment horizontal="left" vertical="center" wrapText="1"/>
    </xf>
    <xf numFmtId="49" fontId="17" fillId="2" borderId="0" xfId="0" applyNumberFormat="1" applyFont="1" applyFill="1" applyAlignment="1">
      <alignment horizontal="left"/>
    </xf>
    <xf numFmtId="49" fontId="13" fillId="2" borderId="3" xfId="0" applyNumberFormat="1" applyFont="1" applyFill="1" applyBorder="1" applyAlignment="1">
      <alignment horizontal="center" vertical="center" wrapText="1"/>
    </xf>
    <xf numFmtId="49" fontId="13" fillId="2" borderId="3" xfId="0" applyNumberFormat="1" applyFont="1" applyFill="1" applyBorder="1" applyAlignment="1">
      <alignment horizontal="center" wrapText="1"/>
    </xf>
    <xf numFmtId="49" fontId="13" fillId="2" borderId="0" xfId="0" applyNumberFormat="1" applyFont="1" applyFill="1" applyAlignment="1">
      <alignment horizontal="left"/>
    </xf>
    <xf numFmtId="184" fontId="13" fillId="2" borderId="3" xfId="0" applyNumberFormat="1" applyFont="1" applyFill="1" applyBorder="1" applyAlignment="1">
      <alignment horizontal="center" wrapText="1"/>
    </xf>
    <xf numFmtId="49" fontId="18" fillId="2" borderId="26" xfId="0" applyNumberFormat="1" applyFont="1" applyFill="1" applyBorder="1" applyAlignment="1">
      <alignment horizontal="left" vertical="center" wrapText="1"/>
    </xf>
    <xf numFmtId="49" fontId="13" fillId="0" borderId="36" xfId="0" applyNumberFormat="1" applyFont="1" applyFill="1" applyBorder="1" applyAlignment="1">
      <alignment horizontal="center" vertical="center"/>
    </xf>
    <xf numFmtId="49" fontId="13" fillId="0" borderId="37" xfId="0" applyNumberFormat="1" applyFont="1" applyFill="1" applyBorder="1" applyAlignment="1">
      <alignment horizontal="center" vertical="center"/>
    </xf>
    <xf numFmtId="49" fontId="13" fillId="0" borderId="38" xfId="0" applyNumberFormat="1" applyFont="1" applyFill="1" applyBorder="1" applyAlignment="1">
      <alignment horizontal="center" vertical="center"/>
    </xf>
    <xf numFmtId="49" fontId="13" fillId="0" borderId="0" xfId="0" applyNumberFormat="1" applyFont="1" applyFill="1" applyAlignment="1">
      <alignment horizontal="left" vertical="top"/>
    </xf>
    <xf numFmtId="49" fontId="13" fillId="0" borderId="2" xfId="0" applyNumberFormat="1" applyFont="1" applyFill="1" applyBorder="1" applyAlignment="1">
      <alignment horizontal="center" vertical="center" wrapText="1"/>
    </xf>
    <xf numFmtId="49" fontId="13" fillId="0" borderId="14" xfId="0" applyNumberFormat="1" applyFont="1" applyFill="1" applyBorder="1" applyAlignment="1">
      <alignment horizontal="center" vertical="center" wrapText="1"/>
    </xf>
    <xf numFmtId="49" fontId="13" fillId="0" borderId="13" xfId="0" applyNumberFormat="1" applyFont="1" applyFill="1" applyBorder="1" applyAlignment="1">
      <alignment horizontal="center" vertical="center" wrapText="1"/>
    </xf>
    <xf numFmtId="49" fontId="13" fillId="0" borderId="41" xfId="0" applyNumberFormat="1" applyFont="1" applyFill="1" applyBorder="1" applyAlignment="1">
      <alignment horizontal="center" vertical="center"/>
    </xf>
    <xf numFmtId="49" fontId="13" fillId="0" borderId="30" xfId="0" applyNumberFormat="1" applyFont="1" applyFill="1" applyBorder="1" applyAlignment="1">
      <alignment horizontal="center" vertical="center"/>
    </xf>
    <xf numFmtId="49" fontId="13" fillId="0" borderId="42" xfId="0" applyNumberFormat="1" applyFont="1" applyFill="1" applyBorder="1" applyAlignment="1">
      <alignment horizontal="center" vertical="center"/>
    </xf>
    <xf numFmtId="49" fontId="13" fillId="0" borderId="32" xfId="0" applyNumberFormat="1" applyFont="1" applyFill="1" applyBorder="1" applyAlignment="1">
      <alignment horizontal="center" vertical="center"/>
    </xf>
    <xf numFmtId="49" fontId="13" fillId="2" borderId="36" xfId="0" applyNumberFormat="1" applyFont="1" applyFill="1" applyBorder="1" applyAlignment="1">
      <alignment horizontal="center" vertical="center" wrapText="1"/>
    </xf>
    <xf numFmtId="49" fontId="13" fillId="2" borderId="37" xfId="0" applyNumberFormat="1" applyFont="1" applyFill="1" applyBorder="1" applyAlignment="1">
      <alignment horizontal="center" vertical="center" wrapText="1"/>
    </xf>
    <xf numFmtId="49" fontId="13" fillId="2" borderId="0" xfId="0" applyNumberFormat="1" applyFont="1" applyFill="1" applyAlignment="1">
      <alignment horizontal="left" vertical="top"/>
    </xf>
    <xf numFmtId="49" fontId="13" fillId="2" borderId="2" xfId="0" applyNumberFormat="1" applyFont="1" applyFill="1" applyBorder="1" applyAlignment="1">
      <alignment horizontal="center" vertical="center" wrapText="1"/>
    </xf>
    <xf numFmtId="49" fontId="13" fillId="2" borderId="13" xfId="0" applyNumberFormat="1" applyFont="1" applyFill="1" applyBorder="1" applyAlignment="1">
      <alignment horizontal="center" vertical="center" wrapText="1"/>
    </xf>
    <xf numFmtId="184" fontId="18" fillId="0" borderId="0" xfId="0" applyNumberFormat="1" applyFont="1" applyFill="1" applyBorder="1" applyAlignment="1">
      <alignment horizontal="left" vertical="center" wrapText="1"/>
    </xf>
    <xf numFmtId="49" fontId="38" fillId="0" borderId="0" xfId="0" applyNumberFormat="1" applyFont="1" applyFill="1" applyAlignment="1">
      <alignment horizontal="left" wrapText="1"/>
    </xf>
    <xf numFmtId="49" fontId="38" fillId="0" borderId="36" xfId="0" applyNumberFormat="1" applyFont="1" applyFill="1" applyBorder="1" applyAlignment="1">
      <alignment horizontal="center" vertical="center"/>
    </xf>
    <xf numFmtId="49" fontId="38" fillId="0" borderId="37" xfId="0" applyNumberFormat="1" applyFont="1" applyFill="1" applyBorder="1" applyAlignment="1">
      <alignment horizontal="center" vertical="center"/>
    </xf>
    <xf numFmtId="49" fontId="34" fillId="0" borderId="0" xfId="0" applyNumberFormat="1" applyFont="1" applyFill="1" applyAlignment="1">
      <alignment horizontal="left" vertical="top"/>
    </xf>
    <xf numFmtId="49" fontId="38" fillId="0" borderId="2" xfId="0" applyNumberFormat="1" applyFont="1" applyFill="1" applyBorder="1" applyAlignment="1">
      <alignment horizontal="center" vertical="center"/>
    </xf>
    <xf numFmtId="49" fontId="38" fillId="0" borderId="13" xfId="0" applyNumberFormat="1" applyFont="1" applyFill="1" applyBorder="1" applyAlignment="1">
      <alignment horizontal="center" vertical="center"/>
    </xf>
    <xf numFmtId="49" fontId="34" fillId="0" borderId="36" xfId="0" applyNumberFormat="1" applyFont="1" applyFill="1" applyBorder="1" applyAlignment="1">
      <alignment horizontal="center" vertical="center"/>
    </xf>
    <xf numFmtId="49" fontId="34" fillId="0" borderId="37" xfId="0" applyNumberFormat="1" applyFont="1" applyFill="1" applyBorder="1" applyAlignment="1">
      <alignment horizontal="center" vertical="center"/>
    </xf>
    <xf numFmtId="49" fontId="2" fillId="0" borderId="0" xfId="0" applyNumberFormat="1" applyFont="1" applyFill="1" applyAlignment="1">
      <alignment horizontal="left" vertical="top"/>
    </xf>
    <xf numFmtId="49" fontId="2" fillId="0" borderId="0" xfId="0" applyNumberFormat="1" applyFont="1" applyFill="1" applyAlignment="1">
      <alignment horizontal="left" vertical="top" wrapText="1"/>
    </xf>
    <xf numFmtId="49" fontId="34" fillId="0" borderId="0" xfId="0" applyNumberFormat="1" applyFont="1" applyFill="1" applyAlignment="1">
      <alignment horizontal="left" vertical="top" wrapText="1"/>
    </xf>
    <xf numFmtId="49" fontId="34" fillId="0" borderId="2" xfId="0" applyNumberFormat="1" applyFont="1" applyFill="1" applyBorder="1" applyAlignment="1">
      <alignment horizontal="center"/>
    </xf>
    <xf numFmtId="49" fontId="34" fillId="0" borderId="13" xfId="0" applyNumberFormat="1" applyFont="1" applyFill="1" applyBorder="1" applyAlignment="1">
      <alignment horizontal="center"/>
    </xf>
    <xf numFmtId="49" fontId="34" fillId="0" borderId="3" xfId="0" applyNumberFormat="1" applyFont="1" applyFill="1" applyBorder="1" applyAlignment="1">
      <alignment horizontal="center" vertical="center"/>
    </xf>
    <xf numFmtId="49" fontId="34" fillId="0" borderId="3" xfId="0" applyNumberFormat="1" applyFont="1" applyFill="1" applyBorder="1" applyAlignment="1">
      <alignment horizontal="center"/>
    </xf>
    <xf numFmtId="49" fontId="34" fillId="0" borderId="2" xfId="0" applyNumberFormat="1" applyFont="1" applyFill="1" applyBorder="1" applyAlignment="1">
      <alignment horizontal="right"/>
    </xf>
    <xf numFmtId="49" fontId="34" fillId="0" borderId="13" xfId="0" applyNumberFormat="1" applyFont="1" applyFill="1" applyBorder="1" applyAlignment="1">
      <alignment horizontal="right"/>
    </xf>
    <xf numFmtId="49" fontId="34" fillId="0" borderId="38" xfId="0" applyNumberFormat="1" applyFont="1" applyFill="1" applyBorder="1" applyAlignment="1">
      <alignment horizontal="center"/>
    </xf>
    <xf numFmtId="49" fontId="34" fillId="0" borderId="41" xfId="0" applyNumberFormat="1" applyFont="1" applyFill="1" applyBorder="1" applyAlignment="1">
      <alignment horizontal="center" vertical="center"/>
    </xf>
    <xf numFmtId="49" fontId="34" fillId="0" borderId="30" xfId="0" applyNumberFormat="1" applyFont="1" applyFill="1" applyBorder="1" applyAlignment="1">
      <alignment horizontal="center" vertical="center"/>
    </xf>
    <xf numFmtId="49" fontId="34" fillId="0" borderId="42" xfId="0" applyNumberFormat="1" applyFont="1" applyFill="1" applyBorder="1" applyAlignment="1">
      <alignment horizontal="center" vertical="center"/>
    </xf>
    <xf numFmtId="49" fontId="34" fillId="0" borderId="32" xfId="0" applyNumberFormat="1" applyFont="1" applyFill="1" applyBorder="1" applyAlignment="1">
      <alignment horizontal="center" vertical="center"/>
    </xf>
    <xf numFmtId="49" fontId="2" fillId="0" borderId="36" xfId="0" applyNumberFormat="1" applyFont="1" applyFill="1" applyBorder="1" applyAlignment="1">
      <alignment horizontal="center" vertical="center"/>
    </xf>
    <xf numFmtId="49" fontId="2" fillId="0" borderId="37" xfId="0" applyNumberFormat="1" applyFont="1" applyFill="1" applyBorder="1" applyAlignment="1">
      <alignment horizontal="center" vertical="center"/>
    </xf>
    <xf numFmtId="49" fontId="2" fillId="0" borderId="36" xfId="0" applyNumberFormat="1" applyFont="1" applyFill="1" applyBorder="1" applyAlignment="1">
      <alignment horizontal="center"/>
    </xf>
    <xf numFmtId="49" fontId="2" fillId="0" borderId="37" xfId="0" applyNumberFormat="1" applyFont="1" applyFill="1" applyBorder="1" applyAlignment="1">
      <alignment horizontal="center"/>
    </xf>
    <xf numFmtId="49" fontId="36" fillId="2" borderId="0" xfId="0" applyNumberFormat="1" applyFont="1" applyFill="1" applyAlignment="1">
      <alignment horizontal="left" vertical="top" wrapText="1"/>
    </xf>
    <xf numFmtId="49" fontId="38" fillId="2" borderId="0" xfId="0" applyNumberFormat="1" applyFont="1" applyFill="1" applyAlignment="1">
      <alignment horizontal="left"/>
    </xf>
    <xf numFmtId="49" fontId="6" fillId="2" borderId="0" xfId="0" applyNumberFormat="1" applyFont="1" applyFill="1" applyAlignment="1">
      <alignment horizontal="left"/>
    </xf>
    <xf numFmtId="49" fontId="39" fillId="2" borderId="2" xfId="0" applyNumberFormat="1" applyFont="1" applyFill="1" applyBorder="1" applyAlignment="1">
      <alignment horizontal="center" vertical="center" wrapText="1"/>
    </xf>
    <xf numFmtId="49" fontId="39" fillId="2" borderId="13" xfId="0" applyNumberFormat="1" applyFont="1" applyFill="1" applyBorder="1" applyAlignment="1">
      <alignment horizontal="center" vertical="center" wrapText="1"/>
    </xf>
    <xf numFmtId="49" fontId="34" fillId="2" borderId="0" xfId="0" applyNumberFormat="1" applyFont="1" applyFill="1" applyAlignment="1">
      <alignment horizontal="left" vertical="top"/>
    </xf>
    <xf numFmtId="49" fontId="38" fillId="2" borderId="2" xfId="0" applyNumberFormat="1" applyFont="1" applyFill="1" applyBorder="1" applyAlignment="1">
      <alignment horizontal="center" vertical="center" wrapText="1"/>
    </xf>
    <xf numFmtId="49" fontId="38" fillId="2" borderId="13" xfId="0" applyNumberFormat="1" applyFont="1" applyFill="1" applyBorder="1" applyAlignment="1">
      <alignment horizontal="center" vertical="center" wrapText="1"/>
    </xf>
    <xf numFmtId="49" fontId="38" fillId="0" borderId="2" xfId="0" applyNumberFormat="1" applyFont="1" applyFill="1" applyBorder="1" applyAlignment="1">
      <alignment horizontal="center" vertical="center" wrapText="1"/>
    </xf>
    <xf numFmtId="49" fontId="38" fillId="0" borderId="13" xfId="0" applyNumberFormat="1" applyFont="1" applyFill="1" applyBorder="1" applyAlignment="1">
      <alignment horizontal="center" vertical="center" wrapText="1"/>
    </xf>
    <xf numFmtId="49" fontId="38" fillId="2" borderId="36" xfId="0" applyNumberFormat="1" applyFont="1" applyFill="1" applyBorder="1" applyAlignment="1">
      <alignment horizontal="center" vertical="center" wrapText="1"/>
    </xf>
    <xf numFmtId="49" fontId="38" fillId="2" borderId="38" xfId="0" applyNumberFormat="1" applyFont="1" applyFill="1" applyBorder="1" applyAlignment="1">
      <alignment horizontal="center" vertical="center" wrapText="1"/>
    </xf>
    <xf numFmtId="49" fontId="38" fillId="2" borderId="37" xfId="0" applyNumberFormat="1" applyFont="1" applyFill="1" applyBorder="1" applyAlignment="1">
      <alignment horizontal="center" vertical="center" wrapText="1"/>
    </xf>
    <xf numFmtId="49" fontId="38" fillId="2" borderId="0" xfId="0" applyNumberFormat="1" applyFont="1" applyFill="1" applyAlignment="1">
      <alignment horizontal="left" wrapText="1"/>
    </xf>
    <xf numFmtId="49" fontId="34" fillId="2" borderId="36" xfId="0" applyNumberFormat="1" applyFont="1" applyFill="1" applyBorder="1" applyAlignment="1">
      <alignment horizontal="center" vertical="center" wrapText="1"/>
    </xf>
    <xf numFmtId="49" fontId="34" fillId="2" borderId="38" xfId="0" applyNumberFormat="1" applyFont="1" applyFill="1" applyBorder="1" applyAlignment="1">
      <alignment horizontal="center" vertical="center" wrapText="1"/>
    </xf>
    <xf numFmtId="49" fontId="34" fillId="2" borderId="37" xfId="0" applyNumberFormat="1" applyFont="1" applyFill="1" applyBorder="1" applyAlignment="1">
      <alignment horizontal="center" vertical="center" wrapText="1"/>
    </xf>
    <xf numFmtId="49" fontId="6" fillId="2" borderId="0" xfId="0" applyNumberFormat="1" applyFont="1" applyFill="1" applyAlignment="1">
      <alignment horizontal="left" wrapText="1"/>
    </xf>
    <xf numFmtId="49" fontId="36" fillId="2" borderId="2" xfId="0" applyNumberFormat="1" applyFont="1" applyFill="1" applyBorder="1" applyAlignment="1">
      <alignment horizontal="center" vertical="center" wrapText="1"/>
    </xf>
    <xf numFmtId="49" fontId="36" fillId="2" borderId="13" xfId="0" applyNumberFormat="1" applyFont="1" applyFill="1" applyBorder="1" applyAlignment="1">
      <alignment horizontal="center" vertical="center" wrapText="1"/>
    </xf>
    <xf numFmtId="49" fontId="34" fillId="2" borderId="2" xfId="0" applyNumberFormat="1" applyFont="1" applyFill="1" applyBorder="1" applyAlignment="1">
      <alignment horizontal="center" vertical="center" wrapText="1"/>
    </xf>
    <xf numFmtId="49" fontId="34" fillId="2" borderId="13" xfId="0" applyNumberFormat="1" applyFont="1" applyFill="1" applyBorder="1" applyAlignment="1">
      <alignment horizontal="center" vertical="center" wrapText="1"/>
    </xf>
    <xf numFmtId="49" fontId="39" fillId="0" borderId="2" xfId="0" applyNumberFormat="1" applyFont="1" applyFill="1" applyBorder="1" applyAlignment="1">
      <alignment horizontal="center" vertical="center" wrapText="1"/>
    </xf>
    <xf numFmtId="49" fontId="39" fillId="0" borderId="13" xfId="0" applyNumberFormat="1" applyFont="1" applyFill="1" applyBorder="1" applyAlignment="1">
      <alignment horizontal="center" vertical="center" wrapText="1"/>
    </xf>
    <xf numFmtId="49" fontId="38" fillId="0" borderId="36" xfId="0" applyNumberFormat="1" applyFont="1" applyFill="1" applyBorder="1" applyAlignment="1">
      <alignment horizontal="center" vertical="center" wrapText="1"/>
    </xf>
    <xf numFmtId="49" fontId="38" fillId="0" borderId="38" xfId="0" applyNumberFormat="1" applyFont="1" applyFill="1" applyBorder="1" applyAlignment="1">
      <alignment horizontal="center" vertical="center" wrapText="1"/>
    </xf>
    <xf numFmtId="49" fontId="38" fillId="0" borderId="37" xfId="0" applyNumberFormat="1" applyFont="1" applyFill="1" applyBorder="1" applyAlignment="1">
      <alignment horizontal="center" vertical="center" wrapText="1"/>
    </xf>
    <xf numFmtId="49" fontId="34" fillId="0" borderId="0" xfId="0" applyNumberFormat="1" applyFont="1" applyFill="1" applyAlignment="1">
      <alignment horizontal="left"/>
    </xf>
    <xf numFmtId="49" fontId="6" fillId="0" borderId="43" xfId="0" applyNumberFormat="1" applyFont="1" applyFill="1" applyBorder="1" applyAlignment="1">
      <alignment horizontal="left" wrapText="1"/>
    </xf>
    <xf numFmtId="49" fontId="6" fillId="0" borderId="44" xfId="0" applyNumberFormat="1" applyFont="1" applyFill="1" applyBorder="1" applyAlignment="1">
      <alignment horizontal="left" wrapText="1"/>
    </xf>
    <xf numFmtId="49" fontId="6" fillId="0" borderId="45" xfId="0" applyNumberFormat="1" applyFont="1" applyFill="1" applyBorder="1" applyAlignment="1">
      <alignment horizontal="left" wrapText="1"/>
    </xf>
    <xf numFmtId="49" fontId="38" fillId="0" borderId="43" xfId="0" applyNumberFormat="1" applyFont="1" applyFill="1" applyBorder="1" applyAlignment="1">
      <alignment horizontal="left" wrapText="1"/>
    </xf>
    <xf numFmtId="49" fontId="38" fillId="0" borderId="44" xfId="0" applyNumberFormat="1" applyFont="1" applyFill="1" applyBorder="1" applyAlignment="1">
      <alignment horizontal="left" wrapText="1"/>
    </xf>
    <xf numFmtId="49" fontId="38" fillId="0" borderId="45" xfId="0" applyNumberFormat="1" applyFont="1" applyFill="1" applyBorder="1" applyAlignment="1">
      <alignment horizontal="left" wrapText="1"/>
    </xf>
    <xf numFmtId="49" fontId="2" fillId="0" borderId="36" xfId="0" applyNumberFormat="1" applyFont="1" applyFill="1" applyBorder="1" applyAlignment="1">
      <alignment horizontal="right" vertical="center"/>
    </xf>
    <xf numFmtId="49" fontId="34" fillId="0" borderId="38" xfId="0" applyNumberFormat="1" applyFont="1" applyFill="1" applyBorder="1" applyAlignment="1">
      <alignment horizontal="right" vertical="center"/>
    </xf>
    <xf numFmtId="49" fontId="34" fillId="0" borderId="37" xfId="0" applyNumberFormat="1" applyFont="1" applyFill="1" applyBorder="1" applyAlignment="1">
      <alignment horizontal="right" vertical="center"/>
    </xf>
    <xf numFmtId="49" fontId="34" fillId="2" borderId="2" xfId="0" applyNumberFormat="1" applyFont="1" applyFill="1" applyBorder="1" applyAlignment="1">
      <alignment horizontal="center" vertical="center"/>
    </xf>
    <xf numFmtId="49" fontId="34" fillId="2" borderId="13" xfId="0" applyNumberFormat="1" applyFont="1" applyFill="1" applyBorder="1" applyAlignment="1">
      <alignment horizontal="center" vertical="center"/>
    </xf>
    <xf numFmtId="49" fontId="34" fillId="2" borderId="36" xfId="0" applyNumberFormat="1" applyFont="1" applyFill="1" applyBorder="1" applyAlignment="1">
      <alignment horizontal="center"/>
    </xf>
    <xf numFmtId="49" fontId="34" fillId="2" borderId="38" xfId="0" applyNumberFormat="1" applyFont="1" applyFill="1" applyBorder="1" applyAlignment="1">
      <alignment horizontal="center"/>
    </xf>
    <xf numFmtId="49" fontId="34" fillId="2" borderId="37" xfId="0" applyNumberFormat="1" applyFont="1" applyFill="1" applyBorder="1" applyAlignment="1">
      <alignment horizontal="center"/>
    </xf>
    <xf numFmtId="49" fontId="38" fillId="2" borderId="2" xfId="0" applyNumberFormat="1" applyFont="1" applyFill="1" applyBorder="1" applyAlignment="1">
      <alignment horizontal="center" vertical="top"/>
    </xf>
    <xf numFmtId="49" fontId="38" fillId="2" borderId="13" xfId="0" applyNumberFormat="1" applyFont="1" applyFill="1" applyBorder="1" applyAlignment="1">
      <alignment horizontal="center" vertical="top"/>
    </xf>
    <xf numFmtId="49" fontId="38" fillId="2" borderId="36" xfId="0" applyNumberFormat="1" applyFont="1" applyFill="1" applyBorder="1" applyAlignment="1">
      <alignment horizontal="center"/>
    </xf>
    <xf numFmtId="49" fontId="38" fillId="2" borderId="38" xfId="0" applyNumberFormat="1" applyFont="1" applyFill="1" applyBorder="1" applyAlignment="1">
      <alignment horizontal="center"/>
    </xf>
    <xf numFmtId="49" fontId="38" fillId="2" borderId="37" xfId="0" applyNumberFormat="1" applyFont="1" applyFill="1" applyBorder="1" applyAlignment="1">
      <alignment horizontal="center"/>
    </xf>
    <xf numFmtId="49" fontId="6" fillId="2" borderId="43" xfId="0" applyNumberFormat="1" applyFont="1" applyFill="1" applyBorder="1" applyAlignment="1">
      <alignment horizontal="left"/>
    </xf>
    <xf numFmtId="49" fontId="6" fillId="2" borderId="44" xfId="0" applyNumberFormat="1" applyFont="1" applyFill="1" applyBorder="1" applyAlignment="1">
      <alignment horizontal="left"/>
    </xf>
    <xf numFmtId="49" fontId="6" fillId="2" borderId="45" xfId="0" applyNumberFormat="1" applyFont="1" applyFill="1" applyBorder="1" applyAlignment="1">
      <alignment horizontal="left"/>
    </xf>
    <xf numFmtId="49" fontId="38" fillId="2" borderId="43" xfId="0" applyNumberFormat="1" applyFont="1" applyFill="1" applyBorder="1" applyAlignment="1">
      <alignment horizontal="left"/>
    </xf>
    <xf numFmtId="49" fontId="38" fillId="2" borderId="44" xfId="0" applyNumberFormat="1" applyFont="1" applyFill="1" applyBorder="1" applyAlignment="1">
      <alignment horizontal="left"/>
    </xf>
    <xf numFmtId="49" fontId="38" fillId="2" borderId="45" xfId="0" applyNumberFormat="1" applyFont="1" applyFill="1" applyBorder="1" applyAlignment="1">
      <alignment horizontal="left"/>
    </xf>
    <xf numFmtId="49" fontId="6" fillId="0" borderId="0" xfId="0" applyNumberFormat="1" applyFont="1" applyFill="1" applyAlignment="1">
      <alignment horizontal="left" wrapText="1"/>
    </xf>
    <xf numFmtId="49" fontId="38" fillId="0" borderId="0" xfId="0" applyNumberFormat="1" applyFont="1" applyFill="1" applyAlignment="1">
      <alignment horizontal="left" vertical="center"/>
    </xf>
    <xf numFmtId="49" fontId="6" fillId="0" borderId="0" xfId="0" applyNumberFormat="1" applyFont="1" applyFill="1" applyAlignment="1">
      <alignment horizontal="left" vertical="center"/>
    </xf>
    <xf numFmtId="49" fontId="34" fillId="0" borderId="36" xfId="0" applyNumberFormat="1" applyFont="1" applyFill="1" applyBorder="1" applyAlignment="1">
      <alignment horizontal="center" vertical="center" wrapText="1"/>
    </xf>
    <xf numFmtId="49" fontId="34" fillId="0" borderId="38" xfId="0" applyNumberFormat="1" applyFont="1" applyFill="1" applyBorder="1" applyAlignment="1">
      <alignment horizontal="center" vertical="center" wrapText="1"/>
    </xf>
    <xf numFmtId="49" fontId="34" fillId="0" borderId="37" xfId="0" applyNumberFormat="1" applyFont="1" applyFill="1" applyBorder="1" applyAlignment="1">
      <alignment horizontal="center" vertical="center" wrapText="1"/>
    </xf>
    <xf numFmtId="49" fontId="34" fillId="0" borderId="38" xfId="0" applyNumberFormat="1" applyFont="1" applyFill="1" applyBorder="1" applyAlignment="1">
      <alignment horizontal="center" vertical="center"/>
    </xf>
    <xf numFmtId="49" fontId="6" fillId="0" borderId="0" xfId="0" applyNumberFormat="1" applyFont="1" applyFill="1" applyAlignment="1">
      <alignment horizontal="left" vertical="center" wrapText="1"/>
    </xf>
    <xf numFmtId="49" fontId="38" fillId="0" borderId="0" xfId="0" applyNumberFormat="1" applyFont="1" applyFill="1" applyAlignment="1">
      <alignment horizontal="left" vertical="center" wrapText="1"/>
    </xf>
    <xf numFmtId="49" fontId="34" fillId="2" borderId="0" xfId="0" applyNumberFormat="1" applyFont="1" applyFill="1" applyAlignment="1">
      <alignment horizontal="left"/>
    </xf>
    <xf numFmtId="49" fontId="34" fillId="2" borderId="14" xfId="0" applyNumberFormat="1" applyFont="1" applyFill="1" applyBorder="1" applyAlignment="1">
      <alignment horizontal="center" vertical="center" wrapText="1"/>
    </xf>
    <xf numFmtId="49" fontId="34" fillId="2" borderId="41" xfId="0" applyNumberFormat="1" applyFont="1" applyFill="1" applyBorder="1" applyAlignment="1">
      <alignment horizontal="center" vertical="center"/>
    </xf>
    <xf numFmtId="49" fontId="34" fillId="2" borderId="30" xfId="0" applyNumberFormat="1" applyFont="1" applyFill="1" applyBorder="1" applyAlignment="1">
      <alignment horizontal="center" vertical="center"/>
    </xf>
    <xf numFmtId="49" fontId="34" fillId="2" borderId="42" xfId="0" applyNumberFormat="1" applyFont="1" applyFill="1" applyBorder="1" applyAlignment="1">
      <alignment horizontal="center" vertical="center"/>
    </xf>
    <xf numFmtId="49" fontId="34" fillId="2" borderId="32" xfId="0" applyNumberFormat="1" applyFont="1" applyFill="1" applyBorder="1" applyAlignment="1">
      <alignment horizontal="center" vertical="center"/>
    </xf>
    <xf numFmtId="49" fontId="34" fillId="2" borderId="36" xfId="0" applyNumberFormat="1" applyFont="1" applyFill="1" applyBorder="1" applyAlignment="1">
      <alignment horizontal="center" vertical="center"/>
    </xf>
    <xf numFmtId="49" fontId="34" fillId="2" borderId="38" xfId="0" applyNumberFormat="1" applyFont="1" applyFill="1" applyBorder="1" applyAlignment="1">
      <alignment horizontal="center" vertical="center"/>
    </xf>
    <xf numFmtId="49" fontId="34" fillId="2" borderId="37" xfId="0" applyNumberFormat="1" applyFont="1" applyFill="1" applyBorder="1" applyAlignment="1">
      <alignment horizontal="center" vertical="center"/>
    </xf>
    <xf numFmtId="49" fontId="34" fillId="2" borderId="41" xfId="0" applyNumberFormat="1" applyFont="1" applyFill="1" applyBorder="1" applyAlignment="1">
      <alignment horizontal="center" vertical="center" wrapText="1"/>
    </xf>
    <xf numFmtId="49" fontId="34" fillId="2" borderId="30" xfId="0" applyNumberFormat="1" applyFont="1" applyFill="1" applyBorder="1" applyAlignment="1">
      <alignment horizontal="center" vertical="center" wrapText="1"/>
    </xf>
    <xf numFmtId="49" fontId="34" fillId="2" borderId="42" xfId="0" applyNumberFormat="1" applyFont="1" applyFill="1" applyBorder="1" applyAlignment="1">
      <alignment horizontal="center" vertical="center" wrapText="1"/>
    </xf>
    <xf numFmtId="49" fontId="34" fillId="2" borderId="32" xfId="0" applyNumberFormat="1" applyFont="1" applyFill="1" applyBorder="1" applyAlignment="1">
      <alignment horizontal="center" vertical="center" wrapText="1"/>
    </xf>
    <xf numFmtId="0" fontId="34" fillId="0" borderId="2" xfId="0" applyFont="1" applyFill="1" applyBorder="1" applyAlignment="1">
      <alignment horizontal="center" vertical="center" wrapText="1"/>
    </xf>
    <xf numFmtId="0" fontId="34" fillId="0" borderId="13" xfId="0" applyFont="1" applyFill="1" applyBorder="1" applyAlignment="1">
      <alignment horizontal="center" vertical="center" wrapText="1"/>
    </xf>
    <xf numFmtId="49" fontId="36" fillId="0" borderId="0" xfId="0" applyNumberFormat="1" applyFont="1" applyFill="1" applyAlignment="1">
      <alignment horizontal="left" vertical="top"/>
    </xf>
    <xf numFmtId="49" fontId="34" fillId="0" borderId="14" xfId="0" applyNumberFormat="1" applyFont="1" applyFill="1" applyBorder="1" applyAlignment="1">
      <alignment horizontal="center" vertical="center" wrapText="1"/>
    </xf>
    <xf numFmtId="49" fontId="42" fillId="2" borderId="0" xfId="0" applyNumberFormat="1" applyFont="1" applyFill="1" applyAlignment="1">
      <alignment horizontal="left" vertical="top"/>
    </xf>
    <xf numFmtId="49" fontId="38" fillId="0" borderId="12" xfId="0" applyNumberFormat="1" applyFont="1" applyFill="1" applyBorder="1" applyAlignment="1">
      <alignment horizontal="right"/>
    </xf>
    <xf numFmtId="49" fontId="38" fillId="0" borderId="25" xfId="0" applyNumberFormat="1" applyFont="1" applyFill="1" applyBorder="1" applyAlignment="1">
      <alignment horizontal="right"/>
    </xf>
    <xf numFmtId="49" fontId="38" fillId="0" borderId="8" xfId="0" applyNumberFormat="1" applyFont="1" applyFill="1" applyBorder="1" applyAlignment="1">
      <alignment horizontal="right"/>
    </xf>
    <xf numFmtId="49" fontId="38" fillId="0" borderId="36" xfId="0" applyNumberFormat="1" applyFont="1" applyFill="1" applyBorder="1" applyAlignment="1">
      <alignment horizontal="right"/>
    </xf>
    <xf numFmtId="49" fontId="38" fillId="0" borderId="38" xfId="0" applyNumberFormat="1" applyFont="1" applyFill="1" applyBorder="1" applyAlignment="1">
      <alignment horizontal="right"/>
    </xf>
    <xf numFmtId="49" fontId="34" fillId="2" borderId="14" xfId="0" applyNumberFormat="1" applyFont="1" applyFill="1" applyBorder="1" applyAlignment="1">
      <alignment horizontal="center" vertical="center"/>
    </xf>
    <xf numFmtId="49" fontId="34" fillId="2" borderId="41" xfId="0" applyNumberFormat="1" applyFont="1" applyFill="1" applyBorder="1" applyAlignment="1">
      <alignment horizontal="center"/>
    </xf>
    <xf numFmtId="49" fontId="34" fillId="2" borderId="30" xfId="0" applyNumberFormat="1" applyFont="1" applyFill="1" applyBorder="1" applyAlignment="1">
      <alignment horizontal="center"/>
    </xf>
    <xf numFmtId="49" fontId="34" fillId="2" borderId="42" xfId="0" applyNumberFormat="1" applyFont="1" applyFill="1" applyBorder="1" applyAlignment="1">
      <alignment horizontal="center"/>
    </xf>
    <xf numFmtId="49" fontId="34" fillId="2" borderId="32" xfId="0" applyNumberFormat="1" applyFont="1" applyFill="1" applyBorder="1" applyAlignment="1">
      <alignment horizontal="center"/>
    </xf>
    <xf numFmtId="49" fontId="34" fillId="2" borderId="41" xfId="0" applyNumberFormat="1" applyFont="1" applyFill="1" applyBorder="1" applyAlignment="1">
      <alignment horizontal="center" wrapText="1"/>
    </xf>
    <xf numFmtId="49" fontId="34" fillId="2" borderId="30" xfId="0" applyNumberFormat="1" applyFont="1" applyFill="1" applyBorder="1" applyAlignment="1">
      <alignment horizontal="center" wrapText="1"/>
    </xf>
    <xf numFmtId="49" fontId="34" fillId="2" borderId="42" xfId="0" applyNumberFormat="1" applyFont="1" applyFill="1" applyBorder="1" applyAlignment="1">
      <alignment horizontal="center" wrapText="1"/>
    </xf>
    <xf numFmtId="49" fontId="34" fillId="2" borderId="32" xfId="0" applyNumberFormat="1" applyFont="1" applyFill="1" applyBorder="1" applyAlignment="1">
      <alignment horizontal="center" wrapText="1"/>
    </xf>
    <xf numFmtId="49" fontId="38" fillId="2" borderId="14" xfId="0" applyNumberFormat="1" applyFont="1" applyFill="1" applyBorder="1" applyAlignment="1">
      <alignment horizontal="center" vertical="center" wrapText="1"/>
    </xf>
    <xf numFmtId="49" fontId="38" fillId="2" borderId="36" xfId="0" applyNumberFormat="1" applyFont="1" applyFill="1" applyBorder="1" applyAlignment="1">
      <alignment horizontal="center" vertical="center"/>
    </xf>
    <xf numFmtId="49" fontId="38" fillId="2" borderId="37" xfId="0" applyNumberFormat="1" applyFont="1" applyFill="1" applyBorder="1" applyAlignment="1">
      <alignment horizontal="center" vertical="center"/>
    </xf>
    <xf numFmtId="49" fontId="38" fillId="2" borderId="38" xfId="0" applyNumberFormat="1" applyFont="1" applyFill="1" applyBorder="1" applyAlignment="1">
      <alignment horizontal="center" vertical="center"/>
    </xf>
    <xf numFmtId="0" fontId="38" fillId="2" borderId="36" xfId="0" applyFont="1" applyFill="1" applyBorder="1" applyAlignment="1">
      <alignment horizontal="center" vertical="center" wrapText="1"/>
    </xf>
    <xf numFmtId="0" fontId="38" fillId="2" borderId="37" xfId="0" applyFont="1" applyFill="1" applyBorder="1" applyAlignment="1">
      <alignment horizontal="center" vertical="center" wrapText="1"/>
    </xf>
    <xf numFmtId="0" fontId="38" fillId="2" borderId="2" xfId="0" applyFont="1" applyFill="1" applyBorder="1" applyAlignment="1">
      <alignment horizontal="center" vertical="center" wrapText="1"/>
    </xf>
    <xf numFmtId="0" fontId="38" fillId="2" borderId="13" xfId="0" applyFont="1" applyFill="1" applyBorder="1" applyAlignment="1">
      <alignment horizontal="center" vertical="center" wrapText="1"/>
    </xf>
    <xf numFmtId="0" fontId="39" fillId="2" borderId="2" xfId="0" applyFont="1" applyFill="1" applyBorder="1" applyAlignment="1">
      <alignment horizontal="center" vertical="center" wrapText="1"/>
    </xf>
    <xf numFmtId="0" fontId="39" fillId="2" borderId="13" xfId="0" applyFont="1" applyFill="1" applyBorder="1" applyAlignment="1">
      <alignment horizontal="center" vertical="center" wrapText="1"/>
    </xf>
    <xf numFmtId="49" fontId="38" fillId="2" borderId="46" xfId="0" applyNumberFormat="1" applyFont="1" applyFill="1" applyBorder="1" applyAlignment="1">
      <alignment horizontal="center" vertical="center"/>
    </xf>
    <xf numFmtId="0" fontId="38" fillId="2" borderId="46" xfId="0" applyFont="1" applyFill="1" applyBorder="1" applyAlignment="1">
      <alignment horizontal="center" vertical="center" wrapText="1"/>
    </xf>
    <xf numFmtId="0" fontId="38" fillId="2" borderId="30" xfId="0" applyFont="1" applyFill="1" applyBorder="1" applyAlignment="1">
      <alignment horizontal="center" vertical="center" wrapText="1"/>
    </xf>
    <xf numFmtId="49" fontId="39" fillId="2" borderId="0" xfId="0" applyNumberFormat="1" applyFont="1" applyFill="1" applyAlignment="1">
      <alignment horizontal="center" vertical="center" wrapText="1"/>
    </xf>
    <xf numFmtId="49" fontId="36" fillId="0" borderId="36" xfId="0" applyNumberFormat="1" applyFont="1" applyFill="1" applyBorder="1" applyAlignment="1">
      <alignment horizontal="center"/>
    </xf>
    <xf numFmtId="49" fontId="36" fillId="0" borderId="38" xfId="0" applyNumberFormat="1" applyFont="1" applyFill="1" applyBorder="1" applyAlignment="1">
      <alignment horizontal="center"/>
    </xf>
    <xf numFmtId="49" fontId="36" fillId="0" borderId="37" xfId="0" applyNumberFormat="1" applyFont="1" applyFill="1" applyBorder="1" applyAlignment="1">
      <alignment horizontal="center"/>
    </xf>
    <xf numFmtId="49" fontId="2" fillId="2" borderId="0" xfId="0" applyNumberFormat="1" applyFont="1" applyFill="1" applyAlignment="1">
      <alignment horizontal="left" vertical="top"/>
    </xf>
    <xf numFmtId="49" fontId="2" fillId="2" borderId="2" xfId="0" applyNumberFormat="1" applyFont="1" applyFill="1" applyBorder="1" applyAlignment="1">
      <alignment horizontal="center" vertical="center"/>
    </xf>
    <xf numFmtId="49" fontId="36" fillId="2" borderId="36" xfId="0" applyNumberFormat="1" applyFont="1" applyFill="1" applyBorder="1" applyAlignment="1">
      <alignment horizontal="center"/>
    </xf>
    <xf numFmtId="49" fontId="36" fillId="2" borderId="38" xfId="0" applyNumberFormat="1" applyFont="1" applyFill="1" applyBorder="1" applyAlignment="1">
      <alignment horizontal="center"/>
    </xf>
    <xf numFmtId="49" fontId="36" fillId="2" borderId="37" xfId="0" applyNumberFormat="1" applyFont="1" applyFill="1" applyBorder="1" applyAlignment="1">
      <alignment horizontal="center"/>
    </xf>
    <xf numFmtId="0" fontId="34" fillId="0" borderId="36" xfId="0" applyFont="1" applyFill="1" applyBorder="1" applyAlignment="1">
      <alignment horizontal="center" wrapText="1"/>
    </xf>
    <xf numFmtId="0" fontId="34" fillId="0" borderId="38" xfId="0" applyFont="1" applyFill="1" applyBorder="1" applyAlignment="1">
      <alignment horizontal="center" wrapText="1"/>
    </xf>
    <xf numFmtId="0" fontId="34" fillId="0" borderId="37" xfId="0" applyFont="1" applyFill="1" applyBorder="1" applyAlignment="1">
      <alignment horizontal="center" wrapText="1"/>
    </xf>
    <xf numFmtId="49" fontId="8" fillId="0" borderId="0" xfId="0" applyNumberFormat="1" applyFont="1" applyFill="1" applyAlignment="1">
      <alignment horizontal="left" vertical="top"/>
    </xf>
    <xf numFmtId="49" fontId="8" fillId="0" borderId="0" xfId="0" applyNumberFormat="1" applyFont="1" applyFill="1" applyAlignment="1">
      <alignment horizontal="left" vertical="top" wrapText="1"/>
    </xf>
    <xf numFmtId="49" fontId="36" fillId="0" borderId="0" xfId="0" applyNumberFormat="1" applyFont="1" applyFill="1" applyAlignment="1">
      <alignment horizontal="left" vertical="top" wrapText="1"/>
    </xf>
    <xf numFmtId="49" fontId="3" fillId="0" borderId="0" xfId="0" applyNumberFormat="1" applyFont="1" applyFill="1" applyAlignment="1">
      <alignment horizontal="left" wrapText="1"/>
    </xf>
    <xf numFmtId="0" fontId="34" fillId="2" borderId="36" xfId="0" applyFont="1" applyFill="1" applyBorder="1" applyAlignment="1">
      <alignment horizontal="center" vertical="center" wrapText="1"/>
    </xf>
    <xf numFmtId="0" fontId="34" fillId="2" borderId="37" xfId="0" applyFont="1" applyFill="1" applyBorder="1" applyAlignment="1">
      <alignment horizontal="center" vertical="center" wrapText="1"/>
    </xf>
    <xf numFmtId="49" fontId="36" fillId="0" borderId="0" xfId="0" applyNumberFormat="1" applyFont="1" applyFill="1" applyAlignment="1">
      <alignment horizontal="left"/>
    </xf>
    <xf numFmtId="184" fontId="51" fillId="0" borderId="3" xfId="0" applyNumberFormat="1" applyFont="1" applyFill="1" applyBorder="1" applyAlignment="1">
      <alignment horizontal="center" wrapText="1"/>
    </xf>
    <xf numFmtId="0" fontId="51" fillId="0" borderId="0" xfId="0" applyFont="1" applyFill="1" applyAlignment="1">
      <alignment horizontal="left" vertical="center" wrapText="1"/>
    </xf>
    <xf numFmtId="0" fontId="28" fillId="0" borderId="3" xfId="10" applyFont="1" applyFill="1" applyBorder="1" applyAlignment="1">
      <alignment horizontal="center" vertical="center"/>
    </xf>
    <xf numFmtId="0" fontId="28" fillId="0" borderId="3" xfId="10" applyFont="1" applyFill="1" applyBorder="1" applyAlignment="1">
      <alignment horizontal="center" vertical="center" wrapText="1"/>
    </xf>
    <xf numFmtId="0" fontId="28" fillId="0" borderId="3" xfId="0" applyFont="1" applyFill="1" applyBorder="1" applyAlignment="1">
      <alignment horizontal="center" wrapText="1"/>
    </xf>
    <xf numFmtId="49" fontId="36" fillId="0" borderId="0" xfId="0" applyNumberFormat="1" applyFont="1" applyFill="1" applyAlignment="1">
      <alignment horizontal="left" vertical="center"/>
    </xf>
    <xf numFmtId="49" fontId="38" fillId="0" borderId="38" xfId="0" applyNumberFormat="1" applyFont="1" applyFill="1" applyBorder="1" applyAlignment="1">
      <alignment horizontal="center" vertical="center"/>
    </xf>
    <xf numFmtId="188" fontId="81" fillId="0" borderId="0" xfId="1" applyNumberFormat="1" applyFont="1" applyFill="1" applyBorder="1" applyAlignment="1">
      <alignment horizontal="right" vertical="center" wrapText="1"/>
    </xf>
    <xf numFmtId="49" fontId="8" fillId="0" borderId="6" xfId="0" applyNumberFormat="1" applyFont="1" applyFill="1" applyBorder="1" applyAlignment="1">
      <alignment horizontal="center"/>
    </xf>
    <xf numFmtId="49" fontId="8" fillId="0" borderId="0" xfId="0" applyNumberFormat="1" applyFont="1" applyFill="1" applyBorder="1" applyAlignment="1">
      <alignment horizontal="center"/>
    </xf>
    <xf numFmtId="49" fontId="8" fillId="0" borderId="31" xfId="0" applyNumberFormat="1" applyFont="1" applyFill="1" applyBorder="1" applyAlignment="1">
      <alignment horizontal="center"/>
    </xf>
    <xf numFmtId="176" fontId="40" fillId="0" borderId="36" xfId="0" applyNumberFormat="1" applyFont="1" applyFill="1" applyBorder="1" applyAlignment="1">
      <alignment horizontal="right"/>
    </xf>
    <xf numFmtId="176" fontId="40" fillId="0" borderId="37" xfId="0" applyNumberFormat="1" applyFont="1" applyFill="1" applyBorder="1" applyAlignment="1">
      <alignment horizontal="right"/>
    </xf>
    <xf numFmtId="0" fontId="6" fillId="0" borderId="0" xfId="0" applyFont="1" applyFill="1" applyAlignment="1">
      <alignment horizontal="left" wrapText="1"/>
    </xf>
    <xf numFmtId="49" fontId="38" fillId="0" borderId="41" xfId="0" applyNumberFormat="1" applyFont="1" applyFill="1" applyBorder="1" applyAlignment="1">
      <alignment horizontal="center" vertical="center"/>
    </xf>
    <xf numFmtId="49" fontId="38" fillId="0" borderId="42" xfId="0" applyNumberFormat="1" applyFont="1" applyFill="1" applyBorder="1" applyAlignment="1">
      <alignment horizontal="center" vertical="center"/>
    </xf>
    <xf numFmtId="0" fontId="6" fillId="2" borderId="0" xfId="0" applyFont="1" applyFill="1" applyAlignment="1">
      <alignment horizontal="left" wrapText="1"/>
    </xf>
    <xf numFmtId="49" fontId="38" fillId="0" borderId="36" xfId="0" applyNumberFormat="1" applyFont="1" applyFill="1" applyBorder="1" applyAlignment="1">
      <alignment horizontal="left" vertical="center"/>
    </xf>
    <xf numFmtId="49" fontId="38" fillId="0" borderId="38" xfId="0" applyNumberFormat="1" applyFont="1" applyFill="1" applyBorder="1" applyAlignment="1">
      <alignment horizontal="left" vertical="center"/>
    </xf>
    <xf numFmtId="49" fontId="38" fillId="0" borderId="37" xfId="0" applyNumberFormat="1" applyFont="1" applyFill="1" applyBorder="1" applyAlignment="1">
      <alignment horizontal="left" vertical="center"/>
    </xf>
    <xf numFmtId="0" fontId="50" fillId="0" borderId="7" xfId="0" applyNumberFormat="1" applyFont="1" applyFill="1" applyBorder="1" applyAlignment="1">
      <alignment horizontal="left" vertical="center" wrapText="1"/>
    </xf>
    <xf numFmtId="0" fontId="50" fillId="0" borderId="49" xfId="0" applyNumberFormat="1" applyFont="1" applyFill="1" applyBorder="1" applyAlignment="1">
      <alignment horizontal="left" vertical="center" wrapText="1"/>
    </xf>
    <xf numFmtId="0" fontId="50" fillId="0" borderId="50" xfId="0" applyNumberFormat="1" applyFont="1" applyFill="1" applyBorder="1" applyAlignment="1">
      <alignment horizontal="center" vertical="center"/>
    </xf>
    <xf numFmtId="0" fontId="50" fillId="0" borderId="7" xfId="0" applyNumberFormat="1" applyFont="1" applyFill="1" applyBorder="1" applyAlignment="1">
      <alignment horizontal="center" vertical="center"/>
    </xf>
    <xf numFmtId="0" fontId="50" fillId="0" borderId="47" xfId="0" applyNumberFormat="1" applyFont="1" applyFill="1" applyBorder="1" applyAlignment="1">
      <alignment horizontal="center" vertical="center"/>
    </xf>
    <xf numFmtId="0" fontId="50" fillId="0" borderId="3" xfId="0" applyNumberFormat="1" applyFont="1" applyFill="1" applyBorder="1" applyAlignment="1">
      <alignment horizontal="center" vertical="center"/>
    </xf>
    <xf numFmtId="0" fontId="48" fillId="0" borderId="47" xfId="0" applyNumberFormat="1" applyFont="1" applyFill="1" applyBorder="1" applyAlignment="1">
      <alignment horizontal="center" vertical="center"/>
    </xf>
    <xf numFmtId="0" fontId="48" fillId="0" borderId="48" xfId="0" applyNumberFormat="1" applyFont="1" applyFill="1" applyBorder="1" applyAlignment="1">
      <alignment horizontal="center" vertical="center"/>
    </xf>
    <xf numFmtId="0" fontId="49" fillId="0" borderId="0" xfId="0" applyNumberFormat="1" applyFont="1" applyFill="1" applyAlignment="1">
      <alignment horizontal="left" vertical="top" wrapText="1"/>
    </xf>
    <xf numFmtId="0" fontId="50" fillId="0" borderId="51" xfId="0" applyNumberFormat="1" applyFont="1" applyFill="1" applyBorder="1" applyAlignment="1">
      <alignment horizontal="center" vertical="center" wrapText="1"/>
    </xf>
    <xf numFmtId="0" fontId="50" fillId="0" borderId="52" xfId="0" applyNumberFormat="1" applyFont="1" applyFill="1" applyBorder="1" applyAlignment="1">
      <alignment horizontal="center" vertical="center" wrapText="1"/>
    </xf>
    <xf numFmtId="0" fontId="50" fillId="0" borderId="53" xfId="0" applyNumberFormat="1" applyFont="1" applyFill="1" applyBorder="1" applyAlignment="1">
      <alignment horizontal="center" vertical="center"/>
    </xf>
    <xf numFmtId="0" fontId="50" fillId="0" borderId="54" xfId="0" applyNumberFormat="1" applyFont="1" applyFill="1" applyBorder="1" applyAlignment="1">
      <alignment horizontal="center" vertical="center"/>
    </xf>
    <xf numFmtId="0" fontId="50" fillId="0" borderId="55" xfId="0" applyNumberFormat="1" applyFont="1" applyFill="1" applyBorder="1" applyAlignment="1">
      <alignment horizontal="center" vertical="center"/>
    </xf>
    <xf numFmtId="0" fontId="48" fillId="0" borderId="11" xfId="0" applyNumberFormat="1" applyFont="1" applyFill="1" applyBorder="1" applyAlignment="1">
      <alignment horizontal="left" vertical="center"/>
    </xf>
    <xf numFmtId="0" fontId="19" fillId="0" borderId="9" xfId="6" applyFont="1" applyFill="1" applyBorder="1" applyAlignment="1">
      <alignment horizontal="center" vertical="center" wrapText="1"/>
    </xf>
    <xf numFmtId="0" fontId="19" fillId="0" borderId="29" xfId="6" applyFont="1" applyFill="1" applyBorder="1" applyAlignment="1">
      <alignment horizontal="center" vertical="center" wrapText="1"/>
    </xf>
    <xf numFmtId="0" fontId="50" fillId="0" borderId="3" xfId="0" applyNumberFormat="1" applyFont="1" applyFill="1" applyBorder="1" applyAlignment="1">
      <alignment horizontal="center" vertical="center" wrapText="1"/>
    </xf>
    <xf numFmtId="0" fontId="50" fillId="0" borderId="9" xfId="0" applyNumberFormat="1" applyFont="1" applyFill="1" applyBorder="1" applyAlignment="1">
      <alignment horizontal="center" vertical="center" wrapText="1"/>
    </xf>
    <xf numFmtId="0" fontId="50" fillId="0" borderId="29" xfId="0" applyNumberFormat="1" applyFont="1" applyFill="1" applyBorder="1" applyAlignment="1">
      <alignment horizontal="center" vertical="center" wrapText="1"/>
    </xf>
    <xf numFmtId="0" fontId="19" fillId="0" borderId="3" xfId="6" applyFont="1" applyFill="1" applyBorder="1" applyAlignment="1">
      <alignment horizontal="center" vertical="center" wrapText="1"/>
    </xf>
    <xf numFmtId="0" fontId="19" fillId="0" borderId="3" xfId="0" applyFont="1" applyFill="1" applyBorder="1" applyAlignment="1">
      <alignment horizontal="center" vertical="center" wrapText="1"/>
    </xf>
    <xf numFmtId="0" fontId="19" fillId="0" borderId="3" xfId="6" applyFont="1" applyFill="1" applyBorder="1" applyAlignment="1">
      <alignment horizontal="center" vertical="center"/>
    </xf>
    <xf numFmtId="0" fontId="50" fillId="0" borderId="29" xfId="0" applyNumberFormat="1" applyFont="1" applyFill="1" applyBorder="1" applyAlignment="1">
      <alignment horizontal="center"/>
    </xf>
    <xf numFmtId="0" fontId="60" fillId="0" borderId="0" xfId="0" applyNumberFormat="1" applyFont="1" applyFill="1" applyBorder="1" applyAlignment="1">
      <alignment horizontal="left" vertical="center"/>
    </xf>
    <xf numFmtId="0" fontId="60" fillId="0" borderId="3" xfId="0" applyNumberFormat="1" applyFont="1" applyFill="1" applyBorder="1" applyAlignment="1">
      <alignment horizontal="center" vertical="center"/>
    </xf>
    <xf numFmtId="0" fontId="50" fillId="0" borderId="12" xfId="0" applyNumberFormat="1" applyFont="1" applyFill="1" applyBorder="1" applyAlignment="1">
      <alignment horizontal="center" vertical="center" wrapText="1"/>
    </xf>
    <xf numFmtId="0" fontId="50" fillId="0" borderId="8" xfId="0" applyNumberFormat="1" applyFont="1" applyFill="1" applyBorder="1" applyAlignment="1">
      <alignment horizontal="center" vertical="center" wrapText="1"/>
    </xf>
    <xf numFmtId="0" fontId="50" fillId="0" borderId="10" xfId="0" applyNumberFormat="1" applyFont="1" applyFill="1" applyBorder="1" applyAlignment="1">
      <alignment horizontal="center" vertical="center" wrapText="1"/>
    </xf>
    <xf numFmtId="0" fontId="50" fillId="0" borderId="26" xfId="0" applyNumberFormat="1" applyFont="1" applyFill="1" applyBorder="1" applyAlignment="1">
      <alignment horizontal="center" vertical="center" wrapText="1"/>
    </xf>
    <xf numFmtId="0" fontId="50" fillId="0" borderId="39" xfId="0" applyNumberFormat="1" applyFont="1" applyFill="1" applyBorder="1" applyAlignment="1">
      <alignment horizontal="center" vertical="center" wrapText="1"/>
    </xf>
    <xf numFmtId="0" fontId="50" fillId="0" borderId="0" xfId="0" applyNumberFormat="1" applyFont="1" applyFill="1" applyBorder="1" applyAlignment="1">
      <alignment horizontal="left" vertical="top"/>
    </xf>
    <xf numFmtId="0" fontId="48" fillId="0" borderId="0" xfId="0" applyNumberFormat="1" applyFont="1" applyFill="1" applyBorder="1" applyAlignment="1">
      <alignment horizontal="left" vertical="center"/>
    </xf>
    <xf numFmtId="0" fontId="50" fillId="0" borderId="0" xfId="0" applyNumberFormat="1" applyFont="1" applyFill="1" applyBorder="1" applyAlignment="1">
      <alignment horizontal="center" vertical="center" wrapText="1"/>
    </xf>
    <xf numFmtId="0" fontId="50" fillId="0" borderId="11" xfId="0" applyNumberFormat="1" applyFont="1" applyFill="1" applyBorder="1" applyAlignment="1">
      <alignment horizontal="center" vertical="center" wrapText="1"/>
    </xf>
    <xf numFmtId="0" fontId="50" fillId="0" borderId="12" xfId="0" applyNumberFormat="1" applyFont="1" applyFill="1" applyBorder="1" applyAlignment="1">
      <alignment horizontal="center"/>
    </xf>
    <xf numFmtId="0" fontId="50" fillId="0" borderId="25" xfId="0" applyNumberFormat="1" applyFont="1" applyFill="1" applyBorder="1" applyAlignment="1">
      <alignment horizontal="center"/>
    </xf>
    <xf numFmtId="0" fontId="50" fillId="0" borderId="8" xfId="0" applyNumberFormat="1" applyFont="1" applyFill="1" applyBorder="1" applyAlignment="1">
      <alignment horizontal="center"/>
    </xf>
    <xf numFmtId="0" fontId="50" fillId="0" borderId="12" xfId="0" applyNumberFormat="1" applyFont="1" applyFill="1" applyBorder="1" applyAlignment="1">
      <alignment horizontal="center" vertical="top"/>
    </xf>
    <xf numFmtId="0" fontId="50" fillId="0" borderId="25" xfId="0" applyNumberFormat="1" applyFont="1" applyFill="1" applyBorder="1" applyAlignment="1">
      <alignment horizontal="center" vertical="top"/>
    </xf>
    <xf numFmtId="0" fontId="50" fillId="0" borderId="8" xfId="0" applyNumberFormat="1" applyFont="1" applyFill="1" applyBorder="1" applyAlignment="1">
      <alignment horizontal="center" vertical="top"/>
    </xf>
    <xf numFmtId="0" fontId="19" fillId="0" borderId="12" xfId="6" applyFont="1" applyFill="1" applyBorder="1" applyAlignment="1">
      <alignment horizontal="center" vertical="center"/>
    </xf>
    <xf numFmtId="0" fontId="19" fillId="0" borderId="8" xfId="6" applyFont="1" applyFill="1" applyBorder="1" applyAlignment="1">
      <alignment horizontal="center" vertical="center"/>
    </xf>
    <xf numFmtId="0" fontId="19" fillId="0" borderId="12" xfId="6" applyFont="1" applyFill="1" applyBorder="1" applyAlignment="1">
      <alignment horizontal="center" vertical="center" wrapText="1"/>
    </xf>
    <xf numFmtId="0" fontId="19" fillId="0" borderId="8" xfId="6" applyFont="1" applyFill="1" applyBorder="1" applyAlignment="1">
      <alignment horizontal="center" vertical="center" wrapText="1"/>
    </xf>
    <xf numFmtId="0" fontId="50" fillId="4" borderId="3" xfId="0" applyNumberFormat="1" applyFont="1" applyFill="1" applyBorder="1" applyAlignment="1">
      <alignment horizontal="center" vertical="center" wrapText="1"/>
    </xf>
    <xf numFmtId="0" fontId="50" fillId="4" borderId="12" xfId="0" applyNumberFormat="1" applyFont="1" applyFill="1" applyBorder="1" applyAlignment="1">
      <alignment horizontal="center" vertical="center" wrapText="1"/>
    </xf>
    <xf numFmtId="0" fontId="50" fillId="4" borderId="8" xfId="0" applyNumberFormat="1" applyFont="1" applyFill="1" applyBorder="1" applyAlignment="1">
      <alignment horizontal="center" vertical="center" wrapText="1"/>
    </xf>
    <xf numFmtId="0" fontId="50" fillId="4" borderId="9" xfId="0" applyNumberFormat="1" applyFont="1" applyFill="1" applyBorder="1" applyAlignment="1">
      <alignment horizontal="center" vertical="center" wrapText="1"/>
    </xf>
    <xf numFmtId="0" fontId="50" fillId="4" borderId="29" xfId="0" applyNumberFormat="1" applyFont="1" applyFill="1" applyBorder="1" applyAlignment="1">
      <alignment horizontal="center" vertical="center" wrapText="1"/>
    </xf>
    <xf numFmtId="0" fontId="50" fillId="4" borderId="25" xfId="0" applyNumberFormat="1" applyFont="1" applyFill="1" applyBorder="1" applyAlignment="1">
      <alignment horizontal="center" vertical="center" wrapText="1"/>
    </xf>
    <xf numFmtId="0" fontId="48" fillId="0" borderId="3" xfId="0" applyNumberFormat="1" applyFont="1" applyFill="1" applyBorder="1" applyAlignment="1">
      <alignment horizontal="left" vertical="center"/>
    </xf>
    <xf numFmtId="0" fontId="50" fillId="0" borderId="28" xfId="0" applyNumberFormat="1" applyFont="1" applyFill="1" applyBorder="1" applyAlignment="1">
      <alignment horizontal="center" vertical="center" wrapText="1"/>
    </xf>
    <xf numFmtId="0" fontId="48" fillId="0" borderId="25" xfId="0" applyNumberFormat="1" applyFont="1" applyFill="1" applyBorder="1" applyAlignment="1">
      <alignment horizontal="center" vertical="center"/>
    </xf>
    <xf numFmtId="0" fontId="50" fillId="0" borderId="25" xfId="0" applyNumberFormat="1" applyFont="1" applyFill="1" applyBorder="1" applyAlignment="1">
      <alignment horizontal="center" vertical="center" wrapText="1"/>
    </xf>
    <xf numFmtId="0" fontId="49" fillId="0" borderId="0" xfId="0" applyFont="1" applyFill="1" applyAlignment="1">
      <alignment horizontal="left"/>
    </xf>
    <xf numFmtId="0" fontId="50" fillId="0" borderId="3" xfId="0" applyNumberFormat="1" applyFont="1" applyFill="1" applyBorder="1" applyAlignment="1">
      <alignment horizontal="center"/>
    </xf>
    <xf numFmtId="0" fontId="19" fillId="0" borderId="12" xfId="0" applyFont="1" applyFill="1" applyBorder="1" applyAlignment="1">
      <alignment horizontal="center" vertical="center" wrapText="1"/>
    </xf>
    <xf numFmtId="0" fontId="56" fillId="3" borderId="25" xfId="0" applyNumberFormat="1" applyFont="1" applyFill="1" applyBorder="1" applyAlignment="1">
      <alignment horizontal="center" vertical="center"/>
    </xf>
    <xf numFmtId="0" fontId="58" fillId="4" borderId="3" xfId="0" applyNumberFormat="1" applyFont="1" applyFill="1" applyBorder="1" applyAlignment="1">
      <alignment horizontal="center" vertical="center" wrapText="1"/>
    </xf>
    <xf numFmtId="0" fontId="58" fillId="4" borderId="12" xfId="0" applyNumberFormat="1" applyFont="1" applyFill="1" applyBorder="1" applyAlignment="1">
      <alignment horizontal="center" vertical="center" wrapText="1"/>
    </xf>
    <xf numFmtId="0" fontId="58" fillId="4" borderId="25" xfId="0" applyNumberFormat="1" applyFont="1" applyFill="1" applyBorder="1" applyAlignment="1">
      <alignment horizontal="center" vertical="center" wrapText="1"/>
    </xf>
    <xf numFmtId="0" fontId="58" fillId="4" borderId="8" xfId="0" applyNumberFormat="1" applyFont="1" applyFill="1" applyBorder="1" applyAlignment="1">
      <alignment horizontal="center" vertical="center" wrapText="1"/>
    </xf>
    <xf numFmtId="0" fontId="58" fillId="4" borderId="10" xfId="0" applyNumberFormat="1" applyFont="1" applyFill="1" applyBorder="1" applyAlignment="1">
      <alignment horizontal="center" vertical="center" wrapText="1"/>
    </xf>
    <xf numFmtId="0" fontId="58" fillId="4" borderId="28" xfId="0" applyNumberFormat="1" applyFont="1" applyFill="1" applyBorder="1" applyAlignment="1">
      <alignment horizontal="center" vertical="center" wrapText="1"/>
    </xf>
    <xf numFmtId="0" fontId="23" fillId="4" borderId="3" xfId="6" applyFont="1" applyFill="1" applyBorder="1" applyAlignment="1">
      <alignment horizontal="center" vertical="center" wrapText="1"/>
    </xf>
    <xf numFmtId="0" fontId="58" fillId="0" borderId="3" xfId="0" applyNumberFormat="1" applyFont="1" applyBorder="1" applyAlignment="1">
      <alignment horizontal="center"/>
    </xf>
    <xf numFmtId="0" fontId="23" fillId="4" borderId="3" xfId="0" applyFont="1" applyFill="1" applyBorder="1" applyAlignment="1">
      <alignment horizontal="center" vertical="center" wrapText="1"/>
    </xf>
    <xf numFmtId="0" fontId="23" fillId="4" borderId="12" xfId="0" applyFont="1" applyFill="1" applyBorder="1" applyAlignment="1">
      <alignment horizontal="center" vertical="center" wrapText="1"/>
    </xf>
    <xf numFmtId="0" fontId="23" fillId="4" borderId="3" xfId="6" applyFont="1" applyFill="1" applyBorder="1" applyAlignment="1">
      <alignment horizontal="center" vertical="center"/>
    </xf>
    <xf numFmtId="0" fontId="23" fillId="4" borderId="9" xfId="6" applyFont="1" applyFill="1" applyBorder="1" applyAlignment="1">
      <alignment horizontal="center" vertical="center" wrapText="1"/>
    </xf>
    <xf numFmtId="0" fontId="23" fillId="4" borderId="29" xfId="6" applyFont="1" applyFill="1" applyBorder="1" applyAlignment="1">
      <alignment horizontal="center" vertical="center" wrapText="1"/>
    </xf>
    <xf numFmtId="0" fontId="60" fillId="0" borderId="12" xfId="0" applyNumberFormat="1" applyFont="1" applyFill="1" applyBorder="1" applyAlignment="1">
      <alignment horizontal="center" vertical="center"/>
    </xf>
    <xf numFmtId="0" fontId="60" fillId="0" borderId="25" xfId="0" applyNumberFormat="1" applyFont="1" applyFill="1" applyBorder="1" applyAlignment="1">
      <alignment horizontal="center" vertical="center"/>
    </xf>
    <xf numFmtId="0" fontId="60" fillId="0" borderId="8" xfId="0" applyNumberFormat="1" applyFont="1" applyFill="1" applyBorder="1" applyAlignment="1">
      <alignment horizontal="center" vertical="center"/>
    </xf>
    <xf numFmtId="0" fontId="60" fillId="0" borderId="9" xfId="0" applyNumberFormat="1" applyFont="1" applyFill="1" applyBorder="1" applyAlignment="1">
      <alignment horizontal="center" vertical="center" wrapText="1"/>
    </xf>
    <xf numFmtId="0" fontId="60" fillId="0" borderId="27" xfId="0" applyNumberFormat="1" applyFont="1" applyFill="1" applyBorder="1" applyAlignment="1">
      <alignment horizontal="center" vertical="center" wrapText="1"/>
    </xf>
    <xf numFmtId="0" fontId="60" fillId="0" borderId="29" xfId="0" applyNumberFormat="1" applyFont="1" applyFill="1" applyBorder="1" applyAlignment="1">
      <alignment horizontal="center" vertical="center" wrapText="1"/>
    </xf>
    <xf numFmtId="0" fontId="19" fillId="0" borderId="12" xfId="0" applyFont="1" applyFill="1" applyBorder="1" applyAlignment="1">
      <alignment horizontal="left" vertical="top" wrapText="1"/>
    </xf>
    <xf numFmtId="0" fontId="19" fillId="0" borderId="25" xfId="0" applyFont="1" applyFill="1" applyBorder="1" applyAlignment="1">
      <alignment horizontal="left" vertical="top" wrapText="1"/>
    </xf>
    <xf numFmtId="0" fontId="19" fillId="0" borderId="8" xfId="0" applyFont="1" applyFill="1" applyBorder="1" applyAlignment="1">
      <alignment horizontal="left" vertical="top" wrapText="1"/>
    </xf>
    <xf numFmtId="199" fontId="19" fillId="0" borderId="12" xfId="0" applyNumberFormat="1" applyFont="1" applyFill="1" applyBorder="1" applyAlignment="1">
      <alignment horizontal="left" vertical="top" wrapText="1"/>
    </xf>
    <xf numFmtId="199" fontId="19" fillId="0" borderId="25" xfId="0" applyNumberFormat="1" applyFont="1" applyFill="1" applyBorder="1" applyAlignment="1">
      <alignment horizontal="left" vertical="top" wrapText="1"/>
    </xf>
    <xf numFmtId="199" fontId="19" fillId="0" borderId="8" xfId="0" applyNumberFormat="1" applyFont="1" applyFill="1" applyBorder="1" applyAlignment="1">
      <alignment horizontal="left" vertical="top" wrapText="1"/>
    </xf>
    <xf numFmtId="199" fontId="19" fillId="0" borderId="3" xfId="0" applyNumberFormat="1" applyFont="1" applyFill="1" applyBorder="1" applyAlignment="1">
      <alignment horizontal="left" vertical="top" wrapText="1"/>
    </xf>
    <xf numFmtId="0" fontId="19" fillId="0" borderId="3" xfId="0" applyFont="1" applyFill="1" applyBorder="1" applyAlignment="1">
      <alignment horizontal="center" vertical="top" wrapText="1"/>
    </xf>
    <xf numFmtId="17" fontId="19" fillId="0" borderId="3" xfId="2" applyNumberFormat="1" applyFont="1" applyFill="1" applyBorder="1" applyAlignment="1">
      <alignment horizontal="center" vertical="top" wrapText="1"/>
    </xf>
    <xf numFmtId="0" fontId="19" fillId="0" borderId="3" xfId="2" applyNumberFormat="1" applyFont="1" applyFill="1" applyBorder="1" applyAlignment="1">
      <alignment horizontal="center" vertical="top" wrapText="1"/>
    </xf>
    <xf numFmtId="188" fontId="19" fillId="0" borderId="12" xfId="0" applyNumberFormat="1" applyFont="1" applyFill="1" applyBorder="1" applyAlignment="1">
      <alignment horizontal="left" vertical="top" wrapText="1"/>
    </xf>
    <xf numFmtId="188" fontId="19" fillId="0" borderId="25" xfId="0" applyNumberFormat="1" applyFont="1" applyFill="1" applyBorder="1" applyAlignment="1">
      <alignment horizontal="left" vertical="top" wrapText="1"/>
    </xf>
    <xf numFmtId="188" fontId="19" fillId="0" borderId="8" xfId="0" applyNumberFormat="1" applyFont="1" applyFill="1" applyBorder="1" applyAlignment="1">
      <alignment horizontal="left" vertical="top" wrapText="1"/>
    </xf>
    <xf numFmtId="0" fontId="23" fillId="0" borderId="3" xfId="0" applyFont="1" applyFill="1" applyBorder="1" applyAlignment="1">
      <alignment horizontal="center" vertical="top" wrapText="1"/>
    </xf>
    <xf numFmtId="188" fontId="19" fillId="0" borderId="3" xfId="0" applyNumberFormat="1" applyFont="1" applyFill="1" applyBorder="1" applyAlignment="1">
      <alignment horizontal="left" vertical="top" wrapText="1"/>
    </xf>
    <xf numFmtId="188" fontId="19" fillId="0" borderId="3" xfId="0" applyNumberFormat="1" applyFont="1" applyFill="1" applyBorder="1" applyAlignment="1">
      <alignment horizontal="center" vertical="top" wrapText="1"/>
    </xf>
    <xf numFmtId="188" fontId="19" fillId="0" borderId="12" xfId="0" applyNumberFormat="1" applyFont="1" applyFill="1" applyBorder="1" applyAlignment="1">
      <alignment horizontal="center" vertical="top" wrapText="1"/>
    </xf>
    <xf numFmtId="0" fontId="75" fillId="0" borderId="0" xfId="0" applyFont="1" applyFill="1" applyBorder="1" applyAlignment="1">
      <alignment horizontal="left"/>
    </xf>
    <xf numFmtId="0" fontId="19" fillId="0" borderId="12" xfId="0" applyFont="1" applyFill="1" applyBorder="1" applyAlignment="1">
      <alignment horizontal="center"/>
    </xf>
    <xf numFmtId="0" fontId="19" fillId="0" borderId="25" xfId="0" applyFont="1" applyFill="1" applyBorder="1" applyAlignment="1">
      <alignment horizontal="center"/>
    </xf>
    <xf numFmtId="0" fontId="60" fillId="0" borderId="3" xfId="0" applyFont="1" applyFill="1" applyBorder="1" applyAlignment="1">
      <alignment horizontal="center" vertical="center"/>
    </xf>
    <xf numFmtId="0" fontId="19" fillId="0" borderId="3" xfId="0" applyFont="1" applyFill="1" applyBorder="1"/>
    <xf numFmtId="0" fontId="19" fillId="0" borderId="9" xfId="0" applyFont="1" applyFill="1" applyBorder="1" applyAlignment="1">
      <alignment horizontal="center" vertical="center" wrapText="1"/>
    </xf>
    <xf numFmtId="199" fontId="56" fillId="0" borderId="28" xfId="0" applyNumberFormat="1" applyFont="1" applyFill="1" applyBorder="1" applyAlignment="1">
      <alignment horizontal="center" vertical="top"/>
    </xf>
    <xf numFmtId="199" fontId="56" fillId="0" borderId="11" xfId="0" applyNumberFormat="1" applyFont="1" applyFill="1" applyBorder="1" applyAlignment="1">
      <alignment horizontal="center" vertical="top"/>
    </xf>
    <xf numFmtId="199" fontId="56" fillId="0" borderId="12" xfId="0" applyNumberFormat="1" applyFont="1" applyFill="1" applyBorder="1" applyAlignment="1">
      <alignment horizontal="center" vertical="top"/>
    </xf>
    <xf numFmtId="199" fontId="56" fillId="0" borderId="25" xfId="0" applyNumberFormat="1" applyFont="1" applyFill="1" applyBorder="1" applyAlignment="1">
      <alignment horizontal="center" vertical="top"/>
    </xf>
    <xf numFmtId="0" fontId="60" fillId="0" borderId="3" xfId="0" applyFont="1" applyFill="1" applyBorder="1" applyAlignment="1">
      <alignment horizontal="center" vertical="top"/>
    </xf>
    <xf numFmtId="183" fontId="49" fillId="0" borderId="0" xfId="12" applyFont="1" applyFill="1" applyBorder="1" applyAlignment="1">
      <alignment horizontal="left" vertical="center" wrapText="1"/>
    </xf>
    <xf numFmtId="183" fontId="50" fillId="0" borderId="0" xfId="12" applyFont="1" applyFill="1" applyBorder="1" applyAlignment="1">
      <alignment horizontal="left" vertical="center" wrapText="1"/>
    </xf>
    <xf numFmtId="183" fontId="75" fillId="0" borderId="12" xfId="12" applyFont="1" applyFill="1" applyBorder="1" applyAlignment="1">
      <alignment horizontal="left" vertical="top"/>
    </xf>
    <xf numFmtId="183" fontId="75" fillId="0" borderId="25" xfId="12" applyFont="1" applyFill="1" applyBorder="1" applyAlignment="1">
      <alignment horizontal="left" vertical="top"/>
    </xf>
    <xf numFmtId="0" fontId="0" fillId="0" borderId="25" xfId="0" applyFill="1" applyBorder="1"/>
    <xf numFmtId="166" fontId="52" fillId="0" borderId="12" xfId="12" applyNumberFormat="1" applyFont="1" applyFill="1" applyBorder="1" applyAlignment="1">
      <alignment horizontal="center" vertical="center" wrapText="1"/>
    </xf>
    <xf numFmtId="166" fontId="52" fillId="0" borderId="8" xfId="12" applyNumberFormat="1" applyFont="1" applyFill="1" applyBorder="1" applyAlignment="1">
      <alignment horizontal="center" vertical="center" wrapText="1"/>
    </xf>
    <xf numFmtId="183" fontId="52" fillId="0" borderId="25" xfId="12" applyFont="1" applyFill="1" applyBorder="1" applyAlignment="1"/>
    <xf numFmtId="0" fontId="0" fillId="0" borderId="8" xfId="0" applyFill="1" applyBorder="1" applyAlignment="1"/>
    <xf numFmtId="183" fontId="82" fillId="0" borderId="12" xfId="12" applyFont="1" applyFill="1" applyBorder="1" applyAlignment="1">
      <alignment horizontal="left" vertical="top" wrapText="1"/>
    </xf>
    <xf numFmtId="183" fontId="75" fillId="0" borderId="25" xfId="12" applyFont="1" applyFill="1" applyBorder="1" applyAlignment="1">
      <alignment horizontal="left" vertical="top" wrapText="1"/>
    </xf>
    <xf numFmtId="187" fontId="52" fillId="0" borderId="12" xfId="8" applyNumberFormat="1" applyFont="1" applyFill="1" applyBorder="1" applyAlignment="1">
      <alignment horizontal="center" wrapText="1"/>
    </xf>
    <xf numFmtId="187" fontId="52" fillId="0" borderId="8" xfId="8" applyNumberFormat="1" applyFont="1" applyFill="1" applyBorder="1" applyAlignment="1">
      <alignment horizontal="center" wrapText="1"/>
    </xf>
    <xf numFmtId="183" fontId="75" fillId="0" borderId="12" xfId="12" applyFont="1" applyFill="1" applyBorder="1" applyAlignment="1">
      <alignment horizontal="left" vertical="top" wrapText="1"/>
    </xf>
  </cellXfs>
  <cellStyles count="14">
    <cellStyle name="Comma" xfId="1" builtinId="3"/>
    <cellStyle name="Comma 2" xfId="2"/>
    <cellStyle name="Comma 3" xfId="3"/>
    <cellStyle name="Indian Comma" xfId="4"/>
    <cellStyle name="Normal" xfId="0" builtinId="0"/>
    <cellStyle name="Normal 3" xfId="5"/>
    <cellStyle name="Normal 3 144" xfId="6"/>
    <cellStyle name="Normal 5" xfId="7"/>
    <cellStyle name="Normal 6" xfId="8"/>
    <cellStyle name="Normal 60" xfId="9"/>
    <cellStyle name="Normal 7" xfId="10"/>
    <cellStyle name="Normal 8" xfId="11"/>
    <cellStyle name="Normal_tables-oct" xfId="12"/>
    <cellStyle name="Percent" xfId="1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worksheet" Target="worksheets/sheet63.xml"/><Relationship Id="rId68" Type="http://schemas.openxmlformats.org/officeDocument/2006/relationships/worksheet" Target="worksheets/sheet68.xml"/><Relationship Id="rId76" Type="http://schemas.openxmlformats.org/officeDocument/2006/relationships/externalLink" Target="externalLinks/externalLink1.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worksheet" Target="worksheets/sheet74.xml"/><Relationship Id="rId79"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worksheet" Target="worksheets/sheet6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styles" Target="styles.xml"/><Relationship Id="rId8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49\Downloads\Bulletin%20tables%20(Revised)%20-%20June%20%20%202020%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 Index"/>
      <sheetName val="1"/>
      <sheetName val="64"/>
      <sheetName val="65"/>
      <sheetName val="66"/>
      <sheetName val="67"/>
      <sheetName val="68"/>
      <sheetName val="69"/>
      <sheetName val="70"/>
      <sheetName val="71"/>
      <sheetName val="72"/>
      <sheetName val="73"/>
      <sheetName val="74"/>
    </sheetNames>
    <sheetDataSet>
      <sheetData sheetId="0"/>
      <sheetData sheetId="1">
        <row r="8">
          <cell r="A8" t="str">
            <v>$ indicates as on June 30, 2020</v>
          </cell>
        </row>
      </sheetData>
      <sheetData sheetId="2"/>
      <sheetData sheetId="3">
        <row r="11">
          <cell r="A11" t="str">
            <v>$ indicates as on June 30, 2020</v>
          </cell>
        </row>
      </sheetData>
      <sheetData sheetId="4"/>
      <sheetData sheetId="5"/>
      <sheetData sheetId="6"/>
      <sheetData sheetId="7"/>
      <sheetData sheetId="8"/>
      <sheetData sheetId="9"/>
      <sheetData sheetId="10"/>
      <sheetData sheetId="11"/>
      <sheetData sheetId="1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67.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68.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69.bin"/></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70.bin"/></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71.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72.bin"/></Relationships>
</file>

<file path=xl/worksheets/_rels/sheet73.xml.rels><?xml version="1.0" encoding="UTF-8" standalone="yes"?>
<Relationships xmlns="http://schemas.openxmlformats.org/package/2006/relationships"><Relationship Id="rId1" Type="http://schemas.openxmlformats.org/officeDocument/2006/relationships/printerSettings" Target="../printerSettings/printerSettings73.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74.bin"/></Relationships>
</file>

<file path=xl/worksheets/_rels/sheet75.xml.rels><?xml version="1.0" encoding="UTF-8" standalone="yes"?>
<Relationships xmlns="http://schemas.openxmlformats.org/package/2006/relationships"><Relationship Id="rId1" Type="http://schemas.openxmlformats.org/officeDocument/2006/relationships/printerSettings" Target="../printerSettings/printerSettings7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78"/>
  <sheetViews>
    <sheetView tabSelected="1" zoomScaleNormal="100" workbookViewId="0">
      <selection activeCell="A2" sqref="A2"/>
    </sheetView>
  </sheetViews>
  <sheetFormatPr defaultRowHeight="12.75" x14ac:dyDescent="0.2"/>
  <cols>
    <col min="1" max="1" width="102.140625" bestFit="1" customWidth="1"/>
    <col min="2" max="2" width="4.7109375" bestFit="1" customWidth="1"/>
  </cols>
  <sheetData>
    <row r="1" spans="1:1" s="404" customFormat="1" ht="18.75" customHeight="1" x14ac:dyDescent="0.35">
      <c r="A1" s="3" t="s">
        <v>0</v>
      </c>
    </row>
    <row r="2" spans="1:1" s="404" customFormat="1" ht="18" customHeight="1" x14ac:dyDescent="0.2">
      <c r="A2" s="4" t="s">
        <v>982</v>
      </c>
    </row>
    <row r="3" spans="1:1" s="404" customFormat="1" ht="18" customHeight="1" x14ac:dyDescent="0.2">
      <c r="A3" s="4" t="s">
        <v>979</v>
      </c>
    </row>
    <row r="4" spans="1:1" s="404" customFormat="1" ht="18" customHeight="1" x14ac:dyDescent="0.2">
      <c r="A4" s="4" t="s">
        <v>975</v>
      </c>
    </row>
    <row r="5" spans="1:1" s="404" customFormat="1" ht="18" customHeight="1" x14ac:dyDescent="0.2">
      <c r="A5" s="4" t="s">
        <v>560</v>
      </c>
    </row>
    <row r="6" spans="1:1" s="404" customFormat="1" ht="18" customHeight="1" x14ac:dyDescent="0.2">
      <c r="A6" s="4" t="s">
        <v>561</v>
      </c>
    </row>
    <row r="7" spans="1:1" s="404" customFormat="1" ht="18" customHeight="1" x14ac:dyDescent="0.2">
      <c r="A7" s="4" t="s">
        <v>562</v>
      </c>
    </row>
    <row r="8" spans="1:1" s="404" customFormat="1" ht="18" customHeight="1" x14ac:dyDescent="0.2">
      <c r="A8" s="4" t="s">
        <v>563</v>
      </c>
    </row>
    <row r="9" spans="1:1" s="404" customFormat="1" ht="33" x14ac:dyDescent="0.2">
      <c r="A9" s="5" t="s">
        <v>564</v>
      </c>
    </row>
    <row r="10" spans="1:1" s="404" customFormat="1" ht="18" customHeight="1" x14ac:dyDescent="0.2">
      <c r="A10" s="4" t="s">
        <v>565</v>
      </c>
    </row>
    <row r="11" spans="1:1" s="404" customFormat="1" ht="18" customHeight="1" x14ac:dyDescent="0.2">
      <c r="A11" s="4" t="s">
        <v>566</v>
      </c>
    </row>
    <row r="12" spans="1:1" s="404" customFormat="1" ht="18" customHeight="1" x14ac:dyDescent="0.2">
      <c r="A12" s="4" t="s">
        <v>980</v>
      </c>
    </row>
    <row r="13" spans="1:1" s="404" customFormat="1" ht="18" customHeight="1" x14ac:dyDescent="0.2">
      <c r="A13" s="4" t="s">
        <v>981</v>
      </c>
    </row>
    <row r="14" spans="1:1" s="404" customFormat="1" ht="18" customHeight="1" x14ac:dyDescent="0.2">
      <c r="A14" s="4" t="s">
        <v>567</v>
      </c>
    </row>
    <row r="15" spans="1:1" s="404" customFormat="1" ht="18" customHeight="1" x14ac:dyDescent="0.2">
      <c r="A15" s="4" t="s">
        <v>568</v>
      </c>
    </row>
    <row r="16" spans="1:1" s="404" customFormat="1" ht="18" customHeight="1" x14ac:dyDescent="0.2">
      <c r="A16" s="4" t="s">
        <v>569</v>
      </c>
    </row>
    <row r="17" spans="1:1" s="404" customFormat="1" ht="18" customHeight="1" x14ac:dyDescent="0.2">
      <c r="A17" s="4" t="s">
        <v>972</v>
      </c>
    </row>
    <row r="18" spans="1:1" s="404" customFormat="1" ht="18" customHeight="1" x14ac:dyDescent="0.2">
      <c r="A18" s="4" t="s">
        <v>570</v>
      </c>
    </row>
    <row r="19" spans="1:1" s="404" customFormat="1" ht="18" customHeight="1" x14ac:dyDescent="0.2">
      <c r="A19" s="4" t="s">
        <v>571</v>
      </c>
    </row>
    <row r="20" spans="1:1" s="404" customFormat="1" ht="18" customHeight="1" x14ac:dyDescent="0.2">
      <c r="A20" s="4" t="s">
        <v>572</v>
      </c>
    </row>
    <row r="21" spans="1:1" s="404" customFormat="1" ht="18" customHeight="1" x14ac:dyDescent="0.2">
      <c r="A21" s="4" t="s">
        <v>984</v>
      </c>
    </row>
    <row r="22" spans="1:1" s="404" customFormat="1" ht="18" customHeight="1" x14ac:dyDescent="0.2">
      <c r="A22" s="4" t="s">
        <v>573</v>
      </c>
    </row>
    <row r="23" spans="1:1" s="404" customFormat="1" ht="18" customHeight="1" x14ac:dyDescent="0.2">
      <c r="A23" s="4" t="s">
        <v>574</v>
      </c>
    </row>
    <row r="24" spans="1:1" s="404" customFormat="1" ht="18" customHeight="1" x14ac:dyDescent="0.2">
      <c r="A24" s="4" t="s">
        <v>575</v>
      </c>
    </row>
    <row r="25" spans="1:1" s="404" customFormat="1" ht="18" customHeight="1" x14ac:dyDescent="0.2">
      <c r="A25" s="4" t="s">
        <v>985</v>
      </c>
    </row>
    <row r="26" spans="1:1" s="404" customFormat="1" ht="18" customHeight="1" x14ac:dyDescent="0.2">
      <c r="A26" s="4" t="s">
        <v>988</v>
      </c>
    </row>
    <row r="27" spans="1:1" s="404" customFormat="1" ht="18" customHeight="1" x14ac:dyDescent="0.2">
      <c r="A27" s="4" t="s">
        <v>990</v>
      </c>
    </row>
    <row r="28" spans="1:1" s="404" customFormat="1" ht="18" customHeight="1" x14ac:dyDescent="0.2">
      <c r="A28" s="4" t="s">
        <v>992</v>
      </c>
    </row>
    <row r="29" spans="1:1" s="404" customFormat="1" ht="18" customHeight="1" x14ac:dyDescent="0.2">
      <c r="A29" s="4" t="s">
        <v>994</v>
      </c>
    </row>
    <row r="30" spans="1:1" s="404" customFormat="1" ht="18" customHeight="1" x14ac:dyDescent="0.2">
      <c r="A30" s="4" t="s">
        <v>1008</v>
      </c>
    </row>
    <row r="31" spans="1:1" s="404" customFormat="1" ht="18" customHeight="1" x14ac:dyDescent="0.2">
      <c r="A31" s="4" t="s">
        <v>1051</v>
      </c>
    </row>
    <row r="32" spans="1:1" s="404" customFormat="1" ht="18" customHeight="1" x14ac:dyDescent="0.2">
      <c r="A32" s="4" t="s">
        <v>576</v>
      </c>
    </row>
    <row r="33" spans="1:1" s="404" customFormat="1" ht="18" customHeight="1" x14ac:dyDescent="0.2">
      <c r="A33" s="4" t="s">
        <v>577</v>
      </c>
    </row>
    <row r="34" spans="1:1" s="404" customFormat="1" ht="18" customHeight="1" x14ac:dyDescent="0.2">
      <c r="A34" s="4" t="s">
        <v>578</v>
      </c>
    </row>
    <row r="35" spans="1:1" s="404" customFormat="1" ht="18" customHeight="1" x14ac:dyDescent="0.2">
      <c r="A35" s="4" t="s">
        <v>579</v>
      </c>
    </row>
    <row r="36" spans="1:1" s="404" customFormat="1" ht="18" customHeight="1" x14ac:dyDescent="0.2">
      <c r="A36" s="4" t="s">
        <v>580</v>
      </c>
    </row>
    <row r="37" spans="1:1" s="404" customFormat="1" ht="18" customHeight="1" x14ac:dyDescent="0.2">
      <c r="A37" s="4" t="s">
        <v>1106</v>
      </c>
    </row>
    <row r="38" spans="1:1" s="404" customFormat="1" ht="18" customHeight="1" x14ac:dyDescent="0.2">
      <c r="A38" s="4" t="s">
        <v>581</v>
      </c>
    </row>
    <row r="39" spans="1:1" s="404" customFormat="1" ht="18" customHeight="1" x14ac:dyDescent="0.2">
      <c r="A39" s="4" t="s">
        <v>582</v>
      </c>
    </row>
    <row r="40" spans="1:1" s="404" customFormat="1" ht="18" customHeight="1" x14ac:dyDescent="0.2">
      <c r="A40" s="4" t="s">
        <v>583</v>
      </c>
    </row>
    <row r="41" spans="1:1" s="404" customFormat="1" ht="18" customHeight="1" x14ac:dyDescent="0.2">
      <c r="A41" s="4" t="s">
        <v>584</v>
      </c>
    </row>
    <row r="42" spans="1:1" s="404" customFormat="1" ht="18" customHeight="1" x14ac:dyDescent="0.2">
      <c r="A42" s="4" t="s">
        <v>585</v>
      </c>
    </row>
    <row r="43" spans="1:1" s="404" customFormat="1" ht="18" customHeight="1" x14ac:dyDescent="0.2">
      <c r="A43" s="4" t="s">
        <v>586</v>
      </c>
    </row>
    <row r="44" spans="1:1" s="404" customFormat="1" ht="18" customHeight="1" x14ac:dyDescent="0.2">
      <c r="A44" s="4" t="s">
        <v>587</v>
      </c>
    </row>
    <row r="45" spans="1:1" s="404" customFormat="1" ht="18" customHeight="1" x14ac:dyDescent="0.2">
      <c r="A45" s="4" t="s">
        <v>1001</v>
      </c>
    </row>
    <row r="46" spans="1:1" s="404" customFormat="1" ht="18" customHeight="1" x14ac:dyDescent="0.2">
      <c r="A46" s="4" t="s">
        <v>588</v>
      </c>
    </row>
    <row r="47" spans="1:1" s="404" customFormat="1" ht="18" customHeight="1" x14ac:dyDescent="0.2">
      <c r="A47" s="4" t="s">
        <v>589</v>
      </c>
    </row>
    <row r="48" spans="1:1" s="404" customFormat="1" ht="18" customHeight="1" x14ac:dyDescent="0.2">
      <c r="A48" s="4" t="s">
        <v>590</v>
      </c>
    </row>
    <row r="49" spans="1:1" s="404" customFormat="1" ht="18" customHeight="1" x14ac:dyDescent="0.2">
      <c r="A49" s="4" t="s">
        <v>1004</v>
      </c>
    </row>
    <row r="50" spans="1:1" s="404" customFormat="1" ht="18" customHeight="1" x14ac:dyDescent="0.2">
      <c r="A50" s="4" t="s">
        <v>1006</v>
      </c>
    </row>
    <row r="51" spans="1:1" s="404" customFormat="1" ht="18" customHeight="1" x14ac:dyDescent="0.2">
      <c r="A51" s="4" t="s">
        <v>1009</v>
      </c>
    </row>
    <row r="52" spans="1:1" s="404" customFormat="1" ht="18" customHeight="1" x14ac:dyDescent="0.2">
      <c r="A52" s="4" t="s">
        <v>1012</v>
      </c>
    </row>
    <row r="53" spans="1:1" s="404" customFormat="1" ht="18" customHeight="1" x14ac:dyDescent="0.2">
      <c r="A53" s="4" t="s">
        <v>1014</v>
      </c>
    </row>
    <row r="54" spans="1:1" s="404" customFormat="1" ht="18" customHeight="1" x14ac:dyDescent="0.2">
      <c r="A54" s="4" t="s">
        <v>591</v>
      </c>
    </row>
    <row r="55" spans="1:1" s="404" customFormat="1" ht="29.25" customHeight="1" x14ac:dyDescent="0.2">
      <c r="A55" s="5" t="s">
        <v>1015</v>
      </c>
    </row>
    <row r="56" spans="1:1" s="404" customFormat="1" ht="18" customHeight="1" x14ac:dyDescent="0.2">
      <c r="A56" s="4" t="s">
        <v>592</v>
      </c>
    </row>
    <row r="57" spans="1:1" s="404" customFormat="1" ht="18" customHeight="1" x14ac:dyDescent="0.2">
      <c r="A57" s="4" t="s">
        <v>1018</v>
      </c>
    </row>
    <row r="58" spans="1:1" s="404" customFormat="1" ht="18" customHeight="1" x14ac:dyDescent="0.2">
      <c r="A58" s="4" t="s">
        <v>593</v>
      </c>
    </row>
    <row r="59" spans="1:1" s="404" customFormat="1" ht="18" customHeight="1" x14ac:dyDescent="0.2">
      <c r="A59" s="4" t="s">
        <v>1020</v>
      </c>
    </row>
    <row r="60" spans="1:1" s="404" customFormat="1" ht="18" customHeight="1" x14ac:dyDescent="0.2">
      <c r="A60" s="4" t="s">
        <v>1022</v>
      </c>
    </row>
    <row r="61" spans="1:1" s="404" customFormat="1" ht="18" customHeight="1" x14ac:dyDescent="0.2">
      <c r="A61" s="4" t="s">
        <v>1024</v>
      </c>
    </row>
    <row r="62" spans="1:1" s="404" customFormat="1" ht="18" customHeight="1" x14ac:dyDescent="0.2">
      <c r="A62" s="4" t="s">
        <v>594</v>
      </c>
    </row>
    <row r="63" spans="1:1" s="404" customFormat="1" ht="18" customHeight="1" x14ac:dyDescent="0.2">
      <c r="A63" s="4" t="s">
        <v>1026</v>
      </c>
    </row>
    <row r="64" spans="1:1" s="404" customFormat="1" ht="18" customHeight="1" x14ac:dyDescent="0.2">
      <c r="A64" s="4" t="s">
        <v>1028</v>
      </c>
    </row>
    <row r="65" spans="1:1" s="404" customFormat="1" ht="18" customHeight="1" x14ac:dyDescent="0.2">
      <c r="A65" s="4" t="s">
        <v>1029</v>
      </c>
    </row>
    <row r="66" spans="1:1" s="404" customFormat="1" ht="18" customHeight="1" x14ac:dyDescent="0.2">
      <c r="A66" s="4" t="s">
        <v>1031</v>
      </c>
    </row>
    <row r="67" spans="1:1" s="404" customFormat="1" ht="18" customHeight="1" x14ac:dyDescent="0.2">
      <c r="A67" s="4" t="s">
        <v>595</v>
      </c>
    </row>
    <row r="68" spans="1:1" s="404" customFormat="1" ht="18" customHeight="1" x14ac:dyDescent="0.2">
      <c r="A68" s="4" t="s">
        <v>1034</v>
      </c>
    </row>
    <row r="69" spans="1:1" s="404" customFormat="1" ht="18" customHeight="1" x14ac:dyDescent="0.2">
      <c r="A69" s="4" t="s">
        <v>1035</v>
      </c>
    </row>
    <row r="70" spans="1:1" s="404" customFormat="1" ht="18" customHeight="1" x14ac:dyDescent="0.2">
      <c r="A70" s="4" t="s">
        <v>1036</v>
      </c>
    </row>
    <row r="71" spans="1:1" s="404" customFormat="1" ht="18" customHeight="1" x14ac:dyDescent="0.2">
      <c r="A71" s="4" t="s">
        <v>1040</v>
      </c>
    </row>
    <row r="72" spans="1:1" s="404" customFormat="1" ht="18" customHeight="1" x14ac:dyDescent="0.2">
      <c r="A72" s="4" t="s">
        <v>1041</v>
      </c>
    </row>
    <row r="73" spans="1:1" s="404" customFormat="1" ht="18" customHeight="1" x14ac:dyDescent="0.2">
      <c r="A73" s="4" t="s">
        <v>1043</v>
      </c>
    </row>
    <row r="74" spans="1:1" s="404" customFormat="1" ht="18" customHeight="1" x14ac:dyDescent="0.2">
      <c r="A74" s="4" t="s">
        <v>1044</v>
      </c>
    </row>
    <row r="75" spans="1:1" s="404" customFormat="1" ht="18" customHeight="1" x14ac:dyDescent="0.2">
      <c r="A75" s="4" t="s">
        <v>596</v>
      </c>
    </row>
    <row r="76" spans="1:1" s="404" customFormat="1" ht="28.35" customHeight="1" x14ac:dyDescent="0.2"/>
    <row r="78" spans="1:1" ht="17.25" x14ac:dyDescent="0.2">
      <c r="A78" s="427" t="s">
        <v>1069</v>
      </c>
    </row>
  </sheetData>
  <pageMargins left="0.78431372549019618" right="0.78431372549019618" top="0.98039215686274517" bottom="0.98039215686274517" header="0.50980392156862753" footer="0.50980392156862753"/>
  <pageSetup paperSize="9" orientation="portrait" useFirstPageNumber="1"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42"/>
  <sheetViews>
    <sheetView zoomScale="110" zoomScaleNormal="110" workbookViewId="0">
      <selection activeCell="H10" sqref="H10"/>
    </sheetView>
  </sheetViews>
  <sheetFormatPr defaultRowHeight="12.75" x14ac:dyDescent="0.2"/>
  <cols>
    <col min="1" max="1" width="48.5703125" customWidth="1"/>
    <col min="2" max="2" width="20.140625" customWidth="1"/>
    <col min="3" max="3" width="17" customWidth="1"/>
    <col min="4" max="4" width="14.7109375" bestFit="1" customWidth="1"/>
    <col min="5" max="5" width="22.85546875" bestFit="1" customWidth="1"/>
    <col min="6" max="6" width="4.7109375" bestFit="1" customWidth="1"/>
  </cols>
  <sheetData>
    <row r="1" spans="1:3" ht="15.75" customHeight="1" x14ac:dyDescent="0.2">
      <c r="A1" s="783" t="s">
        <v>938</v>
      </c>
      <c r="B1" s="783"/>
      <c r="C1" s="783"/>
    </row>
    <row r="2" spans="1:3" s="404" customFormat="1" ht="19.5" customHeight="1" x14ac:dyDescent="0.2">
      <c r="A2" s="479" t="s">
        <v>940</v>
      </c>
      <c r="B2" s="480" t="s">
        <v>73</v>
      </c>
      <c r="C2" s="480" t="s">
        <v>76</v>
      </c>
    </row>
    <row r="3" spans="1:3" s="404" customFormat="1" ht="18" customHeight="1" x14ac:dyDescent="0.2">
      <c r="A3" s="481" t="s">
        <v>895</v>
      </c>
      <c r="B3" s="482">
        <v>4</v>
      </c>
      <c r="C3" s="482">
        <v>4</v>
      </c>
    </row>
    <row r="4" spans="1:3" s="404" customFormat="1" ht="18" customHeight="1" x14ac:dyDescent="0.2">
      <c r="A4" s="481" t="s">
        <v>896</v>
      </c>
      <c r="B4" s="482">
        <v>3</v>
      </c>
      <c r="C4" s="482">
        <v>3</v>
      </c>
    </row>
    <row r="5" spans="1:3" s="404" customFormat="1" ht="18" customHeight="1" x14ac:dyDescent="0.2">
      <c r="A5" s="481" t="s">
        <v>897</v>
      </c>
      <c r="B5" s="482">
        <v>3</v>
      </c>
      <c r="C5" s="482">
        <v>3</v>
      </c>
    </row>
    <row r="6" spans="1:3" s="404" customFormat="1" ht="18" customHeight="1" x14ac:dyDescent="0.2">
      <c r="A6" s="481" t="s">
        <v>898</v>
      </c>
      <c r="B6" s="482">
        <v>5</v>
      </c>
      <c r="C6" s="482">
        <v>5</v>
      </c>
    </row>
    <row r="7" spans="1:3" s="404" customFormat="1" ht="18" customHeight="1" x14ac:dyDescent="0.2">
      <c r="A7" s="481" t="s">
        <v>899</v>
      </c>
      <c r="B7" s="482">
        <v>2</v>
      </c>
      <c r="C7" s="482">
        <v>2</v>
      </c>
    </row>
    <row r="8" spans="1:3" s="404" customFormat="1" ht="18" customHeight="1" x14ac:dyDescent="0.2">
      <c r="A8" s="481" t="s">
        <v>18</v>
      </c>
      <c r="B8" s="482">
        <v>4249</v>
      </c>
      <c r="C8" s="482">
        <v>4618</v>
      </c>
    </row>
    <row r="9" spans="1:3" s="404" customFormat="1" ht="18" customHeight="1" x14ac:dyDescent="0.2">
      <c r="A9" s="481" t="s">
        <v>19</v>
      </c>
      <c r="B9" s="482">
        <v>3460</v>
      </c>
      <c r="C9" s="482">
        <v>3463</v>
      </c>
    </row>
    <row r="10" spans="1:3" s="404" customFormat="1" ht="18" customHeight="1" x14ac:dyDescent="0.2">
      <c r="A10" s="481" t="s">
        <v>20</v>
      </c>
      <c r="B10" s="482">
        <v>2708</v>
      </c>
      <c r="C10" s="482">
        <v>2713</v>
      </c>
    </row>
    <row r="11" spans="1:3" s="404" customFormat="1" ht="18" customHeight="1" x14ac:dyDescent="0.2">
      <c r="A11" s="481" t="s">
        <v>21</v>
      </c>
      <c r="B11" s="482">
        <v>378</v>
      </c>
      <c r="C11" s="482">
        <v>384</v>
      </c>
    </row>
    <row r="12" spans="1:3" s="404" customFormat="1" ht="18" customHeight="1" x14ac:dyDescent="0.2">
      <c r="A12" s="481" t="s">
        <v>22</v>
      </c>
      <c r="B12" s="482">
        <v>2257</v>
      </c>
      <c r="C12" s="482">
        <v>2257</v>
      </c>
    </row>
    <row r="13" spans="1:3" s="404" customFormat="1" ht="18" customHeight="1" x14ac:dyDescent="0.2">
      <c r="A13" s="481" t="s">
        <v>901</v>
      </c>
      <c r="B13" s="482">
        <v>7</v>
      </c>
      <c r="C13" s="482">
        <v>7</v>
      </c>
    </row>
    <row r="14" spans="1:3" s="404" customFormat="1" ht="18" customHeight="1" x14ac:dyDescent="0.2">
      <c r="A14" s="481" t="s">
        <v>23</v>
      </c>
      <c r="B14" s="482">
        <v>9825</v>
      </c>
      <c r="C14" s="482">
        <v>9911</v>
      </c>
    </row>
    <row r="15" spans="1:3" s="404" customFormat="1" ht="18" customHeight="1" x14ac:dyDescent="0.2">
      <c r="A15" s="481" t="s">
        <v>24</v>
      </c>
      <c r="B15" s="482">
        <v>19</v>
      </c>
      <c r="C15" s="482">
        <v>19</v>
      </c>
    </row>
    <row r="16" spans="1:3" s="404" customFormat="1" ht="18" customHeight="1" x14ac:dyDescent="0.2">
      <c r="A16" s="481" t="s">
        <v>25</v>
      </c>
      <c r="B16" s="482">
        <v>2</v>
      </c>
      <c r="C16" s="482">
        <v>2</v>
      </c>
    </row>
    <row r="17" spans="1:3" s="404" customFormat="1" ht="18" customHeight="1" x14ac:dyDescent="0.2">
      <c r="A17" s="481" t="s">
        <v>26</v>
      </c>
      <c r="B17" s="482">
        <v>285</v>
      </c>
      <c r="C17" s="482">
        <v>281</v>
      </c>
    </row>
    <row r="18" spans="1:3" s="404" customFormat="1" ht="18" customHeight="1" x14ac:dyDescent="0.2">
      <c r="A18" s="481" t="s">
        <v>27</v>
      </c>
      <c r="B18" s="482">
        <v>614</v>
      </c>
      <c r="C18" s="482">
        <v>609</v>
      </c>
    </row>
    <row r="19" spans="1:3" s="404" customFormat="1" ht="18" customHeight="1" x14ac:dyDescent="0.2">
      <c r="A19" s="481" t="s">
        <v>28</v>
      </c>
      <c r="B19" s="482">
        <v>215</v>
      </c>
      <c r="C19" s="482">
        <v>215</v>
      </c>
    </row>
    <row r="20" spans="1:3" s="404" customFormat="1" ht="18" customHeight="1" x14ac:dyDescent="0.2">
      <c r="A20" s="481" t="s">
        <v>29</v>
      </c>
      <c r="B20" s="482">
        <v>66</v>
      </c>
      <c r="C20" s="482">
        <v>66</v>
      </c>
    </row>
    <row r="21" spans="1:3" s="404" customFormat="1" ht="18" customHeight="1" x14ac:dyDescent="0.2">
      <c r="A21" s="481" t="s">
        <v>30</v>
      </c>
      <c r="B21" s="482">
        <v>2</v>
      </c>
      <c r="C21" s="482">
        <v>2</v>
      </c>
    </row>
    <row r="22" spans="1:3" s="404" customFormat="1" ht="18" customHeight="1" x14ac:dyDescent="0.2">
      <c r="A22" s="481" t="s">
        <v>31</v>
      </c>
      <c r="B22" s="482">
        <v>31</v>
      </c>
      <c r="C22" s="482">
        <v>31</v>
      </c>
    </row>
    <row r="23" spans="1:3" s="404" customFormat="1" ht="18" customHeight="1" x14ac:dyDescent="0.2">
      <c r="A23" s="481" t="s">
        <v>32</v>
      </c>
      <c r="B23" s="482">
        <v>7</v>
      </c>
      <c r="C23" s="482">
        <v>7</v>
      </c>
    </row>
    <row r="24" spans="1:3" s="404" customFormat="1" ht="18" customHeight="1" x14ac:dyDescent="0.2">
      <c r="A24" s="481" t="s">
        <v>33</v>
      </c>
      <c r="B24" s="482">
        <v>5</v>
      </c>
      <c r="C24" s="482">
        <v>5</v>
      </c>
    </row>
    <row r="25" spans="1:3" s="404" customFormat="1" ht="18" customHeight="1" x14ac:dyDescent="0.2">
      <c r="A25" s="481" t="s">
        <v>34</v>
      </c>
      <c r="B25" s="482">
        <v>80</v>
      </c>
      <c r="C25" s="482">
        <v>80</v>
      </c>
    </row>
    <row r="26" spans="1:3" s="404" customFormat="1" ht="18" customHeight="1" x14ac:dyDescent="0.2">
      <c r="A26" s="481" t="s">
        <v>35</v>
      </c>
      <c r="B26" s="482">
        <v>189</v>
      </c>
      <c r="C26" s="482">
        <v>189</v>
      </c>
    </row>
    <row r="27" spans="1:3" s="404" customFormat="1" ht="18" customHeight="1" x14ac:dyDescent="0.2">
      <c r="A27" s="481" t="s">
        <v>36</v>
      </c>
      <c r="B27" s="482">
        <v>251</v>
      </c>
      <c r="C27" s="482">
        <v>254</v>
      </c>
    </row>
    <row r="28" spans="1:3" s="404" customFormat="1" ht="18" customHeight="1" x14ac:dyDescent="0.2">
      <c r="A28" s="481" t="s">
        <v>37</v>
      </c>
      <c r="B28" s="482">
        <v>649</v>
      </c>
      <c r="C28" s="482">
        <v>664</v>
      </c>
    </row>
    <row r="29" spans="1:3" s="404" customFormat="1" ht="18" customHeight="1" x14ac:dyDescent="0.2">
      <c r="A29" s="481" t="s">
        <v>38</v>
      </c>
      <c r="B29" s="482">
        <v>351</v>
      </c>
      <c r="C29" s="482">
        <v>350</v>
      </c>
    </row>
    <row r="30" spans="1:3" s="404" customFormat="1" ht="18" customHeight="1" x14ac:dyDescent="0.2">
      <c r="A30" s="481" t="s">
        <v>39</v>
      </c>
      <c r="B30" s="482">
        <v>47</v>
      </c>
      <c r="C30" s="482">
        <v>49</v>
      </c>
    </row>
    <row r="31" spans="1:3" s="404" customFormat="1" ht="18" customHeight="1" x14ac:dyDescent="0.2">
      <c r="A31" s="481" t="s">
        <v>40</v>
      </c>
      <c r="B31" s="482">
        <v>1291</v>
      </c>
      <c r="C31" s="482">
        <v>1298</v>
      </c>
    </row>
    <row r="32" spans="1:3" s="404" customFormat="1" ht="18" customHeight="1" x14ac:dyDescent="0.2">
      <c r="A32" s="481" t="s">
        <v>41</v>
      </c>
      <c r="B32" s="482">
        <v>680</v>
      </c>
      <c r="C32" s="482">
        <v>683</v>
      </c>
    </row>
    <row r="33" spans="1:5" s="404" customFormat="1" ht="18" customHeight="1" x14ac:dyDescent="0.2">
      <c r="A33" s="481" t="s">
        <v>973</v>
      </c>
      <c r="B33" s="482">
        <v>10</v>
      </c>
      <c r="C33" s="482">
        <v>10</v>
      </c>
    </row>
    <row r="34" spans="1:5" s="404" customFormat="1" ht="18" customHeight="1" x14ac:dyDescent="0.2">
      <c r="A34" s="481" t="s">
        <v>42</v>
      </c>
      <c r="B34" s="482">
        <v>1</v>
      </c>
      <c r="C34" s="482">
        <v>1</v>
      </c>
    </row>
    <row r="35" spans="1:5" s="404" customFormat="1" ht="18" customHeight="1" x14ac:dyDescent="0.2">
      <c r="A35" s="481" t="s">
        <v>43</v>
      </c>
      <c r="B35" s="482">
        <v>2</v>
      </c>
      <c r="C35" s="482">
        <v>2</v>
      </c>
    </row>
    <row r="36" spans="1:5" s="404" customFormat="1" ht="18" customHeight="1" x14ac:dyDescent="0.2">
      <c r="A36" s="481" t="s">
        <v>44</v>
      </c>
      <c r="B36" s="482">
        <v>1</v>
      </c>
      <c r="C36" s="482">
        <v>1</v>
      </c>
    </row>
    <row r="37" spans="1:5" s="404" customFormat="1" ht="18" customHeight="1" x14ac:dyDescent="0.2">
      <c r="A37" s="481" t="s">
        <v>45</v>
      </c>
      <c r="B37" s="482">
        <v>2</v>
      </c>
      <c r="C37" s="482">
        <v>2</v>
      </c>
    </row>
    <row r="38" spans="1:5" s="404" customFormat="1" ht="12" customHeight="1" x14ac:dyDescent="0.15">
      <c r="A38" s="784" t="s">
        <v>46</v>
      </c>
      <c r="B38" s="784"/>
      <c r="C38" s="784"/>
      <c r="D38" s="784"/>
      <c r="E38" s="784"/>
    </row>
    <row r="39" spans="1:5" s="404" customFormat="1" ht="11.25" customHeight="1" x14ac:dyDescent="0.15">
      <c r="A39" s="785" t="s">
        <v>842</v>
      </c>
      <c r="B39" s="785"/>
      <c r="C39" s="785"/>
      <c r="D39" s="785"/>
      <c r="E39" s="785"/>
    </row>
    <row r="40" spans="1:5" s="404" customFormat="1" ht="11.25" customHeight="1" x14ac:dyDescent="0.15">
      <c r="A40" s="483" t="s">
        <v>900</v>
      </c>
      <c r="B40" s="483"/>
      <c r="C40" s="483"/>
      <c r="D40" s="483"/>
      <c r="E40" s="483"/>
    </row>
    <row r="41" spans="1:5" s="404" customFormat="1" ht="11.25" customHeight="1" x14ac:dyDescent="0.15">
      <c r="A41" s="784" t="s">
        <v>47</v>
      </c>
      <c r="B41" s="784"/>
      <c r="C41" s="784"/>
      <c r="D41" s="784"/>
      <c r="E41" s="784"/>
    </row>
    <row r="42" spans="1:5" s="404" customFormat="1" ht="28.35" customHeight="1" x14ac:dyDescent="0.2"/>
  </sheetData>
  <mergeCells count="4">
    <mergeCell ref="A1:C1"/>
    <mergeCell ref="A38:E38"/>
    <mergeCell ref="A41:E41"/>
    <mergeCell ref="A39:E39"/>
  </mergeCells>
  <pageMargins left="0.78431372549019618" right="0.78431372549019618" top="0.98039215686274517" bottom="0.98039215686274517" header="0.50980392156862753" footer="0.50980392156862753"/>
  <pageSetup paperSize="9" orientation="portrait" useFirstPageNumber="1"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8"/>
  <sheetViews>
    <sheetView zoomScaleNormal="100" workbookViewId="0">
      <selection activeCell="E25" sqref="E25"/>
    </sheetView>
  </sheetViews>
  <sheetFormatPr defaultColWidth="9.140625" defaultRowHeight="12.75" x14ac:dyDescent="0.2"/>
  <cols>
    <col min="1" max="1" width="7" bestFit="1" customWidth="1"/>
    <col min="2" max="2" width="35.140625" bestFit="1" customWidth="1"/>
    <col min="3" max="3" width="14.7109375" bestFit="1" customWidth="1"/>
    <col min="4" max="4" width="21.42578125" customWidth="1"/>
    <col min="5" max="9" width="14.7109375" bestFit="1" customWidth="1"/>
    <col min="10" max="10" width="11.7109375" bestFit="1" customWidth="1"/>
    <col min="11" max="11" width="7.7109375" bestFit="1" customWidth="1"/>
  </cols>
  <sheetData>
    <row r="1" spans="1:10" x14ac:dyDescent="0.2">
      <c r="A1" s="783" t="s">
        <v>978</v>
      </c>
      <c r="B1" s="783"/>
      <c r="C1" s="783"/>
      <c r="D1" s="783"/>
      <c r="E1" s="783"/>
      <c r="F1" s="783"/>
      <c r="G1" s="783"/>
      <c r="H1" s="783"/>
      <c r="I1" s="783"/>
      <c r="J1" s="783"/>
    </row>
    <row r="2" spans="1:10" s="404" customFormat="1" ht="38.25" x14ac:dyDescent="0.2">
      <c r="A2" s="484" t="s">
        <v>48</v>
      </c>
      <c r="B2" s="484" t="s">
        <v>49</v>
      </c>
      <c r="C2" s="484" t="s">
        <v>902</v>
      </c>
      <c r="D2" s="484" t="s">
        <v>50</v>
      </c>
      <c r="E2" s="484" t="s">
        <v>51</v>
      </c>
      <c r="F2" s="484" t="s">
        <v>52</v>
      </c>
      <c r="G2" s="485" t="s">
        <v>53</v>
      </c>
      <c r="H2" s="485" t="s">
        <v>54</v>
      </c>
      <c r="I2" s="485" t="s">
        <v>55</v>
      </c>
      <c r="J2" s="485" t="s">
        <v>1063</v>
      </c>
    </row>
    <row r="3" spans="1:10" s="404" customFormat="1" ht="15" x14ac:dyDescent="0.25">
      <c r="A3" s="486" t="s">
        <v>843</v>
      </c>
      <c r="B3" s="487" t="s">
        <v>844</v>
      </c>
      <c r="C3" s="187">
        <v>44012</v>
      </c>
      <c r="D3" s="187" t="s">
        <v>903</v>
      </c>
      <c r="E3" s="188" t="s">
        <v>449</v>
      </c>
      <c r="F3" s="189">
        <v>666000</v>
      </c>
      <c r="G3" s="488">
        <v>10</v>
      </c>
      <c r="H3" s="488">
        <v>27</v>
      </c>
      <c r="I3" s="488">
        <v>37</v>
      </c>
      <c r="J3" s="190">
        <v>2.46</v>
      </c>
    </row>
    <row r="4" spans="1:10" s="404" customFormat="1" ht="15" x14ac:dyDescent="0.25">
      <c r="A4" s="486" t="s">
        <v>845</v>
      </c>
      <c r="B4" s="487" t="s">
        <v>846</v>
      </c>
      <c r="C4" s="187">
        <v>43997</v>
      </c>
      <c r="D4" s="187" t="s">
        <v>847</v>
      </c>
      <c r="E4" s="188" t="s">
        <v>449</v>
      </c>
      <c r="F4" s="189">
        <v>422626894</v>
      </c>
      <c r="G4" s="488">
        <v>10</v>
      </c>
      <c r="H4" s="488">
        <v>1247</v>
      </c>
      <c r="I4" s="488">
        <v>1257</v>
      </c>
      <c r="J4" s="190">
        <v>53124.2</v>
      </c>
    </row>
    <row r="5" spans="1:10" s="404" customFormat="1" ht="12" x14ac:dyDescent="0.2">
      <c r="A5" s="786" t="s">
        <v>1081</v>
      </c>
      <c r="B5" s="786"/>
      <c r="C5" s="786"/>
      <c r="D5" s="786"/>
      <c r="E5" s="786"/>
      <c r="F5" s="786"/>
    </row>
    <row r="6" spans="1:10" s="404" customFormat="1" ht="15.75" x14ac:dyDescent="0.25">
      <c r="A6" s="489" t="s">
        <v>1080</v>
      </c>
      <c r="B6" s="490"/>
      <c r="C6" s="490"/>
      <c r="D6" s="490"/>
      <c r="E6" s="490"/>
      <c r="F6" s="490"/>
    </row>
    <row r="7" spans="1:10" s="404" customFormat="1" ht="12" x14ac:dyDescent="0.2">
      <c r="A7" s="787" t="s">
        <v>56</v>
      </c>
      <c r="B7" s="787"/>
      <c r="C7" s="787"/>
      <c r="D7" s="787"/>
      <c r="E7" s="787"/>
      <c r="F7" s="787"/>
    </row>
    <row r="8" spans="1:10" s="404" customFormat="1" ht="8.25" x14ac:dyDescent="0.2"/>
  </sheetData>
  <mergeCells count="3">
    <mergeCell ref="A1:J1"/>
    <mergeCell ref="A5:F5"/>
    <mergeCell ref="A7:F7"/>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11"/>
  <sheetViews>
    <sheetView zoomScaleNormal="100" workbookViewId="0">
      <selection activeCell="M9" sqref="M9"/>
    </sheetView>
  </sheetViews>
  <sheetFormatPr defaultRowHeight="12.75" x14ac:dyDescent="0.2"/>
  <cols>
    <col min="1" max="1" width="8.140625" bestFit="1" customWidth="1"/>
    <col min="2" max="2" width="14.7109375" bestFit="1" customWidth="1"/>
    <col min="3" max="3" width="20.7109375" bestFit="1" customWidth="1"/>
    <col min="4" max="4" width="11.140625" bestFit="1" customWidth="1"/>
    <col min="5" max="5" width="11.7109375" bestFit="1" customWidth="1"/>
    <col min="6" max="6" width="12.42578125" bestFit="1" customWidth="1"/>
    <col min="7" max="7" width="12.5703125" bestFit="1" customWidth="1"/>
    <col min="8" max="8" width="9.28515625" bestFit="1" customWidth="1"/>
    <col min="9" max="9" width="8.7109375" bestFit="1" customWidth="1"/>
    <col min="10" max="10" width="7.28515625" bestFit="1" customWidth="1"/>
    <col min="11" max="11" width="4.7109375" bestFit="1" customWidth="1"/>
  </cols>
  <sheetData>
    <row r="1" spans="1:10" x14ac:dyDescent="0.2">
      <c r="A1" s="788" t="s">
        <v>974</v>
      </c>
      <c r="B1" s="788"/>
      <c r="C1" s="788"/>
      <c r="D1" s="788"/>
      <c r="E1" s="788"/>
      <c r="F1" s="788"/>
      <c r="G1" s="788"/>
      <c r="H1" s="788"/>
      <c r="I1" s="788"/>
      <c r="J1" s="788"/>
    </row>
    <row r="2" spans="1:10" s="404" customFormat="1" x14ac:dyDescent="0.2">
      <c r="A2" s="789" t="s">
        <v>57</v>
      </c>
      <c r="B2" s="789" t="s">
        <v>58</v>
      </c>
      <c r="C2" s="789" t="s">
        <v>59</v>
      </c>
      <c r="D2" s="789" t="s">
        <v>60</v>
      </c>
      <c r="E2" s="789" t="s">
        <v>61</v>
      </c>
      <c r="F2" s="791" t="s">
        <v>62</v>
      </c>
      <c r="G2" s="792"/>
      <c r="H2" s="793" t="s">
        <v>63</v>
      </c>
      <c r="I2" s="795" t="s">
        <v>840</v>
      </c>
    </row>
    <row r="3" spans="1:10" s="404" customFormat="1" ht="38.25" x14ac:dyDescent="0.2">
      <c r="A3" s="790"/>
      <c r="B3" s="790"/>
      <c r="C3" s="790"/>
      <c r="D3" s="790"/>
      <c r="E3" s="790"/>
      <c r="F3" s="491" t="s">
        <v>64</v>
      </c>
      <c r="G3" s="491" t="s">
        <v>1070</v>
      </c>
      <c r="H3" s="794"/>
      <c r="I3" s="796"/>
    </row>
    <row r="4" spans="1:10" s="404" customFormat="1" ht="38.25" x14ac:dyDescent="0.2">
      <c r="A4" s="492">
        <v>1</v>
      </c>
      <c r="B4" s="493" t="s">
        <v>904</v>
      </c>
      <c r="C4" s="493" t="s">
        <v>905</v>
      </c>
      <c r="D4" s="494">
        <v>43985</v>
      </c>
      <c r="E4" s="494">
        <v>43998</v>
      </c>
      <c r="F4" s="495">
        <v>6500000</v>
      </c>
      <c r="G4" s="496">
        <v>26</v>
      </c>
      <c r="H4" s="497">
        <v>9</v>
      </c>
      <c r="I4" s="497">
        <v>5.85</v>
      </c>
    </row>
    <row r="5" spans="1:10" s="404" customFormat="1" ht="63.75" x14ac:dyDescent="0.2">
      <c r="A5" s="492">
        <v>2</v>
      </c>
      <c r="B5" s="493" t="s">
        <v>906</v>
      </c>
      <c r="C5" s="493" t="s">
        <v>907</v>
      </c>
      <c r="D5" s="494">
        <v>43987</v>
      </c>
      <c r="E5" s="494">
        <v>44000</v>
      </c>
      <c r="F5" s="495">
        <v>867785</v>
      </c>
      <c r="G5" s="496">
        <v>26</v>
      </c>
      <c r="H5" s="497">
        <v>2</v>
      </c>
      <c r="I5" s="497">
        <v>0.17</v>
      </c>
    </row>
    <row r="6" spans="1:10" s="404" customFormat="1" ht="89.25" x14ac:dyDescent="0.2">
      <c r="A6" s="492">
        <v>3</v>
      </c>
      <c r="B6" s="493" t="s">
        <v>908</v>
      </c>
      <c r="C6" s="493" t="s">
        <v>909</v>
      </c>
      <c r="D6" s="494">
        <v>43998</v>
      </c>
      <c r="E6" s="494">
        <v>44011</v>
      </c>
      <c r="F6" s="495">
        <v>9506156</v>
      </c>
      <c r="G6" s="496">
        <v>38</v>
      </c>
      <c r="H6" s="497">
        <v>3.6</v>
      </c>
      <c r="I6" s="497">
        <v>3.42</v>
      </c>
    </row>
    <row r="7" spans="1:10" s="404" customFormat="1" ht="25.5" x14ac:dyDescent="0.2">
      <c r="A7" s="492">
        <v>4</v>
      </c>
      <c r="B7" s="493" t="s">
        <v>910</v>
      </c>
      <c r="C7" s="493" t="s">
        <v>911</v>
      </c>
      <c r="D7" s="494">
        <v>43998</v>
      </c>
      <c r="E7" s="494">
        <v>44011</v>
      </c>
      <c r="F7" s="495">
        <v>37195411</v>
      </c>
      <c r="G7" s="496">
        <v>26</v>
      </c>
      <c r="H7" s="498">
        <v>290</v>
      </c>
      <c r="I7" s="498">
        <v>1078.67</v>
      </c>
    </row>
    <row r="8" spans="1:10" s="404" customFormat="1" x14ac:dyDescent="0.2">
      <c r="A8" s="405"/>
      <c r="B8" s="405"/>
      <c r="C8" s="405"/>
      <c r="D8" s="405"/>
      <c r="E8" s="405"/>
      <c r="F8" s="406"/>
      <c r="G8" s="406"/>
      <c r="H8" s="407"/>
      <c r="I8" s="408"/>
    </row>
    <row r="9" spans="1:10" s="404" customFormat="1" x14ac:dyDescent="0.2">
      <c r="A9" s="405"/>
      <c r="B9" s="405"/>
      <c r="C9" s="405"/>
      <c r="D9" s="405"/>
      <c r="E9" s="405"/>
      <c r="F9" s="406"/>
      <c r="G9" s="406"/>
      <c r="H9" s="407"/>
      <c r="I9" s="408"/>
    </row>
    <row r="10" spans="1:10" s="404" customFormat="1" ht="12" x14ac:dyDescent="0.2">
      <c r="A10" s="787" t="s">
        <v>56</v>
      </c>
      <c r="B10" s="787"/>
    </row>
    <row r="11" spans="1:10" s="404" customFormat="1" ht="8.25" x14ac:dyDescent="0.2"/>
  </sheetData>
  <mergeCells count="10">
    <mergeCell ref="A10:B10"/>
    <mergeCell ref="A1:J1"/>
    <mergeCell ref="A2:A3"/>
    <mergeCell ref="B2:B3"/>
    <mergeCell ref="C2:C3"/>
    <mergeCell ref="D2:D3"/>
    <mergeCell ref="E2:E3"/>
    <mergeCell ref="F2:G2"/>
    <mergeCell ref="H2:H3"/>
    <mergeCell ref="I2:I3"/>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3"/>
  <sheetViews>
    <sheetView zoomScaleNormal="100" workbookViewId="0">
      <selection activeCell="G21" sqref="G21"/>
    </sheetView>
  </sheetViews>
  <sheetFormatPr defaultRowHeight="12.75" x14ac:dyDescent="0.2"/>
  <cols>
    <col min="1" max="1" width="14.7109375" bestFit="1" customWidth="1"/>
    <col min="2" max="2" width="11.5703125" bestFit="1" customWidth="1"/>
    <col min="3" max="3" width="12.140625" bestFit="1" customWidth="1"/>
    <col min="4" max="4" width="12" customWidth="1"/>
    <col min="5" max="5" width="12.140625" customWidth="1"/>
    <col min="6" max="6" width="11.28515625" customWidth="1"/>
    <col min="7" max="7" width="12.140625" customWidth="1"/>
    <col min="8" max="8" width="9" customWidth="1"/>
    <col min="9" max="9" width="11.7109375" customWidth="1"/>
    <col min="10" max="10" width="4.7109375" bestFit="1" customWidth="1"/>
  </cols>
  <sheetData>
    <row r="1" spans="1:9" x14ac:dyDescent="0.2">
      <c r="A1" s="798" t="s">
        <v>1</v>
      </c>
      <c r="B1" s="798"/>
      <c r="C1" s="798"/>
      <c r="D1" s="798"/>
      <c r="E1" s="798"/>
      <c r="F1" s="798"/>
      <c r="G1" s="798"/>
      <c r="H1" s="798"/>
      <c r="I1" s="798"/>
    </row>
    <row r="2" spans="1:9" s="499" customFormat="1" x14ac:dyDescent="0.2">
      <c r="A2" s="799" t="s">
        <v>65</v>
      </c>
      <c r="B2" s="802" t="s">
        <v>912</v>
      </c>
      <c r="C2" s="803"/>
      <c r="D2" s="803"/>
      <c r="E2" s="803"/>
      <c r="F2" s="803"/>
      <c r="G2" s="803"/>
      <c r="H2" s="803"/>
      <c r="I2" s="804"/>
    </row>
    <row r="3" spans="1:9" s="499" customFormat="1" x14ac:dyDescent="0.2">
      <c r="A3" s="800"/>
      <c r="B3" s="805" t="s">
        <v>66</v>
      </c>
      <c r="C3" s="803"/>
      <c r="D3" s="803"/>
      <c r="E3" s="803"/>
      <c r="F3" s="803"/>
      <c r="G3" s="804"/>
      <c r="H3" s="806" t="s">
        <v>67</v>
      </c>
      <c r="I3" s="807"/>
    </row>
    <row r="4" spans="1:9" s="499" customFormat="1" x14ac:dyDescent="0.2">
      <c r="A4" s="800"/>
      <c r="B4" s="808" t="s">
        <v>68</v>
      </c>
      <c r="C4" s="809"/>
      <c r="D4" s="808" t="s">
        <v>69</v>
      </c>
      <c r="E4" s="809"/>
      <c r="F4" s="808" t="s">
        <v>70</v>
      </c>
      <c r="G4" s="809"/>
      <c r="H4" s="810" t="s">
        <v>71</v>
      </c>
      <c r="I4" s="812" t="s">
        <v>72</v>
      </c>
    </row>
    <row r="5" spans="1:9" s="499" customFormat="1" ht="25.5" x14ac:dyDescent="0.2">
      <c r="A5" s="801"/>
      <c r="B5" s="500" t="s">
        <v>71</v>
      </c>
      <c r="C5" s="501" t="s">
        <v>72</v>
      </c>
      <c r="D5" s="500" t="s">
        <v>71</v>
      </c>
      <c r="E5" s="501" t="s">
        <v>72</v>
      </c>
      <c r="F5" s="500" t="s">
        <v>71</v>
      </c>
      <c r="G5" s="501" t="s">
        <v>72</v>
      </c>
      <c r="H5" s="811"/>
      <c r="I5" s="813"/>
    </row>
    <row r="6" spans="1:9" s="499" customFormat="1" x14ac:dyDescent="0.2">
      <c r="A6" s="502" t="s">
        <v>73</v>
      </c>
      <c r="B6" s="503">
        <v>49</v>
      </c>
      <c r="C6" s="504">
        <v>16401.64</v>
      </c>
      <c r="D6" s="503">
        <v>4</v>
      </c>
      <c r="E6" s="504">
        <v>3641.83</v>
      </c>
      <c r="F6" s="503">
        <v>3</v>
      </c>
      <c r="G6" s="504">
        <v>478.38</v>
      </c>
      <c r="H6" s="503">
        <v>56</v>
      </c>
      <c r="I6" s="505">
        <v>20521.849999999999</v>
      </c>
    </row>
    <row r="7" spans="1:9" s="499" customFormat="1" x14ac:dyDescent="0.2">
      <c r="A7" s="502" t="s">
        <v>76</v>
      </c>
      <c r="B7" s="503">
        <v>6</v>
      </c>
      <c r="C7" s="504">
        <v>1089.47</v>
      </c>
      <c r="D7" s="503">
        <v>1</v>
      </c>
      <c r="E7" s="504">
        <v>2.36</v>
      </c>
      <c r="F7" s="503">
        <v>0</v>
      </c>
      <c r="G7" s="504">
        <v>0</v>
      </c>
      <c r="H7" s="503">
        <v>7</v>
      </c>
      <c r="I7" s="505">
        <v>1091.83</v>
      </c>
    </row>
    <row r="8" spans="1:9" s="499" customFormat="1" x14ac:dyDescent="0.2">
      <c r="A8" s="502" t="s">
        <v>75</v>
      </c>
      <c r="B8" s="503">
        <v>2</v>
      </c>
      <c r="C8" s="504">
        <v>1.36</v>
      </c>
      <c r="D8" s="503">
        <v>1</v>
      </c>
      <c r="E8" s="504">
        <v>2.36</v>
      </c>
      <c r="F8" s="503">
        <v>0</v>
      </c>
      <c r="G8" s="504">
        <v>0</v>
      </c>
      <c r="H8" s="503">
        <v>3</v>
      </c>
      <c r="I8" s="505">
        <v>3.72</v>
      </c>
    </row>
    <row r="9" spans="1:9" s="499" customFormat="1" x14ac:dyDescent="0.2">
      <c r="A9" s="502" t="s">
        <v>74</v>
      </c>
      <c r="B9" s="503">
        <v>0</v>
      </c>
      <c r="C9" s="504">
        <v>0</v>
      </c>
      <c r="D9" s="503">
        <v>0</v>
      </c>
      <c r="E9" s="504">
        <v>0</v>
      </c>
      <c r="F9" s="503">
        <v>0</v>
      </c>
      <c r="G9" s="504">
        <v>0</v>
      </c>
      <c r="H9" s="503">
        <v>0</v>
      </c>
      <c r="I9" s="505">
        <v>0</v>
      </c>
    </row>
    <row r="10" spans="1:9" s="499" customFormat="1" x14ac:dyDescent="0.2">
      <c r="A10" s="502" t="s">
        <v>849</v>
      </c>
      <c r="B10" s="503">
        <v>4</v>
      </c>
      <c r="C10" s="504">
        <v>1088.1099999999999</v>
      </c>
      <c r="D10" s="503">
        <v>0</v>
      </c>
      <c r="E10" s="504">
        <v>0</v>
      </c>
      <c r="F10" s="503">
        <v>0</v>
      </c>
      <c r="G10" s="504">
        <v>0</v>
      </c>
      <c r="H10" s="503">
        <v>4</v>
      </c>
      <c r="I10" s="505">
        <v>1088.1099999999999</v>
      </c>
    </row>
    <row r="11" spans="1:9" s="499" customFormat="1" ht="12" x14ac:dyDescent="0.2">
      <c r="A11" s="787" t="s">
        <v>1082</v>
      </c>
      <c r="B11" s="797"/>
      <c r="C11" s="797"/>
      <c r="D11" s="797"/>
      <c r="E11" s="797"/>
      <c r="F11" s="797"/>
      <c r="G11" s="797"/>
      <c r="H11" s="797"/>
      <c r="I11" s="797"/>
    </row>
    <row r="12" spans="1:9" s="499" customFormat="1" ht="12" x14ac:dyDescent="0.2">
      <c r="A12" s="797" t="s">
        <v>56</v>
      </c>
      <c r="B12" s="797"/>
      <c r="C12" s="797"/>
      <c r="D12" s="797"/>
      <c r="E12" s="797"/>
      <c r="F12" s="797"/>
      <c r="G12" s="797"/>
      <c r="H12" s="797"/>
      <c r="I12" s="797"/>
    </row>
    <row r="13" spans="1:9" s="499" customFormat="1" ht="8.25" x14ac:dyDescent="0.2"/>
  </sheetData>
  <mergeCells count="12">
    <mergeCell ref="A11:I11"/>
    <mergeCell ref="A12:I12"/>
    <mergeCell ref="A1:I1"/>
    <mergeCell ref="A2:A5"/>
    <mergeCell ref="B2:I2"/>
    <mergeCell ref="B3:G3"/>
    <mergeCell ref="H3:I3"/>
    <mergeCell ref="B4:C4"/>
    <mergeCell ref="D4:E4"/>
    <mergeCell ref="F4:G4"/>
    <mergeCell ref="H4:H5"/>
    <mergeCell ref="I4:I5"/>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20"/>
  <sheetViews>
    <sheetView zoomScaleNormal="100" workbookViewId="0">
      <selection activeCell="I26" sqref="I26"/>
    </sheetView>
  </sheetViews>
  <sheetFormatPr defaultColWidth="10.42578125" defaultRowHeight="15" x14ac:dyDescent="0.25"/>
  <cols>
    <col min="1" max="16384" width="10.42578125" style="125"/>
  </cols>
  <sheetData>
    <row r="1" spans="1:18" ht="17.25" customHeight="1" x14ac:dyDescent="0.25">
      <c r="A1" s="822" t="s">
        <v>673</v>
      </c>
      <c r="B1" s="822"/>
      <c r="C1" s="822"/>
      <c r="D1" s="822"/>
      <c r="E1" s="822"/>
      <c r="F1" s="822"/>
      <c r="G1" s="822"/>
      <c r="H1" s="822"/>
      <c r="I1" s="822"/>
      <c r="J1" s="822"/>
      <c r="K1" s="822"/>
      <c r="L1" s="822"/>
      <c r="M1" s="822"/>
      <c r="N1" s="822"/>
      <c r="O1" s="822"/>
    </row>
    <row r="2" spans="1:18" ht="18" customHeight="1" x14ac:dyDescent="0.25">
      <c r="A2" s="826" t="s">
        <v>65</v>
      </c>
      <c r="B2" s="827" t="s">
        <v>674</v>
      </c>
      <c r="C2" s="828"/>
      <c r="D2" s="823" t="s">
        <v>675</v>
      </c>
      <c r="E2" s="824"/>
      <c r="F2" s="824"/>
      <c r="G2" s="824"/>
      <c r="H2" s="824"/>
      <c r="I2" s="824"/>
      <c r="J2" s="824"/>
      <c r="K2" s="824"/>
      <c r="L2" s="824"/>
      <c r="M2" s="824"/>
      <c r="N2" s="824"/>
      <c r="O2" s="825"/>
      <c r="P2" s="814" t="s">
        <v>676</v>
      </c>
      <c r="Q2" s="814"/>
    </row>
    <row r="3" spans="1:18" s="191" customFormat="1" x14ac:dyDescent="0.2">
      <c r="A3" s="826"/>
      <c r="B3" s="829"/>
      <c r="C3" s="830"/>
      <c r="D3" s="815" t="s">
        <v>976</v>
      </c>
      <c r="E3" s="815"/>
      <c r="F3" s="815"/>
      <c r="G3" s="815"/>
      <c r="H3" s="815" t="s">
        <v>77</v>
      </c>
      <c r="I3" s="815"/>
      <c r="J3" s="815"/>
      <c r="K3" s="815"/>
      <c r="L3" s="815" t="s">
        <v>977</v>
      </c>
      <c r="M3" s="815"/>
      <c r="N3" s="815"/>
      <c r="O3" s="815"/>
      <c r="P3" s="816" t="s">
        <v>87</v>
      </c>
      <c r="Q3" s="817" t="s">
        <v>677</v>
      </c>
    </row>
    <row r="4" spans="1:18" s="191" customFormat="1" x14ac:dyDescent="0.2">
      <c r="A4" s="826"/>
      <c r="B4" s="831"/>
      <c r="C4" s="832"/>
      <c r="D4" s="818" t="s">
        <v>78</v>
      </c>
      <c r="E4" s="819"/>
      <c r="F4" s="818" t="s">
        <v>79</v>
      </c>
      <c r="G4" s="819"/>
      <c r="H4" s="818" t="s">
        <v>80</v>
      </c>
      <c r="I4" s="819"/>
      <c r="J4" s="818" t="s">
        <v>81</v>
      </c>
      <c r="K4" s="819"/>
      <c r="L4" s="818" t="s">
        <v>83</v>
      </c>
      <c r="M4" s="819"/>
      <c r="N4" s="818" t="s">
        <v>84</v>
      </c>
      <c r="O4" s="819"/>
      <c r="P4" s="816"/>
      <c r="Q4" s="817"/>
    </row>
    <row r="5" spans="1:18" s="191" customFormat="1" ht="30" x14ac:dyDescent="0.2">
      <c r="A5" s="826"/>
      <c r="B5" s="467" t="s">
        <v>85</v>
      </c>
      <c r="C5" s="467" t="s">
        <v>678</v>
      </c>
      <c r="D5" s="467" t="s">
        <v>85</v>
      </c>
      <c r="E5" s="467" t="s">
        <v>678</v>
      </c>
      <c r="F5" s="467" t="s">
        <v>85</v>
      </c>
      <c r="G5" s="467" t="s">
        <v>678</v>
      </c>
      <c r="H5" s="467" t="s">
        <v>85</v>
      </c>
      <c r="I5" s="467" t="s">
        <v>678</v>
      </c>
      <c r="J5" s="467" t="s">
        <v>85</v>
      </c>
      <c r="K5" s="467" t="s">
        <v>678</v>
      </c>
      <c r="L5" s="467" t="s">
        <v>85</v>
      </c>
      <c r="M5" s="467" t="s">
        <v>678</v>
      </c>
      <c r="N5" s="467" t="s">
        <v>85</v>
      </c>
      <c r="O5" s="467" t="s">
        <v>678</v>
      </c>
      <c r="P5" s="816"/>
      <c r="Q5" s="817"/>
    </row>
    <row r="6" spans="1:18" s="196" customFormat="1" ht="15" customHeight="1" x14ac:dyDescent="0.25">
      <c r="A6" s="192" t="s">
        <v>73</v>
      </c>
      <c r="B6" s="161">
        <f t="shared" ref="B6:C9" si="0">D6+F6+P6</f>
        <v>110</v>
      </c>
      <c r="C6" s="161">
        <f t="shared" si="0"/>
        <v>91948.935435799998</v>
      </c>
      <c r="D6" s="193">
        <v>60</v>
      </c>
      <c r="E6" s="194">
        <v>21322.873772599996</v>
      </c>
      <c r="F6" s="193">
        <v>16</v>
      </c>
      <c r="G6" s="194">
        <v>55642.041663199998</v>
      </c>
      <c r="H6" s="193">
        <v>19</v>
      </c>
      <c r="I6" s="194">
        <v>55679.271663200001</v>
      </c>
      <c r="J6" s="193">
        <v>57</v>
      </c>
      <c r="K6" s="194">
        <v>21285.65</v>
      </c>
      <c r="L6" s="193">
        <v>2</v>
      </c>
      <c r="M6" s="194">
        <v>8.74</v>
      </c>
      <c r="N6" s="193">
        <v>74</v>
      </c>
      <c r="O6" s="194">
        <v>76956.181663199983</v>
      </c>
      <c r="P6" s="161">
        <v>34</v>
      </c>
      <c r="Q6" s="194">
        <v>14984.02</v>
      </c>
    </row>
    <row r="7" spans="1:18" s="198" customFormat="1" ht="15" customHeight="1" x14ac:dyDescent="0.25">
      <c r="A7" s="192" t="s">
        <v>76</v>
      </c>
      <c r="B7" s="161">
        <f t="shared" si="0"/>
        <v>7</v>
      </c>
      <c r="C7" s="161">
        <f t="shared" si="0"/>
        <v>53540.219999999994</v>
      </c>
      <c r="D7" s="161">
        <f>SUM(D8:D10)</f>
        <v>4</v>
      </c>
      <c r="E7" s="161">
        <f>SUM(E8:E10)</f>
        <v>16.38</v>
      </c>
      <c r="F7" s="161">
        <f t="shared" ref="F7:Q7" si="1">SUM(F8:F10)</f>
        <v>1</v>
      </c>
      <c r="G7" s="161">
        <f t="shared" si="1"/>
        <v>53124.2</v>
      </c>
      <c r="H7" s="161">
        <f t="shared" si="1"/>
        <v>1</v>
      </c>
      <c r="I7" s="161">
        <f t="shared" si="1"/>
        <v>53124.2</v>
      </c>
      <c r="J7" s="161">
        <f t="shared" si="1"/>
        <v>4</v>
      </c>
      <c r="K7" s="161">
        <f t="shared" si="1"/>
        <v>16.38</v>
      </c>
      <c r="L7" s="161">
        <f t="shared" si="1"/>
        <v>0</v>
      </c>
      <c r="M7" s="161">
        <f t="shared" si="1"/>
        <v>0</v>
      </c>
      <c r="N7" s="161">
        <f t="shared" si="1"/>
        <v>5</v>
      </c>
      <c r="O7" s="161">
        <f t="shared" si="1"/>
        <v>53140.579999999994</v>
      </c>
      <c r="P7" s="161">
        <f t="shared" si="1"/>
        <v>2</v>
      </c>
      <c r="Q7" s="161">
        <f t="shared" si="1"/>
        <v>399.64</v>
      </c>
      <c r="R7" s="197"/>
    </row>
    <row r="8" spans="1:18" s="191" customFormat="1" ht="13.5" customHeight="1" x14ac:dyDescent="0.25">
      <c r="A8" s="199">
        <v>43922</v>
      </c>
      <c r="B8" s="166">
        <f t="shared" si="0"/>
        <v>4</v>
      </c>
      <c r="C8" s="166">
        <f t="shared" si="0"/>
        <v>116.31</v>
      </c>
      <c r="D8" s="200">
        <v>3</v>
      </c>
      <c r="E8" s="201">
        <v>13.92</v>
      </c>
      <c r="F8" s="166">
        <v>0</v>
      </c>
      <c r="G8" s="166">
        <v>0</v>
      </c>
      <c r="H8" s="166">
        <v>0</v>
      </c>
      <c r="I8" s="166">
        <v>0</v>
      </c>
      <c r="J8" s="200">
        <v>3</v>
      </c>
      <c r="K8" s="201">
        <v>13.92</v>
      </c>
      <c r="L8" s="200">
        <v>0</v>
      </c>
      <c r="M8" s="200">
        <v>0</v>
      </c>
      <c r="N8" s="200">
        <v>3</v>
      </c>
      <c r="O8" s="201">
        <v>13.92</v>
      </c>
      <c r="P8" s="166">
        <v>1</v>
      </c>
      <c r="Q8" s="201">
        <v>102.39</v>
      </c>
    </row>
    <row r="9" spans="1:18" s="191" customFormat="1" ht="13.5" customHeight="1" x14ac:dyDescent="0.25">
      <c r="A9" s="199">
        <v>43952</v>
      </c>
      <c r="B9" s="166">
        <f t="shared" si="0"/>
        <v>1</v>
      </c>
      <c r="C9" s="166">
        <f t="shared" si="0"/>
        <v>297.25</v>
      </c>
      <c r="D9" s="200">
        <v>0</v>
      </c>
      <c r="E9" s="200">
        <v>0</v>
      </c>
      <c r="F9" s="166">
        <v>0</v>
      </c>
      <c r="G9" s="166">
        <v>0</v>
      </c>
      <c r="H9" s="166">
        <v>0</v>
      </c>
      <c r="I9" s="166">
        <v>0</v>
      </c>
      <c r="J9" s="200">
        <v>0</v>
      </c>
      <c r="K9" s="200">
        <v>0</v>
      </c>
      <c r="L9" s="200">
        <v>0</v>
      </c>
      <c r="M9" s="200">
        <v>0</v>
      </c>
      <c r="N9" s="200">
        <v>0</v>
      </c>
      <c r="O9" s="200">
        <v>0</v>
      </c>
      <c r="P9" s="200">
        <v>1</v>
      </c>
      <c r="Q9" s="166">
        <v>297.25</v>
      </c>
    </row>
    <row r="10" spans="1:18" s="191" customFormat="1" ht="13.5" customHeight="1" x14ac:dyDescent="0.25">
      <c r="A10" s="199">
        <v>43983</v>
      </c>
      <c r="B10" s="166">
        <v>2</v>
      </c>
      <c r="C10" s="166">
        <f>E10+G10</f>
        <v>53126.659999999996</v>
      </c>
      <c r="D10" s="200">
        <v>1</v>
      </c>
      <c r="E10" s="203">
        <v>2.46</v>
      </c>
      <c r="F10" s="166">
        <v>1</v>
      </c>
      <c r="G10" s="166">
        <v>53124.2</v>
      </c>
      <c r="H10" s="166">
        <v>1</v>
      </c>
      <c r="I10" s="166">
        <v>53124.2</v>
      </c>
      <c r="J10" s="166">
        <v>1</v>
      </c>
      <c r="K10" s="166">
        <v>2.46</v>
      </c>
      <c r="L10" s="200">
        <v>0</v>
      </c>
      <c r="M10" s="200">
        <v>0</v>
      </c>
      <c r="N10" s="200">
        <v>2</v>
      </c>
      <c r="O10" s="201">
        <f>E10+G10</f>
        <v>53126.659999999996</v>
      </c>
      <c r="P10" s="200">
        <v>0</v>
      </c>
      <c r="Q10" s="166">
        <v>0</v>
      </c>
    </row>
    <row r="11" spans="1:18" s="509" customFormat="1" ht="15" customHeight="1" x14ac:dyDescent="0.25">
      <c r="A11" s="506" t="s">
        <v>46</v>
      </c>
      <c r="B11" s="507"/>
      <c r="C11" s="507"/>
      <c r="D11" s="507"/>
      <c r="E11" s="508"/>
      <c r="F11" s="507"/>
      <c r="G11" s="508"/>
      <c r="H11" s="507"/>
      <c r="I11" s="508"/>
      <c r="J11" s="507"/>
      <c r="K11" s="508"/>
      <c r="L11" s="507"/>
      <c r="M11" s="508"/>
      <c r="N11" s="507"/>
      <c r="O11" s="508"/>
    </row>
    <row r="12" spans="1:18" s="510" customFormat="1" ht="12" x14ac:dyDescent="0.2">
      <c r="A12" s="820" t="s">
        <v>679</v>
      </c>
      <c r="B12" s="820"/>
      <c r="C12" s="820"/>
      <c r="D12" s="820"/>
      <c r="E12" s="820"/>
      <c r="F12" s="820"/>
      <c r="G12" s="820"/>
      <c r="H12" s="820"/>
      <c r="I12" s="820"/>
      <c r="J12" s="820"/>
      <c r="K12" s="820"/>
      <c r="L12" s="820"/>
      <c r="M12" s="820"/>
      <c r="N12" s="820"/>
      <c r="O12" s="820"/>
    </row>
    <row r="13" spans="1:18" s="510" customFormat="1" ht="17.25" customHeight="1" x14ac:dyDescent="0.2">
      <c r="A13" s="821" t="s">
        <v>1071</v>
      </c>
      <c r="B13" s="821"/>
      <c r="C13" s="821"/>
      <c r="D13" s="821"/>
      <c r="E13" s="821"/>
      <c r="F13" s="821"/>
      <c r="G13" s="821"/>
      <c r="H13" s="821"/>
      <c r="I13" s="821"/>
      <c r="J13" s="821"/>
      <c r="K13" s="821"/>
      <c r="L13" s="821"/>
      <c r="M13" s="821"/>
      <c r="N13" s="821"/>
      <c r="O13" s="821"/>
    </row>
    <row r="14" spans="1:18" s="510" customFormat="1" ht="17.25" customHeight="1" x14ac:dyDescent="0.2">
      <c r="A14" s="821" t="s">
        <v>913</v>
      </c>
      <c r="B14" s="821"/>
      <c r="C14" s="821"/>
      <c r="D14" s="821"/>
      <c r="E14" s="821"/>
      <c r="F14" s="821"/>
      <c r="G14" s="821"/>
      <c r="H14" s="821"/>
      <c r="I14" s="821"/>
      <c r="J14" s="821"/>
      <c r="K14" s="821"/>
      <c r="L14" s="821"/>
      <c r="M14" s="821"/>
      <c r="N14" s="821"/>
      <c r="O14" s="821"/>
    </row>
    <row r="15" spans="1:18" s="510" customFormat="1" ht="12" x14ac:dyDescent="0.2">
      <c r="A15" s="820" t="s">
        <v>848</v>
      </c>
      <c r="B15" s="820"/>
      <c r="C15" s="820"/>
      <c r="D15" s="820"/>
      <c r="E15" s="820"/>
      <c r="F15" s="820"/>
      <c r="G15" s="820"/>
      <c r="H15" s="820"/>
      <c r="I15" s="820"/>
      <c r="J15" s="820"/>
      <c r="K15" s="820"/>
      <c r="L15" s="820"/>
      <c r="M15" s="820"/>
      <c r="N15" s="820"/>
      <c r="O15" s="820"/>
    </row>
    <row r="16" spans="1:18" s="510" customFormat="1" ht="12" x14ac:dyDescent="0.2">
      <c r="A16" s="820" t="s">
        <v>56</v>
      </c>
      <c r="B16" s="820"/>
      <c r="C16" s="820"/>
      <c r="D16" s="820"/>
      <c r="E16" s="820"/>
      <c r="F16" s="820"/>
      <c r="G16" s="820"/>
      <c r="H16" s="820"/>
      <c r="I16" s="820"/>
      <c r="J16" s="820"/>
      <c r="K16" s="820"/>
      <c r="L16" s="820"/>
      <c r="M16" s="820"/>
      <c r="N16" s="820"/>
      <c r="O16" s="820"/>
    </row>
    <row r="17" spans="9:9" s="509" customFormat="1" x14ac:dyDescent="0.2"/>
    <row r="20" spans="9:9" x14ac:dyDescent="0.25">
      <c r="I20" s="126"/>
    </row>
  </sheetData>
  <mergeCells count="21">
    <mergeCell ref="A1:O1"/>
    <mergeCell ref="D2:O2"/>
    <mergeCell ref="A2:A5"/>
    <mergeCell ref="B2:C4"/>
    <mergeCell ref="N4:O4"/>
    <mergeCell ref="A16:O16"/>
    <mergeCell ref="J4:K4"/>
    <mergeCell ref="A12:O12"/>
    <mergeCell ref="A13:O13"/>
    <mergeCell ref="A15:O15"/>
    <mergeCell ref="A14:O14"/>
    <mergeCell ref="P2:Q2"/>
    <mergeCell ref="D3:G3"/>
    <mergeCell ref="H3:K3"/>
    <mergeCell ref="P3:P5"/>
    <mergeCell ref="Q3:Q5"/>
    <mergeCell ref="D4:E4"/>
    <mergeCell ref="F4:G4"/>
    <mergeCell ref="H4:I4"/>
    <mergeCell ref="L3:O3"/>
    <mergeCell ref="L4:M4"/>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3"/>
  <sheetViews>
    <sheetView zoomScaleNormal="100" workbookViewId="0">
      <selection activeCell="G22" sqref="G22"/>
    </sheetView>
  </sheetViews>
  <sheetFormatPr defaultRowHeight="15" x14ac:dyDescent="0.25"/>
  <cols>
    <col min="1" max="1" width="21.7109375" style="125" customWidth="1"/>
    <col min="2" max="2" width="18.85546875" style="125" customWidth="1"/>
    <col min="3" max="3" width="18" style="125" customWidth="1"/>
    <col min="4" max="4" width="4.85546875" style="125" bestFit="1" customWidth="1"/>
    <col min="5" max="16384" width="9.140625" style="125"/>
  </cols>
  <sheetData>
    <row r="1" spans="1:15" ht="15.75" customHeight="1" x14ac:dyDescent="0.25">
      <c r="A1" s="833" t="s">
        <v>680</v>
      </c>
      <c r="B1" s="833"/>
      <c r="C1" s="833"/>
    </row>
    <row r="2" spans="1:15" s="509" customFormat="1" ht="25.5" x14ac:dyDescent="0.2">
      <c r="A2" s="466" t="s">
        <v>111</v>
      </c>
      <c r="B2" s="467" t="s">
        <v>87</v>
      </c>
      <c r="C2" s="511" t="s">
        <v>677</v>
      </c>
    </row>
    <row r="3" spans="1:15" s="509" customFormat="1" x14ac:dyDescent="0.2">
      <c r="A3" s="192" t="s">
        <v>73</v>
      </c>
      <c r="B3" s="512">
        <v>46</v>
      </c>
      <c r="C3" s="513">
        <v>495.38279999999992</v>
      </c>
    </row>
    <row r="4" spans="1:15" s="509" customFormat="1" x14ac:dyDescent="0.2">
      <c r="A4" s="192" t="s">
        <v>76</v>
      </c>
      <c r="B4" s="512">
        <v>3</v>
      </c>
      <c r="C4" s="512">
        <v>13.92</v>
      </c>
    </row>
    <row r="5" spans="1:15" s="509" customFormat="1" x14ac:dyDescent="0.2">
      <c r="A5" s="162">
        <v>43922</v>
      </c>
      <c r="B5" s="514">
        <v>3</v>
      </c>
      <c r="C5" s="515">
        <v>13.92</v>
      </c>
    </row>
    <row r="6" spans="1:15" s="509" customFormat="1" x14ac:dyDescent="0.2">
      <c r="A6" s="162">
        <v>43952</v>
      </c>
      <c r="B6" s="514">
        <v>0</v>
      </c>
      <c r="C6" s="514">
        <v>0</v>
      </c>
    </row>
    <row r="7" spans="1:15" s="509" customFormat="1" x14ac:dyDescent="0.2">
      <c r="A7" s="162">
        <v>43983</v>
      </c>
      <c r="B7" s="514">
        <v>1</v>
      </c>
      <c r="C7" s="514">
        <v>2.46</v>
      </c>
    </row>
    <row r="8" spans="1:15" s="509" customFormat="1" ht="15" customHeight="1" x14ac:dyDescent="0.2">
      <c r="A8" s="834"/>
      <c r="B8" s="834"/>
      <c r="C8" s="834"/>
      <c r="D8" s="516"/>
      <c r="E8" s="516"/>
      <c r="F8" s="516"/>
      <c r="G8" s="516"/>
      <c r="H8" s="516"/>
      <c r="I8" s="516"/>
      <c r="J8" s="516"/>
      <c r="K8" s="516"/>
      <c r="L8" s="516"/>
      <c r="M8" s="516"/>
      <c r="N8" s="516"/>
      <c r="O8" s="516"/>
    </row>
    <row r="9" spans="1:15" s="509" customFormat="1" ht="15" customHeight="1" x14ac:dyDescent="0.2">
      <c r="A9" s="517" t="s">
        <v>1083</v>
      </c>
      <c r="B9" s="517"/>
      <c r="C9" s="517"/>
      <c r="D9" s="516"/>
      <c r="E9" s="516"/>
      <c r="F9" s="516"/>
      <c r="G9" s="516"/>
      <c r="H9" s="516"/>
      <c r="I9" s="516"/>
      <c r="J9" s="516"/>
      <c r="K9" s="516"/>
      <c r="L9" s="516"/>
      <c r="M9" s="516"/>
      <c r="N9" s="516"/>
      <c r="O9" s="516"/>
    </row>
    <row r="10" spans="1:15" s="509" customFormat="1" ht="33.75" customHeight="1" x14ac:dyDescent="0.2">
      <c r="A10" s="836" t="s">
        <v>1072</v>
      </c>
      <c r="B10" s="836"/>
      <c r="C10" s="836"/>
      <c r="D10" s="516"/>
      <c r="E10" s="516"/>
      <c r="F10" s="516"/>
      <c r="G10" s="516"/>
      <c r="H10" s="516"/>
      <c r="I10" s="516"/>
      <c r="J10" s="516"/>
      <c r="K10" s="516"/>
      <c r="L10" s="516"/>
      <c r="M10" s="516"/>
      <c r="N10" s="516"/>
      <c r="O10" s="516"/>
    </row>
    <row r="11" spans="1:15" s="509" customFormat="1" ht="15" customHeight="1" x14ac:dyDescent="0.2">
      <c r="A11" s="836" t="s">
        <v>848</v>
      </c>
      <c r="B11" s="836"/>
      <c r="C11" s="836"/>
      <c r="D11" s="516"/>
      <c r="E11" s="516"/>
      <c r="F11" s="516"/>
      <c r="G11" s="516"/>
      <c r="H11" s="516"/>
      <c r="I11" s="516"/>
      <c r="J11" s="516"/>
      <c r="K11" s="516"/>
      <c r="L11" s="516"/>
      <c r="M11" s="516"/>
      <c r="N11" s="516"/>
      <c r="O11" s="516"/>
    </row>
    <row r="12" spans="1:15" s="509" customFormat="1" x14ac:dyDescent="0.2">
      <c r="A12" s="835" t="s">
        <v>90</v>
      </c>
      <c r="B12" s="835"/>
      <c r="C12" s="835"/>
    </row>
    <row r="13" spans="1:15" s="509" customFormat="1" x14ac:dyDescent="0.2"/>
  </sheetData>
  <mergeCells count="5">
    <mergeCell ref="A1:C1"/>
    <mergeCell ref="A8:C8"/>
    <mergeCell ref="A12:C12"/>
    <mergeCell ref="A11:C11"/>
    <mergeCell ref="A10:C10"/>
  </mergeCells>
  <pageMargins left="0.78431372549019618" right="0.78431372549019618" top="0.98039215686274517" bottom="0.98039215686274517" header="0.50980392156862753" footer="0.50980392156862753"/>
  <pageSetup paperSize="9" orientation="portrait" useFirstPageNumber="1"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31"/>
  <sheetViews>
    <sheetView zoomScaleNormal="100" workbookViewId="0">
      <selection activeCell="J19" sqref="J19"/>
    </sheetView>
  </sheetViews>
  <sheetFormatPr defaultRowHeight="15" x14ac:dyDescent="0.25"/>
  <cols>
    <col min="1" max="1" width="31.5703125" style="125" customWidth="1"/>
    <col min="2" max="2" width="9.7109375" style="125" customWidth="1"/>
    <col min="3" max="3" width="10.7109375" style="125" customWidth="1"/>
    <col min="4" max="4" width="9.7109375" style="125" customWidth="1"/>
    <col min="5" max="6" width="10.7109375" style="125" customWidth="1"/>
    <col min="7" max="7" width="9.42578125" style="125" customWidth="1"/>
    <col min="8" max="16384" width="9.140625" style="125"/>
  </cols>
  <sheetData>
    <row r="1" spans="1:7" ht="18.75" customHeight="1" x14ac:dyDescent="0.25">
      <c r="A1" s="840" t="s">
        <v>681</v>
      </c>
      <c r="B1" s="840"/>
      <c r="C1" s="840"/>
      <c r="D1" s="840"/>
      <c r="E1" s="840"/>
      <c r="F1" s="840"/>
      <c r="G1" s="840"/>
    </row>
    <row r="2" spans="1:7" s="163" customFormat="1" ht="13.5" customHeight="1" x14ac:dyDescent="0.25">
      <c r="A2" s="838" t="s">
        <v>91</v>
      </c>
      <c r="B2" s="839" t="s">
        <v>73</v>
      </c>
      <c r="C2" s="839"/>
      <c r="D2" s="839" t="s">
        <v>76</v>
      </c>
      <c r="E2" s="839"/>
      <c r="F2" s="841">
        <v>43983</v>
      </c>
      <c r="G2" s="841"/>
    </row>
    <row r="3" spans="1:7" s="163" customFormat="1" ht="30" x14ac:dyDescent="0.2">
      <c r="A3" s="838"/>
      <c r="B3" s="210" t="s">
        <v>85</v>
      </c>
      <c r="C3" s="413" t="s">
        <v>682</v>
      </c>
      <c r="D3" s="413" t="s">
        <v>85</v>
      </c>
      <c r="E3" s="413" t="s">
        <v>682</v>
      </c>
      <c r="F3" s="413" t="s">
        <v>85</v>
      </c>
      <c r="G3" s="413" t="s">
        <v>678</v>
      </c>
    </row>
    <row r="4" spans="1:7" s="163" customFormat="1" x14ac:dyDescent="0.2">
      <c r="A4" s="130" t="s">
        <v>683</v>
      </c>
      <c r="B4" s="127">
        <v>0</v>
      </c>
      <c r="C4" s="127">
        <v>0</v>
      </c>
      <c r="D4" s="127">
        <v>0</v>
      </c>
      <c r="E4" s="127">
        <v>0</v>
      </c>
      <c r="F4" s="127">
        <v>0</v>
      </c>
      <c r="G4" s="127">
        <v>0</v>
      </c>
    </row>
    <row r="5" spans="1:7" s="163" customFormat="1" x14ac:dyDescent="0.2">
      <c r="A5" s="130" t="s">
        <v>684</v>
      </c>
      <c r="B5" s="127">
        <v>0</v>
      </c>
      <c r="C5" s="127">
        <v>0</v>
      </c>
      <c r="D5" s="127">
        <v>0</v>
      </c>
      <c r="E5" s="127">
        <v>0</v>
      </c>
      <c r="F5" s="127">
        <v>0</v>
      </c>
      <c r="G5" s="127">
        <v>0</v>
      </c>
    </row>
    <row r="6" spans="1:7" s="163" customFormat="1" x14ac:dyDescent="0.2">
      <c r="A6" s="130" t="s">
        <v>704</v>
      </c>
      <c r="B6" s="127">
        <v>0</v>
      </c>
      <c r="C6" s="127">
        <v>0</v>
      </c>
      <c r="D6" s="127">
        <v>0</v>
      </c>
      <c r="E6" s="127">
        <v>0</v>
      </c>
      <c r="F6" s="127">
        <v>0</v>
      </c>
      <c r="G6" s="127">
        <v>0</v>
      </c>
    </row>
    <row r="7" spans="1:7" s="163" customFormat="1" x14ac:dyDescent="0.2">
      <c r="A7" s="130" t="s">
        <v>685</v>
      </c>
      <c r="B7" s="127">
        <v>0</v>
      </c>
      <c r="C7" s="127">
        <v>0</v>
      </c>
      <c r="D7" s="127">
        <v>0</v>
      </c>
      <c r="E7" s="127">
        <v>0</v>
      </c>
      <c r="F7" s="127">
        <v>0</v>
      </c>
      <c r="G7" s="127">
        <v>0</v>
      </c>
    </row>
    <row r="8" spans="1:7" s="163" customFormat="1" x14ac:dyDescent="0.25">
      <c r="A8" s="130" t="s">
        <v>686</v>
      </c>
      <c r="B8" s="127">
        <v>3</v>
      </c>
      <c r="C8" s="202">
        <v>141.13588200000001</v>
      </c>
      <c r="D8" s="127">
        <v>0</v>
      </c>
      <c r="E8" s="127">
        <v>0</v>
      </c>
      <c r="F8" s="127">
        <v>0</v>
      </c>
      <c r="G8" s="127">
        <v>0</v>
      </c>
    </row>
    <row r="9" spans="1:7" s="163" customFormat="1" x14ac:dyDescent="0.25">
      <c r="A9" s="130" t="s">
        <v>687</v>
      </c>
      <c r="B9" s="127">
        <v>2</v>
      </c>
      <c r="C9" s="202">
        <v>81.78</v>
      </c>
      <c r="D9" s="127">
        <v>1</v>
      </c>
      <c r="E9" s="128">
        <v>3.24</v>
      </c>
      <c r="F9" s="127">
        <v>0</v>
      </c>
      <c r="G9" s="127">
        <v>0</v>
      </c>
    </row>
    <row r="10" spans="1:7" s="163" customFormat="1" x14ac:dyDescent="0.25">
      <c r="A10" s="130" t="s">
        <v>688</v>
      </c>
      <c r="B10" s="127">
        <v>2</v>
      </c>
      <c r="C10" s="202">
        <v>1347.19</v>
      </c>
      <c r="D10" s="127">
        <v>0</v>
      </c>
      <c r="E10" s="127">
        <v>0</v>
      </c>
      <c r="F10" s="127">
        <v>0</v>
      </c>
      <c r="G10" s="127">
        <v>0</v>
      </c>
    </row>
    <row r="11" spans="1:7" s="163" customFormat="1" x14ac:dyDescent="0.25">
      <c r="A11" s="130" t="s">
        <v>689</v>
      </c>
      <c r="B11" s="127">
        <v>2</v>
      </c>
      <c r="C11" s="202">
        <v>489.32</v>
      </c>
      <c r="D11" s="127">
        <v>0</v>
      </c>
      <c r="E11" s="127">
        <v>0</v>
      </c>
      <c r="F11" s="127">
        <v>0</v>
      </c>
      <c r="G11" s="127">
        <v>0</v>
      </c>
    </row>
    <row r="12" spans="1:7" s="163" customFormat="1" x14ac:dyDescent="0.25">
      <c r="A12" s="130" t="s">
        <v>690</v>
      </c>
      <c r="B12" s="127">
        <v>1</v>
      </c>
      <c r="C12" s="202">
        <v>2.27</v>
      </c>
      <c r="D12" s="127">
        <v>0</v>
      </c>
      <c r="E12" s="127">
        <v>0</v>
      </c>
      <c r="F12" s="127">
        <v>0</v>
      </c>
      <c r="G12" s="127">
        <v>0</v>
      </c>
    </row>
    <row r="13" spans="1:7" s="163" customFormat="1" x14ac:dyDescent="0.25">
      <c r="A13" s="130" t="s">
        <v>691</v>
      </c>
      <c r="B13" s="127">
        <v>0</v>
      </c>
      <c r="C13" s="202">
        <v>0</v>
      </c>
      <c r="D13" s="127">
        <v>0</v>
      </c>
      <c r="E13" s="127">
        <v>0</v>
      </c>
      <c r="F13" s="127">
        <v>0</v>
      </c>
      <c r="G13" s="127">
        <v>0</v>
      </c>
    </row>
    <row r="14" spans="1:7" s="163" customFormat="1" x14ac:dyDescent="0.25">
      <c r="A14" s="130" t="s">
        <v>692</v>
      </c>
      <c r="B14" s="127">
        <v>0</v>
      </c>
      <c r="C14" s="202">
        <v>0</v>
      </c>
      <c r="D14" s="127">
        <v>0</v>
      </c>
      <c r="E14" s="127">
        <v>0</v>
      </c>
      <c r="F14" s="127">
        <v>0</v>
      </c>
      <c r="G14" s="127">
        <v>0</v>
      </c>
    </row>
    <row r="15" spans="1:7" s="163" customFormat="1" x14ac:dyDescent="0.25">
      <c r="A15" s="130" t="s">
        <v>693</v>
      </c>
      <c r="B15" s="127">
        <v>3</v>
      </c>
      <c r="C15" s="202">
        <v>1267.02</v>
      </c>
      <c r="D15" s="127">
        <v>0</v>
      </c>
      <c r="E15" s="127">
        <v>0</v>
      </c>
      <c r="F15" s="127">
        <v>0</v>
      </c>
      <c r="G15" s="127">
        <v>0</v>
      </c>
    </row>
    <row r="16" spans="1:7" s="163" customFormat="1" x14ac:dyDescent="0.25">
      <c r="A16" s="130" t="s">
        <v>694</v>
      </c>
      <c r="B16" s="127">
        <v>1</v>
      </c>
      <c r="C16" s="202">
        <v>3.6</v>
      </c>
      <c r="D16" s="127">
        <v>0</v>
      </c>
      <c r="E16" s="127">
        <v>0</v>
      </c>
      <c r="F16" s="127">
        <v>0</v>
      </c>
      <c r="G16" s="127">
        <v>0</v>
      </c>
    </row>
    <row r="17" spans="1:9" s="163" customFormat="1" x14ac:dyDescent="0.25">
      <c r="A17" s="130" t="s">
        <v>695</v>
      </c>
      <c r="B17" s="127">
        <v>0</v>
      </c>
      <c r="C17" s="202">
        <v>0</v>
      </c>
      <c r="D17" s="127">
        <v>0</v>
      </c>
      <c r="E17" s="127">
        <v>0</v>
      </c>
      <c r="F17" s="127">
        <v>0</v>
      </c>
      <c r="G17" s="127">
        <v>0</v>
      </c>
    </row>
    <row r="18" spans="1:9" s="163" customFormat="1" x14ac:dyDescent="0.25">
      <c r="A18" s="130" t="s">
        <v>705</v>
      </c>
      <c r="B18" s="127">
        <v>4</v>
      </c>
      <c r="C18" s="202">
        <v>87.06</v>
      </c>
      <c r="D18" s="127">
        <v>1</v>
      </c>
      <c r="E18" s="129">
        <v>8.2799999999999994</v>
      </c>
      <c r="F18" s="127">
        <v>0</v>
      </c>
      <c r="G18" s="127">
        <v>0</v>
      </c>
    </row>
    <row r="19" spans="1:9" s="163" customFormat="1" x14ac:dyDescent="0.25">
      <c r="A19" s="130" t="s">
        <v>701</v>
      </c>
      <c r="B19" s="127">
        <v>0</v>
      </c>
      <c r="C19" s="202">
        <v>0</v>
      </c>
      <c r="D19" s="202">
        <v>0</v>
      </c>
      <c r="E19" s="202">
        <v>0</v>
      </c>
      <c r="F19" s="127">
        <v>0</v>
      </c>
      <c r="G19" s="127">
        <v>0</v>
      </c>
    </row>
    <row r="20" spans="1:9" s="163" customFormat="1" x14ac:dyDescent="0.25">
      <c r="A20" s="130" t="s">
        <v>702</v>
      </c>
      <c r="B20" s="127">
        <v>2</v>
      </c>
      <c r="C20" s="202">
        <v>49938.79</v>
      </c>
      <c r="D20" s="202">
        <v>0</v>
      </c>
      <c r="E20" s="202">
        <v>0</v>
      </c>
      <c r="F20" s="127">
        <v>0</v>
      </c>
      <c r="G20" s="127">
        <v>0</v>
      </c>
    </row>
    <row r="21" spans="1:9" s="163" customFormat="1" x14ac:dyDescent="0.25">
      <c r="A21" s="130" t="s">
        <v>703</v>
      </c>
      <c r="B21" s="127">
        <v>0</v>
      </c>
      <c r="C21" s="202">
        <v>0</v>
      </c>
      <c r="D21" s="202">
        <v>0</v>
      </c>
      <c r="E21" s="202">
        <v>0</v>
      </c>
      <c r="F21" s="127">
        <v>0</v>
      </c>
      <c r="G21" s="127">
        <v>0</v>
      </c>
    </row>
    <row r="22" spans="1:9" s="163" customFormat="1" x14ac:dyDescent="0.25">
      <c r="A22" s="130" t="s">
        <v>698</v>
      </c>
      <c r="B22" s="127">
        <v>0</v>
      </c>
      <c r="C22" s="202">
        <v>0</v>
      </c>
      <c r="D22" s="202">
        <v>1</v>
      </c>
      <c r="E22" s="216">
        <v>2.46</v>
      </c>
      <c r="F22" s="127">
        <v>1</v>
      </c>
      <c r="G22" s="217">
        <v>2.46</v>
      </c>
    </row>
    <row r="23" spans="1:9" s="163" customFormat="1" x14ac:dyDescent="0.25">
      <c r="A23" s="130" t="s">
        <v>699</v>
      </c>
      <c r="B23" s="127">
        <v>0</v>
      </c>
      <c r="C23" s="202">
        <v>0</v>
      </c>
      <c r="D23" s="202">
        <v>0</v>
      </c>
      <c r="E23" s="202">
        <v>0</v>
      </c>
      <c r="F23" s="127">
        <v>0</v>
      </c>
      <c r="G23" s="129">
        <v>0</v>
      </c>
    </row>
    <row r="24" spans="1:9" s="163" customFormat="1" x14ac:dyDescent="0.25">
      <c r="A24" s="130" t="s">
        <v>700</v>
      </c>
      <c r="B24" s="127">
        <v>1</v>
      </c>
      <c r="C24" s="202">
        <v>6.58</v>
      </c>
      <c r="D24" s="127">
        <v>1</v>
      </c>
      <c r="E24" s="127">
        <v>2.4</v>
      </c>
      <c r="F24" s="127">
        <v>0</v>
      </c>
      <c r="G24" s="129">
        <v>0</v>
      </c>
    </row>
    <row r="25" spans="1:9" s="163" customFormat="1" x14ac:dyDescent="0.25">
      <c r="A25" s="130" t="s">
        <v>697</v>
      </c>
      <c r="B25" s="127">
        <v>0</v>
      </c>
      <c r="C25" s="202">
        <v>0</v>
      </c>
      <c r="D25" s="127">
        <v>1</v>
      </c>
      <c r="E25" s="202">
        <v>53124.2</v>
      </c>
      <c r="F25" s="127">
        <v>1</v>
      </c>
      <c r="G25" s="202">
        <v>53124.2</v>
      </c>
    </row>
    <row r="26" spans="1:9" s="163" customFormat="1" x14ac:dyDescent="0.25">
      <c r="A26" s="131" t="s">
        <v>696</v>
      </c>
      <c r="B26" s="127">
        <v>0</v>
      </c>
      <c r="C26" s="202">
        <v>0</v>
      </c>
      <c r="D26" s="127">
        <v>0</v>
      </c>
      <c r="E26" s="127">
        <v>0</v>
      </c>
      <c r="F26" s="127">
        <v>0</v>
      </c>
      <c r="G26" s="202">
        <v>0</v>
      </c>
    </row>
    <row r="27" spans="1:9" s="218" customFormat="1" x14ac:dyDescent="0.25">
      <c r="A27" s="132" t="s">
        <v>67</v>
      </c>
      <c r="B27" s="195">
        <f t="shared" ref="B27:G27" si="0">SUM(B4:B26)</f>
        <v>21</v>
      </c>
      <c r="C27" s="195">
        <f t="shared" si="0"/>
        <v>53364.745882000003</v>
      </c>
      <c r="D27" s="195">
        <f t="shared" si="0"/>
        <v>5</v>
      </c>
      <c r="E27" s="195">
        <f t="shared" si="0"/>
        <v>53140.579999999994</v>
      </c>
      <c r="F27" s="127">
        <f t="shared" si="0"/>
        <v>2</v>
      </c>
      <c r="G27" s="195">
        <f t="shared" si="0"/>
        <v>53126.659999999996</v>
      </c>
    </row>
    <row r="28" spans="1:9" s="218" customFormat="1" ht="30.75" customHeight="1" x14ac:dyDescent="0.2">
      <c r="A28" s="842" t="s">
        <v>1084</v>
      </c>
      <c r="B28" s="842"/>
      <c r="C28" s="842"/>
      <c r="D28" s="842"/>
      <c r="E28" s="842"/>
      <c r="F28" s="842"/>
      <c r="G28" s="842"/>
    </row>
    <row r="29" spans="1:9" s="168" customFormat="1" ht="12" x14ac:dyDescent="0.2">
      <c r="A29" s="169" t="s">
        <v>848</v>
      </c>
      <c r="B29" s="211"/>
      <c r="C29" s="211"/>
      <c r="D29" s="211"/>
      <c r="E29" s="211"/>
      <c r="F29" s="211"/>
      <c r="G29" s="211"/>
      <c r="H29" s="211"/>
      <c r="I29" s="211"/>
    </row>
    <row r="30" spans="1:9" s="168" customFormat="1" ht="12" x14ac:dyDescent="0.2">
      <c r="A30" s="837" t="s">
        <v>56</v>
      </c>
      <c r="B30" s="837"/>
      <c r="C30" s="837"/>
      <c r="D30" s="837"/>
      <c r="E30" s="837"/>
      <c r="F30" s="837"/>
      <c r="G30" s="837"/>
    </row>
    <row r="31" spans="1:9" s="163" customFormat="1" x14ac:dyDescent="0.2"/>
  </sheetData>
  <mergeCells count="7">
    <mergeCell ref="A30:G30"/>
    <mergeCell ref="A2:A3"/>
    <mergeCell ref="B2:C2"/>
    <mergeCell ref="D2:E2"/>
    <mergeCell ref="A1:G1"/>
    <mergeCell ref="F2:G2"/>
    <mergeCell ref="A28:G28"/>
  </mergeCells>
  <pageMargins left="0.78431372549019618" right="0.78431372549019618" top="0.98039215686274517" bottom="0.98039215686274517" header="0.50980392156862753" footer="0.50980392156862753"/>
  <pageSetup paperSize="9" orientation="portrait" useFirstPageNumber="1"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18"/>
  <sheetViews>
    <sheetView zoomScaleNormal="100" workbookViewId="0">
      <selection activeCell="K26" sqref="K26"/>
    </sheetView>
  </sheetViews>
  <sheetFormatPr defaultRowHeight="15" x14ac:dyDescent="0.25"/>
  <cols>
    <col min="1" max="1" width="8.85546875" style="125" customWidth="1"/>
    <col min="2" max="2" width="7.85546875" style="125" customWidth="1"/>
    <col min="3" max="3" width="11.140625" style="125" customWidth="1"/>
    <col min="4" max="4" width="9.7109375" style="125" customWidth="1"/>
    <col min="5" max="5" width="9.28515625" style="125" customWidth="1"/>
    <col min="6" max="7" width="8.85546875" style="125" customWidth="1"/>
    <col min="8" max="8" width="8.5703125" style="125" customWidth="1"/>
    <col min="9" max="9" width="9.7109375" style="125" customWidth="1"/>
    <col min="10" max="10" width="8.42578125" style="125" customWidth="1"/>
    <col min="11" max="11" width="9.28515625" style="125" customWidth="1"/>
    <col min="12" max="12" width="8.85546875" style="125" customWidth="1"/>
    <col min="13" max="13" width="10.28515625" style="125" customWidth="1"/>
    <col min="14" max="14" width="8.85546875" style="125" customWidth="1"/>
    <col min="15" max="15" width="9.140625" style="125" customWidth="1"/>
    <col min="16" max="16" width="8.28515625" style="125" customWidth="1"/>
    <col min="17" max="17" width="9" style="125" customWidth="1"/>
    <col min="18" max="18" width="4.7109375" style="125" bestFit="1" customWidth="1"/>
    <col min="19" max="16384" width="9.140625" style="125"/>
  </cols>
  <sheetData>
    <row r="1" spans="1:17" ht="16.5" customHeight="1" x14ac:dyDescent="0.25">
      <c r="A1" s="846" t="s">
        <v>792</v>
      </c>
      <c r="B1" s="846"/>
      <c r="C1" s="846"/>
      <c r="D1" s="846"/>
      <c r="E1" s="846"/>
      <c r="F1" s="846"/>
      <c r="G1" s="846"/>
      <c r="H1" s="846"/>
      <c r="I1" s="846"/>
      <c r="J1" s="846"/>
      <c r="K1" s="846"/>
      <c r="L1" s="846"/>
    </row>
    <row r="2" spans="1:17" s="191" customFormat="1" x14ac:dyDescent="0.2">
      <c r="A2" s="847" t="s">
        <v>65</v>
      </c>
      <c r="B2" s="850" t="s">
        <v>67</v>
      </c>
      <c r="C2" s="851"/>
      <c r="D2" s="843" t="s">
        <v>93</v>
      </c>
      <c r="E2" s="845"/>
      <c r="F2" s="845"/>
      <c r="G2" s="844"/>
      <c r="H2" s="843" t="s">
        <v>94</v>
      </c>
      <c r="I2" s="845"/>
      <c r="J2" s="845"/>
      <c r="K2" s="845"/>
      <c r="L2" s="845"/>
      <c r="M2" s="845"/>
      <c r="N2" s="845"/>
      <c r="O2" s="845"/>
      <c r="P2" s="845"/>
      <c r="Q2" s="845"/>
    </row>
    <row r="3" spans="1:17" s="191" customFormat="1" x14ac:dyDescent="0.2">
      <c r="A3" s="848"/>
      <c r="B3" s="852"/>
      <c r="C3" s="853"/>
      <c r="D3" s="843" t="s">
        <v>95</v>
      </c>
      <c r="E3" s="844"/>
      <c r="F3" s="843" t="s">
        <v>78</v>
      </c>
      <c r="G3" s="844"/>
      <c r="H3" s="843" t="s">
        <v>96</v>
      </c>
      <c r="I3" s="844"/>
      <c r="J3" s="843" t="s">
        <v>97</v>
      </c>
      <c r="K3" s="844"/>
      <c r="L3" s="843" t="s">
        <v>98</v>
      </c>
      <c r="M3" s="844"/>
      <c r="N3" s="843" t="s">
        <v>99</v>
      </c>
      <c r="O3" s="844"/>
      <c r="P3" s="843" t="s">
        <v>100</v>
      </c>
      <c r="Q3" s="844"/>
    </row>
    <row r="4" spans="1:17" s="191" customFormat="1" ht="38.25" x14ac:dyDescent="0.2">
      <c r="A4" s="849"/>
      <c r="B4" s="518" t="s">
        <v>101</v>
      </c>
      <c r="C4" s="519" t="s">
        <v>682</v>
      </c>
      <c r="D4" s="518" t="s">
        <v>101</v>
      </c>
      <c r="E4" s="519" t="s">
        <v>678</v>
      </c>
      <c r="F4" s="518" t="s">
        <v>101</v>
      </c>
      <c r="G4" s="519" t="s">
        <v>678</v>
      </c>
      <c r="H4" s="518" t="s">
        <v>101</v>
      </c>
      <c r="I4" s="519" t="s">
        <v>678</v>
      </c>
      <c r="J4" s="518" t="s">
        <v>101</v>
      </c>
      <c r="K4" s="519" t="s">
        <v>678</v>
      </c>
      <c r="L4" s="518" t="s">
        <v>101</v>
      </c>
      <c r="M4" s="519" t="s">
        <v>678</v>
      </c>
      <c r="N4" s="518" t="s">
        <v>101</v>
      </c>
      <c r="O4" s="519" t="s">
        <v>678</v>
      </c>
      <c r="P4" s="518" t="s">
        <v>101</v>
      </c>
      <c r="Q4" s="519" t="s">
        <v>678</v>
      </c>
    </row>
    <row r="5" spans="1:17" s="196" customFormat="1" ht="18" customHeight="1" x14ac:dyDescent="0.25">
      <c r="A5" s="520" t="s">
        <v>73</v>
      </c>
      <c r="B5" s="521">
        <f>D5+F5</f>
        <v>76</v>
      </c>
      <c r="C5" s="522">
        <f>E5+G5</f>
        <v>76964.921663200003</v>
      </c>
      <c r="D5" s="521">
        <v>74</v>
      </c>
      <c r="E5" s="522">
        <v>75849.851663199996</v>
      </c>
      <c r="F5" s="521">
        <v>2</v>
      </c>
      <c r="G5" s="522">
        <v>1115.0700000000002</v>
      </c>
      <c r="H5" s="521">
        <v>17</v>
      </c>
      <c r="I5" s="522">
        <v>39089.743609999998</v>
      </c>
      <c r="J5" s="521">
        <v>0</v>
      </c>
      <c r="K5" s="522">
        <v>0</v>
      </c>
      <c r="L5" s="521">
        <v>51</v>
      </c>
      <c r="M5" s="522">
        <v>34666.080000000002</v>
      </c>
      <c r="N5" s="521">
        <v>8</v>
      </c>
      <c r="O5" s="522">
        <v>3209.0995856999998</v>
      </c>
      <c r="P5" s="523">
        <v>0</v>
      </c>
      <c r="Q5" s="522">
        <v>0</v>
      </c>
    </row>
    <row r="6" spans="1:17" s="196" customFormat="1" ht="18" customHeight="1" x14ac:dyDescent="0.25">
      <c r="A6" s="520" t="s">
        <v>76</v>
      </c>
      <c r="B6" s="161">
        <v>5</v>
      </c>
      <c r="C6" s="161">
        <v>53140.58</v>
      </c>
      <c r="D6" s="161">
        <v>3</v>
      </c>
      <c r="E6" s="161">
        <v>13.92</v>
      </c>
      <c r="F6" s="161">
        <v>0</v>
      </c>
      <c r="G6" s="161">
        <v>0</v>
      </c>
      <c r="H6" s="161">
        <v>0</v>
      </c>
      <c r="I6" s="161">
        <v>0</v>
      </c>
      <c r="J6" s="161">
        <v>0</v>
      </c>
      <c r="K6" s="161">
        <v>0</v>
      </c>
      <c r="L6" s="161">
        <v>3</v>
      </c>
      <c r="M6" s="161">
        <v>13.92</v>
      </c>
      <c r="N6" s="161">
        <v>0</v>
      </c>
      <c r="O6" s="161">
        <v>0</v>
      </c>
      <c r="P6" s="161">
        <v>0</v>
      </c>
      <c r="Q6" s="161">
        <v>0</v>
      </c>
    </row>
    <row r="7" spans="1:17" s="191" customFormat="1" x14ac:dyDescent="0.25">
      <c r="A7" s="162">
        <v>43922</v>
      </c>
      <c r="B7" s="524">
        <v>3</v>
      </c>
      <c r="C7" s="525">
        <v>13.92</v>
      </c>
      <c r="D7" s="524">
        <v>3</v>
      </c>
      <c r="E7" s="525">
        <v>13.92</v>
      </c>
      <c r="F7" s="524">
        <v>0</v>
      </c>
      <c r="G7" s="524">
        <v>0</v>
      </c>
      <c r="H7" s="524">
        <v>0</v>
      </c>
      <c r="I7" s="524">
        <v>0</v>
      </c>
      <c r="J7" s="524">
        <v>0</v>
      </c>
      <c r="K7" s="524">
        <v>0</v>
      </c>
      <c r="L7" s="524">
        <v>3</v>
      </c>
      <c r="M7" s="525">
        <v>13.92</v>
      </c>
      <c r="N7" s="524">
        <v>0</v>
      </c>
      <c r="O7" s="525">
        <v>0</v>
      </c>
      <c r="P7" s="524">
        <v>0</v>
      </c>
      <c r="Q7" s="525">
        <v>0</v>
      </c>
    </row>
    <row r="8" spans="1:17" s="191" customFormat="1" x14ac:dyDescent="0.25">
      <c r="A8" s="162">
        <v>43952</v>
      </c>
      <c r="B8" s="524">
        <v>0</v>
      </c>
      <c r="C8" s="524">
        <v>0</v>
      </c>
      <c r="D8" s="524">
        <v>0</v>
      </c>
      <c r="E8" s="524">
        <v>0</v>
      </c>
      <c r="F8" s="524">
        <v>0</v>
      </c>
      <c r="G8" s="524">
        <v>0</v>
      </c>
      <c r="H8" s="524">
        <v>0</v>
      </c>
      <c r="I8" s="524">
        <v>0</v>
      </c>
      <c r="J8" s="524">
        <v>0</v>
      </c>
      <c r="K8" s="524">
        <v>0</v>
      </c>
      <c r="L8" s="524">
        <v>0</v>
      </c>
      <c r="M8" s="524">
        <v>0</v>
      </c>
      <c r="N8" s="524">
        <v>0</v>
      </c>
      <c r="O8" s="524">
        <v>0</v>
      </c>
      <c r="P8" s="524">
        <v>0</v>
      </c>
      <c r="Q8" s="524">
        <v>0</v>
      </c>
    </row>
    <row r="9" spans="1:17" s="191" customFormat="1" x14ac:dyDescent="0.25">
      <c r="A9" s="162">
        <v>43983</v>
      </c>
      <c r="B9" s="524">
        <v>2</v>
      </c>
      <c r="C9" s="525">
        <v>53126.66</v>
      </c>
      <c r="D9" s="524">
        <v>2</v>
      </c>
      <c r="E9" s="525">
        <v>53126.66</v>
      </c>
      <c r="F9" s="524">
        <v>0</v>
      </c>
      <c r="G9" s="524">
        <v>0</v>
      </c>
      <c r="H9" s="524">
        <v>0</v>
      </c>
      <c r="I9" s="524">
        <v>0</v>
      </c>
      <c r="J9" s="524">
        <v>0</v>
      </c>
      <c r="K9" s="524">
        <v>0</v>
      </c>
      <c r="L9" s="524">
        <v>2</v>
      </c>
      <c r="M9" s="525">
        <v>53126.66</v>
      </c>
      <c r="N9" s="524">
        <v>0</v>
      </c>
      <c r="O9" s="524">
        <v>0</v>
      </c>
      <c r="P9" s="524">
        <v>0</v>
      </c>
      <c r="Q9" s="524">
        <v>0</v>
      </c>
    </row>
    <row r="10" spans="1:17" s="191" customFormat="1" x14ac:dyDescent="0.25">
      <c r="A10" s="409" t="s">
        <v>1085</v>
      </c>
      <c r="B10" s="526"/>
      <c r="C10" s="527"/>
      <c r="D10" s="526"/>
      <c r="E10" s="527"/>
      <c r="F10" s="526"/>
      <c r="G10" s="526"/>
      <c r="H10" s="526"/>
      <c r="I10" s="526"/>
      <c r="J10" s="526"/>
      <c r="K10" s="526"/>
      <c r="L10" s="526"/>
      <c r="M10" s="527"/>
      <c r="N10" s="526"/>
      <c r="O10" s="526"/>
      <c r="P10" s="526"/>
      <c r="Q10" s="526"/>
    </row>
    <row r="11" spans="1:17" s="509" customFormat="1" x14ac:dyDescent="0.2">
      <c r="A11" s="835" t="s">
        <v>848</v>
      </c>
      <c r="B11" s="835"/>
      <c r="C11" s="835"/>
    </row>
    <row r="12" spans="1:17" s="509" customFormat="1" x14ac:dyDescent="0.2">
      <c r="A12" s="835" t="s">
        <v>56</v>
      </c>
      <c r="B12" s="835"/>
      <c r="C12" s="835"/>
    </row>
    <row r="13" spans="1:17" s="509" customFormat="1" x14ac:dyDescent="0.2"/>
    <row r="18" spans="16:16" x14ac:dyDescent="0.25">
      <c r="P18" s="164"/>
    </row>
  </sheetData>
  <mergeCells count="14">
    <mergeCell ref="A1:L1"/>
    <mergeCell ref="A2:A4"/>
    <mergeCell ref="B2:C3"/>
    <mergeCell ref="D2:G2"/>
    <mergeCell ref="D3:E3"/>
    <mergeCell ref="F3:G3"/>
    <mergeCell ref="H3:I3"/>
    <mergeCell ref="J3:K3"/>
    <mergeCell ref="L3:M3"/>
    <mergeCell ref="N3:O3"/>
    <mergeCell ref="P3:Q3"/>
    <mergeCell ref="A12:C12"/>
    <mergeCell ref="H2:Q2"/>
    <mergeCell ref="A11:C11"/>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2"/>
  <sheetViews>
    <sheetView zoomScaleNormal="100" workbookViewId="0">
      <selection activeCell="Q24" sqref="Q24"/>
    </sheetView>
  </sheetViews>
  <sheetFormatPr defaultRowHeight="15" x14ac:dyDescent="0.25"/>
  <cols>
    <col min="1" max="1" width="8.7109375" style="125" customWidth="1"/>
    <col min="2" max="2" width="8" style="125" customWidth="1"/>
    <col min="3" max="3" width="8.28515625" style="125" customWidth="1"/>
    <col min="4" max="4" width="7.5703125" style="125" customWidth="1"/>
    <col min="5" max="5" width="8.5703125" style="125" bestFit="1" customWidth="1"/>
    <col min="6" max="6" width="7.5703125" style="125" customWidth="1"/>
    <col min="7" max="7" width="8.5703125" style="125" bestFit="1" customWidth="1"/>
    <col min="8" max="8" width="7.5703125" style="125" customWidth="1"/>
    <col min="9" max="9" width="8.5703125" style="125" bestFit="1" customWidth="1"/>
    <col min="10" max="10" width="7.5703125" style="125" customWidth="1"/>
    <col min="11" max="11" width="8.5703125" style="125" bestFit="1" customWidth="1"/>
    <col min="12" max="12" width="8" style="125" customWidth="1"/>
    <col min="13" max="13" width="8.5703125" style="125" bestFit="1" customWidth="1"/>
    <col min="14" max="14" width="7.28515625" style="125" bestFit="1" customWidth="1"/>
    <col min="15" max="15" width="8" style="125" bestFit="1" customWidth="1"/>
    <col min="16" max="16384" width="9.140625" style="125"/>
  </cols>
  <sheetData>
    <row r="1" spans="1:15" ht="15" customHeight="1" x14ac:dyDescent="0.25">
      <c r="A1" s="856" t="s">
        <v>793</v>
      </c>
      <c r="B1" s="856"/>
      <c r="C1" s="856"/>
      <c r="D1" s="856"/>
      <c r="E1" s="856"/>
      <c r="F1" s="856"/>
      <c r="G1" s="856"/>
      <c r="H1" s="856"/>
      <c r="I1" s="856"/>
      <c r="J1" s="856"/>
      <c r="K1" s="856"/>
      <c r="L1" s="856"/>
      <c r="M1" s="856"/>
      <c r="N1" s="856"/>
    </row>
    <row r="2" spans="1:15" s="157" customFormat="1" x14ac:dyDescent="0.2">
      <c r="A2" s="857" t="s">
        <v>65</v>
      </c>
      <c r="B2" s="854" t="s">
        <v>67</v>
      </c>
      <c r="C2" s="855"/>
      <c r="D2" s="854" t="s">
        <v>102</v>
      </c>
      <c r="E2" s="855"/>
      <c r="F2" s="854" t="s">
        <v>103</v>
      </c>
      <c r="G2" s="855"/>
      <c r="H2" s="854" t="s">
        <v>104</v>
      </c>
      <c r="I2" s="855"/>
      <c r="J2" s="854" t="s">
        <v>105</v>
      </c>
      <c r="K2" s="855"/>
      <c r="L2" s="854" t="s">
        <v>794</v>
      </c>
      <c r="M2" s="855"/>
      <c r="N2" s="854" t="s">
        <v>795</v>
      </c>
      <c r="O2" s="855"/>
    </row>
    <row r="3" spans="1:15" s="157" customFormat="1" ht="38.25" x14ac:dyDescent="0.2">
      <c r="A3" s="858"/>
      <c r="B3" s="158" t="s">
        <v>87</v>
      </c>
      <c r="C3" s="2" t="s">
        <v>678</v>
      </c>
      <c r="D3" s="158" t="s">
        <v>87</v>
      </c>
      <c r="E3" s="2" t="s">
        <v>678</v>
      </c>
      <c r="F3" s="158" t="s">
        <v>87</v>
      </c>
      <c r="G3" s="2" t="s">
        <v>678</v>
      </c>
      <c r="H3" s="158" t="s">
        <v>87</v>
      </c>
      <c r="I3" s="2" t="s">
        <v>678</v>
      </c>
      <c r="J3" s="158" t="s">
        <v>87</v>
      </c>
      <c r="K3" s="2" t="s">
        <v>678</v>
      </c>
      <c r="L3" s="158" t="s">
        <v>87</v>
      </c>
      <c r="M3" s="2" t="s">
        <v>678</v>
      </c>
      <c r="N3" s="158" t="s">
        <v>87</v>
      </c>
      <c r="O3" s="2" t="s">
        <v>678</v>
      </c>
    </row>
    <row r="4" spans="1:15" s="157" customFormat="1" x14ac:dyDescent="0.2">
      <c r="A4" s="159" t="s">
        <v>73</v>
      </c>
      <c r="B4" s="165">
        <v>76</v>
      </c>
      <c r="C4" s="165">
        <v>76964.911663199993</v>
      </c>
      <c r="D4" s="165">
        <v>19</v>
      </c>
      <c r="E4" s="165">
        <v>59.28</v>
      </c>
      <c r="F4" s="165">
        <v>12</v>
      </c>
      <c r="G4" s="165">
        <v>89.88</v>
      </c>
      <c r="H4" s="165">
        <v>24</v>
      </c>
      <c r="I4" s="165">
        <v>481.42686700000002</v>
      </c>
      <c r="J4" s="165">
        <v>1</v>
      </c>
      <c r="K4" s="165">
        <v>60</v>
      </c>
      <c r="L4" s="165">
        <v>8</v>
      </c>
      <c r="M4" s="165">
        <v>2606.6236902000001</v>
      </c>
      <c r="N4" s="165">
        <v>12</v>
      </c>
      <c r="O4" s="165">
        <v>73667.701105999993</v>
      </c>
    </row>
    <row r="5" spans="1:15" s="160" customFormat="1" x14ac:dyDescent="0.25">
      <c r="A5" s="159" t="s">
        <v>76</v>
      </c>
      <c r="B5" s="161">
        <f>SUM(B6:B8)</f>
        <v>5</v>
      </c>
      <c r="C5" s="161">
        <f t="shared" ref="C5:O5" si="0">SUM(C6:C8)</f>
        <v>53140.579999999994</v>
      </c>
      <c r="D5" s="161">
        <f t="shared" si="0"/>
        <v>3</v>
      </c>
      <c r="E5" s="161">
        <f t="shared" si="0"/>
        <v>8.1</v>
      </c>
      <c r="F5" s="161">
        <f t="shared" si="0"/>
        <v>1</v>
      </c>
      <c r="G5" s="161">
        <f t="shared" si="0"/>
        <v>8.2799999999999994</v>
      </c>
      <c r="H5" s="161">
        <f t="shared" si="0"/>
        <v>0</v>
      </c>
      <c r="I5" s="161">
        <f t="shared" si="0"/>
        <v>0</v>
      </c>
      <c r="J5" s="161">
        <f t="shared" si="0"/>
        <v>0</v>
      </c>
      <c r="K5" s="161">
        <f t="shared" si="0"/>
        <v>0</v>
      </c>
      <c r="L5" s="161">
        <f t="shared" si="0"/>
        <v>0</v>
      </c>
      <c r="M5" s="161">
        <f t="shared" si="0"/>
        <v>0</v>
      </c>
      <c r="N5" s="161">
        <f t="shared" si="0"/>
        <v>1</v>
      </c>
      <c r="O5" s="161">
        <f t="shared" si="0"/>
        <v>53124.2</v>
      </c>
    </row>
    <row r="6" spans="1:15" s="168" customFormat="1" x14ac:dyDescent="0.25">
      <c r="A6" s="162">
        <v>43922</v>
      </c>
      <c r="B6" s="166">
        <f>D6+F6</f>
        <v>3</v>
      </c>
      <c r="C6" s="166">
        <f>E6+G6</f>
        <v>13.919999999999998</v>
      </c>
      <c r="D6" s="167">
        <v>2</v>
      </c>
      <c r="E6" s="167">
        <v>5.64</v>
      </c>
      <c r="F6" s="167">
        <v>1</v>
      </c>
      <c r="G6" s="167">
        <v>8.2799999999999994</v>
      </c>
      <c r="H6" s="167">
        <v>0</v>
      </c>
      <c r="I6" s="167">
        <v>0</v>
      </c>
      <c r="J6" s="167">
        <v>0</v>
      </c>
      <c r="K6" s="167">
        <v>0</v>
      </c>
      <c r="L6" s="167">
        <v>0</v>
      </c>
      <c r="M6" s="167">
        <v>0</v>
      </c>
      <c r="N6" s="167">
        <v>0</v>
      </c>
      <c r="O6" s="167">
        <v>0</v>
      </c>
    </row>
    <row r="7" spans="1:15" s="168" customFormat="1" x14ac:dyDescent="0.25">
      <c r="A7" s="162">
        <v>43952</v>
      </c>
      <c r="B7" s="166">
        <v>0</v>
      </c>
      <c r="C7" s="166">
        <v>0</v>
      </c>
      <c r="D7" s="166">
        <v>0</v>
      </c>
      <c r="E7" s="166">
        <v>0</v>
      </c>
      <c r="F7" s="166">
        <v>0</v>
      </c>
      <c r="G7" s="166">
        <v>0</v>
      </c>
      <c r="H7" s="166">
        <v>0</v>
      </c>
      <c r="I7" s="166">
        <v>0</v>
      </c>
      <c r="J7" s="166">
        <v>0</v>
      </c>
      <c r="K7" s="166">
        <v>0</v>
      </c>
      <c r="L7" s="166">
        <v>0</v>
      </c>
      <c r="M7" s="166">
        <v>0</v>
      </c>
      <c r="N7" s="166">
        <v>0</v>
      </c>
      <c r="O7" s="166">
        <v>0</v>
      </c>
    </row>
    <row r="8" spans="1:15" s="168" customFormat="1" x14ac:dyDescent="0.25">
      <c r="A8" s="162">
        <v>43983</v>
      </c>
      <c r="B8" s="166">
        <v>2</v>
      </c>
      <c r="C8" s="166">
        <f>E8+O8</f>
        <v>53126.659999999996</v>
      </c>
      <c r="D8" s="166">
        <v>1</v>
      </c>
      <c r="E8" s="166">
        <v>2.46</v>
      </c>
      <c r="F8" s="166">
        <v>0</v>
      </c>
      <c r="G8" s="166">
        <v>0</v>
      </c>
      <c r="H8" s="166">
        <v>0</v>
      </c>
      <c r="I8" s="166">
        <v>0</v>
      </c>
      <c r="J8" s="166">
        <v>0</v>
      </c>
      <c r="K8" s="166">
        <v>0</v>
      </c>
      <c r="L8" s="166">
        <v>0</v>
      </c>
      <c r="M8" s="166">
        <v>0</v>
      </c>
      <c r="N8" s="166">
        <v>1</v>
      </c>
      <c r="O8" s="166">
        <v>53124.2</v>
      </c>
    </row>
    <row r="9" spans="1:15" s="168" customFormat="1" ht="28.5" customHeight="1" x14ac:dyDescent="0.2">
      <c r="A9" s="859" t="s">
        <v>1086</v>
      </c>
      <c r="B9" s="859"/>
      <c r="C9" s="859"/>
      <c r="D9" s="859"/>
      <c r="E9" s="859"/>
      <c r="F9" s="859"/>
      <c r="G9" s="859"/>
      <c r="H9" s="859"/>
      <c r="I9" s="859"/>
      <c r="J9" s="859"/>
      <c r="K9" s="859"/>
      <c r="L9" s="859"/>
      <c r="M9" s="859"/>
      <c r="N9" s="859"/>
      <c r="O9" s="859"/>
    </row>
    <row r="10" spans="1:15" s="168" customFormat="1" ht="12" x14ac:dyDescent="0.2">
      <c r="A10" s="169" t="s">
        <v>848</v>
      </c>
      <c r="B10" s="169"/>
      <c r="C10" s="169"/>
    </row>
    <row r="11" spans="1:15" s="163" customFormat="1" x14ac:dyDescent="0.2">
      <c r="A11" s="837" t="s">
        <v>56</v>
      </c>
      <c r="B11" s="837"/>
      <c r="C11" s="837"/>
    </row>
    <row r="12" spans="1:15" x14ac:dyDescent="0.25">
      <c r="A12" s="163"/>
      <c r="B12" s="163"/>
      <c r="C12" s="163"/>
    </row>
  </sheetData>
  <mergeCells count="11">
    <mergeCell ref="A11:C11"/>
    <mergeCell ref="N2:O2"/>
    <mergeCell ref="A1:N1"/>
    <mergeCell ref="A2:A3"/>
    <mergeCell ref="B2:C2"/>
    <mergeCell ref="D2:E2"/>
    <mergeCell ref="F2:G2"/>
    <mergeCell ref="H2:I2"/>
    <mergeCell ref="J2:K2"/>
    <mergeCell ref="L2:M2"/>
    <mergeCell ref="A9:O9"/>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12"/>
  <sheetViews>
    <sheetView zoomScaleNormal="100" workbookViewId="0">
      <selection activeCell="I30" sqref="I30"/>
    </sheetView>
  </sheetViews>
  <sheetFormatPr defaultRowHeight="12.75" x14ac:dyDescent="0.2"/>
  <cols>
    <col min="1" max="1" width="14.7109375" bestFit="1" customWidth="1"/>
    <col min="2" max="2" width="12.140625" bestFit="1" customWidth="1"/>
    <col min="3" max="3" width="15.7109375" bestFit="1" customWidth="1"/>
    <col min="4" max="4" width="12.140625" bestFit="1" customWidth="1"/>
    <col min="5" max="7" width="15.7109375" bestFit="1" customWidth="1"/>
    <col min="8" max="9" width="12.140625" bestFit="1" customWidth="1"/>
    <col min="10" max="11" width="15.7109375" bestFit="1" customWidth="1"/>
    <col min="12" max="12" width="4.7109375" bestFit="1" customWidth="1"/>
  </cols>
  <sheetData>
    <row r="1" spans="1:11" x14ac:dyDescent="0.2">
      <c r="A1" s="863" t="s">
        <v>2</v>
      </c>
      <c r="B1" s="863"/>
      <c r="C1" s="863"/>
      <c r="D1" s="863"/>
      <c r="E1" s="863"/>
      <c r="F1" s="863"/>
      <c r="G1" s="863"/>
      <c r="H1" s="863"/>
      <c r="I1" s="863"/>
    </row>
    <row r="2" spans="1:11" s="499" customFormat="1" ht="12" x14ac:dyDescent="0.2">
      <c r="A2" s="864" t="s">
        <v>65</v>
      </c>
      <c r="B2" s="861" t="s">
        <v>106</v>
      </c>
      <c r="C2" s="862"/>
      <c r="D2" s="861" t="s">
        <v>107</v>
      </c>
      <c r="E2" s="862"/>
      <c r="F2" s="861" t="s">
        <v>108</v>
      </c>
      <c r="G2" s="862"/>
      <c r="H2" s="861" t="s">
        <v>109</v>
      </c>
      <c r="I2" s="862"/>
      <c r="J2" s="861" t="s">
        <v>67</v>
      </c>
      <c r="K2" s="862"/>
    </row>
    <row r="3" spans="1:11" s="499" customFormat="1" ht="24" x14ac:dyDescent="0.2">
      <c r="A3" s="865"/>
      <c r="B3" s="528" t="s">
        <v>85</v>
      </c>
      <c r="C3" s="529" t="s">
        <v>72</v>
      </c>
      <c r="D3" s="528" t="s">
        <v>85</v>
      </c>
      <c r="E3" s="529" t="s">
        <v>72</v>
      </c>
      <c r="F3" s="529" t="s">
        <v>85</v>
      </c>
      <c r="G3" s="529" t="s">
        <v>72</v>
      </c>
      <c r="H3" s="528" t="s">
        <v>85</v>
      </c>
      <c r="I3" s="529" t="s">
        <v>72</v>
      </c>
      <c r="J3" s="528" t="s">
        <v>85</v>
      </c>
      <c r="K3" s="529" t="s">
        <v>72</v>
      </c>
    </row>
    <row r="4" spans="1:11" s="499" customFormat="1" ht="12" x14ac:dyDescent="0.2">
      <c r="A4" s="530" t="s">
        <v>73</v>
      </c>
      <c r="B4" s="531">
        <v>0</v>
      </c>
      <c r="C4" s="532">
        <v>0</v>
      </c>
      <c r="D4" s="531">
        <v>0</v>
      </c>
      <c r="E4" s="532">
        <v>0</v>
      </c>
      <c r="F4" s="533">
        <v>0</v>
      </c>
      <c r="G4" s="533">
        <v>0</v>
      </c>
      <c r="H4" s="531">
        <v>14</v>
      </c>
      <c r="I4" s="532">
        <v>54388.924919999998</v>
      </c>
      <c r="J4" s="533">
        <v>14</v>
      </c>
      <c r="K4" s="532">
        <v>54388.924919999998</v>
      </c>
    </row>
    <row r="5" spans="1:11" s="499" customFormat="1" ht="12" x14ac:dyDescent="0.2">
      <c r="A5" s="530" t="s">
        <v>76</v>
      </c>
      <c r="B5" s="531">
        <v>0</v>
      </c>
      <c r="C5" s="532">
        <v>0</v>
      </c>
      <c r="D5" s="531">
        <v>0</v>
      </c>
      <c r="E5" s="532">
        <v>0</v>
      </c>
      <c r="F5" s="533">
        <v>0</v>
      </c>
      <c r="G5" s="533">
        <v>0</v>
      </c>
      <c r="H5" s="531">
        <v>2</v>
      </c>
      <c r="I5" s="532">
        <v>8212.5</v>
      </c>
      <c r="J5" s="533">
        <v>2</v>
      </c>
      <c r="K5" s="532">
        <v>8212.5</v>
      </c>
    </row>
    <row r="6" spans="1:11" s="499" customFormat="1" ht="12" x14ac:dyDescent="0.2">
      <c r="A6" s="530" t="s">
        <v>75</v>
      </c>
      <c r="B6" s="531">
        <v>0</v>
      </c>
      <c r="C6" s="532">
        <v>0</v>
      </c>
      <c r="D6" s="531">
        <v>0</v>
      </c>
      <c r="E6" s="532">
        <v>0</v>
      </c>
      <c r="F6" s="533">
        <v>0</v>
      </c>
      <c r="G6" s="533">
        <v>0</v>
      </c>
      <c r="H6" s="531">
        <v>0</v>
      </c>
      <c r="I6" s="532">
        <v>0</v>
      </c>
      <c r="J6" s="533">
        <v>0</v>
      </c>
      <c r="K6" s="532">
        <v>0</v>
      </c>
    </row>
    <row r="7" spans="1:11" s="499" customFormat="1" ht="12" x14ac:dyDescent="0.2">
      <c r="A7" s="530" t="s">
        <v>74</v>
      </c>
      <c r="B7" s="531">
        <v>0</v>
      </c>
      <c r="C7" s="532">
        <v>0</v>
      </c>
      <c r="D7" s="531">
        <v>0</v>
      </c>
      <c r="E7" s="532">
        <v>0</v>
      </c>
      <c r="F7" s="533">
        <v>0</v>
      </c>
      <c r="G7" s="533">
        <v>0</v>
      </c>
      <c r="H7" s="531">
        <v>0</v>
      </c>
      <c r="I7" s="532">
        <v>0</v>
      </c>
      <c r="J7" s="533">
        <v>0</v>
      </c>
      <c r="K7" s="532">
        <v>0</v>
      </c>
    </row>
    <row r="8" spans="1:11" s="499" customFormat="1" ht="12" x14ac:dyDescent="0.2">
      <c r="A8" s="530" t="s">
        <v>849</v>
      </c>
      <c r="B8" s="531">
        <v>0</v>
      </c>
      <c r="C8" s="532">
        <v>0</v>
      </c>
      <c r="D8" s="531">
        <v>0</v>
      </c>
      <c r="E8" s="532">
        <v>0</v>
      </c>
      <c r="F8" s="533">
        <v>0</v>
      </c>
      <c r="G8" s="533">
        <v>0</v>
      </c>
      <c r="H8" s="531">
        <v>2</v>
      </c>
      <c r="I8" s="532">
        <v>8212.5</v>
      </c>
      <c r="J8" s="533">
        <v>2</v>
      </c>
      <c r="K8" s="532">
        <v>8212.5</v>
      </c>
    </row>
    <row r="9" spans="1:11" s="499" customFormat="1" ht="12" x14ac:dyDescent="0.2">
      <c r="A9" s="534" t="s">
        <v>1083</v>
      </c>
      <c r="B9" s="535"/>
      <c r="C9" s="536"/>
      <c r="D9" s="535"/>
      <c r="E9" s="536"/>
      <c r="F9" s="537"/>
      <c r="G9" s="537"/>
      <c r="H9" s="535"/>
      <c r="I9" s="536"/>
      <c r="J9" s="537"/>
      <c r="K9" s="536"/>
    </row>
    <row r="10" spans="1:11" s="499" customFormat="1" ht="12" x14ac:dyDescent="0.2">
      <c r="A10" s="860" t="s">
        <v>842</v>
      </c>
      <c r="B10" s="860"/>
      <c r="C10" s="860"/>
      <c r="D10" s="860"/>
      <c r="E10" s="860"/>
      <c r="F10" s="860"/>
      <c r="G10" s="860"/>
      <c r="H10" s="860"/>
      <c r="I10" s="860"/>
    </row>
    <row r="11" spans="1:11" s="499" customFormat="1" ht="12" x14ac:dyDescent="0.2">
      <c r="A11" s="860" t="s">
        <v>110</v>
      </c>
      <c r="B11" s="860"/>
      <c r="C11" s="860"/>
      <c r="D11" s="860"/>
      <c r="E11" s="860"/>
      <c r="F11" s="860"/>
      <c r="G11" s="860"/>
      <c r="H11" s="860"/>
      <c r="I11" s="860"/>
    </row>
    <row r="12" spans="1:11" s="499" customFormat="1" ht="8.25" x14ac:dyDescent="0.2"/>
  </sheetData>
  <mergeCells count="9">
    <mergeCell ref="A11:I11"/>
    <mergeCell ref="J2:K2"/>
    <mergeCell ref="A10:I10"/>
    <mergeCell ref="A1:I1"/>
    <mergeCell ref="A2:A3"/>
    <mergeCell ref="B2:C2"/>
    <mergeCell ref="D2:E2"/>
    <mergeCell ref="F2:G2"/>
    <mergeCell ref="H2:I2"/>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12"/>
  <sheetViews>
    <sheetView zoomScaleNormal="100" workbookViewId="0">
      <selection activeCell="H25" sqref="H25"/>
    </sheetView>
  </sheetViews>
  <sheetFormatPr defaultRowHeight="12.75" x14ac:dyDescent="0.2"/>
  <cols>
    <col min="1" max="2" width="14.7109375" bestFit="1" customWidth="1"/>
    <col min="3" max="3" width="15.7109375" bestFit="1" customWidth="1"/>
    <col min="4" max="4" width="14.7109375" bestFit="1" customWidth="1"/>
    <col min="5" max="5" width="15.7109375" bestFit="1" customWidth="1"/>
    <col min="6" max="6" width="14.7109375" bestFit="1" customWidth="1"/>
    <col min="7" max="7" width="15.7109375" bestFit="1" customWidth="1"/>
    <col min="8" max="8" width="14.7109375" bestFit="1" customWidth="1"/>
    <col min="9" max="11" width="15.7109375" bestFit="1" customWidth="1"/>
    <col min="12" max="12" width="4.7109375" bestFit="1" customWidth="1"/>
  </cols>
  <sheetData>
    <row r="1" spans="1:11" ht="14.25" customHeight="1" x14ac:dyDescent="0.2">
      <c r="A1" s="868" t="s">
        <v>939</v>
      </c>
      <c r="B1" s="863"/>
      <c r="C1" s="863"/>
      <c r="D1" s="863"/>
      <c r="E1" s="863"/>
      <c r="F1" s="863"/>
      <c r="G1" s="863"/>
      <c r="H1" s="863"/>
      <c r="I1" s="863"/>
    </row>
    <row r="2" spans="1:11" s="499" customFormat="1" ht="15.75" customHeight="1" x14ac:dyDescent="0.2">
      <c r="A2" s="799" t="s">
        <v>111</v>
      </c>
      <c r="B2" s="866" t="s">
        <v>106</v>
      </c>
      <c r="C2" s="867"/>
      <c r="D2" s="866" t="s">
        <v>107</v>
      </c>
      <c r="E2" s="867"/>
      <c r="F2" s="866" t="s">
        <v>108</v>
      </c>
      <c r="G2" s="867"/>
      <c r="H2" s="866" t="s">
        <v>109</v>
      </c>
      <c r="I2" s="867"/>
      <c r="J2" s="866" t="s">
        <v>67</v>
      </c>
      <c r="K2" s="867"/>
    </row>
    <row r="3" spans="1:11" s="499" customFormat="1" ht="25.5" customHeight="1" x14ac:dyDescent="0.2">
      <c r="A3" s="801"/>
      <c r="B3" s="538" t="s">
        <v>112</v>
      </c>
      <c r="C3" s="501" t="s">
        <v>72</v>
      </c>
      <c r="D3" s="538" t="s">
        <v>112</v>
      </c>
      <c r="E3" s="501" t="s">
        <v>72</v>
      </c>
      <c r="F3" s="538" t="s">
        <v>112</v>
      </c>
      <c r="G3" s="501" t="s">
        <v>92</v>
      </c>
      <c r="H3" s="538" t="s">
        <v>112</v>
      </c>
      <c r="I3" s="501" t="s">
        <v>941</v>
      </c>
      <c r="J3" s="500" t="s">
        <v>85</v>
      </c>
      <c r="K3" s="501" t="s">
        <v>92</v>
      </c>
    </row>
    <row r="4" spans="1:11" s="499" customFormat="1" ht="15" customHeight="1" x14ac:dyDescent="0.2">
      <c r="A4" s="539" t="s">
        <v>73</v>
      </c>
      <c r="B4" s="503">
        <v>130</v>
      </c>
      <c r="C4" s="505">
        <v>1853.24</v>
      </c>
      <c r="D4" s="503">
        <v>14</v>
      </c>
      <c r="E4" s="540">
        <v>76.11</v>
      </c>
      <c r="F4" s="503">
        <v>6</v>
      </c>
      <c r="G4" s="505">
        <v>24.77</v>
      </c>
      <c r="H4" s="503">
        <v>142</v>
      </c>
      <c r="I4" s="541">
        <v>172970.61</v>
      </c>
      <c r="J4" s="503">
        <v>282</v>
      </c>
      <c r="K4" s="541">
        <v>174875.19</v>
      </c>
    </row>
    <row r="5" spans="1:11" s="499" customFormat="1" ht="15" customHeight="1" x14ac:dyDescent="0.2">
      <c r="A5" s="539" t="s">
        <v>76</v>
      </c>
      <c r="B5" s="503">
        <v>29</v>
      </c>
      <c r="C5" s="505">
        <v>195.55</v>
      </c>
      <c r="D5" s="503">
        <v>0</v>
      </c>
      <c r="E5" s="540">
        <v>0</v>
      </c>
      <c r="F5" s="503">
        <v>1</v>
      </c>
      <c r="G5" s="505">
        <v>2</v>
      </c>
      <c r="H5" s="503">
        <v>23</v>
      </c>
      <c r="I5" s="540">
        <v>5252.83</v>
      </c>
      <c r="J5" s="503">
        <v>52</v>
      </c>
      <c r="K5" s="505">
        <v>5448.08</v>
      </c>
    </row>
    <row r="6" spans="1:11" s="499" customFormat="1" ht="15" customHeight="1" x14ac:dyDescent="0.2">
      <c r="A6" s="539" t="s">
        <v>75</v>
      </c>
      <c r="B6" s="503">
        <v>15</v>
      </c>
      <c r="C6" s="505">
        <v>119.45</v>
      </c>
      <c r="D6" s="503">
        <v>0</v>
      </c>
      <c r="E6" s="540">
        <v>0</v>
      </c>
      <c r="F6" s="503">
        <v>1</v>
      </c>
      <c r="G6" s="505">
        <v>2</v>
      </c>
      <c r="H6" s="503">
        <v>8</v>
      </c>
      <c r="I6" s="540">
        <v>988.95</v>
      </c>
      <c r="J6" s="503">
        <v>23</v>
      </c>
      <c r="K6" s="505">
        <v>1108.4000000000001</v>
      </c>
    </row>
    <row r="7" spans="1:11" s="499" customFormat="1" ht="15" customHeight="1" x14ac:dyDescent="0.2">
      <c r="A7" s="539" t="s">
        <v>74</v>
      </c>
      <c r="B7" s="503">
        <v>4</v>
      </c>
      <c r="C7" s="505">
        <v>11.14</v>
      </c>
      <c r="D7" s="503">
        <v>0</v>
      </c>
      <c r="E7" s="540">
        <v>0</v>
      </c>
      <c r="F7" s="503">
        <v>0</v>
      </c>
      <c r="G7" s="504">
        <v>0</v>
      </c>
      <c r="H7" s="503">
        <v>7</v>
      </c>
      <c r="I7" s="540">
        <v>295.88</v>
      </c>
      <c r="J7" s="503">
        <v>11</v>
      </c>
      <c r="K7" s="505">
        <v>307.02</v>
      </c>
    </row>
    <row r="8" spans="1:11" s="499" customFormat="1" ht="15" customHeight="1" x14ac:dyDescent="0.2">
      <c r="A8" s="539" t="s">
        <v>849</v>
      </c>
      <c r="B8" s="503">
        <v>10</v>
      </c>
      <c r="C8" s="505">
        <v>64.959999999999994</v>
      </c>
      <c r="D8" s="503">
        <v>0</v>
      </c>
      <c r="E8" s="540">
        <v>0</v>
      </c>
      <c r="F8" s="503">
        <v>0</v>
      </c>
      <c r="G8" s="504">
        <v>0</v>
      </c>
      <c r="H8" s="503">
        <v>8</v>
      </c>
      <c r="I8" s="540">
        <v>3968</v>
      </c>
      <c r="J8" s="503">
        <v>18</v>
      </c>
      <c r="K8" s="505">
        <v>4032.66</v>
      </c>
    </row>
    <row r="9" spans="1:11" s="499" customFormat="1" ht="15" customHeight="1" x14ac:dyDescent="0.2">
      <c r="A9" s="542" t="s">
        <v>1083</v>
      </c>
      <c r="B9" s="543"/>
      <c r="C9" s="544"/>
      <c r="D9" s="543"/>
      <c r="E9" s="545"/>
      <c r="F9" s="543"/>
      <c r="G9" s="437"/>
      <c r="H9" s="543"/>
      <c r="I9" s="545"/>
      <c r="J9" s="543"/>
      <c r="K9" s="544"/>
    </row>
    <row r="10" spans="1:11" s="499" customFormat="1" ht="13.5" customHeight="1" x14ac:dyDescent="0.2">
      <c r="A10" s="786" t="s">
        <v>842</v>
      </c>
      <c r="B10" s="786"/>
    </row>
    <row r="11" spans="1:11" s="499" customFormat="1" ht="14.25" customHeight="1" x14ac:dyDescent="0.2">
      <c r="A11" s="797" t="s">
        <v>110</v>
      </c>
      <c r="B11" s="797"/>
    </row>
    <row r="12" spans="1:11" s="499" customFormat="1" ht="28.35" customHeight="1" x14ac:dyDescent="0.2"/>
  </sheetData>
  <mergeCells count="9">
    <mergeCell ref="A11:B11"/>
    <mergeCell ref="J2:K2"/>
    <mergeCell ref="A10:B10"/>
    <mergeCell ref="A1:I1"/>
    <mergeCell ref="A2:A3"/>
    <mergeCell ref="B2:C2"/>
    <mergeCell ref="D2:E2"/>
    <mergeCell ref="F2:G2"/>
    <mergeCell ref="H2:I2"/>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2"/>
  <sheetViews>
    <sheetView zoomScaleNormal="100" workbookViewId="0">
      <selection activeCell="G19" sqref="G19"/>
    </sheetView>
  </sheetViews>
  <sheetFormatPr defaultRowHeight="12.75" x14ac:dyDescent="0.2"/>
  <cols>
    <col min="1" max="2" width="14.7109375" bestFit="1" customWidth="1"/>
    <col min="3" max="3" width="15.85546875" bestFit="1" customWidth="1"/>
    <col min="4" max="4" width="14.7109375" bestFit="1" customWidth="1"/>
    <col min="5" max="5" width="15.85546875" bestFit="1" customWidth="1"/>
    <col min="6" max="6" width="14.7109375" bestFit="1" customWidth="1"/>
    <col min="7" max="7" width="15.85546875" bestFit="1" customWidth="1"/>
    <col min="8" max="8" width="14.7109375" bestFit="1" customWidth="1"/>
    <col min="9" max="9" width="15.85546875" bestFit="1" customWidth="1"/>
    <col min="10" max="10" width="4.7109375" bestFit="1" customWidth="1"/>
  </cols>
  <sheetData>
    <row r="1" spans="1:9" ht="15.75" customHeight="1" x14ac:dyDescent="0.2">
      <c r="A1" s="869" t="s">
        <v>945</v>
      </c>
      <c r="B1" s="870"/>
      <c r="C1" s="870"/>
      <c r="D1" s="870"/>
      <c r="E1" s="870"/>
      <c r="F1" s="870"/>
      <c r="G1" s="870"/>
      <c r="H1" s="870"/>
      <c r="I1" s="870"/>
    </row>
    <row r="2" spans="1:9" s="499" customFormat="1" ht="18" customHeight="1" x14ac:dyDescent="0.2">
      <c r="A2" s="871" t="s">
        <v>111</v>
      </c>
      <c r="B2" s="806" t="s">
        <v>106</v>
      </c>
      <c r="C2" s="807"/>
      <c r="D2" s="806" t="s">
        <v>107</v>
      </c>
      <c r="E2" s="807"/>
      <c r="F2" s="806" t="s">
        <v>109</v>
      </c>
      <c r="G2" s="807"/>
      <c r="H2" s="806" t="s">
        <v>113</v>
      </c>
      <c r="I2" s="807"/>
    </row>
    <row r="3" spans="1:9" s="499" customFormat="1" ht="27" customHeight="1" x14ac:dyDescent="0.2">
      <c r="A3" s="872"/>
      <c r="B3" s="546" t="s">
        <v>114</v>
      </c>
      <c r="C3" s="547" t="s">
        <v>92</v>
      </c>
      <c r="D3" s="546" t="s">
        <v>114</v>
      </c>
      <c r="E3" s="547" t="s">
        <v>72</v>
      </c>
      <c r="F3" s="546" t="s">
        <v>114</v>
      </c>
      <c r="G3" s="547" t="s">
        <v>72</v>
      </c>
      <c r="H3" s="546" t="s">
        <v>114</v>
      </c>
      <c r="I3" s="547" t="s">
        <v>72</v>
      </c>
    </row>
    <row r="4" spans="1:9" s="499" customFormat="1" ht="18" customHeight="1" x14ac:dyDescent="0.2">
      <c r="A4" s="502" t="s">
        <v>73</v>
      </c>
      <c r="B4" s="548">
        <v>362</v>
      </c>
      <c r="C4" s="549">
        <v>202997.40719999999</v>
      </c>
      <c r="D4" s="548">
        <v>1272</v>
      </c>
      <c r="E4" s="549">
        <v>254915.23230269999</v>
      </c>
      <c r="F4" s="548">
        <v>152</v>
      </c>
      <c r="G4" s="549">
        <v>216657.15400000001</v>
      </c>
      <c r="H4" s="548">
        <v>1786</v>
      </c>
      <c r="I4" s="549">
        <v>674670.6135027</v>
      </c>
    </row>
    <row r="5" spans="1:9" s="499" customFormat="1" ht="18" customHeight="1" x14ac:dyDescent="0.2">
      <c r="A5" s="502" t="s">
        <v>76</v>
      </c>
      <c r="B5" s="548">
        <v>95</v>
      </c>
      <c r="C5" s="504">
        <v>52290</v>
      </c>
      <c r="D5" s="548">
        <v>224</v>
      </c>
      <c r="E5" s="504">
        <v>58332.19</v>
      </c>
      <c r="F5" s="548">
        <v>46</v>
      </c>
      <c r="G5" s="504">
        <v>98804.4</v>
      </c>
      <c r="H5" s="548">
        <v>365</v>
      </c>
      <c r="I5" s="549">
        <v>209426.21</v>
      </c>
    </row>
    <row r="6" spans="1:9" s="499" customFormat="1" ht="18" customHeight="1" x14ac:dyDescent="0.2">
      <c r="A6" s="502" t="s">
        <v>75</v>
      </c>
      <c r="B6" s="548">
        <v>19</v>
      </c>
      <c r="C6" s="504">
        <v>11880</v>
      </c>
      <c r="D6" s="548">
        <v>40</v>
      </c>
      <c r="E6" s="504">
        <v>15200</v>
      </c>
      <c r="F6" s="548">
        <v>11</v>
      </c>
      <c r="G6" s="504">
        <v>27559.1</v>
      </c>
      <c r="H6" s="548">
        <v>70</v>
      </c>
      <c r="I6" s="504">
        <v>54638.720000000001</v>
      </c>
    </row>
    <row r="7" spans="1:9" s="499" customFormat="1" ht="18" customHeight="1" x14ac:dyDescent="0.2">
      <c r="A7" s="502" t="s">
        <v>74</v>
      </c>
      <c r="B7" s="548">
        <v>33</v>
      </c>
      <c r="C7" s="504">
        <v>21706</v>
      </c>
      <c r="D7" s="548">
        <v>48</v>
      </c>
      <c r="E7" s="504">
        <v>14911.19</v>
      </c>
      <c r="F7" s="548">
        <v>26</v>
      </c>
      <c r="G7" s="504">
        <v>47956.3</v>
      </c>
      <c r="H7" s="548">
        <v>107</v>
      </c>
      <c r="I7" s="504">
        <v>84573.49</v>
      </c>
    </row>
    <row r="8" spans="1:9" s="499" customFormat="1" ht="18" customHeight="1" x14ac:dyDescent="0.2">
      <c r="A8" s="502" t="s">
        <v>849</v>
      </c>
      <c r="B8" s="548">
        <v>43</v>
      </c>
      <c r="C8" s="504">
        <v>18704</v>
      </c>
      <c r="D8" s="548">
        <v>136</v>
      </c>
      <c r="E8" s="504">
        <v>28221</v>
      </c>
      <c r="F8" s="548">
        <v>9</v>
      </c>
      <c r="G8" s="504">
        <v>23289</v>
      </c>
      <c r="H8" s="548">
        <v>188</v>
      </c>
      <c r="I8" s="504">
        <v>70214</v>
      </c>
    </row>
    <row r="9" spans="1:9" s="499" customFormat="1" ht="18" customHeight="1" x14ac:dyDescent="0.2">
      <c r="A9" s="438" t="s">
        <v>1083</v>
      </c>
      <c r="B9" s="550"/>
      <c r="C9" s="437"/>
      <c r="D9" s="550"/>
      <c r="E9" s="437"/>
      <c r="F9" s="550"/>
      <c r="G9" s="437"/>
      <c r="H9" s="550"/>
      <c r="I9" s="437"/>
    </row>
    <row r="10" spans="1:9" s="499" customFormat="1" ht="15" customHeight="1" x14ac:dyDescent="0.2">
      <c r="A10" s="786" t="s">
        <v>842</v>
      </c>
      <c r="B10" s="786"/>
    </row>
    <row r="11" spans="1:9" s="499" customFormat="1" ht="13.5" customHeight="1" x14ac:dyDescent="0.2">
      <c r="A11" s="797" t="s">
        <v>115</v>
      </c>
      <c r="B11" s="797"/>
    </row>
    <row r="12" spans="1:9" s="499" customFormat="1" ht="27.6" customHeight="1" x14ac:dyDescent="0.2"/>
  </sheetData>
  <mergeCells count="8">
    <mergeCell ref="A11:B11"/>
    <mergeCell ref="A10:B10"/>
    <mergeCell ref="A1:I1"/>
    <mergeCell ref="A2:A3"/>
    <mergeCell ref="B2:C2"/>
    <mergeCell ref="D2:E2"/>
    <mergeCell ref="F2:G2"/>
    <mergeCell ref="H2:I2"/>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2"/>
  <sheetViews>
    <sheetView zoomScaleNormal="100" workbookViewId="0">
      <selection activeCell="G15" sqref="G15"/>
    </sheetView>
  </sheetViews>
  <sheetFormatPr defaultRowHeight="12.75" x14ac:dyDescent="0.2"/>
  <cols>
    <col min="1" max="2" width="14.7109375" bestFit="1" customWidth="1"/>
    <col min="3" max="3" width="19.42578125" bestFit="1" customWidth="1"/>
    <col min="4" max="4" width="14.7109375" bestFit="1" customWidth="1"/>
    <col min="5" max="5" width="19.42578125" bestFit="1" customWidth="1"/>
    <col min="6" max="6" width="7.42578125" bestFit="1" customWidth="1"/>
    <col min="7" max="7" width="16.7109375" bestFit="1" customWidth="1"/>
    <col min="8" max="8" width="9.7109375" bestFit="1" customWidth="1"/>
    <col min="9" max="9" width="13.5703125" customWidth="1"/>
    <col min="10" max="10" width="4.7109375" bestFit="1" customWidth="1"/>
  </cols>
  <sheetData>
    <row r="1" spans="1:9" ht="15" customHeight="1" x14ac:dyDescent="0.2">
      <c r="A1" s="868" t="s">
        <v>3</v>
      </c>
      <c r="B1" s="863"/>
      <c r="C1" s="863"/>
      <c r="D1" s="863"/>
      <c r="E1" s="863"/>
      <c r="F1" s="863"/>
      <c r="G1" s="863"/>
      <c r="H1" s="863"/>
      <c r="I1" s="863"/>
    </row>
    <row r="2" spans="1:9" s="499" customFormat="1" ht="18" customHeight="1" x14ac:dyDescent="0.2">
      <c r="A2" s="873" t="s">
        <v>65</v>
      </c>
      <c r="B2" s="874" t="s">
        <v>116</v>
      </c>
      <c r="C2" s="874"/>
      <c r="D2" s="874" t="s">
        <v>117</v>
      </c>
      <c r="E2" s="874"/>
      <c r="F2" s="874" t="s">
        <v>118</v>
      </c>
      <c r="G2" s="874"/>
      <c r="H2" s="874" t="s">
        <v>67</v>
      </c>
      <c r="I2" s="874"/>
    </row>
    <row r="3" spans="1:9" s="499" customFormat="1" ht="27" customHeight="1" x14ac:dyDescent="0.2">
      <c r="A3" s="873"/>
      <c r="B3" s="551" t="s">
        <v>119</v>
      </c>
      <c r="C3" s="552" t="s">
        <v>120</v>
      </c>
      <c r="D3" s="551" t="s">
        <v>119</v>
      </c>
      <c r="E3" s="552" t="s">
        <v>120</v>
      </c>
      <c r="F3" s="551" t="s">
        <v>119</v>
      </c>
      <c r="G3" s="553" t="s">
        <v>120</v>
      </c>
      <c r="H3" s="554" t="s">
        <v>119</v>
      </c>
      <c r="I3" s="553" t="s">
        <v>120</v>
      </c>
    </row>
    <row r="4" spans="1:9" s="499" customFormat="1" ht="18" customHeight="1" x14ac:dyDescent="0.2">
      <c r="A4" s="555" t="s">
        <v>73</v>
      </c>
      <c r="B4" s="556">
        <v>57669</v>
      </c>
      <c r="C4" s="557">
        <v>764268.62</v>
      </c>
      <c r="D4" s="556">
        <v>80558</v>
      </c>
      <c r="E4" s="557">
        <v>1463552.27</v>
      </c>
      <c r="F4" s="558">
        <v>0</v>
      </c>
      <c r="G4" s="558">
        <v>0</v>
      </c>
      <c r="H4" s="557">
        <v>138227</v>
      </c>
      <c r="I4" s="557">
        <v>2227820.96</v>
      </c>
    </row>
    <row r="5" spans="1:9" s="499" customFormat="1" ht="18" customHeight="1" x14ac:dyDescent="0.2">
      <c r="A5" s="555" t="s">
        <v>76</v>
      </c>
      <c r="B5" s="556">
        <f>SUM(B6:B8)</f>
        <v>15661</v>
      </c>
      <c r="C5" s="556">
        <f t="shared" ref="C5:G5" si="0">SUM(C6:C8)</f>
        <v>207236.88799999998</v>
      </c>
      <c r="D5" s="556">
        <f t="shared" si="0"/>
        <v>18824</v>
      </c>
      <c r="E5" s="556">
        <f t="shared" si="0"/>
        <v>411328.11199999996</v>
      </c>
      <c r="F5" s="556">
        <f t="shared" si="0"/>
        <v>0</v>
      </c>
      <c r="G5" s="556">
        <f t="shared" si="0"/>
        <v>0</v>
      </c>
      <c r="H5" s="556">
        <f>SUM(H6:H8)</f>
        <v>34485</v>
      </c>
      <c r="I5" s="556">
        <f t="shared" ref="I5" si="1">SUM(I6:I8)</f>
        <v>618565</v>
      </c>
    </row>
    <row r="6" spans="1:9" s="499" customFormat="1" ht="18" customHeight="1" x14ac:dyDescent="0.2">
      <c r="A6" s="555" t="s">
        <v>75</v>
      </c>
      <c r="B6" s="556">
        <v>3753</v>
      </c>
      <c r="C6" s="556">
        <v>65285.07</v>
      </c>
      <c r="D6" s="556">
        <v>5173</v>
      </c>
      <c r="E6" s="557">
        <v>149229.69</v>
      </c>
      <c r="F6" s="558">
        <v>0</v>
      </c>
      <c r="G6" s="558">
        <v>0</v>
      </c>
      <c r="H6" s="556">
        <f>SUM(B6,D6)</f>
        <v>8926</v>
      </c>
      <c r="I6" s="557">
        <f>SUM(C6,E6)</f>
        <v>214514.76</v>
      </c>
    </row>
    <row r="7" spans="1:9" s="499" customFormat="1" ht="18" customHeight="1" x14ac:dyDescent="0.2">
      <c r="A7" s="555" t="s">
        <v>74</v>
      </c>
      <c r="B7" s="556">
        <v>4677</v>
      </c>
      <c r="C7" s="556">
        <v>64964.767999999996</v>
      </c>
      <c r="D7" s="556">
        <v>6004</v>
      </c>
      <c r="E7" s="557">
        <v>131841.63199999998</v>
      </c>
      <c r="F7" s="558">
        <v>0</v>
      </c>
      <c r="G7" s="558">
        <v>0</v>
      </c>
      <c r="H7" s="556">
        <v>10681</v>
      </c>
      <c r="I7" s="557">
        <v>196806.40000000002</v>
      </c>
    </row>
    <row r="8" spans="1:9" s="499" customFormat="1" ht="18" customHeight="1" x14ac:dyDescent="0.2">
      <c r="A8" s="555" t="s">
        <v>849</v>
      </c>
      <c r="B8" s="556">
        <v>7231</v>
      </c>
      <c r="C8" s="556">
        <v>76987.05</v>
      </c>
      <c r="D8" s="556">
        <v>7647</v>
      </c>
      <c r="E8" s="557">
        <v>130256.79</v>
      </c>
      <c r="F8" s="558">
        <v>0</v>
      </c>
      <c r="G8" s="558">
        <v>0</v>
      </c>
      <c r="H8" s="556">
        <v>14878</v>
      </c>
      <c r="I8" s="557">
        <v>207243.84</v>
      </c>
    </row>
    <row r="9" spans="1:9" s="499" customFormat="1" ht="18" customHeight="1" x14ac:dyDescent="0.2">
      <c r="A9" s="438" t="s">
        <v>1083</v>
      </c>
      <c r="B9" s="437"/>
      <c r="C9" s="437"/>
      <c r="D9" s="437"/>
      <c r="E9" s="559"/>
      <c r="F9" s="545"/>
      <c r="G9" s="545"/>
      <c r="H9" s="437"/>
      <c r="I9" s="559"/>
    </row>
    <row r="10" spans="1:9" s="499" customFormat="1" ht="18.75" customHeight="1" x14ac:dyDescent="0.2">
      <c r="A10" s="786" t="s">
        <v>842</v>
      </c>
      <c r="B10" s="786"/>
    </row>
    <row r="11" spans="1:9" s="499" customFormat="1" ht="18" customHeight="1" x14ac:dyDescent="0.2">
      <c r="A11" s="797" t="s">
        <v>110</v>
      </c>
      <c r="B11" s="797"/>
    </row>
    <row r="12" spans="1:9" s="499" customFormat="1" ht="28.35" customHeight="1" x14ac:dyDescent="0.2"/>
  </sheetData>
  <mergeCells count="8">
    <mergeCell ref="A11:B11"/>
    <mergeCell ref="A10:B10"/>
    <mergeCell ref="A1:I1"/>
    <mergeCell ref="A2:A3"/>
    <mergeCell ref="B2:C2"/>
    <mergeCell ref="D2:E2"/>
    <mergeCell ref="F2:G2"/>
    <mergeCell ref="H2:I2"/>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13"/>
  <sheetViews>
    <sheetView zoomScaleNormal="100" workbookViewId="0">
      <selection activeCell="G24" sqref="G24"/>
    </sheetView>
  </sheetViews>
  <sheetFormatPr defaultRowHeight="12.75" x14ac:dyDescent="0.2"/>
  <cols>
    <col min="1" max="1" width="10.7109375" bestFit="1" customWidth="1"/>
    <col min="2" max="13" width="14.7109375" bestFit="1" customWidth="1"/>
    <col min="14" max="14" width="4.7109375" bestFit="1" customWidth="1"/>
  </cols>
  <sheetData>
    <row r="1" spans="1:13" x14ac:dyDescent="0.2">
      <c r="A1" s="863" t="s">
        <v>121</v>
      </c>
      <c r="B1" s="863"/>
      <c r="C1" s="863"/>
      <c r="D1" s="863"/>
      <c r="E1" s="863"/>
      <c r="F1" s="863"/>
      <c r="G1" s="863"/>
      <c r="H1" s="863"/>
      <c r="I1" s="863"/>
      <c r="J1" s="863"/>
      <c r="K1" s="863"/>
      <c r="L1" s="863"/>
      <c r="M1" s="863"/>
    </row>
    <row r="2" spans="1:13" s="499" customFormat="1" x14ac:dyDescent="0.2">
      <c r="A2" s="875" t="s">
        <v>122</v>
      </c>
      <c r="B2" s="806" t="s">
        <v>123</v>
      </c>
      <c r="C2" s="877"/>
      <c r="D2" s="877"/>
      <c r="E2" s="877"/>
      <c r="F2" s="877"/>
      <c r="G2" s="877"/>
      <c r="H2" s="877"/>
      <c r="I2" s="807"/>
      <c r="J2" s="878" t="s">
        <v>124</v>
      </c>
      <c r="K2" s="879"/>
      <c r="L2" s="878" t="s">
        <v>67</v>
      </c>
      <c r="M2" s="879"/>
    </row>
    <row r="3" spans="1:13" s="499" customFormat="1" x14ac:dyDescent="0.2">
      <c r="A3" s="876"/>
      <c r="B3" s="806" t="s">
        <v>125</v>
      </c>
      <c r="C3" s="807"/>
      <c r="D3" s="806" t="s">
        <v>126</v>
      </c>
      <c r="E3" s="807"/>
      <c r="F3" s="806" t="s">
        <v>127</v>
      </c>
      <c r="G3" s="807"/>
      <c r="H3" s="806" t="s">
        <v>128</v>
      </c>
      <c r="I3" s="807"/>
      <c r="J3" s="880"/>
      <c r="K3" s="881"/>
      <c r="L3" s="880"/>
      <c r="M3" s="881"/>
    </row>
    <row r="4" spans="1:13" s="499" customFormat="1" ht="25.5" x14ac:dyDescent="0.2">
      <c r="A4" s="560" t="s">
        <v>129</v>
      </c>
      <c r="B4" s="561" t="s">
        <v>87</v>
      </c>
      <c r="C4" s="547" t="s">
        <v>88</v>
      </c>
      <c r="D4" s="561" t="s">
        <v>87</v>
      </c>
      <c r="E4" s="547" t="s">
        <v>130</v>
      </c>
      <c r="F4" s="561" t="s">
        <v>87</v>
      </c>
      <c r="G4" s="547" t="s">
        <v>130</v>
      </c>
      <c r="H4" s="561" t="s">
        <v>87</v>
      </c>
      <c r="I4" s="547" t="s">
        <v>130</v>
      </c>
      <c r="J4" s="561" t="s">
        <v>87</v>
      </c>
      <c r="K4" s="547" t="s">
        <v>130</v>
      </c>
      <c r="L4" s="561" t="s">
        <v>87</v>
      </c>
      <c r="M4" s="547" t="s">
        <v>130</v>
      </c>
    </row>
    <row r="5" spans="1:13" s="499" customFormat="1" x14ac:dyDescent="0.2">
      <c r="A5" s="502" t="s">
        <v>73</v>
      </c>
      <c r="B5" s="504">
        <v>315</v>
      </c>
      <c r="C5" s="549">
        <v>1895046.59</v>
      </c>
      <c r="D5" s="504">
        <v>308</v>
      </c>
      <c r="E5" s="549">
        <v>194418.72</v>
      </c>
      <c r="F5" s="504">
        <v>278</v>
      </c>
      <c r="G5" s="504">
        <v>40357.379999999997</v>
      </c>
      <c r="H5" s="504">
        <v>200</v>
      </c>
      <c r="I5" s="504">
        <v>31405.884999999998</v>
      </c>
      <c r="J5" s="504">
        <v>44</v>
      </c>
      <c r="K5" s="504">
        <v>10059.959999999999</v>
      </c>
      <c r="L5" s="504">
        <v>1145</v>
      </c>
      <c r="M5" s="549">
        <v>2171738.5350000001</v>
      </c>
    </row>
    <row r="6" spans="1:13" s="499" customFormat="1" x14ac:dyDescent="0.2">
      <c r="A6" s="481" t="s">
        <v>76</v>
      </c>
      <c r="B6" s="504">
        <f>SUM(B7:B9)</f>
        <v>46</v>
      </c>
      <c r="C6" s="504">
        <f>SUM(C7:C9)</f>
        <v>621726.32000000007</v>
      </c>
      <c r="D6" s="504">
        <f t="shared" ref="D6:M6" si="0">SUM(D7:D9)</f>
        <v>74</v>
      </c>
      <c r="E6" s="504">
        <f t="shared" si="0"/>
        <v>76956.23000000001</v>
      </c>
      <c r="F6" s="504">
        <f t="shared" si="0"/>
        <v>48</v>
      </c>
      <c r="G6" s="504">
        <f t="shared" si="0"/>
        <v>12531.380000000001</v>
      </c>
      <c r="H6" s="504">
        <f t="shared" si="0"/>
        <v>18</v>
      </c>
      <c r="I6" s="504">
        <f t="shared" si="0"/>
        <v>2531.19</v>
      </c>
      <c r="J6" s="504">
        <f t="shared" si="0"/>
        <v>3</v>
      </c>
      <c r="K6" s="504">
        <f t="shared" si="0"/>
        <v>635</v>
      </c>
      <c r="L6" s="504">
        <f t="shared" si="0"/>
        <v>189</v>
      </c>
      <c r="M6" s="504">
        <f t="shared" si="0"/>
        <v>714380.12</v>
      </c>
    </row>
    <row r="7" spans="1:13" s="499" customFormat="1" x14ac:dyDescent="0.2">
      <c r="A7" s="502" t="s">
        <v>75</v>
      </c>
      <c r="B7" s="504">
        <v>25</v>
      </c>
      <c r="C7" s="549">
        <v>540951.9</v>
      </c>
      <c r="D7" s="504">
        <v>28</v>
      </c>
      <c r="E7" s="504">
        <v>52120.9</v>
      </c>
      <c r="F7" s="504">
        <v>11</v>
      </c>
      <c r="G7" s="504">
        <v>5075</v>
      </c>
      <c r="H7" s="504">
        <v>5</v>
      </c>
      <c r="I7" s="504">
        <v>1630.19</v>
      </c>
      <c r="J7" s="504">
        <v>2</v>
      </c>
      <c r="K7" s="504">
        <v>535</v>
      </c>
      <c r="L7" s="504">
        <f>J7+H7+F7+D7+B7</f>
        <v>71</v>
      </c>
      <c r="M7" s="504">
        <f>K7+I7+G7+E7+C7</f>
        <v>600312.99</v>
      </c>
    </row>
    <row r="8" spans="1:13" s="499" customFormat="1" x14ac:dyDescent="0.2">
      <c r="A8" s="502" t="s">
        <v>74</v>
      </c>
      <c r="B8" s="504">
        <v>17</v>
      </c>
      <c r="C8" s="504">
        <v>76524.42</v>
      </c>
      <c r="D8" s="504">
        <v>38</v>
      </c>
      <c r="E8" s="504">
        <v>19249.330000000002</v>
      </c>
      <c r="F8" s="504">
        <v>21</v>
      </c>
      <c r="G8" s="504">
        <v>5426.38</v>
      </c>
      <c r="H8" s="504">
        <v>7</v>
      </c>
      <c r="I8" s="504">
        <v>620</v>
      </c>
      <c r="J8" s="504">
        <v>1</v>
      </c>
      <c r="K8" s="504">
        <v>100</v>
      </c>
      <c r="L8" s="504">
        <f t="shared" ref="L8:L9" si="1">J8+H8+F8+D8+B8</f>
        <v>84</v>
      </c>
      <c r="M8" s="504">
        <f t="shared" ref="M8:M9" si="2">K8+I8+G8+E8+C8</f>
        <v>101920.13</v>
      </c>
    </row>
    <row r="9" spans="1:13" s="499" customFormat="1" x14ac:dyDescent="0.2">
      <c r="A9" s="502" t="s">
        <v>849</v>
      </c>
      <c r="B9" s="504">
        <v>4</v>
      </c>
      <c r="C9" s="504">
        <v>4250</v>
      </c>
      <c r="D9" s="504">
        <v>8</v>
      </c>
      <c r="E9" s="504">
        <v>5586</v>
      </c>
      <c r="F9" s="504">
        <v>16</v>
      </c>
      <c r="G9" s="504">
        <v>2030</v>
      </c>
      <c r="H9" s="504">
        <v>6</v>
      </c>
      <c r="I9" s="504">
        <v>281</v>
      </c>
      <c r="J9" s="504">
        <v>0</v>
      </c>
      <c r="K9" s="504">
        <v>0</v>
      </c>
      <c r="L9" s="504">
        <f t="shared" si="1"/>
        <v>34</v>
      </c>
      <c r="M9" s="504">
        <f t="shared" si="2"/>
        <v>12147</v>
      </c>
    </row>
    <row r="10" spans="1:13" s="499" customFormat="1" x14ac:dyDescent="0.2">
      <c r="A10" s="438" t="s">
        <v>1083</v>
      </c>
      <c r="B10" s="437"/>
      <c r="C10" s="437"/>
      <c r="D10" s="437"/>
      <c r="E10" s="437"/>
      <c r="F10" s="437"/>
      <c r="G10" s="437"/>
      <c r="H10" s="437"/>
      <c r="I10" s="437"/>
      <c r="J10" s="437"/>
      <c r="K10" s="437"/>
      <c r="L10" s="437"/>
      <c r="M10" s="437"/>
    </row>
    <row r="11" spans="1:13" s="499" customFormat="1" ht="12" x14ac:dyDescent="0.2">
      <c r="A11" s="786" t="s">
        <v>842</v>
      </c>
      <c r="B11" s="786"/>
      <c r="C11" s="786"/>
      <c r="D11" s="786"/>
      <c r="E11" s="786"/>
      <c r="F11" s="786"/>
    </row>
    <row r="12" spans="1:13" s="499" customFormat="1" ht="12" x14ac:dyDescent="0.2">
      <c r="A12" s="797" t="s">
        <v>131</v>
      </c>
      <c r="B12" s="797"/>
      <c r="C12" s="797"/>
      <c r="D12" s="797"/>
      <c r="E12" s="797"/>
      <c r="F12" s="797"/>
    </row>
    <row r="13" spans="1:13" s="499" customFormat="1" ht="8.25" x14ac:dyDescent="0.2"/>
  </sheetData>
  <mergeCells count="11">
    <mergeCell ref="F3:G3"/>
    <mergeCell ref="H3:I3"/>
    <mergeCell ref="A12:F12"/>
    <mergeCell ref="A11:F11"/>
    <mergeCell ref="A1:M1"/>
    <mergeCell ref="A2:A3"/>
    <mergeCell ref="B2:I2"/>
    <mergeCell ref="J2:K3"/>
    <mergeCell ref="L2:M3"/>
    <mergeCell ref="B3:C3"/>
    <mergeCell ref="D3:E3"/>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12"/>
  <sheetViews>
    <sheetView zoomScaleNormal="100" workbookViewId="0">
      <selection activeCell="F34" sqref="F34"/>
    </sheetView>
  </sheetViews>
  <sheetFormatPr defaultRowHeight="12.75" x14ac:dyDescent="0.2"/>
  <cols>
    <col min="1" max="13" width="14.7109375" bestFit="1" customWidth="1"/>
    <col min="14" max="14" width="5.28515625" bestFit="1" customWidth="1"/>
  </cols>
  <sheetData>
    <row r="1" spans="1:13" x14ac:dyDescent="0.2">
      <c r="A1" s="868" t="s">
        <v>132</v>
      </c>
      <c r="B1" s="868"/>
      <c r="C1" s="868"/>
      <c r="D1" s="868"/>
      <c r="E1" s="868"/>
      <c r="F1" s="868"/>
      <c r="G1" s="868"/>
      <c r="H1" s="868"/>
      <c r="I1" s="868"/>
      <c r="J1" s="868"/>
      <c r="K1" s="868"/>
      <c r="L1" s="868"/>
      <c r="M1" s="868"/>
    </row>
    <row r="2" spans="1:13" s="404" customFormat="1" x14ac:dyDescent="0.2">
      <c r="A2" s="562" t="s">
        <v>122</v>
      </c>
      <c r="B2" s="882" t="s">
        <v>133</v>
      </c>
      <c r="C2" s="883"/>
      <c r="D2" s="882" t="s">
        <v>134</v>
      </c>
      <c r="E2" s="883"/>
      <c r="F2" s="882" t="s">
        <v>135</v>
      </c>
      <c r="G2" s="883"/>
      <c r="H2" s="884" t="s">
        <v>136</v>
      </c>
      <c r="I2" s="885"/>
      <c r="J2" s="882" t="s">
        <v>137</v>
      </c>
      <c r="K2" s="883"/>
      <c r="L2" s="882" t="s">
        <v>67</v>
      </c>
      <c r="M2" s="883"/>
    </row>
    <row r="3" spans="1:13" s="404" customFormat="1" ht="25.5" x14ac:dyDescent="0.2">
      <c r="A3" s="563" t="s">
        <v>129</v>
      </c>
      <c r="B3" s="564" t="s">
        <v>87</v>
      </c>
      <c r="C3" s="565" t="s">
        <v>92</v>
      </c>
      <c r="D3" s="564" t="s">
        <v>87</v>
      </c>
      <c r="E3" s="565" t="s">
        <v>92</v>
      </c>
      <c r="F3" s="564" t="s">
        <v>87</v>
      </c>
      <c r="G3" s="565" t="s">
        <v>92</v>
      </c>
      <c r="H3" s="564" t="s">
        <v>87</v>
      </c>
      <c r="I3" s="565" t="s">
        <v>92</v>
      </c>
      <c r="J3" s="564" t="s">
        <v>87</v>
      </c>
      <c r="K3" s="565" t="s">
        <v>92</v>
      </c>
      <c r="L3" s="564" t="s">
        <v>87</v>
      </c>
      <c r="M3" s="565" t="s">
        <v>92</v>
      </c>
    </row>
    <row r="4" spans="1:13" s="404" customFormat="1" x14ac:dyDescent="0.2">
      <c r="A4" s="481" t="s">
        <v>73</v>
      </c>
      <c r="B4" s="566">
        <v>252</v>
      </c>
      <c r="C4" s="566">
        <v>75088.09</v>
      </c>
      <c r="D4" s="567">
        <v>1689</v>
      </c>
      <c r="E4" s="568">
        <v>1854100.55</v>
      </c>
      <c r="F4" s="566">
        <v>4425</v>
      </c>
      <c r="G4" s="568">
        <v>9132486.0999999996</v>
      </c>
      <c r="H4" s="566">
        <v>768</v>
      </c>
      <c r="I4" s="568">
        <v>739873.1</v>
      </c>
      <c r="J4" s="566">
        <v>1193</v>
      </c>
      <c r="K4" s="568">
        <v>580065.56999999995</v>
      </c>
      <c r="L4" s="566">
        <v>8184</v>
      </c>
      <c r="M4" s="569">
        <v>12225936.51</v>
      </c>
    </row>
    <row r="5" spans="1:13" s="404" customFormat="1" x14ac:dyDescent="0.2">
      <c r="A5" s="481" t="s">
        <v>76</v>
      </c>
      <c r="B5" s="566">
        <f>SUM(B6:B8)</f>
        <v>8</v>
      </c>
      <c r="C5" s="566">
        <f t="shared" ref="C5:M5" si="0">SUM(C6:C8)</f>
        <v>636.03</v>
      </c>
      <c r="D5" s="566">
        <f t="shared" si="0"/>
        <v>173</v>
      </c>
      <c r="E5" s="566">
        <f t="shared" si="0"/>
        <v>79025.299999999988</v>
      </c>
      <c r="F5" s="566">
        <f t="shared" si="0"/>
        <v>919</v>
      </c>
      <c r="G5" s="566">
        <f t="shared" si="0"/>
        <v>3061138.64</v>
      </c>
      <c r="H5" s="566">
        <f t="shared" si="0"/>
        <v>75</v>
      </c>
      <c r="I5" s="566">
        <f t="shared" si="0"/>
        <v>64772.9</v>
      </c>
      <c r="J5" s="566">
        <f t="shared" si="0"/>
        <v>288</v>
      </c>
      <c r="K5" s="566">
        <f t="shared" si="0"/>
        <v>581552.03</v>
      </c>
      <c r="L5" s="566">
        <f t="shared" si="0"/>
        <v>1463</v>
      </c>
      <c r="M5" s="566">
        <f t="shared" si="0"/>
        <v>3787124.8999999994</v>
      </c>
    </row>
    <row r="6" spans="1:13" s="404" customFormat="1" x14ac:dyDescent="0.2">
      <c r="A6" s="481" t="s">
        <v>75</v>
      </c>
      <c r="B6" s="566">
        <v>4</v>
      </c>
      <c r="C6" s="566">
        <v>598.4</v>
      </c>
      <c r="D6" s="567">
        <v>78</v>
      </c>
      <c r="E6" s="566">
        <v>18083.34</v>
      </c>
      <c r="F6" s="566">
        <v>335</v>
      </c>
      <c r="G6" s="568">
        <v>1772609.63</v>
      </c>
      <c r="H6" s="566">
        <v>46</v>
      </c>
      <c r="I6" s="566">
        <v>24584.43</v>
      </c>
      <c r="J6" s="566">
        <v>181</v>
      </c>
      <c r="K6" s="568">
        <v>514291.99</v>
      </c>
      <c r="L6" s="504">
        <f>J6+H6+F6+D6+B6</f>
        <v>644</v>
      </c>
      <c r="M6" s="504">
        <f>K6+I6+G6+E6+C6</f>
        <v>2330167.7899999996</v>
      </c>
    </row>
    <row r="7" spans="1:13" s="404" customFormat="1" x14ac:dyDescent="0.2">
      <c r="A7" s="481" t="s">
        <v>74</v>
      </c>
      <c r="B7" s="566">
        <v>4</v>
      </c>
      <c r="C7" s="566">
        <v>37.630000000000003</v>
      </c>
      <c r="D7" s="567">
        <v>85</v>
      </c>
      <c r="E7" s="566">
        <v>57246.42</v>
      </c>
      <c r="F7" s="566">
        <v>493</v>
      </c>
      <c r="G7" s="568">
        <v>1201121.33</v>
      </c>
      <c r="H7" s="566">
        <v>29</v>
      </c>
      <c r="I7" s="566">
        <v>40188.47</v>
      </c>
      <c r="J7" s="566">
        <v>82</v>
      </c>
      <c r="K7" s="566">
        <v>42963.5</v>
      </c>
      <c r="L7" s="504">
        <f t="shared" ref="L7:L8" si="1">J7+H7+F7+D7+B7</f>
        <v>693</v>
      </c>
      <c r="M7" s="504">
        <f t="shared" ref="M7:M8" si="2">K7+I7+G7+E7+C7</f>
        <v>1341557.3499999999</v>
      </c>
    </row>
    <row r="8" spans="1:13" s="404" customFormat="1" x14ac:dyDescent="0.2">
      <c r="A8" s="481" t="s">
        <v>849</v>
      </c>
      <c r="B8" s="566">
        <v>0</v>
      </c>
      <c r="C8" s="566">
        <v>0</v>
      </c>
      <c r="D8" s="567">
        <v>10</v>
      </c>
      <c r="E8" s="566">
        <v>3695.54</v>
      </c>
      <c r="F8" s="566">
        <v>91</v>
      </c>
      <c r="G8" s="568">
        <v>87407.679999999993</v>
      </c>
      <c r="H8" s="566">
        <v>0</v>
      </c>
      <c r="I8" s="566">
        <v>0</v>
      </c>
      <c r="J8" s="566">
        <v>25</v>
      </c>
      <c r="K8" s="566">
        <v>24296.54</v>
      </c>
      <c r="L8" s="504">
        <f t="shared" si="1"/>
        <v>126</v>
      </c>
      <c r="M8" s="504">
        <f t="shared" si="2"/>
        <v>115399.76</v>
      </c>
    </row>
    <row r="9" spans="1:13" s="404" customFormat="1" x14ac:dyDescent="0.2">
      <c r="A9" s="438" t="s">
        <v>1083</v>
      </c>
      <c r="B9" s="434"/>
      <c r="C9" s="434"/>
      <c r="D9" s="435"/>
      <c r="E9" s="434"/>
      <c r="F9" s="434"/>
      <c r="G9" s="436"/>
      <c r="H9" s="434"/>
      <c r="I9" s="434"/>
      <c r="J9" s="434"/>
      <c r="K9" s="434"/>
      <c r="L9" s="437"/>
      <c r="M9" s="437"/>
    </row>
    <row r="10" spans="1:13" s="404" customFormat="1" ht="12" x14ac:dyDescent="0.2">
      <c r="A10" s="786" t="s">
        <v>842</v>
      </c>
      <c r="B10" s="786"/>
      <c r="C10" s="786"/>
      <c r="D10" s="786"/>
      <c r="E10" s="786"/>
      <c r="F10" s="786"/>
      <c r="G10" s="786"/>
      <c r="H10" s="786"/>
      <c r="I10" s="786"/>
      <c r="J10" s="786"/>
      <c r="K10" s="786"/>
      <c r="L10" s="786"/>
      <c r="M10" s="786"/>
    </row>
    <row r="11" spans="1:13" s="404" customFormat="1" ht="12" x14ac:dyDescent="0.2">
      <c r="A11" s="787" t="s">
        <v>131</v>
      </c>
      <c r="B11" s="787"/>
      <c r="C11" s="787"/>
      <c r="D11" s="787"/>
      <c r="E11" s="787"/>
      <c r="F11" s="787"/>
      <c r="G11" s="787"/>
      <c r="H11" s="787"/>
      <c r="I11" s="787"/>
      <c r="J11" s="787"/>
      <c r="K11" s="787"/>
      <c r="L11" s="787"/>
      <c r="M11" s="787"/>
    </row>
    <row r="12" spans="1:13" s="404" customFormat="1" ht="8.25" x14ac:dyDescent="0.2"/>
  </sheetData>
  <mergeCells count="9">
    <mergeCell ref="A11:M11"/>
    <mergeCell ref="A10:M10"/>
    <mergeCell ref="A1:M1"/>
    <mergeCell ref="B2:C2"/>
    <mergeCell ref="D2:E2"/>
    <mergeCell ref="F2:G2"/>
    <mergeCell ref="H2:I2"/>
    <mergeCell ref="J2:K2"/>
    <mergeCell ref="L2:M2"/>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9"/>
  <sheetViews>
    <sheetView zoomScaleNormal="100" workbookViewId="0">
      <selection sqref="A1:E1"/>
    </sheetView>
  </sheetViews>
  <sheetFormatPr defaultRowHeight="12.75" x14ac:dyDescent="0.2"/>
  <cols>
    <col min="1" max="4" width="14.7109375" bestFit="1" customWidth="1"/>
    <col min="5" max="5" width="24.140625" bestFit="1" customWidth="1"/>
    <col min="6" max="6" width="4.7109375" bestFit="1" customWidth="1"/>
  </cols>
  <sheetData>
    <row r="1" spans="1:5" ht="35.25" customHeight="1" x14ac:dyDescent="0.2">
      <c r="A1" s="886" t="s">
        <v>853</v>
      </c>
      <c r="B1" s="886"/>
      <c r="C1" s="886"/>
      <c r="D1" s="886"/>
      <c r="E1" s="886"/>
    </row>
    <row r="2" spans="1:5" s="204" customFormat="1" ht="18" customHeight="1" x14ac:dyDescent="0.2">
      <c r="A2" s="212" t="s">
        <v>138</v>
      </c>
      <c r="B2" s="239" t="s">
        <v>849</v>
      </c>
      <c r="C2" s="239" t="s">
        <v>73</v>
      </c>
      <c r="D2" s="239" t="s">
        <v>76</v>
      </c>
    </row>
    <row r="3" spans="1:5" s="204" customFormat="1" ht="18" customHeight="1" x14ac:dyDescent="0.2">
      <c r="A3" s="240" t="s">
        <v>116</v>
      </c>
      <c r="B3" s="241">
        <v>110192.7</v>
      </c>
      <c r="C3" s="241">
        <v>660896.02</v>
      </c>
      <c r="D3" s="241">
        <v>219688.03</v>
      </c>
    </row>
    <row r="4" spans="1:5" s="204" customFormat="1" ht="18" customHeight="1" x14ac:dyDescent="0.2">
      <c r="A4" s="240" t="s">
        <v>118</v>
      </c>
      <c r="B4" s="214">
        <v>0.70960880000000004</v>
      </c>
      <c r="C4" s="214">
        <v>27.988247170000001</v>
      </c>
      <c r="D4" s="214">
        <v>1.4016648</v>
      </c>
    </row>
    <row r="5" spans="1:5" s="204" customFormat="1" ht="18" customHeight="1" x14ac:dyDescent="0.2">
      <c r="A5" s="240" t="s">
        <v>117</v>
      </c>
      <c r="B5" s="241">
        <v>1350680.7239999999</v>
      </c>
      <c r="C5" s="241">
        <v>8998811.0710000005</v>
      </c>
      <c r="D5" s="241">
        <v>3256939.4240000001</v>
      </c>
    </row>
    <row r="6" spans="1:5" s="204" customFormat="1" ht="18" customHeight="1" x14ac:dyDescent="0.2">
      <c r="A6" s="439" t="s">
        <v>1083</v>
      </c>
      <c r="B6" s="415"/>
      <c r="C6" s="415"/>
      <c r="D6" s="415"/>
    </row>
    <row r="7" spans="1:5" s="204" customFormat="1" ht="18" customHeight="1" x14ac:dyDescent="0.2">
      <c r="A7" s="888" t="s">
        <v>842</v>
      </c>
      <c r="B7" s="888"/>
      <c r="C7" s="888"/>
      <c r="D7" s="888"/>
    </row>
    <row r="8" spans="1:5" s="204" customFormat="1" ht="18.75" customHeight="1" x14ac:dyDescent="0.2">
      <c r="A8" s="887" t="s">
        <v>110</v>
      </c>
      <c r="B8" s="887"/>
      <c r="C8" s="887"/>
      <c r="D8" s="887"/>
    </row>
    <row r="9" spans="1:5" s="204" customFormat="1" ht="28.35" customHeight="1" x14ac:dyDescent="0.2"/>
  </sheetData>
  <mergeCells count="3">
    <mergeCell ref="A1:E1"/>
    <mergeCell ref="A8:D8"/>
    <mergeCell ref="A7:D7"/>
  </mergeCells>
  <pageMargins left="0.78431372549019618" right="0.78431372549019618" top="0.98039215686274517" bottom="0.98039215686274517" header="0.50980392156862753" footer="0.50980392156862753"/>
  <pageSetup paperSize="9" orientation="portrait" useFirstPageNumber="1"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15"/>
  <sheetViews>
    <sheetView zoomScaleNormal="100" workbookViewId="0">
      <selection activeCell="G21" sqref="G21"/>
    </sheetView>
  </sheetViews>
  <sheetFormatPr defaultRowHeight="12.75" x14ac:dyDescent="0.2"/>
  <cols>
    <col min="1" max="12" width="14.7109375" bestFit="1" customWidth="1"/>
    <col min="13" max="13" width="14" bestFit="1" customWidth="1"/>
    <col min="14" max="16" width="14.7109375" bestFit="1" customWidth="1"/>
    <col min="17" max="17" width="0.42578125" bestFit="1" customWidth="1"/>
    <col min="18" max="18" width="4.7109375" bestFit="1" customWidth="1"/>
  </cols>
  <sheetData>
    <row r="1" spans="1:17" ht="18.75" customHeight="1" x14ac:dyDescent="0.2">
      <c r="A1" s="891" t="s">
        <v>139</v>
      </c>
      <c r="B1" s="891"/>
      <c r="C1" s="891"/>
      <c r="D1" s="891"/>
      <c r="E1" s="891"/>
      <c r="F1" s="891"/>
      <c r="G1" s="891"/>
      <c r="H1" s="891"/>
      <c r="I1" s="891"/>
      <c r="J1" s="891"/>
      <c r="K1" s="891"/>
      <c r="L1" s="891"/>
      <c r="M1" s="891"/>
      <c r="N1" s="891"/>
      <c r="O1" s="891"/>
      <c r="P1" s="891"/>
      <c r="Q1" s="891"/>
    </row>
    <row r="2" spans="1:17" s="204" customFormat="1" ht="18" customHeight="1" x14ac:dyDescent="0.2">
      <c r="A2" s="892" t="s">
        <v>65</v>
      </c>
      <c r="B2" s="892" t="s">
        <v>140</v>
      </c>
      <c r="C2" s="894" t="s">
        <v>914</v>
      </c>
      <c r="D2" s="892" t="s">
        <v>141</v>
      </c>
      <c r="E2" s="892" t="s">
        <v>142</v>
      </c>
      <c r="F2" s="892" t="s">
        <v>1053</v>
      </c>
      <c r="G2" s="892" t="s">
        <v>1054</v>
      </c>
      <c r="H2" s="889" t="s">
        <v>143</v>
      </c>
      <c r="I2" s="889" t="s">
        <v>144</v>
      </c>
      <c r="J2" s="889" t="s">
        <v>145</v>
      </c>
      <c r="K2" s="892" t="s">
        <v>1055</v>
      </c>
      <c r="L2" s="889" t="s">
        <v>146</v>
      </c>
      <c r="M2" s="889" t="s">
        <v>147</v>
      </c>
      <c r="N2" s="896" t="s">
        <v>148</v>
      </c>
      <c r="O2" s="897"/>
      <c r="P2" s="898"/>
    </row>
    <row r="3" spans="1:17" s="204" customFormat="1" ht="21.75" customHeight="1" x14ac:dyDescent="0.2">
      <c r="A3" s="893"/>
      <c r="B3" s="893"/>
      <c r="C3" s="895"/>
      <c r="D3" s="893"/>
      <c r="E3" s="893"/>
      <c r="F3" s="893"/>
      <c r="G3" s="893"/>
      <c r="H3" s="890"/>
      <c r="I3" s="890"/>
      <c r="J3" s="890"/>
      <c r="K3" s="893"/>
      <c r="L3" s="890"/>
      <c r="M3" s="890"/>
      <c r="N3" s="242" t="s">
        <v>149</v>
      </c>
      <c r="O3" s="242" t="s">
        <v>150</v>
      </c>
      <c r="P3" s="242" t="s">
        <v>151</v>
      </c>
    </row>
    <row r="4" spans="1:17" s="204" customFormat="1" ht="18" customHeight="1" x14ac:dyDescent="0.2">
      <c r="A4" s="213" t="s">
        <v>73</v>
      </c>
      <c r="B4" s="214">
        <v>5377</v>
      </c>
      <c r="C4" s="214">
        <v>36</v>
      </c>
      <c r="D4" s="214">
        <v>4089</v>
      </c>
      <c r="E4" s="215">
        <v>247</v>
      </c>
      <c r="F4" s="214">
        <v>3247.6</v>
      </c>
      <c r="G4" s="241">
        <v>573547.84</v>
      </c>
      <c r="H4" s="241">
        <v>660896.02</v>
      </c>
      <c r="I4" s="214">
        <v>2675.6923886640002</v>
      </c>
      <c r="J4" s="214">
        <v>20350.290060351999</v>
      </c>
      <c r="K4" s="241">
        <v>573547.84</v>
      </c>
      <c r="L4" s="241">
        <v>660895.9</v>
      </c>
      <c r="M4" s="243">
        <v>11348756.59</v>
      </c>
      <c r="N4" s="214">
        <v>42273.87</v>
      </c>
      <c r="O4" s="214">
        <v>25638.9</v>
      </c>
      <c r="P4" s="214">
        <v>29468.49</v>
      </c>
    </row>
    <row r="5" spans="1:17" s="204" customFormat="1" ht="18" customHeight="1" x14ac:dyDescent="0.2">
      <c r="A5" s="213" t="s">
        <v>76</v>
      </c>
      <c r="B5" s="214">
        <v>5377</v>
      </c>
      <c r="C5" s="214">
        <v>28</v>
      </c>
      <c r="D5" s="214">
        <v>3607</v>
      </c>
      <c r="E5" s="215">
        <v>59</v>
      </c>
      <c r="F5" s="214">
        <v>1219.22</v>
      </c>
      <c r="G5" s="241">
        <v>197953.32</v>
      </c>
      <c r="H5" s="241">
        <v>219688.03</v>
      </c>
      <c r="I5" s="214">
        <v>3723.5259322030001</v>
      </c>
      <c r="J5" s="214">
        <v>18018.735749085001</v>
      </c>
      <c r="K5" s="241">
        <v>197953.32</v>
      </c>
      <c r="L5" s="241">
        <v>219687.98</v>
      </c>
      <c r="M5" s="243">
        <v>13915689.83</v>
      </c>
      <c r="N5" s="214">
        <v>35706.550000000003</v>
      </c>
      <c r="O5" s="214">
        <v>27500.79</v>
      </c>
      <c r="P5" s="214">
        <v>34915.800000000003</v>
      </c>
    </row>
    <row r="6" spans="1:17" s="204" customFormat="1" ht="18" customHeight="1" x14ac:dyDescent="0.2">
      <c r="A6" s="213" t="s">
        <v>75</v>
      </c>
      <c r="B6" s="214">
        <v>5380</v>
      </c>
      <c r="C6" s="214">
        <v>36</v>
      </c>
      <c r="D6" s="214">
        <v>3352</v>
      </c>
      <c r="E6" s="215">
        <v>18</v>
      </c>
      <c r="F6" s="214">
        <v>349.14</v>
      </c>
      <c r="G6" s="214">
        <v>38886.06</v>
      </c>
      <c r="H6" s="214">
        <v>44476.34</v>
      </c>
      <c r="I6" s="214">
        <v>2470.9077779999998</v>
      </c>
      <c r="J6" s="214">
        <v>12738.82683</v>
      </c>
      <c r="K6" s="214">
        <v>38886.06</v>
      </c>
      <c r="L6" s="214">
        <v>44476.34</v>
      </c>
      <c r="M6" s="243">
        <v>12941620.82</v>
      </c>
      <c r="N6" s="214">
        <v>33887.25</v>
      </c>
      <c r="O6" s="214">
        <v>27500.79</v>
      </c>
      <c r="P6" s="214">
        <v>33717.620000000003</v>
      </c>
    </row>
    <row r="7" spans="1:17" s="204" customFormat="1" ht="18" customHeight="1" x14ac:dyDescent="0.2">
      <c r="A7" s="213" t="s">
        <v>74</v>
      </c>
      <c r="B7" s="214">
        <v>5369</v>
      </c>
      <c r="C7" s="214">
        <v>36</v>
      </c>
      <c r="D7" s="214">
        <v>3303</v>
      </c>
      <c r="E7" s="215">
        <v>19</v>
      </c>
      <c r="F7" s="214">
        <v>314.3</v>
      </c>
      <c r="G7" s="214">
        <v>50830.89</v>
      </c>
      <c r="H7" s="214">
        <v>65018.99</v>
      </c>
      <c r="I7" s="214">
        <v>3422.0521052630002</v>
      </c>
      <c r="J7" s="214">
        <v>20686.920139993999</v>
      </c>
      <c r="K7" s="214">
        <v>50830.89</v>
      </c>
      <c r="L7" s="214">
        <v>65018.97</v>
      </c>
      <c r="M7" s="243">
        <v>12706528.939999999</v>
      </c>
      <c r="N7" s="214">
        <v>32845.480000000003</v>
      </c>
      <c r="O7" s="214">
        <v>29968.45</v>
      </c>
      <c r="P7" s="214">
        <v>32424.1</v>
      </c>
    </row>
    <row r="8" spans="1:17" s="204" customFormat="1" ht="18" customHeight="1" x14ac:dyDescent="0.2">
      <c r="A8" s="213" t="s">
        <v>849</v>
      </c>
      <c r="B8" s="214">
        <v>5377</v>
      </c>
      <c r="C8" s="214">
        <v>28</v>
      </c>
      <c r="D8" s="214">
        <v>3481</v>
      </c>
      <c r="E8" s="215">
        <v>22</v>
      </c>
      <c r="F8" s="214">
        <v>555.78</v>
      </c>
      <c r="G8" s="241">
        <v>108236.37</v>
      </c>
      <c r="H8" s="241">
        <v>110192.7</v>
      </c>
      <c r="I8" s="214">
        <v>5008.7590909090004</v>
      </c>
      <c r="J8" s="214">
        <v>19826.676022887001</v>
      </c>
      <c r="K8" s="241">
        <v>108236.37</v>
      </c>
      <c r="L8" s="241">
        <v>110192.67</v>
      </c>
      <c r="M8" s="243">
        <v>13915689.83</v>
      </c>
      <c r="N8" s="214">
        <v>35706.550000000003</v>
      </c>
      <c r="O8" s="214">
        <v>32348.1</v>
      </c>
      <c r="P8" s="214">
        <v>34915.800000000003</v>
      </c>
    </row>
    <row r="9" spans="1:17" s="204" customFormat="1" ht="18" customHeight="1" x14ac:dyDescent="0.2">
      <c r="A9" s="429" t="s">
        <v>1083</v>
      </c>
      <c r="B9" s="414"/>
      <c r="C9" s="414"/>
      <c r="D9" s="414"/>
      <c r="E9" s="428"/>
      <c r="F9" s="414"/>
      <c r="G9" s="415"/>
      <c r="H9" s="415"/>
      <c r="I9" s="414"/>
      <c r="J9" s="414"/>
      <c r="K9" s="415"/>
      <c r="L9" s="415"/>
      <c r="M9" s="440"/>
      <c r="N9" s="414"/>
      <c r="O9" s="414"/>
      <c r="P9" s="414"/>
    </row>
    <row r="10" spans="1:17" s="204" customFormat="1" ht="18" customHeight="1" x14ac:dyDescent="0.2">
      <c r="A10" s="888" t="s">
        <v>842</v>
      </c>
      <c r="B10" s="888"/>
      <c r="C10" s="888"/>
      <c r="D10" s="888"/>
      <c r="E10" s="888"/>
      <c r="F10" s="888"/>
      <c r="G10" s="888"/>
      <c r="H10" s="888"/>
    </row>
    <row r="11" spans="1:17" s="204" customFormat="1" ht="19.5" customHeight="1" x14ac:dyDescent="0.2">
      <c r="A11" s="887" t="s">
        <v>152</v>
      </c>
      <c r="B11" s="887"/>
      <c r="C11" s="887"/>
      <c r="D11" s="887"/>
      <c r="E11" s="887"/>
      <c r="F11" s="887"/>
      <c r="G11" s="887"/>
      <c r="H11" s="887"/>
    </row>
    <row r="12" spans="1:17" s="204" customFormat="1" ht="24.6" customHeight="1" x14ac:dyDescent="0.2"/>
    <row r="15" spans="1:17" x14ac:dyDescent="0.2">
      <c r="H15" s="403"/>
    </row>
  </sheetData>
  <mergeCells count="17">
    <mergeCell ref="N2:P2"/>
    <mergeCell ref="I2:I3"/>
    <mergeCell ref="A11:H11"/>
    <mergeCell ref="A10:H10"/>
    <mergeCell ref="A1:Q1"/>
    <mergeCell ref="A2:A3"/>
    <mergeCell ref="B2:B3"/>
    <mergeCell ref="C2:C3"/>
    <mergeCell ref="D2:D3"/>
    <mergeCell ref="E2:E3"/>
    <mergeCell ref="F2:F3"/>
    <mergeCell ref="G2:G3"/>
    <mergeCell ref="H2:H3"/>
    <mergeCell ref="J2:J3"/>
    <mergeCell ref="K2:K3"/>
    <mergeCell ref="L2:L3"/>
    <mergeCell ref="M2:M3"/>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13"/>
  <sheetViews>
    <sheetView zoomScaleNormal="100" workbookViewId="0">
      <selection activeCell="H23" sqref="H23"/>
    </sheetView>
  </sheetViews>
  <sheetFormatPr defaultRowHeight="12.75" x14ac:dyDescent="0.2"/>
  <cols>
    <col min="1" max="16" width="14.7109375" bestFit="1" customWidth="1"/>
    <col min="17" max="17" width="4.7109375" bestFit="1" customWidth="1"/>
  </cols>
  <sheetData>
    <row r="1" spans="1:16" ht="14.25" customHeight="1" x14ac:dyDescent="0.2">
      <c r="A1" s="891" t="s">
        <v>153</v>
      </c>
      <c r="B1" s="891"/>
      <c r="C1" s="891"/>
      <c r="D1" s="891"/>
      <c r="E1" s="891"/>
      <c r="F1" s="891"/>
      <c r="G1" s="891"/>
      <c r="H1" s="891"/>
      <c r="I1" s="891"/>
      <c r="J1" s="891"/>
      <c r="K1" s="891"/>
      <c r="L1" s="891"/>
      <c r="M1" s="891"/>
      <c r="N1" s="891"/>
      <c r="O1" s="891"/>
      <c r="P1" s="891"/>
    </row>
    <row r="2" spans="1:16" s="204" customFormat="1" ht="18.75" customHeight="1" x14ac:dyDescent="0.2">
      <c r="A2" s="906" t="s">
        <v>65</v>
      </c>
      <c r="B2" s="906" t="s">
        <v>140</v>
      </c>
      <c r="C2" s="810" t="s">
        <v>914</v>
      </c>
      <c r="D2" s="906" t="s">
        <v>141</v>
      </c>
      <c r="E2" s="906" t="s">
        <v>142</v>
      </c>
      <c r="F2" s="906" t="s">
        <v>1053</v>
      </c>
      <c r="G2" s="906" t="s">
        <v>1054</v>
      </c>
      <c r="H2" s="904" t="s">
        <v>143</v>
      </c>
      <c r="I2" s="904" t="s">
        <v>144</v>
      </c>
      <c r="J2" s="904" t="s">
        <v>145</v>
      </c>
      <c r="K2" s="906" t="s">
        <v>1055</v>
      </c>
      <c r="L2" s="904" t="s">
        <v>146</v>
      </c>
      <c r="M2" s="904" t="s">
        <v>147</v>
      </c>
      <c r="N2" s="900" t="s">
        <v>154</v>
      </c>
      <c r="O2" s="901"/>
      <c r="P2" s="902"/>
    </row>
    <row r="3" spans="1:16" s="204" customFormat="1" ht="39.75" customHeight="1" x14ac:dyDescent="0.2">
      <c r="A3" s="907"/>
      <c r="B3" s="907"/>
      <c r="C3" s="811"/>
      <c r="D3" s="907"/>
      <c r="E3" s="907"/>
      <c r="F3" s="907"/>
      <c r="G3" s="907"/>
      <c r="H3" s="905"/>
      <c r="I3" s="905"/>
      <c r="J3" s="905"/>
      <c r="K3" s="907"/>
      <c r="L3" s="905"/>
      <c r="M3" s="905"/>
      <c r="N3" s="205" t="s">
        <v>149</v>
      </c>
      <c r="O3" s="205" t="s">
        <v>150</v>
      </c>
      <c r="P3" s="205" t="s">
        <v>151</v>
      </c>
    </row>
    <row r="4" spans="1:16" s="204" customFormat="1" ht="18" customHeight="1" x14ac:dyDescent="0.2">
      <c r="A4" s="207" t="s">
        <v>73</v>
      </c>
      <c r="B4" s="208">
        <v>1949</v>
      </c>
      <c r="C4" s="208">
        <v>18</v>
      </c>
      <c r="D4" s="208">
        <v>1989</v>
      </c>
      <c r="E4" s="208">
        <v>247</v>
      </c>
      <c r="F4" s="209">
        <v>31459.712469999999</v>
      </c>
      <c r="G4" s="221">
        <v>4674056.682</v>
      </c>
      <c r="H4" s="221">
        <v>8998811.0710000005</v>
      </c>
      <c r="I4" s="209">
        <v>36432.43348</v>
      </c>
      <c r="J4" s="209">
        <v>28604.238130000002</v>
      </c>
      <c r="K4" s="221">
        <v>4674056.682</v>
      </c>
      <c r="L4" s="221">
        <v>8998811.0710000005</v>
      </c>
      <c r="M4" s="244">
        <v>11243111.77</v>
      </c>
      <c r="N4" s="209">
        <v>12430.5</v>
      </c>
      <c r="O4" s="209">
        <v>7511.1</v>
      </c>
      <c r="P4" s="209">
        <v>8597.75</v>
      </c>
    </row>
    <row r="5" spans="1:16" s="204" customFormat="1" ht="18" customHeight="1" x14ac:dyDescent="0.2">
      <c r="A5" s="207" t="s">
        <v>76</v>
      </c>
      <c r="B5" s="208">
        <v>1944</v>
      </c>
      <c r="C5" s="208">
        <v>18</v>
      </c>
      <c r="D5" s="208">
        <v>1902</v>
      </c>
      <c r="E5" s="208">
        <v>59</v>
      </c>
      <c r="F5" s="209">
        <v>11328.184569999999</v>
      </c>
      <c r="G5" s="221">
        <v>1766427.544</v>
      </c>
      <c r="H5" s="221">
        <v>3256939.4240000001</v>
      </c>
      <c r="I5" s="209">
        <v>55202.363120000002</v>
      </c>
      <c r="J5" s="209">
        <v>28750.762350000001</v>
      </c>
      <c r="K5" s="221">
        <v>1766427.544</v>
      </c>
      <c r="L5" s="221">
        <v>3256939.4240000001</v>
      </c>
      <c r="M5" s="244">
        <v>13804601.48</v>
      </c>
      <c r="N5" s="209">
        <v>10553.15</v>
      </c>
      <c r="O5" s="209">
        <v>8055.8</v>
      </c>
      <c r="P5" s="209">
        <v>10302.1</v>
      </c>
    </row>
    <row r="6" spans="1:16" s="204" customFormat="1" ht="18" customHeight="1" x14ac:dyDescent="0.2">
      <c r="A6" s="207" t="s">
        <v>75</v>
      </c>
      <c r="B6" s="208">
        <v>1949</v>
      </c>
      <c r="C6" s="208">
        <v>18</v>
      </c>
      <c r="D6" s="208">
        <v>1855</v>
      </c>
      <c r="E6" s="208">
        <v>18</v>
      </c>
      <c r="F6" s="209">
        <v>3606.19038</v>
      </c>
      <c r="G6" s="221">
        <v>427307.91</v>
      </c>
      <c r="H6" s="221">
        <v>905802.22</v>
      </c>
      <c r="I6" s="209">
        <v>50322.345560000002</v>
      </c>
      <c r="J6" s="209">
        <v>25117.98115</v>
      </c>
      <c r="K6" s="221">
        <v>427307.91</v>
      </c>
      <c r="L6" s="221">
        <v>905802.22</v>
      </c>
      <c r="M6" s="244">
        <v>12738625.880000001</v>
      </c>
      <c r="N6" s="209">
        <v>9889.0499999999993</v>
      </c>
      <c r="O6" s="209">
        <v>8055.8</v>
      </c>
      <c r="P6" s="209">
        <v>9859.9</v>
      </c>
    </row>
    <row r="7" spans="1:16" s="204" customFormat="1" ht="18" customHeight="1" x14ac:dyDescent="0.2">
      <c r="A7" s="207" t="s">
        <v>74</v>
      </c>
      <c r="B7" s="208">
        <v>1947</v>
      </c>
      <c r="C7" s="208">
        <v>18</v>
      </c>
      <c r="D7" s="208">
        <v>1854</v>
      </c>
      <c r="E7" s="208">
        <v>19</v>
      </c>
      <c r="F7" s="209">
        <v>3417.96702</v>
      </c>
      <c r="G7" s="221">
        <v>493359.26549999998</v>
      </c>
      <c r="H7" s="221">
        <v>1000456.48</v>
      </c>
      <c r="I7" s="209">
        <v>52655.604209999998</v>
      </c>
      <c r="J7" s="209">
        <v>29270.51297</v>
      </c>
      <c r="K7" s="221">
        <v>493359.26549999998</v>
      </c>
      <c r="L7" s="221">
        <v>1000456.48</v>
      </c>
      <c r="M7" s="244">
        <v>12516959.59</v>
      </c>
      <c r="N7" s="209">
        <v>9598.85</v>
      </c>
      <c r="O7" s="209">
        <v>8806.75</v>
      </c>
      <c r="P7" s="209">
        <v>9580.2999999999993</v>
      </c>
    </row>
    <row r="8" spans="1:16" s="204" customFormat="1" ht="18" customHeight="1" x14ac:dyDescent="0.2">
      <c r="A8" s="207" t="s">
        <v>849</v>
      </c>
      <c r="B8" s="208">
        <v>1944</v>
      </c>
      <c r="C8" s="208">
        <v>18</v>
      </c>
      <c r="D8" s="208">
        <v>1872</v>
      </c>
      <c r="E8" s="208">
        <v>22</v>
      </c>
      <c r="F8" s="209">
        <v>4304.0271700000003</v>
      </c>
      <c r="G8" s="221">
        <v>845760.36840000004</v>
      </c>
      <c r="H8" s="221">
        <v>1350680.7239999999</v>
      </c>
      <c r="I8" s="209">
        <v>61394.57836</v>
      </c>
      <c r="J8" s="209">
        <v>31381.788970000001</v>
      </c>
      <c r="K8" s="221">
        <v>845760.36840000004</v>
      </c>
      <c r="L8" s="221">
        <v>1350680.7239999999</v>
      </c>
      <c r="M8" s="244">
        <v>13804601.48</v>
      </c>
      <c r="N8" s="209">
        <v>10553.15</v>
      </c>
      <c r="O8" s="209">
        <v>9544.35</v>
      </c>
      <c r="P8" s="209">
        <v>10302.1</v>
      </c>
    </row>
    <row r="9" spans="1:16" s="204" customFormat="1" ht="18" customHeight="1" x14ac:dyDescent="0.2">
      <c r="A9" s="432" t="s">
        <v>1083</v>
      </c>
      <c r="B9" s="430"/>
      <c r="C9" s="430"/>
      <c r="D9" s="430"/>
      <c r="E9" s="430"/>
      <c r="F9" s="431"/>
      <c r="G9" s="433"/>
      <c r="H9" s="433"/>
      <c r="I9" s="431"/>
      <c r="J9" s="431"/>
      <c r="K9" s="433"/>
      <c r="L9" s="433"/>
      <c r="M9" s="441"/>
      <c r="N9" s="431"/>
      <c r="O9" s="431"/>
      <c r="P9" s="431"/>
    </row>
    <row r="10" spans="1:16" s="204" customFormat="1" ht="15" customHeight="1" x14ac:dyDescent="0.2">
      <c r="A10" s="903" t="s">
        <v>155</v>
      </c>
      <c r="B10" s="903"/>
      <c r="C10" s="903"/>
      <c r="D10" s="903"/>
      <c r="E10" s="903"/>
      <c r="F10" s="903"/>
      <c r="G10" s="903"/>
      <c r="H10" s="903"/>
    </row>
    <row r="11" spans="1:16" s="204" customFormat="1" ht="13.5" customHeight="1" x14ac:dyDescent="0.2">
      <c r="A11" s="903" t="s">
        <v>842</v>
      </c>
      <c r="B11" s="903"/>
      <c r="C11" s="903"/>
      <c r="D11" s="903"/>
      <c r="E11" s="903"/>
      <c r="F11" s="903"/>
      <c r="G11" s="903"/>
      <c r="H11" s="903"/>
    </row>
    <row r="12" spans="1:16" s="204" customFormat="1" ht="13.5" customHeight="1" x14ac:dyDescent="0.2">
      <c r="A12" s="899" t="s">
        <v>156</v>
      </c>
      <c r="B12" s="899"/>
      <c r="C12" s="899"/>
      <c r="D12" s="899"/>
      <c r="E12" s="899"/>
      <c r="F12" s="899"/>
      <c r="G12" s="899"/>
      <c r="H12" s="899"/>
    </row>
    <row r="13" spans="1:16" s="204" customFormat="1" ht="28.35" customHeight="1" x14ac:dyDescent="0.2"/>
  </sheetData>
  <mergeCells count="18">
    <mergeCell ref="A1:P1"/>
    <mergeCell ref="A2:A3"/>
    <mergeCell ref="B2:B3"/>
    <mergeCell ref="C2:C3"/>
    <mergeCell ref="D2:D3"/>
    <mergeCell ref="E2:E3"/>
    <mergeCell ref="F2:F3"/>
    <mergeCell ref="G2:G3"/>
    <mergeCell ref="M2:M3"/>
    <mergeCell ref="H2:H3"/>
    <mergeCell ref="I2:I3"/>
    <mergeCell ref="A12:H12"/>
    <mergeCell ref="N2:P2"/>
    <mergeCell ref="A11:H11"/>
    <mergeCell ref="A10:H10"/>
    <mergeCell ref="J2:J3"/>
    <mergeCell ref="K2:K3"/>
    <mergeCell ref="L2:L3"/>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20"/>
  <sheetViews>
    <sheetView zoomScaleNormal="100" workbookViewId="0">
      <selection activeCell="I18" sqref="I18"/>
    </sheetView>
  </sheetViews>
  <sheetFormatPr defaultRowHeight="12.75" x14ac:dyDescent="0.2"/>
  <cols>
    <col min="1" max="7" width="14.7109375" bestFit="1" customWidth="1"/>
    <col min="8" max="8" width="15.42578125" customWidth="1"/>
    <col min="9" max="16" width="14.7109375" bestFit="1" customWidth="1"/>
    <col min="17" max="17" width="4.7109375" bestFit="1" customWidth="1"/>
  </cols>
  <sheetData>
    <row r="1" spans="1:16" ht="31.5" customHeight="1" x14ac:dyDescent="0.2">
      <c r="A1" s="913" t="s">
        <v>4</v>
      </c>
      <c r="B1" s="913"/>
      <c r="C1" s="913"/>
    </row>
    <row r="2" spans="1:16" s="499" customFormat="1" ht="32.25" customHeight="1" x14ac:dyDescent="0.2">
      <c r="A2" s="894" t="s">
        <v>111</v>
      </c>
      <c r="B2" s="894" t="s">
        <v>140</v>
      </c>
      <c r="C2" s="894" t="s">
        <v>915</v>
      </c>
      <c r="D2" s="894" t="s">
        <v>157</v>
      </c>
      <c r="E2" s="894" t="s">
        <v>142</v>
      </c>
      <c r="F2" s="894" t="s">
        <v>1053</v>
      </c>
      <c r="G2" s="894" t="s">
        <v>1054</v>
      </c>
      <c r="H2" s="894" t="s">
        <v>158</v>
      </c>
      <c r="I2" s="894" t="s">
        <v>159</v>
      </c>
      <c r="J2" s="908" t="s">
        <v>145</v>
      </c>
      <c r="K2" s="894" t="s">
        <v>1055</v>
      </c>
      <c r="L2" s="894" t="s">
        <v>160</v>
      </c>
      <c r="M2" s="894" t="s">
        <v>917</v>
      </c>
      <c r="N2" s="910" t="s">
        <v>161</v>
      </c>
      <c r="O2" s="911"/>
      <c r="P2" s="912"/>
    </row>
    <row r="3" spans="1:16" s="499" customFormat="1" ht="21" customHeight="1" x14ac:dyDescent="0.2">
      <c r="A3" s="895"/>
      <c r="B3" s="895"/>
      <c r="C3" s="895"/>
      <c r="D3" s="895"/>
      <c r="E3" s="895"/>
      <c r="F3" s="895"/>
      <c r="G3" s="895"/>
      <c r="H3" s="895"/>
      <c r="I3" s="895"/>
      <c r="J3" s="909"/>
      <c r="K3" s="895"/>
      <c r="L3" s="895"/>
      <c r="M3" s="895"/>
      <c r="N3" s="570" t="s">
        <v>149</v>
      </c>
      <c r="O3" s="570" t="s">
        <v>150</v>
      </c>
      <c r="P3" s="570" t="s">
        <v>151</v>
      </c>
    </row>
    <row r="4" spans="1:16" s="499" customFormat="1" ht="18" customHeight="1" x14ac:dyDescent="0.2">
      <c r="A4" s="530" t="s">
        <v>73</v>
      </c>
      <c r="B4" s="532">
        <v>295</v>
      </c>
      <c r="C4" s="532">
        <v>1256</v>
      </c>
      <c r="D4" s="532">
        <v>15</v>
      </c>
      <c r="E4" s="532">
        <v>247</v>
      </c>
      <c r="F4" s="571">
        <v>7.4999999999999997E-3</v>
      </c>
      <c r="G4" s="532">
        <v>12.98218</v>
      </c>
      <c r="H4" s="532">
        <v>27.988247170000001</v>
      </c>
      <c r="I4" s="532">
        <v>0.11331274199999999</v>
      </c>
      <c r="J4" s="572">
        <v>373176.62893333298</v>
      </c>
      <c r="K4" s="532">
        <v>15.349758233999999</v>
      </c>
      <c r="L4" s="532">
        <v>20.30463782</v>
      </c>
      <c r="M4" s="573">
        <v>11034810.51</v>
      </c>
      <c r="N4" s="532">
        <v>24440.1</v>
      </c>
      <c r="O4" s="532">
        <v>15102.84</v>
      </c>
      <c r="P4" s="532">
        <v>17120.96</v>
      </c>
    </row>
    <row r="5" spans="1:16" s="499" customFormat="1" ht="18" customHeight="1" x14ac:dyDescent="0.2">
      <c r="A5" s="530" t="s">
        <v>76</v>
      </c>
      <c r="B5" s="532">
        <v>295</v>
      </c>
      <c r="C5" s="532">
        <v>1256</v>
      </c>
      <c r="D5" s="532">
        <v>3</v>
      </c>
      <c r="E5" s="532">
        <v>59</v>
      </c>
      <c r="F5" s="571">
        <v>3.1E-4</v>
      </c>
      <c r="G5" s="574">
        <v>0.38924999999999998</v>
      </c>
      <c r="H5" s="574">
        <v>1.4016648</v>
      </c>
      <c r="I5" s="532">
        <v>2.3757031000000001E-2</v>
      </c>
      <c r="J5" s="572">
        <v>452149.93550000002</v>
      </c>
      <c r="K5" s="532">
        <v>0</v>
      </c>
      <c r="L5" s="532">
        <v>0</v>
      </c>
      <c r="M5" s="573">
        <v>13487770.939999999</v>
      </c>
      <c r="N5" s="532">
        <v>20692.27</v>
      </c>
      <c r="O5" s="532">
        <v>16065.53</v>
      </c>
      <c r="P5" s="532">
        <v>20394.990000000002</v>
      </c>
    </row>
    <row r="6" spans="1:16" s="499" customFormat="1" ht="18" customHeight="1" x14ac:dyDescent="0.2">
      <c r="A6" s="530" t="s">
        <v>75</v>
      </c>
      <c r="B6" s="532">
        <v>296</v>
      </c>
      <c r="C6" s="532">
        <v>1257</v>
      </c>
      <c r="D6" s="532">
        <v>3</v>
      </c>
      <c r="E6" s="532">
        <v>18</v>
      </c>
      <c r="F6" s="571">
        <v>1.2999999999999999E-4</v>
      </c>
      <c r="G6" s="574">
        <v>0.19211</v>
      </c>
      <c r="H6" s="574">
        <v>0.692056</v>
      </c>
      <c r="I6" s="532">
        <v>3.8447556000000001E-2</v>
      </c>
      <c r="J6" s="572">
        <v>532350.76923076902</v>
      </c>
      <c r="K6" s="532">
        <v>0</v>
      </c>
      <c r="L6" s="532">
        <v>0</v>
      </c>
      <c r="M6" s="573">
        <v>12577219.92</v>
      </c>
      <c r="N6" s="532">
        <v>19582.8</v>
      </c>
      <c r="O6" s="532">
        <v>16065.53</v>
      </c>
      <c r="P6" s="532">
        <v>19582.82</v>
      </c>
    </row>
    <row r="7" spans="1:16" s="499" customFormat="1" ht="18" customHeight="1" x14ac:dyDescent="0.2">
      <c r="A7" s="530" t="s">
        <v>74</v>
      </c>
      <c r="B7" s="532">
        <v>295</v>
      </c>
      <c r="C7" s="532">
        <v>1257</v>
      </c>
      <c r="D7" s="532">
        <v>0</v>
      </c>
      <c r="E7" s="532">
        <v>19</v>
      </c>
      <c r="F7" s="571">
        <v>0</v>
      </c>
      <c r="G7" s="574">
        <v>0</v>
      </c>
      <c r="H7" s="574">
        <v>0</v>
      </c>
      <c r="I7" s="532">
        <v>0</v>
      </c>
      <c r="J7" s="532">
        <v>0</v>
      </c>
      <c r="K7" s="532">
        <v>0</v>
      </c>
      <c r="L7" s="532">
        <v>0</v>
      </c>
      <c r="M7" s="573">
        <v>12348176.5</v>
      </c>
      <c r="N7" s="532">
        <v>18975.599999999999</v>
      </c>
      <c r="O7" s="532">
        <v>17527.78</v>
      </c>
      <c r="P7" s="532">
        <v>18975.599999999999</v>
      </c>
    </row>
    <row r="8" spans="1:16" s="499" customFormat="1" ht="18" customHeight="1" x14ac:dyDescent="0.2">
      <c r="A8" s="530" t="s">
        <v>849</v>
      </c>
      <c r="B8" s="532">
        <v>295</v>
      </c>
      <c r="C8" s="532">
        <v>1256</v>
      </c>
      <c r="D8" s="532">
        <v>3</v>
      </c>
      <c r="E8" s="532">
        <v>22</v>
      </c>
      <c r="F8" s="571">
        <v>1.8000000000000001E-4</v>
      </c>
      <c r="G8" s="574">
        <v>0.19714000000000001</v>
      </c>
      <c r="H8" s="574">
        <v>0.70960880000000004</v>
      </c>
      <c r="I8" s="532">
        <v>3.2254945E-2</v>
      </c>
      <c r="J8" s="572">
        <v>394227.11109999998</v>
      </c>
      <c r="K8" s="532">
        <v>0</v>
      </c>
      <c r="L8" s="532">
        <v>0</v>
      </c>
      <c r="M8" s="573">
        <v>13487770.939999999</v>
      </c>
      <c r="N8" s="532">
        <v>20692.27</v>
      </c>
      <c r="O8" s="532">
        <v>19439.25</v>
      </c>
      <c r="P8" s="532">
        <v>20394.990000000002</v>
      </c>
    </row>
    <row r="9" spans="1:16" s="499" customFormat="1" ht="18" customHeight="1" x14ac:dyDescent="0.2">
      <c r="A9" s="534" t="s">
        <v>1083</v>
      </c>
      <c r="B9" s="536"/>
      <c r="C9" s="536"/>
      <c r="D9" s="536"/>
      <c r="E9" s="536"/>
      <c r="F9" s="575"/>
      <c r="G9" s="576"/>
      <c r="H9" s="576"/>
      <c r="I9" s="536"/>
      <c r="J9" s="577"/>
      <c r="K9" s="536"/>
      <c r="L9" s="536"/>
      <c r="M9" s="578"/>
      <c r="N9" s="536"/>
      <c r="O9" s="536"/>
      <c r="P9" s="536"/>
    </row>
    <row r="10" spans="1:16" s="499" customFormat="1" ht="18" customHeight="1" x14ac:dyDescent="0.2">
      <c r="A10" s="579" t="s">
        <v>916</v>
      </c>
      <c r="B10" s="536"/>
      <c r="C10" s="536"/>
      <c r="D10" s="536"/>
      <c r="E10" s="536"/>
      <c r="F10" s="575"/>
      <c r="G10" s="576"/>
      <c r="H10" s="576"/>
      <c r="I10" s="536"/>
      <c r="J10" s="577"/>
      <c r="K10" s="536"/>
      <c r="L10" s="536"/>
      <c r="M10" s="578"/>
      <c r="N10" s="536"/>
      <c r="O10" s="536"/>
      <c r="P10" s="536"/>
    </row>
    <row r="11" spans="1:16" s="499" customFormat="1" ht="18.75" customHeight="1" x14ac:dyDescent="0.2">
      <c r="A11" s="786" t="s">
        <v>842</v>
      </c>
      <c r="B11" s="786"/>
      <c r="C11" s="786"/>
      <c r="D11" s="786"/>
      <c r="E11" s="786"/>
      <c r="F11" s="786"/>
      <c r="G11" s="786"/>
      <c r="H11" s="786"/>
      <c r="I11" s="786"/>
      <c r="J11" s="786"/>
      <c r="K11" s="786"/>
      <c r="L11" s="786"/>
      <c r="M11" s="786"/>
      <c r="N11" s="786"/>
      <c r="O11" s="786"/>
      <c r="P11" s="786"/>
    </row>
    <row r="12" spans="1:16" s="499" customFormat="1" ht="18.75" customHeight="1" x14ac:dyDescent="0.2">
      <c r="A12" s="797" t="s">
        <v>162</v>
      </c>
      <c r="B12" s="797"/>
      <c r="C12" s="797"/>
      <c r="D12" s="797"/>
      <c r="E12" s="797"/>
      <c r="F12" s="797"/>
      <c r="G12" s="797"/>
      <c r="H12" s="797"/>
      <c r="I12" s="797"/>
      <c r="J12" s="797"/>
      <c r="K12" s="797"/>
      <c r="L12" s="797"/>
      <c r="M12" s="797"/>
      <c r="N12" s="797"/>
      <c r="O12" s="797"/>
      <c r="P12" s="797"/>
    </row>
    <row r="13" spans="1:16" s="499" customFormat="1" ht="28.35" customHeight="1" x14ac:dyDescent="0.2"/>
    <row r="16" spans="1:16" x14ac:dyDescent="0.2">
      <c r="J16" s="410"/>
    </row>
    <row r="20" spans="13:13" x14ac:dyDescent="0.2">
      <c r="M20" s="411"/>
    </row>
  </sheetData>
  <mergeCells count="17">
    <mergeCell ref="A1:C1"/>
    <mergeCell ref="A2:A3"/>
    <mergeCell ref="B2:B3"/>
    <mergeCell ref="C2:C3"/>
    <mergeCell ref="D2:D3"/>
    <mergeCell ref="H2:H3"/>
    <mergeCell ref="I2:I3"/>
    <mergeCell ref="J2:J3"/>
    <mergeCell ref="A12:P12"/>
    <mergeCell ref="K2:K3"/>
    <mergeCell ref="E2:E3"/>
    <mergeCell ref="L2:L3"/>
    <mergeCell ref="M2:M3"/>
    <mergeCell ref="N2:P2"/>
    <mergeCell ref="A11:P11"/>
    <mergeCell ref="F2:F3"/>
    <mergeCell ref="G2:G3"/>
  </mergeCells>
  <pageMargins left="0.78431372549019618" right="0.78431372549019618" top="0.98039215686274517" bottom="0.98039215686274517" header="0.50980392156862753" footer="0.50980392156862753"/>
  <pageSetup paperSize="9" orientation="portrait" useFirstPageNumber="1"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31"/>
  <sheetViews>
    <sheetView zoomScaleNormal="100" workbookViewId="0">
      <selection activeCell="J16" sqref="J16"/>
    </sheetView>
  </sheetViews>
  <sheetFormatPr defaultRowHeight="12.75" x14ac:dyDescent="0.2"/>
  <cols>
    <col min="1" max="1" width="6.42578125" bestFit="1" customWidth="1"/>
    <col min="2" max="2" width="36.28515625" bestFit="1" customWidth="1"/>
    <col min="3" max="8" width="13.5703125" bestFit="1" customWidth="1"/>
    <col min="9" max="9" width="4.85546875" bestFit="1" customWidth="1"/>
  </cols>
  <sheetData>
    <row r="1" spans="1:8" ht="13.5" customHeight="1" x14ac:dyDescent="0.2">
      <c r="A1" s="869" t="s">
        <v>983</v>
      </c>
      <c r="B1" s="870"/>
      <c r="C1" s="870"/>
      <c r="D1" s="870"/>
    </row>
    <row r="2" spans="1:8" s="499" customFormat="1" ht="19.5" customHeight="1" x14ac:dyDescent="0.2">
      <c r="A2" s="920" t="s">
        <v>1074</v>
      </c>
      <c r="B2" s="921"/>
      <c r="C2" s="921"/>
      <c r="D2" s="921"/>
      <c r="E2" s="921"/>
      <c r="F2" s="921"/>
      <c r="G2" s="921"/>
      <c r="H2" s="922"/>
    </row>
    <row r="3" spans="1:8" s="499" customFormat="1" ht="15" customHeight="1" x14ac:dyDescent="0.2">
      <c r="A3" s="799" t="s">
        <v>163</v>
      </c>
      <c r="B3" s="799" t="s">
        <v>164</v>
      </c>
      <c r="C3" s="806" t="s">
        <v>116</v>
      </c>
      <c r="D3" s="807"/>
      <c r="E3" s="806" t="s">
        <v>117</v>
      </c>
      <c r="F3" s="807"/>
      <c r="G3" s="866" t="s">
        <v>118</v>
      </c>
      <c r="H3" s="867"/>
    </row>
    <row r="4" spans="1:8" s="499" customFormat="1" ht="18" customHeight="1" x14ac:dyDescent="0.2">
      <c r="A4" s="801"/>
      <c r="B4" s="801"/>
      <c r="C4" s="561" t="s">
        <v>73</v>
      </c>
      <c r="D4" s="564" t="s">
        <v>854</v>
      </c>
      <c r="E4" s="561" t="s">
        <v>73</v>
      </c>
      <c r="F4" s="564" t="s">
        <v>854</v>
      </c>
      <c r="G4" s="561" t="s">
        <v>73</v>
      </c>
      <c r="H4" s="564" t="s">
        <v>854</v>
      </c>
    </row>
    <row r="5" spans="1:8" s="499" customFormat="1" ht="18" customHeight="1" x14ac:dyDescent="0.2">
      <c r="A5" s="503">
        <v>1</v>
      </c>
      <c r="B5" s="502" t="s">
        <v>165</v>
      </c>
      <c r="C5" s="580">
        <v>2.2055113240000002</v>
      </c>
      <c r="D5" s="580">
        <v>1.0900000000000001</v>
      </c>
      <c r="E5" s="580">
        <v>1.65</v>
      </c>
      <c r="F5" s="580">
        <v>1.65</v>
      </c>
      <c r="G5" s="580">
        <v>1.04</v>
      </c>
      <c r="H5" s="581">
        <v>6.92</v>
      </c>
    </row>
    <row r="6" spans="1:8" s="499" customFormat="1" ht="18" customHeight="1" x14ac:dyDescent="0.2">
      <c r="A6" s="503">
        <v>2</v>
      </c>
      <c r="B6" s="502" t="s">
        <v>166</v>
      </c>
      <c r="C6" s="580">
        <v>1.1804078</v>
      </c>
      <c r="D6" s="580">
        <v>0.3</v>
      </c>
      <c r="E6" s="580">
        <v>3.22</v>
      </c>
      <c r="F6" s="580">
        <v>3.02</v>
      </c>
      <c r="G6" s="580">
        <v>0</v>
      </c>
      <c r="H6" s="581">
        <v>0</v>
      </c>
    </row>
    <row r="7" spans="1:8" s="499" customFormat="1" ht="18" customHeight="1" x14ac:dyDescent="0.2">
      <c r="A7" s="503">
        <v>3</v>
      </c>
      <c r="B7" s="502" t="s">
        <v>167</v>
      </c>
      <c r="C7" s="580">
        <v>0.73076405899999997</v>
      </c>
      <c r="D7" s="580">
        <v>0.48</v>
      </c>
      <c r="E7" s="580">
        <v>0.24</v>
      </c>
      <c r="F7" s="580">
        <v>0.2</v>
      </c>
      <c r="G7" s="580">
        <v>0</v>
      </c>
      <c r="H7" s="581">
        <v>0</v>
      </c>
    </row>
    <row r="8" spans="1:8" s="499" customFormat="1" ht="18" customHeight="1" x14ac:dyDescent="0.2">
      <c r="A8" s="503">
        <v>4</v>
      </c>
      <c r="B8" s="502" t="s">
        <v>168</v>
      </c>
      <c r="C8" s="580">
        <v>1.6662054999999999E-2</v>
      </c>
      <c r="D8" s="580">
        <v>0.01</v>
      </c>
      <c r="E8" s="580">
        <v>0</v>
      </c>
      <c r="F8" s="580">
        <v>0</v>
      </c>
      <c r="G8" s="580">
        <v>0</v>
      </c>
      <c r="H8" s="581">
        <v>0</v>
      </c>
    </row>
    <row r="9" spans="1:8" s="499" customFormat="1" ht="18" customHeight="1" x14ac:dyDescent="0.2">
      <c r="A9" s="503">
        <v>5</v>
      </c>
      <c r="B9" s="502" t="s">
        <v>169</v>
      </c>
      <c r="C9" s="580">
        <v>0.73378679199999997</v>
      </c>
      <c r="D9" s="580">
        <v>0.52</v>
      </c>
      <c r="E9" s="580">
        <v>0.87</v>
      </c>
      <c r="F9" s="580">
        <v>0.69</v>
      </c>
      <c r="G9" s="580">
        <v>0</v>
      </c>
      <c r="H9" s="581">
        <v>0</v>
      </c>
    </row>
    <row r="10" spans="1:8" s="499" customFormat="1" ht="18" customHeight="1" x14ac:dyDescent="0.2">
      <c r="A10" s="503">
        <v>6</v>
      </c>
      <c r="B10" s="502" t="s">
        <v>170</v>
      </c>
      <c r="C10" s="580">
        <v>8.0620224000000004E-2</v>
      </c>
      <c r="D10" s="580">
        <v>0.04</v>
      </c>
      <c r="E10" s="580">
        <v>0.7</v>
      </c>
      <c r="F10" s="580">
        <v>0.74</v>
      </c>
      <c r="G10" s="580">
        <v>0</v>
      </c>
      <c r="H10" s="581">
        <v>0</v>
      </c>
    </row>
    <row r="11" spans="1:8" s="499" customFormat="1" ht="18" customHeight="1" x14ac:dyDescent="0.2">
      <c r="A11" s="503">
        <v>7</v>
      </c>
      <c r="B11" s="502" t="s">
        <v>171</v>
      </c>
      <c r="C11" s="580">
        <v>2.5038392E-2</v>
      </c>
      <c r="D11" s="580">
        <v>0.01</v>
      </c>
      <c r="E11" s="580">
        <v>0.05</v>
      </c>
      <c r="F11" s="580">
        <v>0.06</v>
      </c>
      <c r="G11" s="580">
        <v>0</v>
      </c>
      <c r="H11" s="581">
        <v>0</v>
      </c>
    </row>
    <row r="12" spans="1:8" s="499" customFormat="1" ht="18" customHeight="1" x14ac:dyDescent="0.2">
      <c r="A12" s="503">
        <v>8</v>
      </c>
      <c r="B12" s="502" t="s">
        <v>172</v>
      </c>
      <c r="C12" s="580">
        <v>1.080805639</v>
      </c>
      <c r="D12" s="580">
        <v>0.51</v>
      </c>
      <c r="E12" s="580">
        <v>5.92</v>
      </c>
      <c r="F12" s="580">
        <v>5.5</v>
      </c>
      <c r="G12" s="580">
        <v>48.72</v>
      </c>
      <c r="H12" s="581">
        <v>55.17</v>
      </c>
    </row>
    <row r="13" spans="1:8" s="499" customFormat="1" ht="18" customHeight="1" x14ac:dyDescent="0.2">
      <c r="A13" s="503">
        <v>9</v>
      </c>
      <c r="B13" s="502" t="s">
        <v>173</v>
      </c>
      <c r="C13" s="580">
        <v>2.7876812000000001E-2</v>
      </c>
      <c r="D13" s="580">
        <v>0.03</v>
      </c>
      <c r="E13" s="580">
        <v>0</v>
      </c>
      <c r="F13" s="580">
        <v>0</v>
      </c>
      <c r="G13" s="580">
        <v>0</v>
      </c>
      <c r="H13" s="581">
        <v>0</v>
      </c>
    </row>
    <row r="14" spans="1:8" s="499" customFormat="1" ht="18" customHeight="1" x14ac:dyDescent="0.2">
      <c r="A14" s="503">
        <v>10</v>
      </c>
      <c r="B14" s="502" t="s">
        <v>174</v>
      </c>
      <c r="C14" s="580">
        <v>0.28056737300000001</v>
      </c>
      <c r="D14" s="580">
        <v>0.11</v>
      </c>
      <c r="E14" s="580">
        <v>3.13</v>
      </c>
      <c r="F14" s="580">
        <v>3.75</v>
      </c>
      <c r="G14" s="580">
        <v>0</v>
      </c>
      <c r="H14" s="581">
        <v>0</v>
      </c>
    </row>
    <row r="15" spans="1:8" s="499" customFormat="1" ht="18" customHeight="1" x14ac:dyDescent="0.2">
      <c r="A15" s="503">
        <v>11</v>
      </c>
      <c r="B15" s="502" t="s">
        <v>175</v>
      </c>
      <c r="C15" s="580">
        <v>0.246330406</v>
      </c>
      <c r="D15" s="580">
        <v>0.28999999999999998</v>
      </c>
      <c r="E15" s="580">
        <v>0.3</v>
      </c>
      <c r="F15" s="580">
        <v>0.44</v>
      </c>
      <c r="G15" s="580">
        <v>0</v>
      </c>
      <c r="H15" s="581">
        <v>0</v>
      </c>
    </row>
    <row r="16" spans="1:8" s="499" customFormat="1" ht="18" customHeight="1" x14ac:dyDescent="0.2">
      <c r="A16" s="503">
        <v>12</v>
      </c>
      <c r="B16" s="502" t="s">
        <v>176</v>
      </c>
      <c r="C16" s="580">
        <v>0.49095509999999998</v>
      </c>
      <c r="D16" s="580">
        <v>0.28000000000000003</v>
      </c>
      <c r="E16" s="580">
        <v>0.3</v>
      </c>
      <c r="F16" s="580">
        <v>0.19</v>
      </c>
      <c r="G16" s="580">
        <v>0</v>
      </c>
      <c r="H16" s="581">
        <v>0.35</v>
      </c>
    </row>
    <row r="17" spans="1:8" s="499" customFormat="1" ht="18" customHeight="1" x14ac:dyDescent="0.2">
      <c r="A17" s="503">
        <v>13</v>
      </c>
      <c r="B17" s="502" t="s">
        <v>177</v>
      </c>
      <c r="C17" s="580">
        <v>0.25279658399999999</v>
      </c>
      <c r="D17" s="580">
        <v>0.17</v>
      </c>
      <c r="E17" s="580">
        <v>0.08</v>
      </c>
      <c r="F17" s="580">
        <v>0.1</v>
      </c>
      <c r="G17" s="580">
        <v>1.93</v>
      </c>
      <c r="H17" s="581">
        <v>0</v>
      </c>
    </row>
    <row r="18" spans="1:8" s="499" customFormat="1" ht="18" customHeight="1" x14ac:dyDescent="0.2">
      <c r="A18" s="503">
        <v>14</v>
      </c>
      <c r="B18" s="502" t="s">
        <v>178</v>
      </c>
      <c r="C18" s="580">
        <v>3.4114442089999999</v>
      </c>
      <c r="D18" s="580">
        <v>3.6</v>
      </c>
      <c r="E18" s="580">
        <v>5.24</v>
      </c>
      <c r="F18" s="580">
        <v>4.6399999999999997</v>
      </c>
      <c r="G18" s="580">
        <v>0</v>
      </c>
      <c r="H18" s="581">
        <v>0</v>
      </c>
    </row>
    <row r="19" spans="1:8" s="499" customFormat="1" ht="18" customHeight="1" x14ac:dyDescent="0.2">
      <c r="A19" s="503">
        <v>15</v>
      </c>
      <c r="B19" s="502" t="s">
        <v>179</v>
      </c>
      <c r="C19" s="580">
        <v>7.3506302999999995E-2</v>
      </c>
      <c r="D19" s="580">
        <v>0.06</v>
      </c>
      <c r="E19" s="580">
        <v>0.11</v>
      </c>
      <c r="F19" s="580">
        <v>0.09</v>
      </c>
      <c r="G19" s="580">
        <v>0</v>
      </c>
      <c r="H19" s="581">
        <v>0</v>
      </c>
    </row>
    <row r="20" spans="1:8" s="499" customFormat="1" ht="18" customHeight="1" x14ac:dyDescent="0.2">
      <c r="A20" s="503">
        <v>16</v>
      </c>
      <c r="B20" s="502" t="s">
        <v>180</v>
      </c>
      <c r="C20" s="580">
        <v>1.3216734000000001E-2</v>
      </c>
      <c r="D20" s="580">
        <v>0.01</v>
      </c>
      <c r="E20" s="580">
        <v>0</v>
      </c>
      <c r="F20" s="580">
        <v>0</v>
      </c>
      <c r="G20" s="580">
        <v>0</v>
      </c>
      <c r="H20" s="581">
        <v>0</v>
      </c>
    </row>
    <row r="21" spans="1:8" s="499" customFormat="1" ht="18" customHeight="1" x14ac:dyDescent="0.2">
      <c r="A21" s="503">
        <v>17</v>
      </c>
      <c r="B21" s="502" t="s">
        <v>181</v>
      </c>
      <c r="C21" s="580">
        <v>51.073666179999996</v>
      </c>
      <c r="D21" s="580">
        <v>51.66</v>
      </c>
      <c r="E21" s="580">
        <v>64.040000000000006</v>
      </c>
      <c r="F21" s="580">
        <v>63.11</v>
      </c>
      <c r="G21" s="580">
        <v>21.1</v>
      </c>
      <c r="H21" s="581">
        <v>0</v>
      </c>
    </row>
    <row r="22" spans="1:8" s="499" customFormat="1" ht="18" customHeight="1" x14ac:dyDescent="0.2">
      <c r="A22" s="503">
        <v>18</v>
      </c>
      <c r="B22" s="502" t="s">
        <v>182</v>
      </c>
      <c r="C22" s="580">
        <v>3.3395598999999998E-2</v>
      </c>
      <c r="D22" s="580">
        <v>0.02</v>
      </c>
      <c r="E22" s="580">
        <v>0</v>
      </c>
      <c r="F22" s="580">
        <v>0</v>
      </c>
      <c r="G22" s="580">
        <v>0</v>
      </c>
      <c r="H22" s="581">
        <v>0</v>
      </c>
    </row>
    <row r="23" spans="1:8" s="499" customFormat="1" ht="18" customHeight="1" x14ac:dyDescent="0.2">
      <c r="A23" s="503">
        <v>19</v>
      </c>
      <c r="B23" s="502" t="s">
        <v>183</v>
      </c>
      <c r="C23" s="580">
        <v>0.26363530600000001</v>
      </c>
      <c r="D23" s="580">
        <v>0.14000000000000001</v>
      </c>
      <c r="E23" s="580">
        <v>0.08</v>
      </c>
      <c r="F23" s="580">
        <v>0.06</v>
      </c>
      <c r="G23" s="580">
        <v>0</v>
      </c>
      <c r="H23" s="581">
        <v>0</v>
      </c>
    </row>
    <row r="24" spans="1:8" s="499" customFormat="1" ht="18" customHeight="1" x14ac:dyDescent="0.2">
      <c r="A24" s="503">
        <v>20</v>
      </c>
      <c r="B24" s="502" t="s">
        <v>184</v>
      </c>
      <c r="C24" s="580">
        <v>1.609832749</v>
      </c>
      <c r="D24" s="580">
        <v>0.96</v>
      </c>
      <c r="E24" s="580">
        <v>1.07</v>
      </c>
      <c r="F24" s="580">
        <v>1.01</v>
      </c>
      <c r="G24" s="580">
        <v>0</v>
      </c>
      <c r="H24" s="581">
        <v>0</v>
      </c>
    </row>
    <row r="25" spans="1:8" s="499" customFormat="1" ht="18" customHeight="1" x14ac:dyDescent="0.2">
      <c r="A25" s="503">
        <v>21</v>
      </c>
      <c r="B25" s="502" t="s">
        <v>185</v>
      </c>
      <c r="C25" s="580">
        <v>36.169180359999999</v>
      </c>
      <c r="D25" s="580">
        <v>39.729999999999997</v>
      </c>
      <c r="E25" s="580">
        <v>13</v>
      </c>
      <c r="F25" s="580">
        <v>14.76</v>
      </c>
      <c r="G25" s="580">
        <v>27.21</v>
      </c>
      <c r="H25" s="581">
        <v>37.56</v>
      </c>
    </row>
    <row r="26" spans="1:8" s="499" customFormat="1" ht="18" customHeight="1" x14ac:dyDescent="0.2">
      <c r="A26" s="530"/>
      <c r="B26" s="530" t="s">
        <v>67</v>
      </c>
      <c r="C26" s="582">
        <v>100</v>
      </c>
      <c r="D26" s="582">
        <v>100</v>
      </c>
      <c r="E26" s="582">
        <v>100</v>
      </c>
      <c r="F26" s="582">
        <v>100</v>
      </c>
      <c r="G26" s="582">
        <v>100</v>
      </c>
      <c r="H26" s="583">
        <v>100</v>
      </c>
    </row>
    <row r="27" spans="1:8" s="499" customFormat="1" ht="18" customHeight="1" x14ac:dyDescent="0.2">
      <c r="A27" s="534" t="s">
        <v>1083</v>
      </c>
      <c r="B27" s="579"/>
      <c r="C27" s="584"/>
      <c r="D27" s="584"/>
      <c r="E27" s="584"/>
      <c r="F27" s="584"/>
      <c r="G27" s="584"/>
      <c r="H27" s="585"/>
    </row>
    <row r="28" spans="1:8" s="499" customFormat="1" ht="24.75" customHeight="1" x14ac:dyDescent="0.2">
      <c r="A28" s="914" t="s">
        <v>1073</v>
      </c>
      <c r="B28" s="915"/>
      <c r="C28" s="915"/>
      <c r="D28" s="915"/>
      <c r="E28" s="915"/>
      <c r="F28" s="915"/>
      <c r="G28" s="915"/>
      <c r="H28" s="916"/>
    </row>
    <row r="29" spans="1:8" s="499" customFormat="1" ht="13.5" customHeight="1" x14ac:dyDescent="0.2">
      <c r="A29" s="917"/>
      <c r="B29" s="918"/>
      <c r="C29" s="918"/>
      <c r="D29" s="918"/>
      <c r="E29" s="918"/>
      <c r="F29" s="918"/>
      <c r="G29" s="918"/>
      <c r="H29" s="919"/>
    </row>
    <row r="30" spans="1:8" s="499" customFormat="1" ht="13.5" customHeight="1" x14ac:dyDescent="0.2">
      <c r="A30" s="917" t="s">
        <v>110</v>
      </c>
      <c r="B30" s="918"/>
      <c r="C30" s="918"/>
      <c r="D30" s="918"/>
      <c r="E30" s="918"/>
      <c r="F30" s="918"/>
      <c r="G30" s="918"/>
      <c r="H30" s="919"/>
    </row>
    <row r="31" spans="1:8" s="499" customFormat="1" ht="28.35" customHeight="1" x14ac:dyDescent="0.2"/>
  </sheetData>
  <mergeCells count="10">
    <mergeCell ref="A28:H28"/>
    <mergeCell ref="A30:H30"/>
    <mergeCell ref="A29:H29"/>
    <mergeCell ref="A1:D1"/>
    <mergeCell ref="A2:H2"/>
    <mergeCell ref="A3:A4"/>
    <mergeCell ref="B3:B4"/>
    <mergeCell ref="C3:D3"/>
    <mergeCell ref="E3:F3"/>
    <mergeCell ref="G3:H3"/>
  </mergeCells>
  <pageMargins left="0.78431372549019618" right="0.78431372549019618" top="0.98039215686274517" bottom="0.98039215686274517" header="0.50980392156862753" footer="0.50980392156862753"/>
  <pageSetup paperSize="9" orientation="portrait" useFirstPageNumber="1"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12"/>
  <sheetViews>
    <sheetView zoomScaleNormal="100" workbookViewId="0">
      <selection activeCell="B2" sqref="B2:F2"/>
    </sheetView>
  </sheetViews>
  <sheetFormatPr defaultRowHeight="12.75" x14ac:dyDescent="0.2"/>
  <cols>
    <col min="1" max="6" width="14.7109375" bestFit="1" customWidth="1"/>
    <col min="7" max="7" width="4.7109375" bestFit="1" customWidth="1"/>
  </cols>
  <sheetData>
    <row r="1" spans="1:6" ht="15" customHeight="1" x14ac:dyDescent="0.2">
      <c r="A1" s="891" t="s">
        <v>5</v>
      </c>
      <c r="B1" s="891"/>
      <c r="C1" s="891"/>
      <c r="D1" s="891"/>
      <c r="E1" s="891"/>
      <c r="F1" s="891"/>
    </row>
    <row r="2" spans="1:6" s="204" customFormat="1" ht="18" customHeight="1" x14ac:dyDescent="0.2">
      <c r="A2" s="923" t="s">
        <v>65</v>
      </c>
      <c r="B2" s="925" t="s">
        <v>186</v>
      </c>
      <c r="C2" s="926"/>
      <c r="D2" s="926"/>
      <c r="E2" s="926"/>
      <c r="F2" s="927"/>
    </row>
    <row r="3" spans="1:6" s="204" customFormat="1" ht="18" customHeight="1" x14ac:dyDescent="0.2">
      <c r="A3" s="924"/>
      <c r="B3" s="219" t="s">
        <v>187</v>
      </c>
      <c r="C3" s="219" t="s">
        <v>188</v>
      </c>
      <c r="D3" s="219" t="s">
        <v>39</v>
      </c>
      <c r="E3" s="219" t="s">
        <v>189</v>
      </c>
      <c r="F3" s="219" t="s">
        <v>185</v>
      </c>
    </row>
    <row r="4" spans="1:6" s="204" customFormat="1" ht="18" customHeight="1" x14ac:dyDescent="0.2">
      <c r="A4" s="207" t="s">
        <v>73</v>
      </c>
      <c r="B4" s="245">
        <v>27.74</v>
      </c>
      <c r="C4" s="245">
        <v>9.16</v>
      </c>
      <c r="D4" s="245">
        <v>7.38</v>
      </c>
      <c r="E4" s="245">
        <v>0.12</v>
      </c>
      <c r="F4" s="245">
        <v>55.6</v>
      </c>
    </row>
    <row r="5" spans="1:6" s="204" customFormat="1" ht="18" customHeight="1" x14ac:dyDescent="0.2">
      <c r="A5" s="207" t="s">
        <v>76</v>
      </c>
      <c r="B5" s="245">
        <v>31.26</v>
      </c>
      <c r="C5" s="245">
        <v>18.66</v>
      </c>
      <c r="D5" s="245">
        <v>3.65</v>
      </c>
      <c r="E5" s="245">
        <v>0.01</v>
      </c>
      <c r="F5" s="245">
        <v>46.4</v>
      </c>
    </row>
    <row r="6" spans="1:6" s="204" customFormat="1" ht="18" customHeight="1" x14ac:dyDescent="0.2">
      <c r="A6" s="207" t="s">
        <v>75</v>
      </c>
      <c r="B6" s="245">
        <v>38.65</v>
      </c>
      <c r="C6" s="245">
        <v>9.98</v>
      </c>
      <c r="D6" s="245">
        <v>2.74</v>
      </c>
      <c r="E6" s="245">
        <v>0.01</v>
      </c>
      <c r="F6" s="245">
        <v>48.61</v>
      </c>
    </row>
    <row r="7" spans="1:6" s="204" customFormat="1" ht="18" customHeight="1" x14ac:dyDescent="0.2">
      <c r="A7" s="207" t="s">
        <v>74</v>
      </c>
      <c r="B7" s="245">
        <v>28.1</v>
      </c>
      <c r="C7" s="245">
        <v>22</v>
      </c>
      <c r="D7" s="245">
        <v>5.33</v>
      </c>
      <c r="E7" s="245">
        <v>0.02</v>
      </c>
      <c r="F7" s="245">
        <v>44.54</v>
      </c>
    </row>
    <row r="8" spans="1:6" s="204" customFormat="1" ht="18" customHeight="1" x14ac:dyDescent="0.2">
      <c r="A8" s="207" t="s">
        <v>849</v>
      </c>
      <c r="B8" s="245">
        <v>27.04</v>
      </c>
      <c r="C8" s="245">
        <v>24</v>
      </c>
      <c r="D8" s="245">
        <v>2.89</v>
      </c>
      <c r="E8" s="245">
        <v>0.01</v>
      </c>
      <c r="F8" s="245">
        <v>46.06</v>
      </c>
    </row>
    <row r="9" spans="1:6" s="204" customFormat="1" ht="18" customHeight="1" x14ac:dyDescent="0.2">
      <c r="A9" s="432" t="s">
        <v>1083</v>
      </c>
      <c r="B9" s="442"/>
      <c r="C9" s="442"/>
      <c r="D9" s="442"/>
      <c r="E9" s="442"/>
      <c r="F9" s="442"/>
    </row>
    <row r="10" spans="1:6" s="204" customFormat="1" ht="15" customHeight="1" x14ac:dyDescent="0.2">
      <c r="A10" s="888" t="s">
        <v>842</v>
      </c>
      <c r="B10" s="888"/>
      <c r="C10" s="888"/>
      <c r="D10" s="888"/>
      <c r="E10" s="888"/>
    </row>
    <row r="11" spans="1:6" s="204" customFormat="1" ht="13.5" customHeight="1" x14ac:dyDescent="0.2">
      <c r="A11" s="887" t="s">
        <v>190</v>
      </c>
      <c r="B11" s="887"/>
      <c r="C11" s="887"/>
      <c r="D11" s="887"/>
      <c r="E11" s="887"/>
    </row>
    <row r="12" spans="1:6" s="204" customFormat="1" ht="28.35" customHeight="1" x14ac:dyDescent="0.2"/>
  </sheetData>
  <mergeCells count="5">
    <mergeCell ref="A1:F1"/>
    <mergeCell ref="A2:A3"/>
    <mergeCell ref="B2:F2"/>
    <mergeCell ref="A10:E10"/>
    <mergeCell ref="A11:E11"/>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12"/>
  <sheetViews>
    <sheetView zoomScaleNormal="100" workbookViewId="0">
      <selection activeCell="B2" sqref="B2:F2"/>
    </sheetView>
  </sheetViews>
  <sheetFormatPr defaultRowHeight="12.75" x14ac:dyDescent="0.2"/>
  <cols>
    <col min="1" max="6" width="14.7109375" bestFit="1" customWidth="1"/>
    <col min="7" max="7" width="4.7109375" bestFit="1" customWidth="1"/>
  </cols>
  <sheetData>
    <row r="1" spans="1:6" ht="18" customHeight="1" x14ac:dyDescent="0.2">
      <c r="A1" s="891" t="s">
        <v>6</v>
      </c>
      <c r="B1" s="891"/>
      <c r="C1" s="891"/>
      <c r="D1" s="891"/>
      <c r="E1" s="891"/>
      <c r="F1" s="891"/>
    </row>
    <row r="2" spans="1:6" s="204" customFormat="1" ht="18" customHeight="1" x14ac:dyDescent="0.2">
      <c r="A2" s="923" t="s">
        <v>191</v>
      </c>
      <c r="B2" s="925" t="s">
        <v>186</v>
      </c>
      <c r="C2" s="926"/>
      <c r="D2" s="926"/>
      <c r="E2" s="926"/>
      <c r="F2" s="927"/>
    </row>
    <row r="3" spans="1:6" s="204" customFormat="1" ht="18" customHeight="1" x14ac:dyDescent="0.2">
      <c r="A3" s="924"/>
      <c r="B3" s="219" t="s">
        <v>187</v>
      </c>
      <c r="C3" s="219" t="s">
        <v>188</v>
      </c>
      <c r="D3" s="219" t="s">
        <v>39</v>
      </c>
      <c r="E3" s="219" t="s">
        <v>189</v>
      </c>
      <c r="F3" s="219" t="s">
        <v>185</v>
      </c>
    </row>
    <row r="4" spans="1:6" s="204" customFormat="1" ht="18" customHeight="1" x14ac:dyDescent="0.2">
      <c r="A4" s="207" t="s">
        <v>73</v>
      </c>
      <c r="B4" s="245">
        <v>22.73</v>
      </c>
      <c r="C4" s="245">
        <v>15.14</v>
      </c>
      <c r="D4" s="245">
        <v>7.44</v>
      </c>
      <c r="E4" s="245">
        <v>0.15</v>
      </c>
      <c r="F4" s="245">
        <v>54.54</v>
      </c>
    </row>
    <row r="5" spans="1:6" s="204" customFormat="1" ht="18" customHeight="1" x14ac:dyDescent="0.2">
      <c r="A5" s="207" t="s">
        <v>76</v>
      </c>
      <c r="B5" s="245">
        <v>22.51</v>
      </c>
      <c r="C5" s="245">
        <v>12.07</v>
      </c>
      <c r="D5" s="245">
        <v>5.79</v>
      </c>
      <c r="E5" s="245">
        <v>0.09</v>
      </c>
      <c r="F5" s="245">
        <v>59.54</v>
      </c>
    </row>
    <row r="6" spans="1:6" s="204" customFormat="1" ht="18" customHeight="1" x14ac:dyDescent="0.2">
      <c r="A6" s="207" t="s">
        <v>75</v>
      </c>
      <c r="B6" s="245">
        <v>22.68</v>
      </c>
      <c r="C6" s="245">
        <v>13.45</v>
      </c>
      <c r="D6" s="245">
        <v>6.19</v>
      </c>
      <c r="E6" s="245">
        <v>0.06</v>
      </c>
      <c r="F6" s="245">
        <v>57.62</v>
      </c>
    </row>
    <row r="7" spans="1:6" s="204" customFormat="1" ht="18" customHeight="1" x14ac:dyDescent="0.2">
      <c r="A7" s="207" t="s">
        <v>74</v>
      </c>
      <c r="B7" s="245">
        <v>21.62</v>
      </c>
      <c r="C7" s="245">
        <v>13.44</v>
      </c>
      <c r="D7" s="245">
        <v>6.17</v>
      </c>
      <c r="E7" s="245">
        <v>0.05</v>
      </c>
      <c r="F7" s="245">
        <v>58.72</v>
      </c>
    </row>
    <row r="8" spans="1:6" s="204" customFormat="1" ht="18" customHeight="1" x14ac:dyDescent="0.2">
      <c r="A8" s="207" t="s">
        <v>849</v>
      </c>
      <c r="B8" s="245">
        <v>23.22</v>
      </c>
      <c r="C8" s="245">
        <v>9.32</v>
      </c>
      <c r="D8" s="245">
        <v>5</v>
      </c>
      <c r="E8" s="245">
        <v>0.17</v>
      </c>
      <c r="F8" s="245">
        <v>62.29</v>
      </c>
    </row>
    <row r="9" spans="1:6" s="204" customFormat="1" ht="18" customHeight="1" x14ac:dyDescent="0.2">
      <c r="A9" s="432" t="s">
        <v>1083</v>
      </c>
      <c r="B9" s="442"/>
      <c r="C9" s="442"/>
      <c r="D9" s="442"/>
      <c r="E9" s="442"/>
      <c r="F9" s="442"/>
    </row>
    <row r="10" spans="1:6" s="204" customFormat="1" ht="15" customHeight="1" x14ac:dyDescent="0.2">
      <c r="A10" s="888" t="s">
        <v>842</v>
      </c>
      <c r="B10" s="888"/>
      <c r="C10" s="888"/>
      <c r="D10" s="888"/>
      <c r="E10" s="888"/>
      <c r="F10" s="888"/>
    </row>
    <row r="11" spans="1:6" s="204" customFormat="1" ht="13.5" customHeight="1" x14ac:dyDescent="0.2">
      <c r="A11" s="887" t="s">
        <v>192</v>
      </c>
      <c r="B11" s="887"/>
      <c r="C11" s="887"/>
      <c r="D11" s="887"/>
      <c r="E11" s="887"/>
      <c r="F11" s="887"/>
    </row>
    <row r="12" spans="1:6" s="204" customFormat="1" ht="25.35" customHeight="1" x14ac:dyDescent="0.2"/>
  </sheetData>
  <mergeCells count="5">
    <mergeCell ref="A1:F1"/>
    <mergeCell ref="A2:A3"/>
    <mergeCell ref="B2:F2"/>
    <mergeCell ref="A10:F10"/>
    <mergeCell ref="A11:F11"/>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12"/>
  <sheetViews>
    <sheetView zoomScaleNormal="100" workbookViewId="0">
      <selection activeCell="B2" sqref="B2:F2"/>
    </sheetView>
  </sheetViews>
  <sheetFormatPr defaultRowHeight="12.75" x14ac:dyDescent="0.2"/>
  <cols>
    <col min="1" max="6" width="14.7109375" bestFit="1" customWidth="1"/>
    <col min="7" max="7" width="4.7109375" bestFit="1" customWidth="1"/>
  </cols>
  <sheetData>
    <row r="1" spans="1:6" ht="21" customHeight="1" x14ac:dyDescent="0.2">
      <c r="A1" s="246" t="s">
        <v>7</v>
      </c>
      <c r="B1" s="246"/>
      <c r="C1" s="246"/>
      <c r="D1" s="246"/>
    </row>
    <row r="2" spans="1:6" s="204" customFormat="1" ht="18.75" customHeight="1" x14ac:dyDescent="0.2">
      <c r="A2" s="928" t="s">
        <v>65</v>
      </c>
      <c r="B2" s="930" t="s">
        <v>186</v>
      </c>
      <c r="C2" s="931"/>
      <c r="D2" s="931"/>
      <c r="E2" s="931"/>
      <c r="F2" s="932"/>
    </row>
    <row r="3" spans="1:6" s="204" customFormat="1" ht="18" customHeight="1" x14ac:dyDescent="0.2">
      <c r="A3" s="929"/>
      <c r="B3" s="239" t="s">
        <v>187</v>
      </c>
      <c r="C3" s="239" t="s">
        <v>188</v>
      </c>
      <c r="D3" s="239" t="s">
        <v>39</v>
      </c>
      <c r="E3" s="239" t="s">
        <v>189</v>
      </c>
      <c r="F3" s="239" t="s">
        <v>185</v>
      </c>
    </row>
    <row r="4" spans="1:6" s="204" customFormat="1" ht="18" customHeight="1" x14ac:dyDescent="0.2">
      <c r="A4" s="213" t="s">
        <v>73</v>
      </c>
      <c r="B4" s="215">
        <v>0</v>
      </c>
      <c r="C4" s="215">
        <v>0</v>
      </c>
      <c r="D4" s="215">
        <v>0</v>
      </c>
      <c r="E4" s="215">
        <v>0</v>
      </c>
      <c r="F4" s="215">
        <v>100</v>
      </c>
    </row>
    <row r="5" spans="1:6" s="204" customFormat="1" ht="18" customHeight="1" x14ac:dyDescent="0.2">
      <c r="A5" s="213" t="s">
        <v>76</v>
      </c>
      <c r="B5" s="215">
        <v>0</v>
      </c>
      <c r="C5" s="215">
        <v>0</v>
      </c>
      <c r="D5" s="215">
        <v>0</v>
      </c>
      <c r="E5" s="215">
        <v>0</v>
      </c>
      <c r="F5" s="215">
        <v>100</v>
      </c>
    </row>
    <row r="6" spans="1:6" s="204" customFormat="1" ht="18" customHeight="1" x14ac:dyDescent="0.2">
      <c r="A6" s="213" t="s">
        <v>75</v>
      </c>
      <c r="B6" s="215">
        <v>0</v>
      </c>
      <c r="C6" s="215">
        <v>0</v>
      </c>
      <c r="D6" s="215">
        <v>0</v>
      </c>
      <c r="E6" s="215">
        <v>0</v>
      </c>
      <c r="F6" s="215">
        <v>100</v>
      </c>
    </row>
    <row r="7" spans="1:6" s="204" customFormat="1" ht="18" customHeight="1" x14ac:dyDescent="0.2">
      <c r="A7" s="213" t="s">
        <v>74</v>
      </c>
      <c r="B7" s="215">
        <v>0</v>
      </c>
      <c r="C7" s="215">
        <v>0</v>
      </c>
      <c r="D7" s="215">
        <v>0</v>
      </c>
      <c r="E7" s="215">
        <v>0</v>
      </c>
      <c r="F7" s="215">
        <v>0</v>
      </c>
    </row>
    <row r="8" spans="1:6" s="204" customFormat="1" ht="18" customHeight="1" x14ac:dyDescent="0.2">
      <c r="A8" s="213" t="s">
        <v>849</v>
      </c>
      <c r="B8" s="215">
        <v>0</v>
      </c>
      <c r="C8" s="215">
        <v>0</v>
      </c>
      <c r="D8" s="215">
        <v>0</v>
      </c>
      <c r="E8" s="215">
        <v>0</v>
      </c>
      <c r="F8" s="215">
        <v>100</v>
      </c>
    </row>
    <row r="9" spans="1:6" s="204" customFormat="1" ht="18" customHeight="1" x14ac:dyDescent="0.2">
      <c r="A9" s="429" t="s">
        <v>1083</v>
      </c>
      <c r="B9" s="428"/>
      <c r="C9" s="428"/>
      <c r="D9" s="428"/>
      <c r="E9" s="428"/>
      <c r="F9" s="428"/>
    </row>
    <row r="10" spans="1:6" s="204" customFormat="1" ht="18" customHeight="1" x14ac:dyDescent="0.2">
      <c r="A10" s="933" t="s">
        <v>842</v>
      </c>
      <c r="B10" s="934"/>
      <c r="C10" s="934"/>
      <c r="D10" s="934"/>
      <c r="E10" s="934"/>
      <c r="F10" s="935"/>
    </row>
    <row r="11" spans="1:6" s="204" customFormat="1" ht="18" customHeight="1" x14ac:dyDescent="0.2">
      <c r="A11" s="936" t="s">
        <v>193</v>
      </c>
      <c r="B11" s="937"/>
      <c r="C11" s="937"/>
      <c r="D11" s="937"/>
      <c r="E11" s="937"/>
      <c r="F11" s="938"/>
    </row>
    <row r="12" spans="1:6" s="204" customFormat="1" ht="28.35" customHeight="1" x14ac:dyDescent="0.2"/>
  </sheetData>
  <mergeCells count="4">
    <mergeCell ref="A2:A3"/>
    <mergeCell ref="B2:F2"/>
    <mergeCell ref="A10:F10"/>
    <mergeCell ref="A11:F11"/>
  </mergeCells>
  <pageMargins left="0.78431372549019618" right="0.78431372549019618" top="0.98039215686274517" bottom="0.98039215686274517" header="0.50980392156862753" footer="0.50980392156862753"/>
  <pageSetup paperSize="9" orientation="portrait" useFirstPageNumber="1"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39"/>
  <sheetViews>
    <sheetView zoomScaleNormal="100" workbookViewId="0">
      <selection sqref="A1:XFD1048576"/>
    </sheetView>
  </sheetViews>
  <sheetFormatPr defaultRowHeight="12.75" x14ac:dyDescent="0.2"/>
  <cols>
    <col min="1" max="1" width="6.42578125" bestFit="1" customWidth="1"/>
    <col min="2" max="2" width="20.7109375" bestFit="1" customWidth="1"/>
    <col min="3" max="3" width="10" bestFit="1" customWidth="1"/>
    <col min="4" max="4" width="13.85546875" bestFit="1" customWidth="1"/>
    <col min="5" max="5" width="7.7109375" bestFit="1" customWidth="1"/>
    <col min="6" max="7" width="6" bestFit="1" customWidth="1"/>
    <col min="8" max="8" width="9.7109375" bestFit="1" customWidth="1"/>
    <col min="9" max="9" width="10.7109375" bestFit="1" customWidth="1"/>
    <col min="10" max="10" width="10" bestFit="1" customWidth="1"/>
    <col min="11" max="11" width="35.140625" bestFit="1" customWidth="1"/>
    <col min="12" max="12" width="4.7109375" bestFit="1" customWidth="1"/>
  </cols>
  <sheetData>
    <row r="1" spans="1:11" ht="15.75" customHeight="1" x14ac:dyDescent="0.2">
      <c r="A1" s="798" t="s">
        <v>986</v>
      </c>
      <c r="B1" s="798"/>
      <c r="C1" s="798"/>
      <c r="D1" s="798"/>
      <c r="E1" s="798"/>
      <c r="F1" s="798"/>
      <c r="G1" s="798"/>
      <c r="H1" s="798"/>
      <c r="I1" s="798"/>
      <c r="J1" s="798"/>
      <c r="K1" s="798"/>
    </row>
    <row r="2" spans="1:11" s="499" customFormat="1" ht="58.5" customHeight="1" x14ac:dyDescent="0.2">
      <c r="A2" s="500" t="s">
        <v>57</v>
      </c>
      <c r="B2" s="500" t="s">
        <v>194</v>
      </c>
      <c r="C2" s="586" t="s">
        <v>195</v>
      </c>
      <c r="D2" s="586" t="s">
        <v>196</v>
      </c>
      <c r="E2" s="500" t="s">
        <v>958</v>
      </c>
      <c r="F2" s="500" t="s">
        <v>197</v>
      </c>
      <c r="G2" s="587" t="s">
        <v>1075</v>
      </c>
      <c r="H2" s="588" t="s">
        <v>959</v>
      </c>
      <c r="I2" s="588" t="s">
        <v>960</v>
      </c>
      <c r="J2" s="588" t="s">
        <v>961</v>
      </c>
    </row>
    <row r="3" spans="1:11" s="499" customFormat="1" ht="15" customHeight="1" x14ac:dyDescent="0.2">
      <c r="A3" s="589">
        <v>1</v>
      </c>
      <c r="B3" s="590" t="s">
        <v>198</v>
      </c>
      <c r="C3" s="591">
        <v>6339.4</v>
      </c>
      <c r="D3" s="592">
        <v>539371.31000000006</v>
      </c>
      <c r="E3" s="593">
        <v>14.41</v>
      </c>
      <c r="F3" s="594">
        <v>1.05</v>
      </c>
      <c r="G3" s="594">
        <v>0.56000000000000005</v>
      </c>
      <c r="H3" s="594">
        <v>2.89</v>
      </c>
      <c r="I3" s="594">
        <v>16.25</v>
      </c>
      <c r="J3" s="594">
        <v>0.06</v>
      </c>
    </row>
    <row r="4" spans="1:11" s="499" customFormat="1" ht="15" customHeight="1" x14ac:dyDescent="0.2">
      <c r="A4" s="589">
        <v>2</v>
      </c>
      <c r="B4" s="590" t="s">
        <v>199</v>
      </c>
      <c r="C4" s="591">
        <v>549.03</v>
      </c>
      <c r="D4" s="592">
        <v>451728.34</v>
      </c>
      <c r="E4" s="593">
        <v>12.07</v>
      </c>
      <c r="F4" s="594">
        <v>1.1599999999999999</v>
      </c>
      <c r="G4" s="594">
        <v>0.22</v>
      </c>
      <c r="H4" s="594">
        <v>5.07</v>
      </c>
      <c r="I4" s="594">
        <v>12.03</v>
      </c>
      <c r="J4" s="594">
        <v>0.2</v>
      </c>
    </row>
    <row r="5" spans="1:11" s="499" customFormat="1" ht="15" customHeight="1" x14ac:dyDescent="0.2">
      <c r="A5" s="589">
        <v>3</v>
      </c>
      <c r="B5" s="590" t="s">
        <v>200</v>
      </c>
      <c r="C5" s="591">
        <v>346.92</v>
      </c>
      <c r="D5" s="592">
        <v>301405.18</v>
      </c>
      <c r="E5" s="593">
        <v>8.0500000000000007</v>
      </c>
      <c r="F5" s="594">
        <v>1.22</v>
      </c>
      <c r="G5" s="594">
        <v>0.7</v>
      </c>
      <c r="H5" s="594">
        <v>2.98</v>
      </c>
      <c r="I5" s="594">
        <v>5.74</v>
      </c>
      <c r="J5" s="594">
        <v>0.09</v>
      </c>
    </row>
    <row r="6" spans="1:11" s="499" customFormat="1" ht="15" customHeight="1" x14ac:dyDescent="0.2">
      <c r="A6" s="589">
        <v>4</v>
      </c>
      <c r="B6" s="590" t="s">
        <v>201</v>
      </c>
      <c r="C6" s="591">
        <v>2129.58</v>
      </c>
      <c r="D6" s="592">
        <v>274982.76</v>
      </c>
      <c r="E6" s="593">
        <v>7.35</v>
      </c>
      <c r="F6" s="594">
        <v>0.8</v>
      </c>
      <c r="G6" s="594">
        <v>0.37</v>
      </c>
      <c r="H6" s="594">
        <v>2.69</v>
      </c>
      <c r="I6" s="594">
        <v>6.44</v>
      </c>
      <c r="J6" s="594">
        <v>0.13</v>
      </c>
    </row>
    <row r="7" spans="1:11" s="499" customFormat="1" ht="15" customHeight="1" x14ac:dyDescent="0.2">
      <c r="A7" s="589">
        <v>5</v>
      </c>
      <c r="B7" s="590" t="s">
        <v>202</v>
      </c>
      <c r="C7" s="591">
        <v>1295.2</v>
      </c>
      <c r="D7" s="592">
        <v>225439.54</v>
      </c>
      <c r="E7" s="593">
        <v>6.02</v>
      </c>
      <c r="F7" s="594">
        <v>1.4</v>
      </c>
      <c r="G7" s="594">
        <v>0.74</v>
      </c>
      <c r="H7" s="594">
        <v>3.32</v>
      </c>
      <c r="I7" s="594">
        <v>5.83</v>
      </c>
      <c r="J7" s="594">
        <v>0.16</v>
      </c>
    </row>
    <row r="8" spans="1:11" s="499" customFormat="1" ht="15" customHeight="1" x14ac:dyDescent="0.2">
      <c r="A8" s="589">
        <v>6</v>
      </c>
      <c r="B8" s="590" t="s">
        <v>203</v>
      </c>
      <c r="C8" s="591">
        <v>375.24</v>
      </c>
      <c r="D8" s="592">
        <v>218770.05</v>
      </c>
      <c r="E8" s="593">
        <v>5.84</v>
      </c>
      <c r="F8" s="594">
        <v>0.66</v>
      </c>
      <c r="G8" s="594">
        <v>0.38</v>
      </c>
      <c r="H8" s="594">
        <v>2.19</v>
      </c>
      <c r="I8" s="594">
        <v>5.61</v>
      </c>
      <c r="J8" s="594">
        <v>0.08</v>
      </c>
    </row>
    <row r="9" spans="1:11" s="499" customFormat="1" ht="15" customHeight="1" x14ac:dyDescent="0.2">
      <c r="A9" s="589">
        <v>7</v>
      </c>
      <c r="B9" s="590" t="s">
        <v>204</v>
      </c>
      <c r="C9" s="591">
        <v>234.96</v>
      </c>
      <c r="D9" s="592">
        <v>194680.73</v>
      </c>
      <c r="E9" s="593">
        <v>5.2</v>
      </c>
      <c r="F9" s="594">
        <v>0.65</v>
      </c>
      <c r="G9" s="594">
        <v>0.37</v>
      </c>
      <c r="H9" s="594">
        <v>2.19</v>
      </c>
      <c r="I9" s="594">
        <v>6.02</v>
      </c>
      <c r="J9" s="594">
        <v>0.09</v>
      </c>
    </row>
    <row r="10" spans="1:11" s="499" customFormat="1" ht="15" customHeight="1" x14ac:dyDescent="0.2">
      <c r="A10" s="589">
        <v>8</v>
      </c>
      <c r="B10" s="590" t="s">
        <v>206</v>
      </c>
      <c r="C10" s="591">
        <v>989.4</v>
      </c>
      <c r="D10" s="592">
        <v>166828.22</v>
      </c>
      <c r="E10" s="593">
        <v>4.46</v>
      </c>
      <c r="F10" s="594">
        <v>1.07</v>
      </c>
      <c r="G10" s="594">
        <v>0.62</v>
      </c>
      <c r="H10" s="594">
        <v>2.79</v>
      </c>
      <c r="I10" s="594">
        <v>11.12</v>
      </c>
      <c r="J10" s="594">
        <v>0.14000000000000001</v>
      </c>
    </row>
    <row r="11" spans="1:11" s="499" customFormat="1" ht="15" customHeight="1" x14ac:dyDescent="0.2">
      <c r="A11" s="589">
        <v>9</v>
      </c>
      <c r="B11" s="590" t="s">
        <v>205</v>
      </c>
      <c r="C11" s="591">
        <v>1229.22</v>
      </c>
      <c r="D11" s="592">
        <v>165861.73000000001</v>
      </c>
      <c r="E11" s="593">
        <v>4.43</v>
      </c>
      <c r="F11" s="594">
        <v>0.66</v>
      </c>
      <c r="G11" s="594">
        <v>0.3</v>
      </c>
      <c r="H11" s="594">
        <v>2.4500000000000002</v>
      </c>
      <c r="I11" s="594">
        <v>-1.44</v>
      </c>
      <c r="J11" s="594">
        <v>0.12</v>
      </c>
    </row>
    <row r="12" spans="1:11" s="499" customFormat="1" ht="15" customHeight="1" x14ac:dyDescent="0.2">
      <c r="A12" s="589">
        <v>10</v>
      </c>
      <c r="B12" s="590" t="s">
        <v>208</v>
      </c>
      <c r="C12" s="591">
        <v>2727.78</v>
      </c>
      <c r="D12" s="592">
        <v>134340.91</v>
      </c>
      <c r="E12" s="593">
        <v>3.59</v>
      </c>
      <c r="F12" s="594">
        <v>0.77</v>
      </c>
      <c r="G12" s="594">
        <v>0.3</v>
      </c>
      <c r="H12" s="594">
        <v>2.87</v>
      </c>
      <c r="I12" s="594">
        <v>1.31</v>
      </c>
      <c r="J12" s="594">
        <v>0.09</v>
      </c>
    </row>
    <row r="13" spans="1:11" s="499" customFormat="1" ht="15" customHeight="1" x14ac:dyDescent="0.2">
      <c r="A13" s="589">
        <v>11</v>
      </c>
      <c r="B13" s="590" t="s">
        <v>207</v>
      </c>
      <c r="C13" s="591">
        <v>280.8</v>
      </c>
      <c r="D13" s="592">
        <v>115030.13</v>
      </c>
      <c r="E13" s="593">
        <v>3.07</v>
      </c>
      <c r="F13" s="594">
        <v>1.01</v>
      </c>
      <c r="G13" s="594">
        <v>0.62</v>
      </c>
      <c r="H13" s="594">
        <v>2.62</v>
      </c>
      <c r="I13" s="594">
        <v>1.26</v>
      </c>
      <c r="J13" s="594">
        <v>0.1</v>
      </c>
    </row>
    <row r="14" spans="1:11" s="499" customFormat="1" ht="15" customHeight="1" x14ac:dyDescent="0.2">
      <c r="A14" s="589">
        <v>12</v>
      </c>
      <c r="B14" s="590" t="s">
        <v>209</v>
      </c>
      <c r="C14" s="591">
        <v>564.4</v>
      </c>
      <c r="D14" s="591">
        <v>92819.94</v>
      </c>
      <c r="E14" s="593">
        <v>2.48</v>
      </c>
      <c r="F14" s="594">
        <v>1.56</v>
      </c>
      <c r="G14" s="594">
        <v>0.66</v>
      </c>
      <c r="H14" s="594">
        <v>3.92</v>
      </c>
      <c r="I14" s="594">
        <v>6.08</v>
      </c>
      <c r="J14" s="594">
        <v>0.1</v>
      </c>
    </row>
    <row r="15" spans="1:11" s="499" customFormat="1" ht="15" customHeight="1" x14ac:dyDescent="0.2">
      <c r="A15" s="589">
        <v>13</v>
      </c>
      <c r="B15" s="590" t="s">
        <v>211</v>
      </c>
      <c r="C15" s="591">
        <v>151.04</v>
      </c>
      <c r="D15" s="591">
        <v>77610.509999999995</v>
      </c>
      <c r="E15" s="593">
        <v>2.0699999999999998</v>
      </c>
      <c r="F15" s="594">
        <v>1.1599999999999999</v>
      </c>
      <c r="G15" s="594">
        <v>0.56999999999999995</v>
      </c>
      <c r="H15" s="594">
        <v>3.15</v>
      </c>
      <c r="I15" s="594">
        <v>4.05</v>
      </c>
      <c r="J15" s="594">
        <v>7.0000000000000007E-2</v>
      </c>
    </row>
    <row r="16" spans="1:11" s="499" customFormat="1" ht="15" customHeight="1" x14ac:dyDescent="0.2">
      <c r="A16" s="589">
        <v>14</v>
      </c>
      <c r="B16" s="590" t="s">
        <v>210</v>
      </c>
      <c r="C16" s="591">
        <v>95.92</v>
      </c>
      <c r="D16" s="591">
        <v>76069.63</v>
      </c>
      <c r="E16" s="593">
        <v>2.0299999999999998</v>
      </c>
      <c r="F16" s="594">
        <v>0.73</v>
      </c>
      <c r="G16" s="594">
        <v>0.45</v>
      </c>
      <c r="H16" s="594">
        <v>2.21</v>
      </c>
      <c r="I16" s="594">
        <v>0.18</v>
      </c>
      <c r="J16" s="594">
        <v>0.11</v>
      </c>
    </row>
    <row r="17" spans="1:10" s="499" customFormat="1" ht="15" customHeight="1" x14ac:dyDescent="0.2">
      <c r="A17" s="589">
        <v>15</v>
      </c>
      <c r="B17" s="590" t="s">
        <v>216</v>
      </c>
      <c r="C17" s="591">
        <v>120.35</v>
      </c>
      <c r="D17" s="591">
        <v>69786.84</v>
      </c>
      <c r="E17" s="593">
        <v>1.86</v>
      </c>
      <c r="F17" s="594">
        <v>1.51</v>
      </c>
      <c r="G17" s="594">
        <v>0.61</v>
      </c>
      <c r="H17" s="594">
        <v>3.96</v>
      </c>
      <c r="I17" s="594">
        <v>44.87</v>
      </c>
      <c r="J17" s="594">
        <v>0.22</v>
      </c>
    </row>
    <row r="18" spans="1:10" s="499" customFormat="1" ht="15" customHeight="1" x14ac:dyDescent="0.2">
      <c r="A18" s="589">
        <v>16</v>
      </c>
      <c r="B18" s="590" t="s">
        <v>213</v>
      </c>
      <c r="C18" s="591">
        <v>892.46</v>
      </c>
      <c r="D18" s="591">
        <v>66870.149999999994</v>
      </c>
      <c r="E18" s="593">
        <v>1.79</v>
      </c>
      <c r="F18" s="594">
        <v>1.17</v>
      </c>
      <c r="G18" s="594">
        <v>0.57999999999999996</v>
      </c>
      <c r="H18" s="594">
        <v>3.15</v>
      </c>
      <c r="I18" s="594">
        <v>11.29</v>
      </c>
      <c r="J18" s="594">
        <v>0.13</v>
      </c>
    </row>
    <row r="19" spans="1:10" s="499" customFormat="1" ht="15" customHeight="1" x14ac:dyDescent="0.2">
      <c r="A19" s="589">
        <v>17</v>
      </c>
      <c r="B19" s="590" t="s">
        <v>212</v>
      </c>
      <c r="C19" s="591">
        <v>96.42</v>
      </c>
      <c r="D19" s="591">
        <v>61280.66</v>
      </c>
      <c r="E19" s="593">
        <v>1.64</v>
      </c>
      <c r="F19" s="594">
        <v>0.57999999999999996</v>
      </c>
      <c r="G19" s="594">
        <v>0.33</v>
      </c>
      <c r="H19" s="594">
        <v>2.09</v>
      </c>
      <c r="I19" s="594">
        <v>-2.0299999999999998</v>
      </c>
      <c r="J19" s="594">
        <v>0.11</v>
      </c>
    </row>
    <row r="20" spans="1:10" s="499" customFormat="1" ht="15" customHeight="1" x14ac:dyDescent="0.2">
      <c r="A20" s="589">
        <v>18</v>
      </c>
      <c r="B20" s="590" t="s">
        <v>214</v>
      </c>
      <c r="C20" s="591">
        <v>542.73</v>
      </c>
      <c r="D20" s="591">
        <v>60359.839999999997</v>
      </c>
      <c r="E20" s="593">
        <v>1.61</v>
      </c>
      <c r="F20" s="594">
        <v>0.71</v>
      </c>
      <c r="G20" s="594">
        <v>0.08</v>
      </c>
      <c r="H20" s="594">
        <v>4.9800000000000004</v>
      </c>
      <c r="I20" s="594">
        <v>1.07</v>
      </c>
      <c r="J20" s="594">
        <v>0.11</v>
      </c>
    </row>
    <row r="21" spans="1:10" s="499" customFormat="1" ht="15" customHeight="1" x14ac:dyDescent="0.2">
      <c r="A21" s="589">
        <v>19</v>
      </c>
      <c r="B21" s="590" t="s">
        <v>215</v>
      </c>
      <c r="C21" s="591">
        <v>239.93</v>
      </c>
      <c r="D21" s="591">
        <v>51062.55</v>
      </c>
      <c r="E21" s="593">
        <v>1.36</v>
      </c>
      <c r="F21" s="594">
        <v>0.56000000000000005</v>
      </c>
      <c r="G21" s="594">
        <v>0.23</v>
      </c>
      <c r="H21" s="594">
        <v>2.42</v>
      </c>
      <c r="I21" s="594">
        <v>-0.53</v>
      </c>
      <c r="J21" s="594">
        <v>0.17</v>
      </c>
    </row>
    <row r="22" spans="1:10" s="499" customFormat="1" ht="15" customHeight="1" x14ac:dyDescent="0.2">
      <c r="A22" s="589">
        <v>20</v>
      </c>
      <c r="B22" s="590" t="s">
        <v>218</v>
      </c>
      <c r="C22" s="591">
        <v>621.6</v>
      </c>
      <c r="D22" s="591">
        <v>48847.519999999997</v>
      </c>
      <c r="E22" s="593">
        <v>1.31</v>
      </c>
      <c r="F22" s="594">
        <v>1</v>
      </c>
      <c r="G22" s="594">
        <v>0.44</v>
      </c>
      <c r="H22" s="594">
        <v>3.07</v>
      </c>
      <c r="I22" s="594">
        <v>17.03</v>
      </c>
      <c r="J22" s="594">
        <v>0.09</v>
      </c>
    </row>
    <row r="23" spans="1:10" s="499" customFormat="1" ht="15" customHeight="1" x14ac:dyDescent="0.2">
      <c r="A23" s="589">
        <v>21</v>
      </c>
      <c r="B23" s="590" t="s">
        <v>217</v>
      </c>
      <c r="C23" s="591">
        <v>288.63</v>
      </c>
      <c r="D23" s="591">
        <v>43839.1</v>
      </c>
      <c r="E23" s="593">
        <v>1.17</v>
      </c>
      <c r="F23" s="594">
        <v>0.96</v>
      </c>
      <c r="G23" s="594">
        <v>0.56999999999999995</v>
      </c>
      <c r="H23" s="594">
        <v>2.6</v>
      </c>
      <c r="I23" s="594">
        <v>-0.18</v>
      </c>
      <c r="J23" s="594">
        <v>0.08</v>
      </c>
    </row>
    <row r="24" spans="1:10" s="499" customFormat="1" ht="15" customHeight="1" x14ac:dyDescent="0.2">
      <c r="A24" s="589">
        <v>22</v>
      </c>
      <c r="B24" s="590" t="s">
        <v>221</v>
      </c>
      <c r="C24" s="591">
        <v>5231.59</v>
      </c>
      <c r="D24" s="591">
        <v>41175.230000000003</v>
      </c>
      <c r="E24" s="593">
        <v>1.1000000000000001</v>
      </c>
      <c r="F24" s="594">
        <v>0.53</v>
      </c>
      <c r="G24" s="594">
        <v>0.26</v>
      </c>
      <c r="H24" s="594">
        <v>2.1</v>
      </c>
      <c r="I24" s="594">
        <v>11.01</v>
      </c>
      <c r="J24" s="594">
        <v>0.12</v>
      </c>
    </row>
    <row r="25" spans="1:10" s="499" customFormat="1" ht="15" customHeight="1" x14ac:dyDescent="0.2">
      <c r="A25" s="589">
        <v>23</v>
      </c>
      <c r="B25" s="590" t="s">
        <v>219</v>
      </c>
      <c r="C25" s="591">
        <v>9894.56</v>
      </c>
      <c r="D25" s="591">
        <v>40780.92</v>
      </c>
      <c r="E25" s="593">
        <v>1.0900000000000001</v>
      </c>
      <c r="F25" s="594">
        <v>0.64</v>
      </c>
      <c r="G25" s="594">
        <v>0.35</v>
      </c>
      <c r="H25" s="594">
        <v>2.2200000000000002</v>
      </c>
      <c r="I25" s="594">
        <v>-1.94</v>
      </c>
      <c r="J25" s="594">
        <v>0.12</v>
      </c>
    </row>
    <row r="26" spans="1:10" s="499" customFormat="1" ht="15" customHeight="1" x14ac:dyDescent="0.2">
      <c r="A26" s="589">
        <v>24</v>
      </c>
      <c r="B26" s="590" t="s">
        <v>220</v>
      </c>
      <c r="C26" s="591">
        <v>88.78</v>
      </c>
      <c r="D26" s="591">
        <v>39641.730000000003</v>
      </c>
      <c r="E26" s="593">
        <v>1.06</v>
      </c>
      <c r="F26" s="594">
        <v>0.9</v>
      </c>
      <c r="G26" s="594">
        <v>0.44</v>
      </c>
      <c r="H26" s="594">
        <v>2.78</v>
      </c>
      <c r="I26" s="594">
        <v>6.68</v>
      </c>
      <c r="J26" s="594">
        <v>0.12</v>
      </c>
    </row>
    <row r="27" spans="1:10" s="499" customFormat="1" ht="15" customHeight="1" x14ac:dyDescent="0.2">
      <c r="A27" s="589">
        <v>25</v>
      </c>
      <c r="B27" s="590" t="s">
        <v>222</v>
      </c>
      <c r="C27" s="591">
        <v>289.37</v>
      </c>
      <c r="D27" s="591">
        <v>36793.72</v>
      </c>
      <c r="E27" s="593">
        <v>0.98</v>
      </c>
      <c r="F27" s="594">
        <v>0.83</v>
      </c>
      <c r="G27" s="594">
        <v>0.5</v>
      </c>
      <c r="H27" s="594">
        <v>2.41</v>
      </c>
      <c r="I27" s="594">
        <v>4.1900000000000004</v>
      </c>
      <c r="J27" s="594">
        <v>0.12</v>
      </c>
    </row>
    <row r="28" spans="1:10" s="499" customFormat="1" ht="15" customHeight="1" x14ac:dyDescent="0.2">
      <c r="A28" s="589">
        <v>26</v>
      </c>
      <c r="B28" s="590" t="s">
        <v>855</v>
      </c>
      <c r="C28" s="591">
        <v>79.569999999999993</v>
      </c>
      <c r="D28" s="591">
        <v>35316.17</v>
      </c>
      <c r="E28" s="593">
        <v>0.94</v>
      </c>
      <c r="F28" s="594">
        <v>1.39</v>
      </c>
      <c r="G28" s="594">
        <v>0.62</v>
      </c>
      <c r="H28" s="594">
        <v>3.62</v>
      </c>
      <c r="I28" s="594">
        <v>32.520000000000003</v>
      </c>
      <c r="J28" s="594">
        <v>0.26</v>
      </c>
    </row>
    <row r="29" spans="1:10" s="499" customFormat="1" ht="15" customHeight="1" x14ac:dyDescent="0.2">
      <c r="A29" s="589">
        <v>27</v>
      </c>
      <c r="B29" s="590" t="s">
        <v>223</v>
      </c>
      <c r="C29" s="591">
        <v>483.09</v>
      </c>
      <c r="D29" s="591">
        <v>33517.870000000003</v>
      </c>
      <c r="E29" s="593">
        <v>0.9</v>
      </c>
      <c r="F29" s="594">
        <v>0.78</v>
      </c>
      <c r="G29" s="594">
        <v>0.41</v>
      </c>
      <c r="H29" s="594">
        <v>2.5</v>
      </c>
      <c r="I29" s="594">
        <v>2.46</v>
      </c>
      <c r="J29" s="594">
        <v>0.13</v>
      </c>
    </row>
    <row r="30" spans="1:10" s="499" customFormat="1" ht="15" customHeight="1" x14ac:dyDescent="0.2">
      <c r="A30" s="589">
        <v>28</v>
      </c>
      <c r="B30" s="590" t="s">
        <v>226</v>
      </c>
      <c r="C30" s="591">
        <v>693.57</v>
      </c>
      <c r="D30" s="591">
        <v>28614.03</v>
      </c>
      <c r="E30" s="593">
        <v>0.76</v>
      </c>
      <c r="F30" s="594">
        <v>1.66</v>
      </c>
      <c r="G30" s="594">
        <v>0.4</v>
      </c>
      <c r="H30" s="594">
        <v>5.36</v>
      </c>
      <c r="I30" s="594">
        <v>20.68</v>
      </c>
      <c r="J30" s="594">
        <v>0.13</v>
      </c>
    </row>
    <row r="31" spans="1:10" s="499" customFormat="1" ht="15" customHeight="1" x14ac:dyDescent="0.2">
      <c r="A31" s="589">
        <v>29</v>
      </c>
      <c r="B31" s="590" t="s">
        <v>225</v>
      </c>
      <c r="C31" s="591">
        <v>6290.14</v>
      </c>
      <c r="D31" s="591">
        <v>25600.87</v>
      </c>
      <c r="E31" s="593">
        <v>0.68</v>
      </c>
      <c r="F31" s="594">
        <v>1.05</v>
      </c>
      <c r="G31" s="594">
        <v>0.4</v>
      </c>
      <c r="H31" s="594">
        <v>3.38</v>
      </c>
      <c r="I31" s="594">
        <v>-2.16</v>
      </c>
      <c r="J31" s="594">
        <v>0.17</v>
      </c>
    </row>
    <row r="32" spans="1:10" s="499" customFormat="1" ht="15" customHeight="1" x14ac:dyDescent="0.2">
      <c r="A32" s="589">
        <v>30</v>
      </c>
      <c r="B32" s="590" t="s">
        <v>227</v>
      </c>
      <c r="C32" s="591">
        <v>1145.9000000000001</v>
      </c>
      <c r="D32" s="591">
        <v>24656.46</v>
      </c>
      <c r="E32" s="593">
        <v>0.66</v>
      </c>
      <c r="F32" s="594">
        <v>1.1100000000000001</v>
      </c>
      <c r="G32" s="594">
        <v>0.5</v>
      </c>
      <c r="H32" s="594">
        <v>3.21</v>
      </c>
      <c r="I32" s="594">
        <v>10.65</v>
      </c>
      <c r="J32" s="594">
        <v>0.18</v>
      </c>
    </row>
    <row r="33" spans="1:10" s="499" customFormat="1" ht="24.75" customHeight="1" x14ac:dyDescent="0.2">
      <c r="A33" s="914" t="s">
        <v>1087</v>
      </c>
      <c r="B33" s="915"/>
      <c r="C33" s="915"/>
      <c r="D33" s="915"/>
      <c r="E33" s="915"/>
      <c r="F33" s="915"/>
      <c r="G33" s="915"/>
      <c r="H33" s="915"/>
      <c r="I33" s="915"/>
      <c r="J33" s="916"/>
    </row>
    <row r="34" spans="1:10" s="499" customFormat="1" ht="24" customHeight="1" x14ac:dyDescent="0.2">
      <c r="A34" s="914" t="s">
        <v>1076</v>
      </c>
      <c r="B34" s="915"/>
      <c r="C34" s="915"/>
      <c r="D34" s="915"/>
      <c r="E34" s="915"/>
      <c r="F34" s="915"/>
      <c r="G34" s="915"/>
      <c r="H34" s="915"/>
      <c r="I34" s="915"/>
      <c r="J34" s="916"/>
    </row>
    <row r="35" spans="1:10" s="499" customFormat="1" ht="13.5" customHeight="1" x14ac:dyDescent="0.2">
      <c r="A35" s="914" t="s">
        <v>228</v>
      </c>
      <c r="B35" s="915"/>
      <c r="C35" s="915"/>
      <c r="D35" s="915"/>
      <c r="E35" s="915"/>
      <c r="F35" s="915"/>
      <c r="G35" s="915"/>
      <c r="H35" s="915"/>
      <c r="I35" s="915"/>
      <c r="J35" s="916"/>
    </row>
    <row r="36" spans="1:10" s="499" customFormat="1" ht="24" customHeight="1" x14ac:dyDescent="0.2">
      <c r="A36" s="914" t="s">
        <v>229</v>
      </c>
      <c r="B36" s="915"/>
      <c r="C36" s="915"/>
      <c r="D36" s="915"/>
      <c r="E36" s="915"/>
      <c r="F36" s="915"/>
      <c r="G36" s="915"/>
      <c r="H36" s="915"/>
      <c r="I36" s="915"/>
      <c r="J36" s="916"/>
    </row>
    <row r="37" spans="1:10" s="499" customFormat="1" ht="13.5" customHeight="1" x14ac:dyDescent="0.2">
      <c r="A37" s="914" t="s">
        <v>230</v>
      </c>
      <c r="B37" s="915"/>
      <c r="C37" s="915"/>
      <c r="D37" s="915"/>
      <c r="E37" s="915"/>
      <c r="F37" s="915"/>
      <c r="G37" s="915"/>
      <c r="H37" s="915"/>
      <c r="I37" s="915"/>
      <c r="J37" s="916"/>
    </row>
    <row r="38" spans="1:10" s="499" customFormat="1" ht="13.5" customHeight="1" x14ac:dyDescent="0.2">
      <c r="A38" s="917" t="s">
        <v>190</v>
      </c>
      <c r="B38" s="918"/>
      <c r="C38" s="918"/>
      <c r="D38" s="918"/>
      <c r="E38" s="918"/>
      <c r="F38" s="918"/>
      <c r="G38" s="918"/>
      <c r="H38" s="918"/>
      <c r="I38" s="918"/>
      <c r="J38" s="919"/>
    </row>
    <row r="39" spans="1:10" s="499" customFormat="1" ht="27.6" customHeight="1" x14ac:dyDescent="0.2"/>
  </sheetData>
  <mergeCells count="7">
    <mergeCell ref="A38:J38"/>
    <mergeCell ref="A1:K1"/>
    <mergeCell ref="A33:J33"/>
    <mergeCell ref="A34:J34"/>
    <mergeCell ref="A35:J35"/>
    <mergeCell ref="A36:J36"/>
    <mergeCell ref="A37:J37"/>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59"/>
  <sheetViews>
    <sheetView zoomScaleNormal="100" workbookViewId="0">
      <selection sqref="A1:XFD1048576"/>
    </sheetView>
  </sheetViews>
  <sheetFormatPr defaultRowHeight="12.75" x14ac:dyDescent="0.2"/>
  <cols>
    <col min="1" max="1" width="6.42578125" bestFit="1" customWidth="1"/>
    <col min="2" max="2" width="20.7109375" bestFit="1" customWidth="1"/>
    <col min="3" max="3" width="14.7109375" bestFit="1" customWidth="1"/>
    <col min="4" max="4" width="13.85546875" bestFit="1" customWidth="1"/>
    <col min="5" max="5" width="7.7109375" bestFit="1" customWidth="1"/>
    <col min="6" max="7" width="6" bestFit="1" customWidth="1"/>
    <col min="8" max="8" width="9.7109375" bestFit="1" customWidth="1"/>
    <col min="9" max="9" width="10.7109375" bestFit="1" customWidth="1"/>
    <col min="10" max="10" width="10" bestFit="1" customWidth="1"/>
    <col min="11" max="11" width="30.42578125" bestFit="1" customWidth="1"/>
    <col min="12" max="12" width="4.7109375" bestFit="1" customWidth="1"/>
  </cols>
  <sheetData>
    <row r="1" spans="1:11" ht="17.25" customHeight="1" x14ac:dyDescent="0.2">
      <c r="A1" s="798" t="s">
        <v>987</v>
      </c>
      <c r="B1" s="798"/>
      <c r="C1" s="798"/>
      <c r="D1" s="798"/>
      <c r="E1" s="798"/>
      <c r="F1" s="798"/>
      <c r="G1" s="798"/>
      <c r="H1" s="798"/>
      <c r="I1" s="798"/>
      <c r="J1" s="798"/>
      <c r="K1" s="798"/>
    </row>
    <row r="2" spans="1:11" s="499" customFormat="1" ht="58.5" customHeight="1" x14ac:dyDescent="0.2">
      <c r="A2" s="500" t="s">
        <v>231</v>
      </c>
      <c r="B2" s="500" t="s">
        <v>194</v>
      </c>
      <c r="C2" s="586" t="s">
        <v>1064</v>
      </c>
      <c r="D2" s="586" t="s">
        <v>196</v>
      </c>
      <c r="E2" s="500" t="s">
        <v>958</v>
      </c>
      <c r="F2" s="500" t="s">
        <v>197</v>
      </c>
      <c r="G2" s="587" t="s">
        <v>1075</v>
      </c>
      <c r="H2" s="588" t="s">
        <v>959</v>
      </c>
      <c r="I2" s="588" t="s">
        <v>960</v>
      </c>
      <c r="J2" s="588" t="s">
        <v>961</v>
      </c>
    </row>
    <row r="3" spans="1:11" s="499" customFormat="1" ht="27" customHeight="1" x14ac:dyDescent="0.2">
      <c r="A3" s="589">
        <v>1</v>
      </c>
      <c r="B3" s="590" t="s">
        <v>232</v>
      </c>
      <c r="C3" s="591">
        <v>6339.4</v>
      </c>
      <c r="D3" s="592">
        <v>540148.87</v>
      </c>
      <c r="E3" s="594">
        <v>12.45</v>
      </c>
      <c r="F3" s="594">
        <v>1.08</v>
      </c>
      <c r="G3" s="594">
        <v>0.55000000000000004</v>
      </c>
      <c r="H3" s="594">
        <v>2.0499999999999998</v>
      </c>
      <c r="I3" s="594">
        <v>16.37</v>
      </c>
      <c r="J3" s="594">
        <v>0.02</v>
      </c>
    </row>
    <row r="4" spans="1:11" s="499" customFormat="1" ht="15" customHeight="1" x14ac:dyDescent="0.2">
      <c r="A4" s="589">
        <v>2</v>
      </c>
      <c r="B4" s="590" t="s">
        <v>233</v>
      </c>
      <c r="C4" s="591">
        <v>548.63</v>
      </c>
      <c r="D4" s="592">
        <v>461960.05</v>
      </c>
      <c r="E4" s="594">
        <v>10.65</v>
      </c>
      <c r="F4" s="594">
        <v>1.08</v>
      </c>
      <c r="G4" s="594">
        <v>0.71</v>
      </c>
      <c r="H4" s="594">
        <v>2.25</v>
      </c>
      <c r="I4" s="594">
        <v>12</v>
      </c>
      <c r="J4" s="594">
        <v>0.03</v>
      </c>
    </row>
    <row r="5" spans="1:11" s="499" customFormat="1" ht="39" customHeight="1" x14ac:dyDescent="0.2">
      <c r="A5" s="589">
        <v>3</v>
      </c>
      <c r="B5" s="590" t="s">
        <v>234</v>
      </c>
      <c r="C5" s="591">
        <v>345.92</v>
      </c>
      <c r="D5" s="592">
        <v>303488.09999999998</v>
      </c>
      <c r="E5" s="594">
        <v>6.99</v>
      </c>
      <c r="F5" s="594">
        <v>1.24</v>
      </c>
      <c r="G5" s="594">
        <v>0.69</v>
      </c>
      <c r="H5" s="594">
        <v>2.2400000000000002</v>
      </c>
      <c r="I5" s="594">
        <v>5.77</v>
      </c>
      <c r="J5" s="594">
        <v>0.03</v>
      </c>
    </row>
    <row r="6" spans="1:11" s="499" customFormat="1" ht="15" customHeight="1" x14ac:dyDescent="0.2">
      <c r="A6" s="589">
        <v>4</v>
      </c>
      <c r="B6" s="590" t="s">
        <v>235</v>
      </c>
      <c r="C6" s="591">
        <v>2129.5500000000002</v>
      </c>
      <c r="D6" s="592">
        <v>269566.18</v>
      </c>
      <c r="E6" s="594">
        <v>6.21</v>
      </c>
      <c r="F6" s="594">
        <v>0.8</v>
      </c>
      <c r="G6" s="594">
        <v>0.36</v>
      </c>
      <c r="H6" s="594">
        <v>1.96</v>
      </c>
      <c r="I6" s="594">
        <v>6.51</v>
      </c>
      <c r="J6" s="594">
        <v>0.03</v>
      </c>
    </row>
    <row r="7" spans="1:11" s="499" customFormat="1" ht="15" customHeight="1" x14ac:dyDescent="0.2">
      <c r="A7" s="589">
        <v>5</v>
      </c>
      <c r="B7" s="590" t="s">
        <v>236</v>
      </c>
      <c r="C7" s="591">
        <v>1295.1300000000001</v>
      </c>
      <c r="D7" s="592">
        <v>227585.94</v>
      </c>
      <c r="E7" s="594">
        <v>5.25</v>
      </c>
      <c r="F7" s="594">
        <v>1.41</v>
      </c>
      <c r="G7" s="594">
        <v>0.73</v>
      </c>
      <c r="H7" s="594">
        <v>2.8</v>
      </c>
      <c r="I7" s="594">
        <v>5.87</v>
      </c>
      <c r="J7" s="594">
        <v>0.05</v>
      </c>
    </row>
    <row r="8" spans="1:11" s="499" customFormat="1" ht="27" customHeight="1" x14ac:dyDescent="0.2">
      <c r="A8" s="589">
        <v>6</v>
      </c>
      <c r="B8" s="590" t="s">
        <v>237</v>
      </c>
      <c r="C8" s="591">
        <v>375.24</v>
      </c>
      <c r="D8" s="592">
        <v>218764.78</v>
      </c>
      <c r="E8" s="594">
        <v>5.04</v>
      </c>
      <c r="F8" s="594">
        <v>0.66</v>
      </c>
      <c r="G8" s="594">
        <v>0.36</v>
      </c>
      <c r="H8" s="594">
        <v>1.69</v>
      </c>
      <c r="I8" s="594">
        <v>5.57</v>
      </c>
      <c r="J8" s="594">
        <v>0.03</v>
      </c>
    </row>
    <row r="9" spans="1:11" s="499" customFormat="1" ht="27" customHeight="1" x14ac:dyDescent="0.2">
      <c r="A9" s="589">
        <v>7</v>
      </c>
      <c r="B9" s="590" t="s">
        <v>239</v>
      </c>
      <c r="C9" s="591">
        <v>989.4</v>
      </c>
      <c r="D9" s="592">
        <v>199212.77</v>
      </c>
      <c r="E9" s="594">
        <v>4.59</v>
      </c>
      <c r="F9" s="594">
        <v>1.08</v>
      </c>
      <c r="G9" s="594">
        <v>0.6</v>
      </c>
      <c r="H9" s="594">
        <v>2.95</v>
      </c>
      <c r="I9" s="594">
        <v>11.15</v>
      </c>
      <c r="J9" s="594">
        <v>0.03</v>
      </c>
    </row>
    <row r="10" spans="1:11" s="499" customFormat="1" ht="27" customHeight="1" x14ac:dyDescent="0.2">
      <c r="A10" s="589">
        <v>8</v>
      </c>
      <c r="B10" s="590" t="s">
        <v>240</v>
      </c>
      <c r="C10" s="591">
        <v>234.96</v>
      </c>
      <c r="D10" s="592">
        <v>194636.73</v>
      </c>
      <c r="E10" s="594">
        <v>4.49</v>
      </c>
      <c r="F10" s="594">
        <v>0.68</v>
      </c>
      <c r="G10" s="594">
        <v>0.37</v>
      </c>
      <c r="H10" s="594">
        <v>1.1299999999999999</v>
      </c>
      <c r="I10" s="594">
        <v>5.96</v>
      </c>
      <c r="J10" s="594">
        <v>0.02</v>
      </c>
    </row>
    <row r="11" spans="1:11" s="499" customFormat="1" ht="15" customHeight="1" x14ac:dyDescent="0.2">
      <c r="A11" s="589">
        <v>9</v>
      </c>
      <c r="B11" s="590" t="s">
        <v>238</v>
      </c>
      <c r="C11" s="591">
        <v>1229.22</v>
      </c>
      <c r="D11" s="592">
        <v>169880.48</v>
      </c>
      <c r="E11" s="594">
        <v>3.92</v>
      </c>
      <c r="F11" s="594">
        <v>0.67</v>
      </c>
      <c r="G11" s="594">
        <v>0.28999999999999998</v>
      </c>
      <c r="H11" s="594">
        <v>2.11</v>
      </c>
      <c r="I11" s="594">
        <v>-1.37</v>
      </c>
      <c r="J11" s="594">
        <v>0.03</v>
      </c>
    </row>
    <row r="12" spans="1:11" s="499" customFormat="1" ht="15" customHeight="1" x14ac:dyDescent="0.2">
      <c r="A12" s="589">
        <v>10</v>
      </c>
      <c r="B12" s="590" t="s">
        <v>241</v>
      </c>
      <c r="C12" s="591">
        <v>2727.78</v>
      </c>
      <c r="D12" s="592">
        <v>134388.93</v>
      </c>
      <c r="E12" s="594">
        <v>3.1</v>
      </c>
      <c r="F12" s="594">
        <v>0.77</v>
      </c>
      <c r="G12" s="594">
        <v>0.28999999999999998</v>
      </c>
      <c r="H12" s="594">
        <v>1.89</v>
      </c>
      <c r="I12" s="594">
        <v>1.31</v>
      </c>
      <c r="J12" s="594">
        <v>0.03</v>
      </c>
    </row>
    <row r="13" spans="1:11" s="499" customFormat="1" ht="15" customHeight="1" x14ac:dyDescent="0.2">
      <c r="A13" s="589">
        <v>11</v>
      </c>
      <c r="B13" s="590" t="s">
        <v>242</v>
      </c>
      <c r="C13" s="591">
        <v>280.8</v>
      </c>
      <c r="D13" s="592">
        <v>115264.32000000001</v>
      </c>
      <c r="E13" s="594">
        <v>2.66</v>
      </c>
      <c r="F13" s="594">
        <v>1.02</v>
      </c>
      <c r="G13" s="594">
        <v>0.61</v>
      </c>
      <c r="H13" s="594">
        <v>2.13</v>
      </c>
      <c r="I13" s="594">
        <v>1.22</v>
      </c>
      <c r="J13" s="594">
        <v>0.03</v>
      </c>
    </row>
    <row r="14" spans="1:11" s="499" customFormat="1" ht="15" customHeight="1" x14ac:dyDescent="0.2">
      <c r="A14" s="589">
        <v>12</v>
      </c>
      <c r="B14" s="590" t="s">
        <v>243</v>
      </c>
      <c r="C14" s="591">
        <v>564.39</v>
      </c>
      <c r="D14" s="591">
        <v>91804.23</v>
      </c>
      <c r="E14" s="594">
        <v>2.12</v>
      </c>
      <c r="F14" s="594">
        <v>1.55</v>
      </c>
      <c r="G14" s="594">
        <v>0.66</v>
      </c>
      <c r="H14" s="594">
        <v>3.12</v>
      </c>
      <c r="I14" s="594">
        <v>5.64</v>
      </c>
      <c r="J14" s="594">
        <v>0.05</v>
      </c>
    </row>
    <row r="15" spans="1:11" s="499" customFormat="1" ht="27" customHeight="1" x14ac:dyDescent="0.2">
      <c r="A15" s="589">
        <v>13</v>
      </c>
      <c r="B15" s="590" t="s">
        <v>245</v>
      </c>
      <c r="C15" s="591">
        <v>151.04</v>
      </c>
      <c r="D15" s="591">
        <v>77599.899999999994</v>
      </c>
      <c r="E15" s="594">
        <v>1.79</v>
      </c>
      <c r="F15" s="594">
        <v>1.2</v>
      </c>
      <c r="G15" s="594">
        <v>0.57999999999999996</v>
      </c>
      <c r="H15" s="594">
        <v>2</v>
      </c>
      <c r="I15" s="594">
        <v>4.05</v>
      </c>
      <c r="J15" s="594">
        <v>0.03</v>
      </c>
    </row>
    <row r="16" spans="1:11" s="499" customFormat="1" ht="15" customHeight="1" x14ac:dyDescent="0.2">
      <c r="A16" s="589">
        <v>14</v>
      </c>
      <c r="B16" s="590" t="s">
        <v>244</v>
      </c>
      <c r="C16" s="591">
        <v>95.92</v>
      </c>
      <c r="D16" s="591">
        <v>76074.12</v>
      </c>
      <c r="E16" s="594">
        <v>1.75</v>
      </c>
      <c r="F16" s="594">
        <v>0.74</v>
      </c>
      <c r="G16" s="594">
        <v>0.44</v>
      </c>
      <c r="H16" s="594">
        <v>1.78</v>
      </c>
      <c r="I16" s="594">
        <v>0.26</v>
      </c>
      <c r="J16" s="594">
        <v>0.02</v>
      </c>
    </row>
    <row r="17" spans="1:10" s="499" customFormat="1" ht="15" customHeight="1" x14ac:dyDescent="0.2">
      <c r="A17" s="589">
        <v>15</v>
      </c>
      <c r="B17" s="590" t="s">
        <v>249</v>
      </c>
      <c r="C17" s="591">
        <v>120.34</v>
      </c>
      <c r="D17" s="591">
        <v>74948.800000000003</v>
      </c>
      <c r="E17" s="594">
        <v>1.73</v>
      </c>
      <c r="F17" s="594">
        <v>1.49</v>
      </c>
      <c r="G17" s="594">
        <v>0.59</v>
      </c>
      <c r="H17" s="594">
        <v>4.34</v>
      </c>
      <c r="I17" s="594">
        <v>44.91</v>
      </c>
      <c r="J17" s="594">
        <v>0.09</v>
      </c>
    </row>
    <row r="18" spans="1:10" s="499" customFormat="1" ht="15" customHeight="1" x14ac:dyDescent="0.2">
      <c r="A18" s="589">
        <v>16</v>
      </c>
      <c r="B18" s="590" t="s">
        <v>247</v>
      </c>
      <c r="C18" s="591">
        <v>892.46</v>
      </c>
      <c r="D18" s="591">
        <v>68481.67</v>
      </c>
      <c r="E18" s="594">
        <v>1.58</v>
      </c>
      <c r="F18" s="594">
        <v>1.2</v>
      </c>
      <c r="G18" s="594">
        <v>0.57999999999999996</v>
      </c>
      <c r="H18" s="594">
        <v>3</v>
      </c>
      <c r="I18" s="594">
        <v>10.63</v>
      </c>
      <c r="J18" s="594">
        <v>0.03</v>
      </c>
    </row>
    <row r="19" spans="1:10" s="499" customFormat="1" ht="15" customHeight="1" x14ac:dyDescent="0.2">
      <c r="A19" s="589">
        <v>17</v>
      </c>
      <c r="B19" s="590" t="s">
        <v>246</v>
      </c>
      <c r="C19" s="591">
        <v>96.42</v>
      </c>
      <c r="D19" s="591">
        <v>61267.82</v>
      </c>
      <c r="E19" s="594">
        <v>1.41</v>
      </c>
      <c r="F19" s="594">
        <v>0.63</v>
      </c>
      <c r="G19" s="594">
        <v>0.34</v>
      </c>
      <c r="H19" s="594">
        <v>1.26</v>
      </c>
      <c r="I19" s="594">
        <v>-2.09</v>
      </c>
      <c r="J19" s="594">
        <v>0.03</v>
      </c>
    </row>
    <row r="20" spans="1:10" s="499" customFormat="1" ht="27" customHeight="1" x14ac:dyDescent="0.2">
      <c r="A20" s="589">
        <v>18</v>
      </c>
      <c r="B20" s="590" t="s">
        <v>248</v>
      </c>
      <c r="C20" s="591">
        <v>542.73</v>
      </c>
      <c r="D20" s="591">
        <v>60444.18</v>
      </c>
      <c r="E20" s="594">
        <v>1.39</v>
      </c>
      <c r="F20" s="594">
        <v>0.72</v>
      </c>
      <c r="G20" s="594">
        <v>0.4</v>
      </c>
      <c r="H20" s="594">
        <v>1.48</v>
      </c>
      <c r="I20" s="594">
        <v>1.2</v>
      </c>
      <c r="J20" s="594">
        <v>0.03</v>
      </c>
    </row>
    <row r="21" spans="1:10" s="499" customFormat="1" ht="27" customHeight="1" x14ac:dyDescent="0.2">
      <c r="A21" s="589">
        <v>19</v>
      </c>
      <c r="B21" s="590" t="s">
        <v>250</v>
      </c>
      <c r="C21" s="591">
        <v>239.93</v>
      </c>
      <c r="D21" s="591">
        <v>51064.45</v>
      </c>
      <c r="E21" s="594">
        <v>1.18</v>
      </c>
      <c r="F21" s="594">
        <v>0.59</v>
      </c>
      <c r="G21" s="594">
        <v>0.23</v>
      </c>
      <c r="H21" s="594">
        <v>1.9</v>
      </c>
      <c r="I21" s="594">
        <v>-0.27</v>
      </c>
      <c r="J21" s="594">
        <v>0.03</v>
      </c>
    </row>
    <row r="22" spans="1:10" s="499" customFormat="1" ht="27" customHeight="1" x14ac:dyDescent="0.2">
      <c r="A22" s="589">
        <v>20</v>
      </c>
      <c r="B22" s="590" t="s">
        <v>254</v>
      </c>
      <c r="C22" s="591">
        <v>621.6</v>
      </c>
      <c r="D22" s="591">
        <v>48887.18</v>
      </c>
      <c r="E22" s="594">
        <v>1.1299999999999999</v>
      </c>
      <c r="F22" s="594">
        <v>1.06</v>
      </c>
      <c r="G22" s="594">
        <v>0.46</v>
      </c>
      <c r="H22" s="594">
        <v>2.4900000000000002</v>
      </c>
      <c r="I22" s="594">
        <v>17.04</v>
      </c>
      <c r="J22" s="594">
        <v>0.02</v>
      </c>
    </row>
    <row r="23" spans="1:10" s="499" customFormat="1" ht="27" customHeight="1" x14ac:dyDescent="0.2">
      <c r="A23" s="589">
        <v>21</v>
      </c>
      <c r="B23" s="590" t="s">
        <v>251</v>
      </c>
      <c r="C23" s="591">
        <v>83.09</v>
      </c>
      <c r="D23" s="591">
        <v>47854.46</v>
      </c>
      <c r="E23" s="594">
        <v>1.1000000000000001</v>
      </c>
      <c r="F23" s="594">
        <v>0.5</v>
      </c>
      <c r="G23" s="594">
        <v>0.23</v>
      </c>
      <c r="H23" s="594">
        <v>1.42</v>
      </c>
      <c r="I23" s="594">
        <v>-3.1</v>
      </c>
      <c r="J23" s="594">
        <v>0.02</v>
      </c>
    </row>
    <row r="24" spans="1:10" s="499" customFormat="1" ht="15" customHeight="1" x14ac:dyDescent="0.2">
      <c r="A24" s="589">
        <v>22</v>
      </c>
      <c r="B24" s="590" t="s">
        <v>252</v>
      </c>
      <c r="C24" s="591">
        <v>9894.56</v>
      </c>
      <c r="D24" s="591">
        <v>46447.03</v>
      </c>
      <c r="E24" s="594">
        <v>1.07</v>
      </c>
      <c r="F24" s="594">
        <v>0.64</v>
      </c>
      <c r="G24" s="594">
        <v>0.34</v>
      </c>
      <c r="H24" s="594">
        <v>2.08</v>
      </c>
      <c r="I24" s="594">
        <v>-2.1</v>
      </c>
      <c r="J24" s="594">
        <v>0.05</v>
      </c>
    </row>
    <row r="25" spans="1:10" s="499" customFormat="1" ht="15" customHeight="1" x14ac:dyDescent="0.2">
      <c r="A25" s="589">
        <v>23</v>
      </c>
      <c r="B25" s="590" t="s">
        <v>253</v>
      </c>
      <c r="C25" s="591">
        <v>288.63</v>
      </c>
      <c r="D25" s="591">
        <v>44951.199999999997</v>
      </c>
      <c r="E25" s="594">
        <v>1.04</v>
      </c>
      <c r="F25" s="594">
        <v>1</v>
      </c>
      <c r="G25" s="594">
        <v>0.59</v>
      </c>
      <c r="H25" s="594">
        <v>1.64</v>
      </c>
      <c r="I25" s="594">
        <v>-0.28999999999999998</v>
      </c>
      <c r="J25" s="594">
        <v>0.04</v>
      </c>
    </row>
    <row r="26" spans="1:10" s="499" customFormat="1" ht="39" customHeight="1" x14ac:dyDescent="0.2">
      <c r="A26" s="589">
        <v>24</v>
      </c>
      <c r="B26" s="590" t="s">
        <v>255</v>
      </c>
      <c r="C26" s="591">
        <v>5231.59</v>
      </c>
      <c r="D26" s="591">
        <v>44822.43</v>
      </c>
      <c r="E26" s="594">
        <v>1.03</v>
      </c>
      <c r="F26" s="594">
        <v>0.54</v>
      </c>
      <c r="G26" s="594">
        <v>0.26</v>
      </c>
      <c r="H26" s="594">
        <v>2.46</v>
      </c>
      <c r="I26" s="594">
        <v>10.98</v>
      </c>
      <c r="J26" s="594">
        <v>0.04</v>
      </c>
    </row>
    <row r="27" spans="1:10" s="499" customFormat="1" ht="27" customHeight="1" x14ac:dyDescent="0.2">
      <c r="A27" s="589">
        <v>25</v>
      </c>
      <c r="B27" s="590" t="s">
        <v>256</v>
      </c>
      <c r="C27" s="591">
        <v>24.05</v>
      </c>
      <c r="D27" s="591">
        <v>42463.38</v>
      </c>
      <c r="E27" s="594">
        <v>0.98</v>
      </c>
      <c r="F27" s="594">
        <v>0.82</v>
      </c>
      <c r="G27" s="594">
        <v>0.44</v>
      </c>
      <c r="H27" s="594">
        <v>1.07</v>
      </c>
      <c r="I27" s="594">
        <v>6.66</v>
      </c>
      <c r="J27" s="594">
        <v>0.02</v>
      </c>
    </row>
    <row r="28" spans="1:10" s="499" customFormat="1" ht="15" customHeight="1" x14ac:dyDescent="0.2">
      <c r="A28" s="589">
        <v>26</v>
      </c>
      <c r="B28" s="590" t="s">
        <v>257</v>
      </c>
      <c r="C28" s="591">
        <v>88.78</v>
      </c>
      <c r="D28" s="591">
        <v>39633.39</v>
      </c>
      <c r="E28" s="594">
        <v>0.91</v>
      </c>
      <c r="F28" s="594">
        <v>0.92</v>
      </c>
      <c r="G28" s="594">
        <v>0.45</v>
      </c>
      <c r="H28" s="594">
        <v>2.4</v>
      </c>
      <c r="I28" s="594">
        <v>6.72</v>
      </c>
      <c r="J28" s="594">
        <v>0.04</v>
      </c>
    </row>
    <row r="29" spans="1:10" s="499" customFormat="1" ht="15" customHeight="1" x14ac:dyDescent="0.2">
      <c r="A29" s="589">
        <v>27</v>
      </c>
      <c r="B29" s="590" t="s">
        <v>258</v>
      </c>
      <c r="C29" s="591">
        <v>289.37</v>
      </c>
      <c r="D29" s="591">
        <v>36799.46</v>
      </c>
      <c r="E29" s="594">
        <v>0.85</v>
      </c>
      <c r="F29" s="594">
        <v>0.84</v>
      </c>
      <c r="G29" s="594">
        <v>0.48</v>
      </c>
      <c r="H29" s="594">
        <v>1.9</v>
      </c>
      <c r="I29" s="594">
        <v>4.26</v>
      </c>
      <c r="J29" s="594">
        <v>0.04</v>
      </c>
    </row>
    <row r="30" spans="1:10" s="499" customFormat="1" ht="15" customHeight="1" x14ac:dyDescent="0.2">
      <c r="A30" s="589">
        <v>28</v>
      </c>
      <c r="B30" s="590" t="s">
        <v>267</v>
      </c>
      <c r="C30" s="591">
        <v>79.569999999999993</v>
      </c>
      <c r="D30" s="591">
        <v>35346.89</v>
      </c>
      <c r="E30" s="594">
        <v>0.81</v>
      </c>
      <c r="F30" s="594">
        <v>1.38</v>
      </c>
      <c r="G30" s="594">
        <v>0.62</v>
      </c>
      <c r="H30" s="594">
        <v>3.99</v>
      </c>
      <c r="I30" s="594">
        <v>32.700000000000003</v>
      </c>
      <c r="J30" s="594">
        <v>0.04</v>
      </c>
    </row>
    <row r="31" spans="1:10" s="499" customFormat="1" ht="15" customHeight="1" x14ac:dyDescent="0.2">
      <c r="A31" s="589">
        <v>29</v>
      </c>
      <c r="B31" s="590" t="s">
        <v>260</v>
      </c>
      <c r="C31" s="591">
        <v>483.04</v>
      </c>
      <c r="D31" s="591">
        <v>33598.19</v>
      </c>
      <c r="E31" s="594">
        <v>0.77</v>
      </c>
      <c r="F31" s="594">
        <v>0.8</v>
      </c>
      <c r="G31" s="594">
        <v>0.42</v>
      </c>
      <c r="H31" s="594">
        <v>2.0099999999999998</v>
      </c>
      <c r="I31" s="594">
        <v>2.44</v>
      </c>
      <c r="J31" s="594">
        <v>0.04</v>
      </c>
    </row>
    <row r="32" spans="1:10" s="499" customFormat="1" ht="15" customHeight="1" x14ac:dyDescent="0.2">
      <c r="A32" s="589">
        <v>30</v>
      </c>
      <c r="B32" s="590" t="s">
        <v>262</v>
      </c>
      <c r="C32" s="591">
        <v>39.950000000000003</v>
      </c>
      <c r="D32" s="591">
        <v>33067.199999999997</v>
      </c>
      <c r="E32" s="594">
        <v>0.76</v>
      </c>
      <c r="F32" s="594">
        <v>0.93</v>
      </c>
      <c r="G32" s="594">
        <v>0.4</v>
      </c>
      <c r="H32" s="594">
        <v>1.87</v>
      </c>
      <c r="I32" s="594">
        <v>7.88</v>
      </c>
      <c r="J32" s="594">
        <v>0.03</v>
      </c>
    </row>
    <row r="33" spans="1:10" s="499" customFormat="1" ht="15" customHeight="1" x14ac:dyDescent="0.2">
      <c r="A33" s="589">
        <v>31</v>
      </c>
      <c r="B33" s="590" t="s">
        <v>261</v>
      </c>
      <c r="C33" s="591">
        <v>1142.8900000000001</v>
      </c>
      <c r="D33" s="591">
        <v>32634.59</v>
      </c>
      <c r="E33" s="594">
        <v>0.75</v>
      </c>
      <c r="F33" s="594">
        <v>0.63</v>
      </c>
      <c r="G33" s="594">
        <v>0.36</v>
      </c>
      <c r="H33" s="594">
        <v>2</v>
      </c>
      <c r="I33" s="594">
        <v>3.22</v>
      </c>
      <c r="J33" s="594">
        <v>0.03</v>
      </c>
    </row>
    <row r="34" spans="1:10" s="499" customFormat="1" ht="15" customHeight="1" x14ac:dyDescent="0.2">
      <c r="A34" s="589">
        <v>32</v>
      </c>
      <c r="B34" s="590" t="s">
        <v>259</v>
      </c>
      <c r="C34" s="591">
        <v>161.25</v>
      </c>
      <c r="D34" s="591">
        <v>32521.55</v>
      </c>
      <c r="E34" s="594">
        <v>0.75</v>
      </c>
      <c r="F34" s="594">
        <v>0.43</v>
      </c>
      <c r="G34" s="594">
        <v>0.14000000000000001</v>
      </c>
      <c r="H34" s="594">
        <v>1.61</v>
      </c>
      <c r="I34" s="594">
        <v>-1.22</v>
      </c>
      <c r="J34" s="594">
        <v>0.02</v>
      </c>
    </row>
    <row r="35" spans="1:10" s="499" customFormat="1" ht="15" customHeight="1" x14ac:dyDescent="0.2">
      <c r="A35" s="589">
        <v>33</v>
      </c>
      <c r="B35" s="590" t="s">
        <v>265</v>
      </c>
      <c r="C35" s="591">
        <v>36.08</v>
      </c>
      <c r="D35" s="591">
        <v>30772.87</v>
      </c>
      <c r="E35" s="594">
        <v>0.71</v>
      </c>
      <c r="F35" s="594">
        <v>0.87</v>
      </c>
      <c r="G35" s="594">
        <v>0.52</v>
      </c>
      <c r="H35" s="594">
        <v>2.2200000000000002</v>
      </c>
      <c r="I35" s="594">
        <v>10.52</v>
      </c>
      <c r="J35" s="594">
        <v>0.04</v>
      </c>
    </row>
    <row r="36" spans="1:10" s="499" customFormat="1" ht="27" customHeight="1" x14ac:dyDescent="0.2">
      <c r="A36" s="589">
        <v>34</v>
      </c>
      <c r="B36" s="590" t="s">
        <v>266</v>
      </c>
      <c r="C36" s="591">
        <v>2169.25</v>
      </c>
      <c r="D36" s="591">
        <v>30018.12</v>
      </c>
      <c r="E36" s="594">
        <v>0.69</v>
      </c>
      <c r="F36" s="594">
        <v>1.1100000000000001</v>
      </c>
      <c r="G36" s="594">
        <v>0.43</v>
      </c>
      <c r="H36" s="594">
        <v>2.86</v>
      </c>
      <c r="I36" s="594">
        <v>9.1</v>
      </c>
      <c r="J36" s="594">
        <v>0.03</v>
      </c>
    </row>
    <row r="37" spans="1:10" s="499" customFormat="1" ht="27" customHeight="1" x14ac:dyDescent="0.2">
      <c r="A37" s="589">
        <v>35</v>
      </c>
      <c r="B37" s="590" t="s">
        <v>263</v>
      </c>
      <c r="C37" s="591">
        <v>6290.14</v>
      </c>
      <c r="D37" s="591">
        <v>29678.77</v>
      </c>
      <c r="E37" s="594">
        <v>0.68</v>
      </c>
      <c r="F37" s="594">
        <v>1.07</v>
      </c>
      <c r="G37" s="594">
        <v>0.38</v>
      </c>
      <c r="H37" s="594">
        <v>2.0499999999999998</v>
      </c>
      <c r="I37" s="594">
        <v>-2.2200000000000002</v>
      </c>
      <c r="J37" s="594">
        <v>0.04</v>
      </c>
    </row>
    <row r="38" spans="1:10" s="499" customFormat="1" ht="15" customHeight="1" x14ac:dyDescent="0.2">
      <c r="A38" s="589">
        <v>36</v>
      </c>
      <c r="B38" s="590" t="s">
        <v>269</v>
      </c>
      <c r="C38" s="591">
        <v>693.56</v>
      </c>
      <c r="D38" s="591">
        <v>28649.29</v>
      </c>
      <c r="E38" s="594">
        <v>0.66</v>
      </c>
      <c r="F38" s="594">
        <v>1.64</v>
      </c>
      <c r="G38" s="594">
        <v>0.35</v>
      </c>
      <c r="H38" s="594">
        <v>4.16</v>
      </c>
      <c r="I38" s="594">
        <v>20.61</v>
      </c>
      <c r="J38" s="594">
        <v>0.05</v>
      </c>
    </row>
    <row r="39" spans="1:10" s="499" customFormat="1" ht="15" customHeight="1" x14ac:dyDescent="0.2">
      <c r="A39" s="589">
        <v>37</v>
      </c>
      <c r="B39" s="590" t="s">
        <v>264</v>
      </c>
      <c r="C39" s="591">
        <v>6162.73</v>
      </c>
      <c r="D39" s="591">
        <v>27836.43</v>
      </c>
      <c r="E39" s="594">
        <v>0.64</v>
      </c>
      <c r="F39" s="594">
        <v>0.69</v>
      </c>
      <c r="G39" s="594">
        <v>0.25</v>
      </c>
      <c r="H39" s="594">
        <v>2.78</v>
      </c>
      <c r="I39" s="594">
        <v>-5.98</v>
      </c>
      <c r="J39" s="594">
        <v>0.05</v>
      </c>
    </row>
    <row r="40" spans="1:10" s="499" customFormat="1" ht="39" customHeight="1" x14ac:dyDescent="0.2">
      <c r="A40" s="589">
        <v>38</v>
      </c>
      <c r="B40" s="590" t="s">
        <v>268</v>
      </c>
      <c r="C40" s="591">
        <v>406.35</v>
      </c>
      <c r="D40" s="591">
        <v>25852.62</v>
      </c>
      <c r="E40" s="594">
        <v>0.6</v>
      </c>
      <c r="F40" s="594">
        <v>0.94</v>
      </c>
      <c r="G40" s="594">
        <v>0.48</v>
      </c>
      <c r="H40" s="594">
        <v>1.29</v>
      </c>
      <c r="I40" s="594">
        <v>6.21</v>
      </c>
      <c r="J40" s="594">
        <v>0.04</v>
      </c>
    </row>
    <row r="41" spans="1:10" s="499" customFormat="1" ht="15" customHeight="1" x14ac:dyDescent="0.2">
      <c r="A41" s="589">
        <v>39</v>
      </c>
      <c r="B41" s="590" t="s">
        <v>271</v>
      </c>
      <c r="C41" s="591">
        <v>27.3</v>
      </c>
      <c r="D41" s="591">
        <v>25531.119999999999</v>
      </c>
      <c r="E41" s="594">
        <v>0.59</v>
      </c>
      <c r="F41" s="594">
        <v>0.95</v>
      </c>
      <c r="G41" s="594">
        <v>0.4</v>
      </c>
      <c r="H41" s="594">
        <v>1.97</v>
      </c>
      <c r="I41" s="594">
        <v>10.79</v>
      </c>
      <c r="J41" s="594">
        <v>0.02</v>
      </c>
    </row>
    <row r="42" spans="1:10" s="499" customFormat="1" ht="15" customHeight="1" x14ac:dyDescent="0.2">
      <c r="A42" s="589">
        <v>40</v>
      </c>
      <c r="B42" s="590" t="s">
        <v>270</v>
      </c>
      <c r="C42" s="591">
        <v>131.56</v>
      </c>
      <c r="D42" s="591">
        <v>24458.48</v>
      </c>
      <c r="E42" s="594">
        <v>0.56000000000000005</v>
      </c>
      <c r="F42" s="594">
        <v>1.2</v>
      </c>
      <c r="G42" s="594">
        <v>0.59</v>
      </c>
      <c r="H42" s="594">
        <v>1.84</v>
      </c>
      <c r="I42" s="594">
        <v>5.18</v>
      </c>
      <c r="J42" s="594">
        <v>0.03</v>
      </c>
    </row>
    <row r="43" spans="1:10" s="499" customFormat="1" ht="15" customHeight="1" x14ac:dyDescent="0.2">
      <c r="A43" s="589">
        <v>41</v>
      </c>
      <c r="B43" s="590" t="s">
        <v>273</v>
      </c>
      <c r="C43" s="591">
        <v>1126.49</v>
      </c>
      <c r="D43" s="591">
        <v>24289.59</v>
      </c>
      <c r="E43" s="594">
        <v>0.56000000000000005</v>
      </c>
      <c r="F43" s="594">
        <v>1.17</v>
      </c>
      <c r="G43" s="594">
        <v>0.52</v>
      </c>
      <c r="H43" s="594">
        <v>2.52</v>
      </c>
      <c r="I43" s="594">
        <v>10.67</v>
      </c>
      <c r="J43" s="594">
        <v>0.04</v>
      </c>
    </row>
    <row r="44" spans="1:10" s="499" customFormat="1" ht="15" customHeight="1" x14ac:dyDescent="0.2">
      <c r="A44" s="589">
        <v>42</v>
      </c>
      <c r="B44" s="590" t="s">
        <v>272</v>
      </c>
      <c r="C44" s="591">
        <v>152.81</v>
      </c>
      <c r="D44" s="591">
        <v>23390.79</v>
      </c>
      <c r="E44" s="594">
        <v>0.54</v>
      </c>
      <c r="F44" s="594">
        <v>1.1100000000000001</v>
      </c>
      <c r="G44" s="594">
        <v>0.44</v>
      </c>
      <c r="H44" s="594">
        <v>2.11</v>
      </c>
      <c r="I44" s="594">
        <v>4.7699999999999996</v>
      </c>
      <c r="J44" s="594">
        <v>0.04</v>
      </c>
    </row>
    <row r="45" spans="1:10" s="499" customFormat="1" ht="27" customHeight="1" x14ac:dyDescent="0.2">
      <c r="A45" s="589">
        <v>43</v>
      </c>
      <c r="B45" s="590" t="s">
        <v>274</v>
      </c>
      <c r="C45" s="591">
        <v>9414.16</v>
      </c>
      <c r="D45" s="591">
        <v>21694.46</v>
      </c>
      <c r="E45" s="594">
        <v>0.5</v>
      </c>
      <c r="F45" s="594">
        <v>0.75</v>
      </c>
      <c r="G45" s="594">
        <v>0.39</v>
      </c>
      <c r="H45" s="594">
        <v>2.4</v>
      </c>
      <c r="I45" s="594">
        <v>2.58</v>
      </c>
      <c r="J45" s="594">
        <v>0.04</v>
      </c>
    </row>
    <row r="46" spans="1:10" s="499" customFormat="1" ht="27" customHeight="1" x14ac:dyDescent="0.2">
      <c r="A46" s="589">
        <v>44</v>
      </c>
      <c r="B46" s="590" t="s">
        <v>275</v>
      </c>
      <c r="C46" s="591">
        <v>224.63</v>
      </c>
      <c r="D46" s="591">
        <v>21346.44</v>
      </c>
      <c r="E46" s="594">
        <v>0.49</v>
      </c>
      <c r="F46" s="594">
        <v>1.38</v>
      </c>
      <c r="G46" s="594">
        <v>0.64</v>
      </c>
      <c r="H46" s="594">
        <v>2.56</v>
      </c>
      <c r="I46" s="594">
        <v>5.29</v>
      </c>
      <c r="J46" s="594">
        <v>0.04</v>
      </c>
    </row>
    <row r="47" spans="1:10" s="499" customFormat="1" ht="15" customHeight="1" x14ac:dyDescent="0.2">
      <c r="A47" s="589">
        <v>45</v>
      </c>
      <c r="B47" s="590" t="s">
        <v>279</v>
      </c>
      <c r="C47" s="591">
        <v>371.72</v>
      </c>
      <c r="D47" s="591">
        <v>19379.98</v>
      </c>
      <c r="E47" s="594">
        <v>0.45</v>
      </c>
      <c r="F47" s="594">
        <v>1.28</v>
      </c>
      <c r="G47" s="594">
        <v>0.48</v>
      </c>
      <c r="H47" s="594">
        <v>2.7</v>
      </c>
      <c r="I47" s="594">
        <v>15.4</v>
      </c>
      <c r="J47" s="594">
        <v>0.04</v>
      </c>
    </row>
    <row r="48" spans="1:10" s="499" customFormat="1" ht="15" customHeight="1" x14ac:dyDescent="0.2">
      <c r="A48" s="589">
        <v>46</v>
      </c>
      <c r="B48" s="590" t="s">
        <v>277</v>
      </c>
      <c r="C48" s="591">
        <v>241.72</v>
      </c>
      <c r="D48" s="591">
        <v>19223.43</v>
      </c>
      <c r="E48" s="594">
        <v>0.44</v>
      </c>
      <c r="F48" s="594">
        <v>1.33</v>
      </c>
      <c r="G48" s="594">
        <v>0.63</v>
      </c>
      <c r="H48" s="594">
        <v>2.1800000000000002</v>
      </c>
      <c r="I48" s="594">
        <v>2.8</v>
      </c>
      <c r="J48" s="594">
        <v>0.04</v>
      </c>
    </row>
    <row r="49" spans="1:10" s="499" customFormat="1" ht="15" customHeight="1" x14ac:dyDescent="0.2">
      <c r="A49" s="589">
        <v>47</v>
      </c>
      <c r="B49" s="590" t="s">
        <v>278</v>
      </c>
      <c r="C49" s="591">
        <v>4510.1400000000003</v>
      </c>
      <c r="D49" s="591">
        <v>18889.150000000001</v>
      </c>
      <c r="E49" s="594">
        <v>0.44</v>
      </c>
      <c r="F49" s="594">
        <v>0.78</v>
      </c>
      <c r="G49" s="594">
        <v>0.28000000000000003</v>
      </c>
      <c r="H49" s="594">
        <v>2.54</v>
      </c>
      <c r="I49" s="594">
        <v>10.61</v>
      </c>
      <c r="J49" s="594">
        <v>0.06</v>
      </c>
    </row>
    <row r="50" spans="1:10" s="499" customFormat="1" ht="15" customHeight="1" x14ac:dyDescent="0.2">
      <c r="A50" s="589">
        <v>48</v>
      </c>
      <c r="B50" s="590" t="s">
        <v>276</v>
      </c>
      <c r="C50" s="591">
        <v>1849.61</v>
      </c>
      <c r="D50" s="591">
        <v>18845.66</v>
      </c>
      <c r="E50" s="594">
        <v>0.43</v>
      </c>
      <c r="F50" s="594">
        <v>0.78</v>
      </c>
      <c r="G50" s="594">
        <v>0.13</v>
      </c>
      <c r="H50" s="594">
        <v>3.74</v>
      </c>
      <c r="I50" s="594">
        <v>-3.67</v>
      </c>
      <c r="J50" s="594">
        <v>0.06</v>
      </c>
    </row>
    <row r="51" spans="1:10" s="499" customFormat="1" ht="15" customHeight="1" x14ac:dyDescent="0.2">
      <c r="A51" s="589">
        <v>49</v>
      </c>
      <c r="B51" s="590" t="s">
        <v>281</v>
      </c>
      <c r="C51" s="591">
        <v>617.79</v>
      </c>
      <c r="D51" s="591">
        <v>17602.52</v>
      </c>
      <c r="E51" s="594">
        <v>0.41</v>
      </c>
      <c r="F51" s="594">
        <v>1.33</v>
      </c>
      <c r="G51" s="594">
        <v>0.37</v>
      </c>
      <c r="H51" s="594">
        <v>4.17</v>
      </c>
      <c r="I51" s="594">
        <v>12.93</v>
      </c>
      <c r="J51" s="594">
        <v>0.05</v>
      </c>
    </row>
    <row r="52" spans="1:10" s="499" customFormat="1" ht="27" customHeight="1" x14ac:dyDescent="0.2">
      <c r="A52" s="589">
        <v>50</v>
      </c>
      <c r="B52" s="590" t="s">
        <v>280</v>
      </c>
      <c r="C52" s="591">
        <v>96.05</v>
      </c>
      <c r="D52" s="591">
        <v>15612.52</v>
      </c>
      <c r="E52" s="594">
        <v>0.36</v>
      </c>
      <c r="F52" s="594">
        <v>1</v>
      </c>
      <c r="G52" s="594">
        <v>0.16</v>
      </c>
      <c r="H52" s="594">
        <v>3.42</v>
      </c>
      <c r="I52" s="594">
        <v>-6.78</v>
      </c>
      <c r="J52" s="594">
        <v>0.05</v>
      </c>
    </row>
    <row r="53" spans="1:10" s="499" customFormat="1" ht="24.75" customHeight="1" x14ac:dyDescent="0.2">
      <c r="A53" s="939" t="s">
        <v>1088</v>
      </c>
      <c r="B53" s="939"/>
      <c r="C53" s="939"/>
      <c r="D53" s="939"/>
      <c r="E53" s="939"/>
      <c r="F53" s="939"/>
      <c r="G53" s="939"/>
      <c r="H53" s="939"/>
      <c r="I53" s="939"/>
      <c r="J53" s="939"/>
    </row>
    <row r="54" spans="1:10" s="499" customFormat="1" ht="24" customHeight="1" x14ac:dyDescent="0.2">
      <c r="A54" s="939" t="s">
        <v>1076</v>
      </c>
      <c r="B54" s="939"/>
      <c r="C54" s="939"/>
      <c r="D54" s="939"/>
      <c r="E54" s="939"/>
      <c r="F54" s="939"/>
      <c r="G54" s="939"/>
      <c r="H54" s="939"/>
      <c r="I54" s="939"/>
      <c r="J54" s="939"/>
    </row>
    <row r="55" spans="1:10" s="499" customFormat="1" ht="13.5" customHeight="1" x14ac:dyDescent="0.2">
      <c r="A55" s="939" t="s">
        <v>282</v>
      </c>
      <c r="B55" s="939"/>
      <c r="C55" s="939"/>
      <c r="D55" s="939"/>
      <c r="E55" s="939"/>
      <c r="F55" s="939"/>
      <c r="G55" s="939"/>
      <c r="H55" s="939"/>
      <c r="I55" s="939"/>
      <c r="J55" s="939"/>
    </row>
    <row r="56" spans="1:10" s="499" customFormat="1" ht="24" customHeight="1" x14ac:dyDescent="0.2">
      <c r="A56" s="939" t="s">
        <v>229</v>
      </c>
      <c r="B56" s="939"/>
      <c r="C56" s="939"/>
      <c r="D56" s="939"/>
      <c r="E56" s="939"/>
      <c r="F56" s="939"/>
      <c r="G56" s="939"/>
      <c r="H56" s="939"/>
      <c r="I56" s="939"/>
      <c r="J56" s="939"/>
    </row>
    <row r="57" spans="1:10" s="499" customFormat="1" ht="13.5" customHeight="1" x14ac:dyDescent="0.2">
      <c r="A57" s="939" t="s">
        <v>1056</v>
      </c>
      <c r="B57" s="939"/>
      <c r="C57" s="939"/>
      <c r="D57" s="939"/>
      <c r="E57" s="939"/>
      <c r="F57" s="939"/>
      <c r="G57" s="939"/>
      <c r="H57" s="939"/>
      <c r="I57" s="939"/>
      <c r="J57" s="939"/>
    </row>
    <row r="58" spans="1:10" s="499" customFormat="1" ht="13.5" customHeight="1" x14ac:dyDescent="0.2">
      <c r="A58" s="860" t="s">
        <v>192</v>
      </c>
      <c r="B58" s="860"/>
      <c r="C58" s="860"/>
      <c r="D58" s="860"/>
      <c r="E58" s="860"/>
      <c r="F58" s="860"/>
      <c r="G58" s="860"/>
      <c r="H58" s="860"/>
      <c r="I58" s="860"/>
      <c r="J58" s="860"/>
    </row>
    <row r="59" spans="1:10" s="499" customFormat="1" ht="26.1" customHeight="1" x14ac:dyDescent="0.2"/>
  </sheetData>
  <mergeCells count="7">
    <mergeCell ref="A58:J58"/>
    <mergeCell ref="A1:K1"/>
    <mergeCell ref="A53:J53"/>
    <mergeCell ref="A54:J54"/>
    <mergeCell ref="A55:J55"/>
    <mergeCell ref="A56:J56"/>
    <mergeCell ref="A57:J57"/>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49"/>
  <sheetViews>
    <sheetView zoomScaleNormal="100" workbookViewId="0">
      <selection sqref="A1:XFD1048576"/>
    </sheetView>
  </sheetViews>
  <sheetFormatPr defaultRowHeight="12.75" x14ac:dyDescent="0.2"/>
  <cols>
    <col min="1" max="1" width="6.28515625" bestFit="1" customWidth="1"/>
    <col min="2" max="2" width="18.140625" customWidth="1"/>
    <col min="3" max="3" width="13.28515625" bestFit="1" customWidth="1"/>
    <col min="4" max="4" width="13" bestFit="1" customWidth="1"/>
    <col min="5" max="5" width="10.42578125" bestFit="1" customWidth="1"/>
    <col min="6" max="6" width="7.5703125" bestFit="1" customWidth="1"/>
    <col min="7" max="7" width="6.140625" bestFit="1" customWidth="1"/>
    <col min="8" max="8" width="10.28515625" bestFit="1" customWidth="1"/>
    <col min="9" max="9" width="12.5703125" bestFit="1" customWidth="1"/>
    <col min="10" max="10" width="12.140625" bestFit="1" customWidth="1"/>
    <col min="11" max="11" width="14.28515625" bestFit="1" customWidth="1"/>
    <col min="12" max="12" width="4.7109375" bestFit="1" customWidth="1"/>
  </cols>
  <sheetData>
    <row r="1" spans="1:10" ht="15.75" customHeight="1" x14ac:dyDescent="0.2">
      <c r="A1" s="595" t="s">
        <v>989</v>
      </c>
      <c r="B1" s="596"/>
      <c r="C1" s="412"/>
      <c r="D1" s="412"/>
      <c r="E1" s="412"/>
      <c r="F1" s="412"/>
      <c r="G1" s="412"/>
      <c r="H1" s="412"/>
      <c r="I1" s="412"/>
      <c r="J1" s="412"/>
    </row>
    <row r="2" spans="1:10" s="499" customFormat="1" ht="43.5" customHeight="1" x14ac:dyDescent="0.2">
      <c r="A2" s="570" t="s">
        <v>283</v>
      </c>
      <c r="B2" s="570" t="s">
        <v>194</v>
      </c>
      <c r="C2" s="570" t="s">
        <v>284</v>
      </c>
      <c r="D2" s="570" t="s">
        <v>285</v>
      </c>
      <c r="E2" s="570" t="s">
        <v>962</v>
      </c>
      <c r="F2" s="570" t="s">
        <v>197</v>
      </c>
      <c r="G2" s="597" t="s">
        <v>1077</v>
      </c>
      <c r="H2" s="570" t="s">
        <v>963</v>
      </c>
      <c r="I2" s="570" t="s">
        <v>964</v>
      </c>
      <c r="J2" s="570" t="s">
        <v>965</v>
      </c>
    </row>
    <row r="3" spans="1:10" s="499" customFormat="1" ht="18" customHeight="1" x14ac:dyDescent="0.2">
      <c r="A3" s="598">
        <v>1</v>
      </c>
      <c r="B3" s="599" t="s">
        <v>198</v>
      </c>
      <c r="C3" s="600">
        <v>6339.4034110000002</v>
      </c>
      <c r="D3" s="601">
        <v>607101.72363270004</v>
      </c>
      <c r="E3" s="602">
        <v>14.63</v>
      </c>
      <c r="F3" s="602">
        <v>1.0900000000000001</v>
      </c>
      <c r="G3" s="602">
        <v>0.55000000000000004</v>
      </c>
      <c r="H3" s="602">
        <v>0</v>
      </c>
      <c r="I3" s="602">
        <v>0</v>
      </c>
      <c r="J3" s="599" t="s">
        <v>286</v>
      </c>
    </row>
    <row r="4" spans="1:10" s="499" customFormat="1" ht="18" customHeight="1" x14ac:dyDescent="0.2">
      <c r="A4" s="598">
        <v>2</v>
      </c>
      <c r="B4" s="599" t="s">
        <v>287</v>
      </c>
      <c r="C4" s="600">
        <v>548.91666950000001</v>
      </c>
      <c r="D4" s="601">
        <v>440736.52612091001</v>
      </c>
      <c r="E4" s="602">
        <v>10.62</v>
      </c>
      <c r="F4" s="602">
        <v>1.08</v>
      </c>
      <c r="G4" s="602">
        <v>0.72</v>
      </c>
      <c r="H4" s="602">
        <v>0</v>
      </c>
      <c r="I4" s="602">
        <v>0</v>
      </c>
      <c r="J4" s="599" t="s">
        <v>286</v>
      </c>
    </row>
    <row r="5" spans="1:10" s="499" customFormat="1" ht="18" customHeight="1" x14ac:dyDescent="0.2">
      <c r="A5" s="598">
        <v>3</v>
      </c>
      <c r="B5" s="599" t="s">
        <v>200</v>
      </c>
      <c r="C5" s="600">
        <v>346.90491919999999</v>
      </c>
      <c r="D5" s="601">
        <v>291011.20427997003</v>
      </c>
      <c r="E5" s="602">
        <v>7.01</v>
      </c>
      <c r="F5" s="602">
        <v>1.24</v>
      </c>
      <c r="G5" s="602">
        <v>0.69</v>
      </c>
      <c r="H5" s="602">
        <v>0</v>
      </c>
      <c r="I5" s="602">
        <v>0</v>
      </c>
      <c r="J5" s="599" t="s">
        <v>286</v>
      </c>
    </row>
    <row r="6" spans="1:10" s="499" customFormat="1" ht="18" customHeight="1" x14ac:dyDescent="0.2">
      <c r="A6" s="598">
        <v>4</v>
      </c>
      <c r="B6" s="599" t="s">
        <v>288</v>
      </c>
      <c r="C6" s="600">
        <v>2183.0559469999998</v>
      </c>
      <c r="D6" s="601">
        <v>287223.61439892999</v>
      </c>
      <c r="E6" s="602">
        <v>6.92</v>
      </c>
      <c r="F6" s="602">
        <v>0.82</v>
      </c>
      <c r="G6" s="602">
        <v>0.37</v>
      </c>
      <c r="H6" s="602">
        <v>0</v>
      </c>
      <c r="I6" s="602">
        <v>0</v>
      </c>
      <c r="J6" s="599" t="s">
        <v>286</v>
      </c>
    </row>
    <row r="7" spans="1:10" s="499" customFormat="1" ht="18" customHeight="1" x14ac:dyDescent="0.2">
      <c r="A7" s="598">
        <v>5</v>
      </c>
      <c r="B7" s="599" t="s">
        <v>289</v>
      </c>
      <c r="C7" s="600">
        <v>375.23847060000003</v>
      </c>
      <c r="D7" s="601">
        <v>225028.92259763999</v>
      </c>
      <c r="E7" s="602">
        <v>5.42</v>
      </c>
      <c r="F7" s="602">
        <v>0.67</v>
      </c>
      <c r="G7" s="602">
        <v>0.37</v>
      </c>
      <c r="H7" s="602">
        <v>0</v>
      </c>
      <c r="I7" s="602">
        <v>0</v>
      </c>
      <c r="J7" s="599" t="s">
        <v>286</v>
      </c>
    </row>
    <row r="8" spans="1:10" s="499" customFormat="1" ht="18" customHeight="1" x14ac:dyDescent="0.2">
      <c r="A8" s="598">
        <v>6</v>
      </c>
      <c r="B8" s="599" t="s">
        <v>290</v>
      </c>
      <c r="C8" s="600">
        <v>1295.1728768</v>
      </c>
      <c r="D8" s="601">
        <v>217897.470876195</v>
      </c>
      <c r="E8" s="602">
        <v>5.25</v>
      </c>
      <c r="F8" s="602">
        <v>1.41</v>
      </c>
      <c r="G8" s="602">
        <v>0.73</v>
      </c>
      <c r="H8" s="602">
        <v>0</v>
      </c>
      <c r="I8" s="602">
        <v>0</v>
      </c>
      <c r="J8" s="599" t="s">
        <v>286</v>
      </c>
    </row>
    <row r="9" spans="1:10" s="499" customFormat="1" ht="18" customHeight="1" x14ac:dyDescent="0.2">
      <c r="A9" s="598">
        <v>7</v>
      </c>
      <c r="B9" s="599" t="s">
        <v>291</v>
      </c>
      <c r="C9" s="600">
        <v>234.7818556</v>
      </c>
      <c r="D9" s="601">
        <v>200669.46521200001</v>
      </c>
      <c r="E9" s="602">
        <v>4.84</v>
      </c>
      <c r="F9" s="602">
        <v>0.69</v>
      </c>
      <c r="G9" s="602">
        <v>0.37</v>
      </c>
      <c r="H9" s="602">
        <v>0</v>
      </c>
      <c r="I9" s="602">
        <v>0</v>
      </c>
      <c r="J9" s="599" t="s">
        <v>286</v>
      </c>
    </row>
    <row r="10" spans="1:10" s="499" customFormat="1" ht="18" customHeight="1" x14ac:dyDescent="0.2">
      <c r="A10" s="598">
        <v>8</v>
      </c>
      <c r="B10" s="599" t="s">
        <v>292</v>
      </c>
      <c r="C10" s="600">
        <v>1229.0192881999999</v>
      </c>
      <c r="D10" s="601">
        <v>173906.97687929001</v>
      </c>
      <c r="E10" s="602">
        <v>4.1900000000000004</v>
      </c>
      <c r="F10" s="602">
        <v>0.67</v>
      </c>
      <c r="G10" s="602">
        <v>0.28999999999999998</v>
      </c>
      <c r="H10" s="602">
        <v>0</v>
      </c>
      <c r="I10" s="602">
        <v>0</v>
      </c>
      <c r="J10" s="599" t="s">
        <v>286</v>
      </c>
    </row>
    <row r="11" spans="1:10" s="499" customFormat="1" ht="18" customHeight="1" x14ac:dyDescent="0.2">
      <c r="A11" s="598">
        <v>9</v>
      </c>
      <c r="B11" s="599" t="s">
        <v>293</v>
      </c>
      <c r="C11" s="600">
        <v>989.40218849999997</v>
      </c>
      <c r="D11" s="601">
        <v>170470.40580752</v>
      </c>
      <c r="E11" s="602">
        <v>4.1100000000000003</v>
      </c>
      <c r="F11" s="602">
        <v>1.08</v>
      </c>
      <c r="G11" s="602">
        <v>0.6</v>
      </c>
      <c r="H11" s="602">
        <v>0</v>
      </c>
      <c r="I11" s="602">
        <v>0</v>
      </c>
      <c r="J11" s="599" t="s">
        <v>286</v>
      </c>
    </row>
    <row r="12" spans="1:10" s="499" customFormat="1" ht="18" customHeight="1" x14ac:dyDescent="0.2">
      <c r="A12" s="598">
        <v>10</v>
      </c>
      <c r="B12" s="599" t="s">
        <v>294</v>
      </c>
      <c r="C12" s="600">
        <v>2727.7786775</v>
      </c>
      <c r="D12" s="601">
        <v>128976.99968512</v>
      </c>
      <c r="E12" s="602">
        <v>3.11</v>
      </c>
      <c r="F12" s="602">
        <v>0.77</v>
      </c>
      <c r="G12" s="602">
        <v>0.28999999999999998</v>
      </c>
      <c r="H12" s="602">
        <v>0</v>
      </c>
      <c r="I12" s="602">
        <v>0</v>
      </c>
      <c r="J12" s="599" t="s">
        <v>286</v>
      </c>
    </row>
    <row r="13" spans="1:10" s="499" customFormat="1" ht="18" customHeight="1" x14ac:dyDescent="0.2">
      <c r="A13" s="598">
        <v>11</v>
      </c>
      <c r="B13" s="599" t="s">
        <v>295</v>
      </c>
      <c r="C13" s="600">
        <v>280.74565799999999</v>
      </c>
      <c r="D13" s="601">
        <v>118443.45404151001</v>
      </c>
      <c r="E13" s="602">
        <v>2.85</v>
      </c>
      <c r="F13" s="602">
        <v>1.01</v>
      </c>
      <c r="G13" s="602">
        <v>0.6</v>
      </c>
      <c r="H13" s="602">
        <v>0</v>
      </c>
      <c r="I13" s="602">
        <v>0</v>
      </c>
      <c r="J13" s="599" t="s">
        <v>286</v>
      </c>
    </row>
    <row r="14" spans="1:10" s="499" customFormat="1" ht="18" customHeight="1" x14ac:dyDescent="0.2">
      <c r="A14" s="598">
        <v>12</v>
      </c>
      <c r="B14" s="599" t="s">
        <v>296</v>
      </c>
      <c r="C14" s="600">
        <v>564.30954180000003</v>
      </c>
      <c r="D14" s="600">
        <v>90862.344786119997</v>
      </c>
      <c r="E14" s="602">
        <v>2.19</v>
      </c>
      <c r="F14" s="602">
        <v>1.55</v>
      </c>
      <c r="G14" s="602">
        <v>0.65</v>
      </c>
      <c r="H14" s="602">
        <v>0</v>
      </c>
      <c r="I14" s="602">
        <v>0</v>
      </c>
      <c r="J14" s="599" t="s">
        <v>286</v>
      </c>
    </row>
    <row r="15" spans="1:10" s="499" customFormat="1" ht="18" customHeight="1" x14ac:dyDescent="0.2">
      <c r="A15" s="598">
        <v>13</v>
      </c>
      <c r="B15" s="599" t="s">
        <v>298</v>
      </c>
      <c r="C15" s="600">
        <v>151.04003</v>
      </c>
      <c r="D15" s="600">
        <v>79458.70310703</v>
      </c>
      <c r="E15" s="602">
        <v>1.92</v>
      </c>
      <c r="F15" s="602">
        <v>1.2</v>
      </c>
      <c r="G15" s="602">
        <v>0.56999999999999995</v>
      </c>
      <c r="H15" s="602">
        <v>0</v>
      </c>
      <c r="I15" s="602">
        <v>0</v>
      </c>
      <c r="J15" s="599" t="s">
        <v>286</v>
      </c>
    </row>
    <row r="16" spans="1:10" s="499" customFormat="1" ht="18" customHeight="1" x14ac:dyDescent="0.2">
      <c r="A16" s="598">
        <v>14</v>
      </c>
      <c r="B16" s="599" t="s">
        <v>297</v>
      </c>
      <c r="C16" s="600">
        <v>95.919779000000005</v>
      </c>
      <c r="D16" s="600">
        <v>78734.649058634997</v>
      </c>
      <c r="E16" s="602">
        <v>1.9</v>
      </c>
      <c r="F16" s="602">
        <v>0.74</v>
      </c>
      <c r="G16" s="602">
        <v>0.44</v>
      </c>
      <c r="H16" s="602">
        <v>0</v>
      </c>
      <c r="I16" s="602">
        <v>0</v>
      </c>
      <c r="J16" s="599" t="s">
        <v>286</v>
      </c>
    </row>
    <row r="17" spans="1:10" s="499" customFormat="1" ht="18" customHeight="1" x14ac:dyDescent="0.2">
      <c r="A17" s="598">
        <v>15</v>
      </c>
      <c r="B17" s="599" t="s">
        <v>216</v>
      </c>
      <c r="C17" s="600">
        <v>120.3403138</v>
      </c>
      <c r="D17" s="600">
        <v>70956.058020500001</v>
      </c>
      <c r="E17" s="602">
        <v>1.71</v>
      </c>
      <c r="F17" s="602">
        <v>1.48</v>
      </c>
      <c r="G17" s="602">
        <v>0.57999999999999996</v>
      </c>
      <c r="H17" s="602">
        <v>0</v>
      </c>
      <c r="I17" s="602">
        <v>0</v>
      </c>
      <c r="J17" s="599" t="s">
        <v>286</v>
      </c>
    </row>
    <row r="18" spans="1:10" s="499" customFormat="1" ht="18" customHeight="1" x14ac:dyDescent="0.2">
      <c r="A18" s="598">
        <v>16</v>
      </c>
      <c r="B18" s="599" t="s">
        <v>301</v>
      </c>
      <c r="C18" s="600">
        <v>892.46115339999994</v>
      </c>
      <c r="D18" s="600">
        <v>65541.826070395007</v>
      </c>
      <c r="E18" s="602">
        <v>1.58</v>
      </c>
      <c r="F18" s="602">
        <v>1.2</v>
      </c>
      <c r="G18" s="602">
        <v>0.56999999999999995</v>
      </c>
      <c r="H18" s="602">
        <v>0</v>
      </c>
      <c r="I18" s="602">
        <v>0</v>
      </c>
      <c r="J18" s="599" t="s">
        <v>286</v>
      </c>
    </row>
    <row r="19" spans="1:10" s="499" customFormat="1" ht="18" customHeight="1" x14ac:dyDescent="0.2">
      <c r="A19" s="598">
        <v>17</v>
      </c>
      <c r="B19" s="599" t="s">
        <v>299</v>
      </c>
      <c r="C19" s="600">
        <v>96.415716000000003</v>
      </c>
      <c r="D19" s="600">
        <v>63533.233356709999</v>
      </c>
      <c r="E19" s="602">
        <v>1.53</v>
      </c>
      <c r="F19" s="602">
        <v>0.63</v>
      </c>
      <c r="G19" s="602">
        <v>0.34</v>
      </c>
      <c r="H19" s="602">
        <v>0</v>
      </c>
      <c r="I19" s="602">
        <v>0</v>
      </c>
      <c r="J19" s="599" t="s">
        <v>286</v>
      </c>
    </row>
    <row r="20" spans="1:10" s="499" customFormat="1" ht="18" customHeight="1" x14ac:dyDescent="0.2">
      <c r="A20" s="598">
        <v>18</v>
      </c>
      <c r="B20" s="599" t="s">
        <v>300</v>
      </c>
      <c r="C20" s="600">
        <v>542.73301919999994</v>
      </c>
      <c r="D20" s="600">
        <v>61767.221522020001</v>
      </c>
      <c r="E20" s="602">
        <v>1.49</v>
      </c>
      <c r="F20" s="602">
        <v>0.72</v>
      </c>
      <c r="G20" s="602">
        <v>0.4</v>
      </c>
      <c r="H20" s="602">
        <v>0</v>
      </c>
      <c r="I20" s="602">
        <v>0</v>
      </c>
      <c r="J20" s="599" t="s">
        <v>286</v>
      </c>
    </row>
    <row r="21" spans="1:10" s="499" customFormat="1" ht="18" customHeight="1" x14ac:dyDescent="0.2">
      <c r="A21" s="598">
        <v>19</v>
      </c>
      <c r="B21" s="599" t="s">
        <v>303</v>
      </c>
      <c r="C21" s="600">
        <v>239.92753300000001</v>
      </c>
      <c r="D21" s="600">
        <v>52980.614159265002</v>
      </c>
      <c r="E21" s="602">
        <v>1.28</v>
      </c>
      <c r="F21" s="602">
        <v>0.59</v>
      </c>
      <c r="G21" s="602">
        <v>0.23</v>
      </c>
      <c r="H21" s="602">
        <v>0</v>
      </c>
      <c r="I21" s="602">
        <v>0</v>
      </c>
      <c r="J21" s="599" t="s">
        <v>286</v>
      </c>
    </row>
    <row r="22" spans="1:10" s="499" customFormat="1" ht="18" customHeight="1" x14ac:dyDescent="0.2">
      <c r="A22" s="598">
        <v>20</v>
      </c>
      <c r="B22" s="599" t="s">
        <v>302</v>
      </c>
      <c r="C22" s="600">
        <v>85.642996999999994</v>
      </c>
      <c r="D22" s="600">
        <v>51375.189180164998</v>
      </c>
      <c r="E22" s="602">
        <v>1.24</v>
      </c>
      <c r="F22" s="602">
        <v>0.5</v>
      </c>
      <c r="G22" s="602">
        <v>0.23</v>
      </c>
      <c r="H22" s="602">
        <v>0</v>
      </c>
      <c r="I22" s="602">
        <v>0</v>
      </c>
      <c r="J22" s="599" t="s">
        <v>286</v>
      </c>
    </row>
    <row r="23" spans="1:10" s="499" customFormat="1" ht="18" customHeight="1" x14ac:dyDescent="0.2">
      <c r="A23" s="598">
        <v>21</v>
      </c>
      <c r="B23" s="599" t="s">
        <v>306</v>
      </c>
      <c r="C23" s="600">
        <v>621.596272</v>
      </c>
      <c r="D23" s="600">
        <v>50353.450261409998</v>
      </c>
      <c r="E23" s="602">
        <v>1.21</v>
      </c>
      <c r="F23" s="602">
        <v>1.05</v>
      </c>
      <c r="G23" s="602">
        <v>0.45</v>
      </c>
      <c r="H23" s="602">
        <v>0</v>
      </c>
      <c r="I23" s="602">
        <v>0</v>
      </c>
      <c r="J23" s="599" t="s">
        <v>286</v>
      </c>
    </row>
    <row r="24" spans="1:10" s="499" customFormat="1" ht="18" customHeight="1" x14ac:dyDescent="0.2">
      <c r="A24" s="598">
        <v>22</v>
      </c>
      <c r="B24" s="599" t="s">
        <v>305</v>
      </c>
      <c r="C24" s="600">
        <v>9894.5572800000009</v>
      </c>
      <c r="D24" s="600">
        <v>47841.643085119998</v>
      </c>
      <c r="E24" s="602">
        <v>1.1499999999999999</v>
      </c>
      <c r="F24" s="602">
        <v>0.64</v>
      </c>
      <c r="G24" s="602">
        <v>0.34</v>
      </c>
      <c r="H24" s="602">
        <v>0</v>
      </c>
      <c r="I24" s="602">
        <v>0</v>
      </c>
      <c r="J24" s="599" t="s">
        <v>286</v>
      </c>
    </row>
    <row r="25" spans="1:10" s="499" customFormat="1" ht="18" customHeight="1" x14ac:dyDescent="0.2">
      <c r="A25" s="598">
        <v>23</v>
      </c>
      <c r="B25" s="599" t="s">
        <v>304</v>
      </c>
      <c r="C25" s="600">
        <v>288.62607600000001</v>
      </c>
      <c r="D25" s="600">
        <v>46585.027640430002</v>
      </c>
      <c r="E25" s="602">
        <v>1.1200000000000001</v>
      </c>
      <c r="F25" s="602">
        <v>1</v>
      </c>
      <c r="G25" s="602">
        <v>0.57999999999999996</v>
      </c>
      <c r="H25" s="602">
        <v>0</v>
      </c>
      <c r="I25" s="602">
        <v>0</v>
      </c>
      <c r="J25" s="599" t="s">
        <v>286</v>
      </c>
    </row>
    <row r="26" spans="1:10" s="499" customFormat="1" ht="18" customHeight="1" x14ac:dyDescent="0.2">
      <c r="A26" s="598">
        <v>24</v>
      </c>
      <c r="B26" s="599" t="s">
        <v>307</v>
      </c>
      <c r="C26" s="600">
        <v>5231.5896480000001</v>
      </c>
      <c r="D26" s="600">
        <v>45866.094945384997</v>
      </c>
      <c r="E26" s="602">
        <v>1.1100000000000001</v>
      </c>
      <c r="F26" s="602">
        <v>0.53</v>
      </c>
      <c r="G26" s="602">
        <v>0.26</v>
      </c>
      <c r="H26" s="602">
        <v>0</v>
      </c>
      <c r="I26" s="602">
        <v>0</v>
      </c>
      <c r="J26" s="599" t="s">
        <v>286</v>
      </c>
    </row>
    <row r="27" spans="1:10" s="499" customFormat="1" ht="18" customHeight="1" x14ac:dyDescent="0.2">
      <c r="A27" s="598">
        <v>25</v>
      </c>
      <c r="B27" s="599" t="s">
        <v>308</v>
      </c>
      <c r="C27" s="600">
        <v>24.055163</v>
      </c>
      <c r="D27" s="600">
        <v>44085.446489859998</v>
      </c>
      <c r="E27" s="602">
        <v>1.06</v>
      </c>
      <c r="F27" s="602">
        <v>0.82</v>
      </c>
      <c r="G27" s="602">
        <v>0.44</v>
      </c>
      <c r="H27" s="602">
        <v>0</v>
      </c>
      <c r="I27" s="602">
        <v>0</v>
      </c>
      <c r="J27" s="599" t="s">
        <v>286</v>
      </c>
    </row>
    <row r="28" spans="1:10" s="499" customFormat="1" ht="18" customHeight="1" x14ac:dyDescent="0.2">
      <c r="A28" s="598">
        <v>26</v>
      </c>
      <c r="B28" s="599" t="s">
        <v>220</v>
      </c>
      <c r="C28" s="600">
        <v>88.778616</v>
      </c>
      <c r="D28" s="600">
        <v>40919.921264475</v>
      </c>
      <c r="E28" s="602">
        <v>0.99</v>
      </c>
      <c r="F28" s="602">
        <v>0.92</v>
      </c>
      <c r="G28" s="602">
        <v>0.44</v>
      </c>
      <c r="H28" s="602">
        <v>0</v>
      </c>
      <c r="I28" s="602">
        <v>0</v>
      </c>
      <c r="J28" s="599" t="s">
        <v>286</v>
      </c>
    </row>
    <row r="29" spans="1:10" s="499" customFormat="1" ht="18" customHeight="1" x14ac:dyDescent="0.2">
      <c r="A29" s="598">
        <v>27</v>
      </c>
      <c r="B29" s="599" t="s">
        <v>309</v>
      </c>
      <c r="C29" s="600">
        <v>493.38133349999998</v>
      </c>
      <c r="D29" s="600">
        <v>35844.33642218</v>
      </c>
      <c r="E29" s="602">
        <v>0.86</v>
      </c>
      <c r="F29" s="602">
        <v>0.81</v>
      </c>
      <c r="G29" s="602">
        <v>0.42</v>
      </c>
      <c r="H29" s="602">
        <v>0</v>
      </c>
      <c r="I29" s="602">
        <v>0</v>
      </c>
      <c r="J29" s="599" t="s">
        <v>286</v>
      </c>
    </row>
    <row r="30" spans="1:10" s="499" customFormat="1" ht="18" customHeight="1" x14ac:dyDescent="0.2">
      <c r="A30" s="598">
        <v>28</v>
      </c>
      <c r="B30" s="599" t="s">
        <v>310</v>
      </c>
      <c r="C30" s="600">
        <v>289.36702000000002</v>
      </c>
      <c r="D30" s="600">
        <v>35161.489429025001</v>
      </c>
      <c r="E30" s="602">
        <v>0.85</v>
      </c>
      <c r="F30" s="602">
        <v>0.84</v>
      </c>
      <c r="G30" s="602">
        <v>0.48</v>
      </c>
      <c r="H30" s="602">
        <v>0</v>
      </c>
      <c r="I30" s="602">
        <v>0</v>
      </c>
      <c r="J30" s="599" t="s">
        <v>286</v>
      </c>
    </row>
    <row r="31" spans="1:10" s="499" customFormat="1" ht="18" customHeight="1" x14ac:dyDescent="0.2">
      <c r="A31" s="598">
        <v>29</v>
      </c>
      <c r="B31" s="599" t="s">
        <v>224</v>
      </c>
      <c r="C31" s="600">
        <v>39.948208399999999</v>
      </c>
      <c r="D31" s="600">
        <v>34268.154756360003</v>
      </c>
      <c r="E31" s="602">
        <v>0.83</v>
      </c>
      <c r="F31" s="602">
        <v>0.93</v>
      </c>
      <c r="G31" s="602">
        <v>0.4</v>
      </c>
      <c r="H31" s="602">
        <v>0</v>
      </c>
      <c r="I31" s="602">
        <v>0</v>
      </c>
      <c r="J31" s="599" t="s">
        <v>286</v>
      </c>
    </row>
    <row r="32" spans="1:10" s="499" customFormat="1" ht="18" customHeight="1" x14ac:dyDescent="0.2">
      <c r="A32" s="598">
        <v>30</v>
      </c>
      <c r="B32" s="599" t="s">
        <v>311</v>
      </c>
      <c r="C32" s="600">
        <v>1142.8877768</v>
      </c>
      <c r="D32" s="600">
        <v>33061.838148549999</v>
      </c>
      <c r="E32" s="602">
        <v>0.8</v>
      </c>
      <c r="F32" s="602">
        <v>0.63</v>
      </c>
      <c r="G32" s="602">
        <v>0.36</v>
      </c>
      <c r="H32" s="602">
        <v>0</v>
      </c>
      <c r="I32" s="602">
        <v>0</v>
      </c>
      <c r="J32" s="599" t="s">
        <v>286</v>
      </c>
    </row>
    <row r="33" spans="1:11" s="499" customFormat="1" ht="18" customHeight="1" x14ac:dyDescent="0.2">
      <c r="A33" s="598">
        <v>31</v>
      </c>
      <c r="B33" s="599" t="s">
        <v>313</v>
      </c>
      <c r="C33" s="600">
        <v>2169.2140439999998</v>
      </c>
      <c r="D33" s="600">
        <v>30791.4153998</v>
      </c>
      <c r="E33" s="602">
        <v>0.74</v>
      </c>
      <c r="F33" s="602">
        <v>1.1100000000000001</v>
      </c>
      <c r="G33" s="602">
        <v>0.43</v>
      </c>
      <c r="H33" s="602">
        <v>0</v>
      </c>
      <c r="I33" s="602">
        <v>0</v>
      </c>
      <c r="J33" s="599" t="s">
        <v>286</v>
      </c>
    </row>
    <row r="34" spans="1:11" s="499" customFormat="1" ht="18" customHeight="1" x14ac:dyDescent="0.2">
      <c r="A34" s="598">
        <v>32</v>
      </c>
      <c r="B34" s="599" t="s">
        <v>312</v>
      </c>
      <c r="C34" s="600">
        <v>6290.1396029999996</v>
      </c>
      <c r="D34" s="600">
        <v>30892.728613144998</v>
      </c>
      <c r="E34" s="602">
        <v>0.74</v>
      </c>
      <c r="F34" s="602">
        <v>1.07</v>
      </c>
      <c r="G34" s="602">
        <v>0.38</v>
      </c>
      <c r="H34" s="602">
        <v>0</v>
      </c>
      <c r="I34" s="602">
        <v>0</v>
      </c>
      <c r="J34" s="599" t="s">
        <v>286</v>
      </c>
    </row>
    <row r="35" spans="1:11" s="499" customFormat="1" ht="18" customHeight="1" x14ac:dyDescent="0.2">
      <c r="A35" s="598">
        <v>33</v>
      </c>
      <c r="B35" s="599" t="s">
        <v>314</v>
      </c>
      <c r="C35" s="600">
        <v>6162.7283269999998</v>
      </c>
      <c r="D35" s="600">
        <v>28570.608276775001</v>
      </c>
      <c r="E35" s="602">
        <v>0.69</v>
      </c>
      <c r="F35" s="602">
        <v>0.68</v>
      </c>
      <c r="G35" s="602">
        <v>0.24</v>
      </c>
      <c r="H35" s="602">
        <v>0</v>
      </c>
      <c r="I35" s="602">
        <v>0</v>
      </c>
      <c r="J35" s="599" t="s">
        <v>286</v>
      </c>
    </row>
    <row r="36" spans="1:11" s="499" customFormat="1" ht="18" customHeight="1" x14ac:dyDescent="0.2">
      <c r="A36" s="598">
        <v>34</v>
      </c>
      <c r="B36" s="599" t="s">
        <v>315</v>
      </c>
      <c r="C36" s="600">
        <v>414.19035220000001</v>
      </c>
      <c r="D36" s="600">
        <v>28181.334186330001</v>
      </c>
      <c r="E36" s="602">
        <v>0.68</v>
      </c>
      <c r="F36" s="602">
        <v>0.94</v>
      </c>
      <c r="G36" s="602">
        <v>0.48</v>
      </c>
      <c r="H36" s="602">
        <v>0</v>
      </c>
      <c r="I36" s="602">
        <v>0</v>
      </c>
      <c r="J36" s="599" t="s">
        <v>286</v>
      </c>
    </row>
    <row r="37" spans="1:11" s="499" customFormat="1" ht="18" customHeight="1" x14ac:dyDescent="0.2">
      <c r="A37" s="598">
        <v>35</v>
      </c>
      <c r="B37" s="599" t="s">
        <v>317</v>
      </c>
      <c r="C37" s="600">
        <v>693.56603800000005</v>
      </c>
      <c r="D37" s="600">
        <v>27424.585169720001</v>
      </c>
      <c r="E37" s="602">
        <v>0.66</v>
      </c>
      <c r="F37" s="602">
        <v>1.63</v>
      </c>
      <c r="G37" s="602">
        <v>0.35</v>
      </c>
      <c r="H37" s="602">
        <v>0</v>
      </c>
      <c r="I37" s="602">
        <v>0</v>
      </c>
      <c r="J37" s="599" t="s">
        <v>286</v>
      </c>
    </row>
    <row r="38" spans="1:11" s="499" customFormat="1" ht="18" customHeight="1" x14ac:dyDescent="0.2">
      <c r="A38" s="598">
        <v>36</v>
      </c>
      <c r="B38" s="599" t="s">
        <v>318</v>
      </c>
      <c r="C38" s="600">
        <v>1126.4923739999999</v>
      </c>
      <c r="D38" s="600">
        <v>25284.21057558</v>
      </c>
      <c r="E38" s="602">
        <v>0.61</v>
      </c>
      <c r="F38" s="602">
        <v>1.17</v>
      </c>
      <c r="G38" s="602">
        <v>0.52</v>
      </c>
      <c r="H38" s="602">
        <v>0</v>
      </c>
      <c r="I38" s="602">
        <v>0</v>
      </c>
      <c r="J38" s="599" t="s">
        <v>286</v>
      </c>
    </row>
    <row r="39" spans="1:11" s="499" customFormat="1" ht="18" customHeight="1" x14ac:dyDescent="0.2">
      <c r="A39" s="598">
        <v>37</v>
      </c>
      <c r="B39" s="599" t="s">
        <v>316</v>
      </c>
      <c r="C39" s="600">
        <v>131.56084759999999</v>
      </c>
      <c r="D39" s="600">
        <v>25005.70934777</v>
      </c>
      <c r="E39" s="602">
        <v>0.6</v>
      </c>
      <c r="F39" s="602">
        <v>1.19</v>
      </c>
      <c r="G39" s="602">
        <v>0.57999999999999996</v>
      </c>
      <c r="H39" s="602">
        <v>0</v>
      </c>
      <c r="I39" s="602">
        <v>0</v>
      </c>
      <c r="J39" s="599" t="s">
        <v>286</v>
      </c>
    </row>
    <row r="40" spans="1:11" s="499" customFormat="1" ht="18" customHeight="1" x14ac:dyDescent="0.2">
      <c r="A40" s="598">
        <v>38</v>
      </c>
      <c r="B40" s="599" t="s">
        <v>319</v>
      </c>
      <c r="C40" s="600">
        <v>9414.1589220000005</v>
      </c>
      <c r="D40" s="600">
        <v>21980.529341009998</v>
      </c>
      <c r="E40" s="602">
        <v>0.53</v>
      </c>
      <c r="F40" s="602">
        <v>0.75</v>
      </c>
      <c r="G40" s="602">
        <v>0.39</v>
      </c>
      <c r="H40" s="602">
        <v>0</v>
      </c>
      <c r="I40" s="602">
        <v>0</v>
      </c>
      <c r="J40" s="599" t="s">
        <v>286</v>
      </c>
    </row>
    <row r="41" spans="1:11" s="499" customFormat="1" ht="18" customHeight="1" x14ac:dyDescent="0.2">
      <c r="A41" s="598">
        <v>39</v>
      </c>
      <c r="B41" s="599" t="s">
        <v>320</v>
      </c>
      <c r="C41" s="600">
        <v>224.6284546</v>
      </c>
      <c r="D41" s="600">
        <v>22025.630458020001</v>
      </c>
      <c r="E41" s="602">
        <v>0.53</v>
      </c>
      <c r="F41" s="602">
        <v>1.37</v>
      </c>
      <c r="G41" s="602">
        <v>0.63</v>
      </c>
      <c r="H41" s="602">
        <v>0</v>
      </c>
      <c r="I41" s="602">
        <v>0</v>
      </c>
      <c r="J41" s="599" t="s">
        <v>286</v>
      </c>
    </row>
    <row r="42" spans="1:11" s="499" customFormat="1" ht="18" customHeight="1" x14ac:dyDescent="0.2">
      <c r="A42" s="598">
        <v>40</v>
      </c>
      <c r="B42" s="599" t="s">
        <v>321</v>
      </c>
      <c r="C42" s="600">
        <v>617.79477880000002</v>
      </c>
      <c r="D42" s="600">
        <v>18014.726155050001</v>
      </c>
      <c r="E42" s="602">
        <v>0.43</v>
      </c>
      <c r="F42" s="602">
        <v>1.32</v>
      </c>
      <c r="G42" s="602">
        <v>0.37</v>
      </c>
      <c r="H42" s="602">
        <v>0</v>
      </c>
      <c r="I42" s="602">
        <v>0</v>
      </c>
      <c r="J42" s="599" t="s">
        <v>286</v>
      </c>
    </row>
    <row r="43" spans="1:11" s="499" customFormat="1" ht="18.75" customHeight="1" x14ac:dyDescent="0.2">
      <c r="A43" s="940" t="s">
        <v>46</v>
      </c>
      <c r="B43" s="940"/>
      <c r="C43" s="940"/>
      <c r="D43" s="940"/>
      <c r="E43" s="940"/>
      <c r="F43" s="940"/>
      <c r="G43" s="940"/>
      <c r="H43" s="940"/>
      <c r="I43" s="940"/>
      <c r="J43" s="940"/>
      <c r="K43" s="940"/>
    </row>
    <row r="44" spans="1:11" s="499" customFormat="1" ht="18" customHeight="1" x14ac:dyDescent="0.2">
      <c r="A44" s="941" t="s">
        <v>322</v>
      </c>
      <c r="B44" s="941"/>
      <c r="C44" s="941"/>
      <c r="D44" s="941"/>
      <c r="E44" s="941"/>
      <c r="F44" s="941"/>
      <c r="G44" s="941"/>
      <c r="H44" s="941"/>
      <c r="I44" s="941"/>
      <c r="J44" s="941"/>
      <c r="K44" s="941"/>
    </row>
    <row r="45" spans="1:11" s="499" customFormat="1" ht="18" customHeight="1" x14ac:dyDescent="0.2">
      <c r="A45" s="941" t="s">
        <v>1078</v>
      </c>
      <c r="B45" s="941"/>
      <c r="C45" s="941"/>
      <c r="D45" s="941"/>
      <c r="E45" s="941"/>
      <c r="F45" s="941"/>
      <c r="G45" s="941"/>
      <c r="H45" s="941"/>
      <c r="I45" s="941"/>
      <c r="J45" s="941"/>
      <c r="K45" s="941"/>
    </row>
    <row r="46" spans="1:11" s="499" customFormat="1" ht="18" customHeight="1" x14ac:dyDescent="0.2">
      <c r="A46" s="941" t="s">
        <v>323</v>
      </c>
      <c r="B46" s="941"/>
      <c r="C46" s="941"/>
      <c r="D46" s="941"/>
      <c r="E46" s="941"/>
      <c r="F46" s="941"/>
      <c r="G46" s="941"/>
      <c r="H46" s="941"/>
      <c r="I46" s="941"/>
      <c r="J46" s="941"/>
      <c r="K46" s="941"/>
    </row>
    <row r="47" spans="1:11" s="499" customFormat="1" ht="18" customHeight="1" x14ac:dyDescent="0.2">
      <c r="A47" s="941" t="s">
        <v>1079</v>
      </c>
      <c r="B47" s="941"/>
      <c r="C47" s="941"/>
      <c r="D47" s="941"/>
      <c r="E47" s="941"/>
      <c r="F47" s="941"/>
      <c r="G47" s="941"/>
      <c r="H47" s="941"/>
      <c r="I47" s="941"/>
      <c r="J47" s="941"/>
      <c r="K47" s="941"/>
    </row>
    <row r="48" spans="1:11" s="499" customFormat="1" ht="18" customHeight="1" x14ac:dyDescent="0.2">
      <c r="A48" s="940" t="s">
        <v>193</v>
      </c>
      <c r="B48" s="940"/>
      <c r="C48" s="940"/>
      <c r="D48" s="940"/>
      <c r="E48" s="940"/>
      <c r="F48" s="940"/>
      <c r="G48" s="940"/>
      <c r="H48" s="940"/>
      <c r="I48" s="940"/>
      <c r="J48" s="940"/>
      <c r="K48" s="940"/>
    </row>
    <row r="49" s="499" customFormat="1" ht="28.35" customHeight="1" x14ac:dyDescent="0.2"/>
  </sheetData>
  <mergeCells count="6">
    <mergeCell ref="A48:K48"/>
    <mergeCell ref="A47:K47"/>
    <mergeCell ref="A43:K43"/>
    <mergeCell ref="A44:K44"/>
    <mergeCell ref="A45:K45"/>
    <mergeCell ref="A46:K46"/>
  </mergeCells>
  <pageMargins left="0.78431372549019618" right="0.78431372549019618" top="0.98039215686274517" bottom="0.98039215686274517" header="0.50980392156862753" footer="0.50980392156862753"/>
  <pageSetup paperSize="9" orientation="portrait" useFirstPageNumber="1"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12"/>
  <sheetViews>
    <sheetView zoomScaleNormal="100" workbookViewId="0">
      <selection activeCell="N20" sqref="N20"/>
    </sheetView>
  </sheetViews>
  <sheetFormatPr defaultRowHeight="12.75" x14ac:dyDescent="0.2"/>
  <cols>
    <col min="1" max="10" width="10.7109375" bestFit="1" customWidth="1"/>
    <col min="11" max="11" width="4.7109375" bestFit="1" customWidth="1"/>
  </cols>
  <sheetData>
    <row r="1" spans="1:10" ht="15.75" customHeight="1" x14ac:dyDescent="0.2">
      <c r="A1" s="783" t="s">
        <v>991</v>
      </c>
      <c r="B1" s="913"/>
      <c r="C1" s="913"/>
      <c r="D1" s="913"/>
      <c r="E1" s="913"/>
      <c r="F1" s="913"/>
      <c r="G1" s="913"/>
    </row>
    <row r="2" spans="1:10" s="499" customFormat="1" ht="15" customHeight="1" x14ac:dyDescent="0.2">
      <c r="A2" s="810" t="s">
        <v>86</v>
      </c>
      <c r="B2" s="942" t="s">
        <v>116</v>
      </c>
      <c r="C2" s="943"/>
      <c r="D2" s="944"/>
      <c r="E2" s="942" t="s">
        <v>117</v>
      </c>
      <c r="F2" s="943"/>
      <c r="G2" s="944"/>
      <c r="H2" s="942" t="s">
        <v>118</v>
      </c>
      <c r="I2" s="943"/>
      <c r="J2" s="944"/>
    </row>
    <row r="3" spans="1:10" s="499" customFormat="1" ht="37.5" customHeight="1" x14ac:dyDescent="0.2">
      <c r="A3" s="811"/>
      <c r="B3" s="500" t="s">
        <v>324</v>
      </c>
      <c r="C3" s="500" t="s">
        <v>325</v>
      </c>
      <c r="D3" s="500" t="s">
        <v>326</v>
      </c>
      <c r="E3" s="500" t="s">
        <v>324</v>
      </c>
      <c r="F3" s="500" t="s">
        <v>325</v>
      </c>
      <c r="G3" s="500" t="s">
        <v>326</v>
      </c>
      <c r="H3" s="500" t="s">
        <v>324</v>
      </c>
      <c r="I3" s="500" t="s">
        <v>325</v>
      </c>
      <c r="J3" s="500" t="s">
        <v>326</v>
      </c>
    </row>
    <row r="4" spans="1:10" s="499" customFormat="1" ht="15.75" customHeight="1" x14ac:dyDescent="0.2">
      <c r="A4" s="502" t="s">
        <v>73</v>
      </c>
      <c r="B4" s="504">
        <v>793</v>
      </c>
      <c r="C4" s="504">
        <v>3134</v>
      </c>
      <c r="D4" s="603">
        <v>0.25303126999999997</v>
      </c>
      <c r="E4" s="504">
        <v>440</v>
      </c>
      <c r="F4" s="504">
        <v>1530</v>
      </c>
      <c r="G4" s="603">
        <v>0.28999999999999998</v>
      </c>
      <c r="H4" s="503">
        <v>6</v>
      </c>
      <c r="I4" s="503">
        <v>3</v>
      </c>
      <c r="J4" s="604">
        <v>2</v>
      </c>
    </row>
    <row r="5" spans="1:10" s="499" customFormat="1" ht="15.75" customHeight="1" x14ac:dyDescent="0.2">
      <c r="A5" s="502" t="s">
        <v>76</v>
      </c>
      <c r="B5" s="504">
        <v>685</v>
      </c>
      <c r="C5" s="504">
        <v>2890</v>
      </c>
      <c r="D5" s="603">
        <v>0.23702422100000001</v>
      </c>
      <c r="E5" s="504">
        <v>298</v>
      </c>
      <c r="F5" s="504">
        <v>1544</v>
      </c>
      <c r="G5" s="603">
        <v>0.19</v>
      </c>
      <c r="H5" s="503">
        <v>0</v>
      </c>
      <c r="I5" s="503">
        <v>1</v>
      </c>
      <c r="J5" s="604">
        <v>0</v>
      </c>
    </row>
    <row r="6" spans="1:10" s="499" customFormat="1" ht="15.75" customHeight="1" x14ac:dyDescent="0.2">
      <c r="A6" s="502" t="s">
        <v>75</v>
      </c>
      <c r="B6" s="504">
        <v>1291</v>
      </c>
      <c r="C6" s="504">
        <v>1932</v>
      </c>
      <c r="D6" s="603">
        <v>0.66821946200000004</v>
      </c>
      <c r="E6" s="504">
        <v>825</v>
      </c>
      <c r="F6" s="504">
        <v>1094</v>
      </c>
      <c r="G6" s="603">
        <v>0.75</v>
      </c>
      <c r="H6" s="503">
        <v>0</v>
      </c>
      <c r="I6" s="503">
        <v>0</v>
      </c>
      <c r="J6" s="604">
        <v>0</v>
      </c>
    </row>
    <row r="7" spans="1:10" s="499" customFormat="1" ht="15.75" customHeight="1" x14ac:dyDescent="0.2">
      <c r="A7" s="502" t="s">
        <v>74</v>
      </c>
      <c r="B7" s="504">
        <v>1410</v>
      </c>
      <c r="C7" s="504">
        <v>1780</v>
      </c>
      <c r="D7" s="603">
        <v>0.79213483100000004</v>
      </c>
      <c r="E7" s="504">
        <v>914</v>
      </c>
      <c r="F7" s="504">
        <v>977</v>
      </c>
      <c r="G7" s="603">
        <v>0.94</v>
      </c>
      <c r="H7" s="503">
        <v>0</v>
      </c>
      <c r="I7" s="503">
        <v>0</v>
      </c>
      <c r="J7" s="604">
        <v>0</v>
      </c>
    </row>
    <row r="8" spans="1:10" s="499" customFormat="1" ht="15.75" customHeight="1" x14ac:dyDescent="0.2">
      <c r="A8" s="502" t="s">
        <v>849</v>
      </c>
      <c r="B8" s="504">
        <v>2699</v>
      </c>
      <c r="C8" s="504">
        <v>585</v>
      </c>
      <c r="D8" s="603">
        <v>4.6136752139999997</v>
      </c>
      <c r="E8" s="504">
        <v>1753</v>
      </c>
      <c r="F8" s="504">
        <v>147</v>
      </c>
      <c r="G8" s="603">
        <v>11.93</v>
      </c>
      <c r="H8" s="503">
        <v>0</v>
      </c>
      <c r="I8" s="503">
        <v>0</v>
      </c>
      <c r="J8" s="604">
        <v>0</v>
      </c>
    </row>
    <row r="9" spans="1:10" s="499" customFormat="1" ht="19.5" customHeight="1" x14ac:dyDescent="0.2">
      <c r="A9" s="786" t="s">
        <v>1089</v>
      </c>
      <c r="B9" s="786"/>
      <c r="C9" s="786"/>
      <c r="D9" s="786"/>
      <c r="E9" s="786"/>
      <c r="F9" s="786"/>
    </row>
    <row r="10" spans="1:10" s="499" customFormat="1" ht="18" customHeight="1" x14ac:dyDescent="0.2">
      <c r="A10" s="786" t="s">
        <v>842</v>
      </c>
      <c r="B10" s="786"/>
      <c r="C10" s="786"/>
      <c r="D10" s="786"/>
      <c r="E10" s="786"/>
      <c r="F10" s="786"/>
    </row>
    <row r="11" spans="1:10" s="499" customFormat="1" ht="18" customHeight="1" x14ac:dyDescent="0.2">
      <c r="A11" s="797" t="s">
        <v>110</v>
      </c>
      <c r="B11" s="797"/>
      <c r="C11" s="797"/>
      <c r="D11" s="797"/>
      <c r="E11" s="797"/>
      <c r="F11" s="797"/>
    </row>
    <row r="12" spans="1:10" s="499" customFormat="1" ht="27.6" customHeight="1" x14ac:dyDescent="0.2"/>
  </sheetData>
  <mergeCells count="8">
    <mergeCell ref="A11:F11"/>
    <mergeCell ref="H2:J2"/>
    <mergeCell ref="A10:F10"/>
    <mergeCell ref="A9:F9"/>
    <mergeCell ref="A1:G1"/>
    <mergeCell ref="A2:A3"/>
    <mergeCell ref="B2:D2"/>
    <mergeCell ref="E2:G2"/>
  </mergeCells>
  <pageMargins left="0.78431372549019618" right="0.78431372549019618" top="0.98039215686274517" bottom="0.98039215686274517" header="0.50980392156862753" footer="0.50980392156862753"/>
  <pageSetup paperSize="9" orientation="portrait" useFirstPageNumber="1"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12"/>
  <sheetViews>
    <sheetView zoomScaleNormal="100" workbookViewId="0">
      <selection activeCell="N11" sqref="N11"/>
    </sheetView>
  </sheetViews>
  <sheetFormatPr defaultRowHeight="12.75" x14ac:dyDescent="0.2"/>
  <cols>
    <col min="1" max="1" width="9.85546875" bestFit="1" customWidth="1"/>
    <col min="2" max="10" width="13.5703125" bestFit="1" customWidth="1"/>
    <col min="11" max="11" width="4.7109375" bestFit="1" customWidth="1"/>
  </cols>
  <sheetData>
    <row r="1" spans="1:10" ht="13.5" customHeight="1" x14ac:dyDescent="0.2">
      <c r="A1" s="783" t="s">
        <v>993</v>
      </c>
      <c r="B1" s="913"/>
      <c r="C1" s="913"/>
      <c r="D1" s="913"/>
      <c r="E1" s="913"/>
      <c r="F1" s="913"/>
      <c r="G1" s="913"/>
    </row>
    <row r="2" spans="1:10" s="499" customFormat="1" ht="27.75" customHeight="1" x14ac:dyDescent="0.2">
      <c r="A2" s="799" t="s">
        <v>327</v>
      </c>
      <c r="B2" s="942" t="s">
        <v>116</v>
      </c>
      <c r="C2" s="943"/>
      <c r="D2" s="944"/>
      <c r="E2" s="942" t="s">
        <v>117</v>
      </c>
      <c r="F2" s="943"/>
      <c r="G2" s="944"/>
      <c r="H2" s="942" t="s">
        <v>118</v>
      </c>
      <c r="I2" s="943"/>
      <c r="J2" s="944"/>
    </row>
    <row r="3" spans="1:10" s="499" customFormat="1" ht="39" customHeight="1" x14ac:dyDescent="0.2">
      <c r="A3" s="801"/>
      <c r="B3" s="500" t="s">
        <v>328</v>
      </c>
      <c r="C3" s="500" t="s">
        <v>157</v>
      </c>
      <c r="D3" s="587" t="s">
        <v>966</v>
      </c>
      <c r="E3" s="500" t="s">
        <v>328</v>
      </c>
      <c r="F3" s="500" t="s">
        <v>157</v>
      </c>
      <c r="G3" s="587" t="s">
        <v>966</v>
      </c>
      <c r="H3" s="500" t="s">
        <v>328</v>
      </c>
      <c r="I3" s="500" t="s">
        <v>157</v>
      </c>
      <c r="J3" s="587" t="s">
        <v>966</v>
      </c>
    </row>
    <row r="4" spans="1:10" s="499" customFormat="1" ht="18" customHeight="1" x14ac:dyDescent="0.2">
      <c r="A4" s="502" t="s">
        <v>73</v>
      </c>
      <c r="B4" s="504">
        <v>5377</v>
      </c>
      <c r="C4" s="504">
        <v>4089</v>
      </c>
      <c r="D4" s="605">
        <v>76.046122373070489</v>
      </c>
      <c r="E4" s="504">
        <v>1949</v>
      </c>
      <c r="F4" s="504">
        <v>1989</v>
      </c>
      <c r="G4" s="605">
        <v>102.05233453052847</v>
      </c>
      <c r="H4" s="503">
        <v>295</v>
      </c>
      <c r="I4" s="503">
        <v>15</v>
      </c>
      <c r="J4" s="604">
        <v>5.0847457627118651</v>
      </c>
    </row>
    <row r="5" spans="1:10" s="499" customFormat="1" ht="18" customHeight="1" x14ac:dyDescent="0.2">
      <c r="A5" s="502" t="s">
        <v>76</v>
      </c>
      <c r="B5" s="504">
        <v>5377</v>
      </c>
      <c r="C5" s="504">
        <v>3607</v>
      </c>
      <c r="D5" s="605">
        <v>67.082015994048731</v>
      </c>
      <c r="E5" s="504">
        <v>1944</v>
      </c>
      <c r="F5" s="504">
        <v>1902</v>
      </c>
      <c r="G5" s="605">
        <v>97.839506172839506</v>
      </c>
      <c r="H5" s="503">
        <v>295</v>
      </c>
      <c r="I5" s="503">
        <v>3</v>
      </c>
      <c r="J5" s="604">
        <v>1.0169491525423728</v>
      </c>
    </row>
    <row r="6" spans="1:10" s="499" customFormat="1" ht="18" customHeight="1" x14ac:dyDescent="0.2">
      <c r="A6" s="502" t="s">
        <v>75</v>
      </c>
      <c r="B6" s="504">
        <v>5380</v>
      </c>
      <c r="C6" s="504">
        <v>3352</v>
      </c>
      <c r="D6" s="605">
        <v>62.304832713754642</v>
      </c>
      <c r="E6" s="504">
        <v>1949</v>
      </c>
      <c r="F6" s="504">
        <v>1855</v>
      </c>
      <c r="G6" s="605">
        <v>95.177013853258089</v>
      </c>
      <c r="H6" s="503">
        <v>296</v>
      </c>
      <c r="I6" s="503">
        <v>3</v>
      </c>
      <c r="J6" s="604">
        <v>1.0135135135135136</v>
      </c>
    </row>
    <row r="7" spans="1:10" s="499" customFormat="1" ht="18" customHeight="1" x14ac:dyDescent="0.2">
      <c r="A7" s="502" t="s">
        <v>74</v>
      </c>
      <c r="B7" s="504">
        <v>5369</v>
      </c>
      <c r="C7" s="504">
        <v>3303</v>
      </c>
      <c r="D7" s="605">
        <v>61.519836096107284</v>
      </c>
      <c r="E7" s="504">
        <v>1947</v>
      </c>
      <c r="F7" s="504">
        <v>1854</v>
      </c>
      <c r="G7" s="605">
        <v>95.223420647149453</v>
      </c>
      <c r="H7" s="503">
        <v>295</v>
      </c>
      <c r="I7" s="503">
        <v>0</v>
      </c>
      <c r="J7" s="604">
        <v>0</v>
      </c>
    </row>
    <row r="8" spans="1:10" s="499" customFormat="1" ht="18" customHeight="1" x14ac:dyDescent="0.2">
      <c r="A8" s="502" t="s">
        <v>849</v>
      </c>
      <c r="B8" s="504">
        <v>5377</v>
      </c>
      <c r="C8" s="504">
        <v>3481</v>
      </c>
      <c r="D8" s="605">
        <v>64.738701878370847</v>
      </c>
      <c r="E8" s="504">
        <v>1944</v>
      </c>
      <c r="F8" s="504">
        <v>1872</v>
      </c>
      <c r="G8" s="605">
        <v>96.296296296296291</v>
      </c>
      <c r="H8" s="503">
        <v>295</v>
      </c>
      <c r="I8" s="503">
        <v>3</v>
      </c>
      <c r="J8" s="604">
        <v>1.0169491525423728</v>
      </c>
    </row>
    <row r="9" spans="1:10" s="499" customFormat="1" ht="18" customHeight="1" x14ac:dyDescent="0.2">
      <c r="A9" s="438" t="s">
        <v>1083</v>
      </c>
      <c r="B9" s="437"/>
      <c r="C9" s="437"/>
      <c r="D9" s="606"/>
      <c r="E9" s="437"/>
      <c r="F9" s="437"/>
      <c r="G9" s="606"/>
      <c r="H9" s="543"/>
      <c r="I9" s="543"/>
      <c r="J9" s="607"/>
    </row>
    <row r="10" spans="1:10" s="499" customFormat="1" ht="13.5" customHeight="1" x14ac:dyDescent="0.2">
      <c r="A10" s="939" t="s">
        <v>842</v>
      </c>
      <c r="B10" s="939"/>
      <c r="C10" s="939"/>
      <c r="D10" s="939"/>
      <c r="E10" s="939"/>
      <c r="F10" s="939"/>
      <c r="G10" s="939"/>
    </row>
    <row r="11" spans="1:10" s="499" customFormat="1" ht="15" customHeight="1" x14ac:dyDescent="0.2">
      <c r="A11" s="860" t="s">
        <v>110</v>
      </c>
      <c r="B11" s="860"/>
      <c r="C11" s="860"/>
      <c r="D11" s="860"/>
      <c r="E11" s="860"/>
      <c r="F11" s="860"/>
      <c r="G11" s="860"/>
    </row>
    <row r="12" spans="1:10" s="499" customFormat="1" ht="28.35" customHeight="1" x14ac:dyDescent="0.2"/>
  </sheetData>
  <mergeCells count="7">
    <mergeCell ref="A11:G11"/>
    <mergeCell ref="H2:J2"/>
    <mergeCell ref="A10:G10"/>
    <mergeCell ref="A1:G1"/>
    <mergeCell ref="A2:A3"/>
    <mergeCell ref="B2:D2"/>
    <mergeCell ref="E2:G2"/>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12"/>
  <sheetViews>
    <sheetView zoomScaleNormal="100" workbookViewId="0">
      <selection activeCell="K8" sqref="K8"/>
    </sheetView>
  </sheetViews>
  <sheetFormatPr defaultRowHeight="12.75" x14ac:dyDescent="0.2"/>
  <cols>
    <col min="1" max="8" width="14.7109375" bestFit="1" customWidth="1"/>
    <col min="9" max="9" width="4.7109375" bestFit="1" customWidth="1"/>
  </cols>
  <sheetData>
    <row r="1" spans="1:8" ht="15.75" customHeight="1" x14ac:dyDescent="0.2">
      <c r="A1" s="863" t="s">
        <v>1007</v>
      </c>
      <c r="B1" s="863"/>
      <c r="C1" s="863"/>
    </row>
    <row r="2" spans="1:8" ht="15.75" customHeight="1" x14ac:dyDescent="0.2">
      <c r="A2" s="608"/>
      <c r="B2" s="608"/>
      <c r="C2" s="608"/>
      <c r="H2" t="s">
        <v>995</v>
      </c>
    </row>
    <row r="3" spans="1:8" s="499" customFormat="1" ht="38.25" customHeight="1" x14ac:dyDescent="0.2">
      <c r="A3" s="538" t="s">
        <v>65</v>
      </c>
      <c r="B3" s="500" t="s">
        <v>329</v>
      </c>
      <c r="C3" s="500" t="s">
        <v>330</v>
      </c>
      <c r="D3" s="500" t="s">
        <v>331</v>
      </c>
      <c r="E3" s="500" t="s">
        <v>332</v>
      </c>
      <c r="F3" s="500" t="s">
        <v>333</v>
      </c>
      <c r="G3" s="500" t="s">
        <v>334</v>
      </c>
      <c r="H3" s="500" t="s">
        <v>335</v>
      </c>
    </row>
    <row r="4" spans="1:8" s="499" customFormat="1" ht="18" customHeight="1" x14ac:dyDescent="0.2">
      <c r="A4" s="502" t="s">
        <v>73</v>
      </c>
      <c r="B4" s="609">
        <v>1.77</v>
      </c>
      <c r="C4" s="609">
        <v>1.74</v>
      </c>
      <c r="D4" s="609">
        <v>1.7</v>
      </c>
      <c r="E4" s="609">
        <v>1.7456697859999999</v>
      </c>
      <c r="F4" s="609">
        <v>1.6196834090000001</v>
      </c>
      <c r="G4" s="609">
        <v>1.6847958089999999</v>
      </c>
      <c r="H4" s="609">
        <v>1.71</v>
      </c>
    </row>
    <row r="5" spans="1:8" s="499" customFormat="1" ht="18" customHeight="1" x14ac:dyDescent="0.2">
      <c r="A5" s="502" t="s">
        <v>76</v>
      </c>
      <c r="B5" s="609">
        <v>2.2000000000000002</v>
      </c>
      <c r="C5" s="609">
        <v>2.06</v>
      </c>
      <c r="D5" s="609">
        <v>1.93</v>
      </c>
      <c r="E5" s="609">
        <v>2.1217584469999999</v>
      </c>
      <c r="F5" s="609">
        <v>1.5747937860000001</v>
      </c>
      <c r="G5" s="609">
        <v>1.903545762</v>
      </c>
      <c r="H5" s="609">
        <v>2.15</v>
      </c>
    </row>
    <row r="6" spans="1:8" s="499" customFormat="1" ht="18" customHeight="1" x14ac:dyDescent="0.2">
      <c r="A6" s="502" t="s">
        <v>75</v>
      </c>
      <c r="B6" s="609">
        <v>3.03</v>
      </c>
      <c r="C6" s="609">
        <v>2.81</v>
      </c>
      <c r="D6" s="609">
        <v>2.6</v>
      </c>
      <c r="E6" s="609">
        <v>2.8437730370000001</v>
      </c>
      <c r="F6" s="609">
        <v>1.971064465</v>
      </c>
      <c r="G6" s="609">
        <v>2.5081819959999998</v>
      </c>
      <c r="H6" s="609">
        <v>3.01</v>
      </c>
    </row>
    <row r="7" spans="1:8" s="499" customFormat="1" ht="18" customHeight="1" x14ac:dyDescent="0.2">
      <c r="A7" s="502" t="s">
        <v>74</v>
      </c>
      <c r="B7" s="609">
        <v>2.15</v>
      </c>
      <c r="C7" s="609">
        <v>2.04</v>
      </c>
      <c r="D7" s="609">
        <v>1.91</v>
      </c>
      <c r="E7" s="609">
        <v>2.048551588</v>
      </c>
      <c r="F7" s="609">
        <v>1.6476503140000001</v>
      </c>
      <c r="G7" s="609">
        <v>1.852370831</v>
      </c>
      <c r="H7" s="609">
        <v>2.0499999999999998</v>
      </c>
    </row>
    <row r="8" spans="1:8" s="499" customFormat="1" ht="18" customHeight="1" x14ac:dyDescent="0.2">
      <c r="A8" s="502" t="s">
        <v>849</v>
      </c>
      <c r="B8" s="609">
        <v>1.25</v>
      </c>
      <c r="C8" s="609">
        <v>1.18</v>
      </c>
      <c r="D8" s="609">
        <v>1.1499999999999999</v>
      </c>
      <c r="E8" s="609">
        <v>1.2171892010000001</v>
      </c>
      <c r="F8" s="609">
        <v>0.945600102</v>
      </c>
      <c r="G8" s="609">
        <v>1.1310003790000001</v>
      </c>
      <c r="H8" s="609">
        <v>1.21</v>
      </c>
    </row>
    <row r="9" spans="1:8" s="499" customFormat="1" ht="18" customHeight="1" x14ac:dyDescent="0.2">
      <c r="A9" s="786" t="s">
        <v>1090</v>
      </c>
      <c r="B9" s="786"/>
      <c r="C9" s="786"/>
      <c r="D9" s="786"/>
      <c r="E9" s="786"/>
      <c r="F9" s="786"/>
      <c r="G9" s="786"/>
    </row>
    <row r="10" spans="1:8" s="499" customFormat="1" ht="18" customHeight="1" x14ac:dyDescent="0.2">
      <c r="A10" s="786" t="s">
        <v>848</v>
      </c>
      <c r="B10" s="786"/>
      <c r="C10" s="786"/>
      <c r="D10" s="786"/>
      <c r="E10" s="786"/>
      <c r="F10" s="786"/>
      <c r="G10" s="786"/>
    </row>
    <row r="11" spans="1:8" s="499" customFormat="1" ht="19.5" customHeight="1" x14ac:dyDescent="0.2">
      <c r="A11" s="797" t="s">
        <v>336</v>
      </c>
      <c r="B11" s="797"/>
      <c r="C11" s="797"/>
      <c r="D11" s="797"/>
      <c r="E11" s="797"/>
      <c r="F11" s="797"/>
      <c r="G11" s="797"/>
    </row>
    <row r="12" spans="1:8" s="499" customFormat="1" ht="27.6" customHeight="1" x14ac:dyDescent="0.2"/>
  </sheetData>
  <mergeCells count="4">
    <mergeCell ref="A10:G10"/>
    <mergeCell ref="A9:G9"/>
    <mergeCell ref="A1:C1"/>
    <mergeCell ref="A11:G11"/>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19"/>
  <sheetViews>
    <sheetView zoomScaleNormal="100" workbookViewId="0">
      <selection activeCell="J22" sqref="J22"/>
    </sheetView>
  </sheetViews>
  <sheetFormatPr defaultRowHeight="12.75" x14ac:dyDescent="0.2"/>
  <cols>
    <col min="1" max="10" width="14.7109375" bestFit="1" customWidth="1"/>
    <col min="11" max="11" width="14.42578125" bestFit="1" customWidth="1"/>
    <col min="12" max="12" width="15" bestFit="1" customWidth="1"/>
    <col min="13" max="16" width="14.7109375" bestFit="1" customWidth="1"/>
    <col min="17" max="17" width="4.7109375" bestFit="1" customWidth="1"/>
  </cols>
  <sheetData>
    <row r="1" spans="1:16" ht="14.25" customHeight="1" x14ac:dyDescent="0.2">
      <c r="A1" s="868" t="s">
        <v>1052</v>
      </c>
      <c r="B1" s="863"/>
      <c r="C1" s="863"/>
      <c r="D1" s="863"/>
      <c r="E1" s="863"/>
      <c r="F1" s="863"/>
      <c r="G1" s="863"/>
      <c r="H1" s="863"/>
      <c r="I1" s="863"/>
      <c r="J1" s="863"/>
      <c r="K1" s="863"/>
    </row>
    <row r="2" spans="1:16" s="499" customFormat="1" ht="18.75" customHeight="1" x14ac:dyDescent="0.2">
      <c r="A2" s="538" t="s">
        <v>86</v>
      </c>
      <c r="B2" s="806" t="s">
        <v>116</v>
      </c>
      <c r="C2" s="877"/>
      <c r="D2" s="877"/>
      <c r="E2" s="877"/>
      <c r="F2" s="807"/>
      <c r="G2" s="866" t="s">
        <v>117</v>
      </c>
      <c r="H2" s="945"/>
      <c r="I2" s="945"/>
      <c r="J2" s="945"/>
      <c r="K2" s="867"/>
      <c r="L2" s="866" t="s">
        <v>118</v>
      </c>
      <c r="M2" s="945"/>
      <c r="N2" s="945"/>
      <c r="O2" s="945"/>
      <c r="P2" s="867"/>
    </row>
    <row r="3" spans="1:16" s="499" customFormat="1" ht="18" customHeight="1" x14ac:dyDescent="0.2">
      <c r="A3" s="538" t="s">
        <v>337</v>
      </c>
      <c r="B3" s="561" t="s">
        <v>338</v>
      </c>
      <c r="C3" s="561" t="s">
        <v>339</v>
      </c>
      <c r="D3" s="561" t="s">
        <v>340</v>
      </c>
      <c r="E3" s="561" t="s">
        <v>341</v>
      </c>
      <c r="F3" s="561" t="s">
        <v>342</v>
      </c>
      <c r="G3" s="561" t="s">
        <v>338</v>
      </c>
      <c r="H3" s="561" t="s">
        <v>339</v>
      </c>
      <c r="I3" s="561" t="s">
        <v>340</v>
      </c>
      <c r="J3" s="561" t="s">
        <v>341</v>
      </c>
      <c r="K3" s="561" t="s">
        <v>342</v>
      </c>
      <c r="L3" s="561" t="s">
        <v>338</v>
      </c>
      <c r="M3" s="561" t="s">
        <v>339</v>
      </c>
      <c r="N3" s="561" t="s">
        <v>340</v>
      </c>
      <c r="O3" s="561" t="s">
        <v>341</v>
      </c>
      <c r="P3" s="561" t="s">
        <v>342</v>
      </c>
    </row>
    <row r="4" spans="1:16" s="499" customFormat="1" ht="18" customHeight="1" x14ac:dyDescent="0.2">
      <c r="A4" s="806" t="s">
        <v>343</v>
      </c>
      <c r="B4" s="877"/>
      <c r="C4" s="877"/>
      <c r="D4" s="877"/>
      <c r="E4" s="877"/>
      <c r="F4" s="877"/>
      <c r="G4" s="877"/>
      <c r="H4" s="877"/>
      <c r="I4" s="877"/>
      <c r="J4" s="877"/>
      <c r="K4" s="877"/>
      <c r="L4" s="877"/>
      <c r="M4" s="877"/>
      <c r="N4" s="877"/>
      <c r="O4" s="877"/>
      <c r="P4" s="807"/>
    </row>
    <row r="5" spans="1:16" s="499" customFormat="1" ht="16.5" customHeight="1" x14ac:dyDescent="0.2">
      <c r="A5" s="502" t="s">
        <v>73</v>
      </c>
      <c r="B5" s="580">
        <v>15.961600000000001</v>
      </c>
      <c r="C5" s="580">
        <v>24.4329</v>
      </c>
      <c r="D5" s="580">
        <v>39.517400000000002</v>
      </c>
      <c r="E5" s="580">
        <v>52.518500000000003</v>
      </c>
      <c r="F5" s="580">
        <v>68.082899999999995</v>
      </c>
      <c r="G5" s="580">
        <v>15.55</v>
      </c>
      <c r="H5" s="580">
        <v>26.32</v>
      </c>
      <c r="I5" s="580">
        <v>45.68</v>
      </c>
      <c r="J5" s="580">
        <v>60.58</v>
      </c>
      <c r="K5" s="580">
        <v>77.92</v>
      </c>
      <c r="L5" s="581">
        <v>97.15</v>
      </c>
      <c r="M5" s="610">
        <v>99.99</v>
      </c>
      <c r="N5" s="581">
        <v>100</v>
      </c>
      <c r="O5" s="581">
        <v>100</v>
      </c>
      <c r="P5" s="581">
        <v>100</v>
      </c>
    </row>
    <row r="6" spans="1:16" s="499" customFormat="1" ht="16.5" customHeight="1" x14ac:dyDescent="0.2">
      <c r="A6" s="502" t="s">
        <v>76</v>
      </c>
      <c r="B6" s="580">
        <v>29.042200000000001</v>
      </c>
      <c r="C6" s="580">
        <v>39.378</v>
      </c>
      <c r="D6" s="580">
        <v>55.748899999999999</v>
      </c>
      <c r="E6" s="580">
        <v>66.700699999999998</v>
      </c>
      <c r="F6" s="580">
        <v>79.180400000000006</v>
      </c>
      <c r="G6" s="580">
        <v>20.99</v>
      </c>
      <c r="H6" s="580">
        <v>33.32</v>
      </c>
      <c r="I6" s="580">
        <v>50.86</v>
      </c>
      <c r="J6" s="580">
        <v>66.45</v>
      </c>
      <c r="K6" s="580">
        <v>82.9</v>
      </c>
      <c r="L6" s="581">
        <v>100</v>
      </c>
      <c r="M6" s="610">
        <v>100</v>
      </c>
      <c r="N6" s="581">
        <v>100</v>
      </c>
      <c r="O6" s="581">
        <v>100</v>
      </c>
      <c r="P6" s="581">
        <v>100</v>
      </c>
    </row>
    <row r="7" spans="1:16" s="499" customFormat="1" ht="16.5" customHeight="1" x14ac:dyDescent="0.2">
      <c r="A7" s="502" t="s">
        <v>75</v>
      </c>
      <c r="B7" s="580">
        <v>18.805700000000002</v>
      </c>
      <c r="C7" s="580">
        <v>29.1358</v>
      </c>
      <c r="D7" s="580">
        <v>45.223100000000002</v>
      </c>
      <c r="E7" s="580">
        <v>60.204700000000003</v>
      </c>
      <c r="F7" s="580">
        <v>76.281199999999998</v>
      </c>
      <c r="G7" s="580">
        <v>21.74</v>
      </c>
      <c r="H7" s="580">
        <v>34.01</v>
      </c>
      <c r="I7" s="580">
        <v>53.29</v>
      </c>
      <c r="J7" s="580">
        <v>68.599999999999994</v>
      </c>
      <c r="K7" s="580">
        <v>84.6</v>
      </c>
      <c r="L7" s="581">
        <v>100</v>
      </c>
      <c r="M7" s="610">
        <v>100</v>
      </c>
      <c r="N7" s="581">
        <v>100</v>
      </c>
      <c r="O7" s="581">
        <v>100</v>
      </c>
      <c r="P7" s="581">
        <v>100</v>
      </c>
    </row>
    <row r="8" spans="1:16" s="499" customFormat="1" ht="16.5" customHeight="1" x14ac:dyDescent="0.2">
      <c r="A8" s="502" t="s">
        <v>74</v>
      </c>
      <c r="B8" s="580">
        <v>41.5822</v>
      </c>
      <c r="C8" s="580">
        <v>51.138599999999997</v>
      </c>
      <c r="D8" s="580">
        <v>63.966799999999999</v>
      </c>
      <c r="E8" s="580">
        <v>74.109499999999997</v>
      </c>
      <c r="F8" s="580">
        <v>84.837299999999999</v>
      </c>
      <c r="G8" s="580">
        <v>24.02</v>
      </c>
      <c r="H8" s="580">
        <v>36.799999999999997</v>
      </c>
      <c r="I8" s="580">
        <v>53.22</v>
      </c>
      <c r="J8" s="580">
        <v>69.14</v>
      </c>
      <c r="K8" s="580">
        <v>85.35</v>
      </c>
      <c r="L8" s="581">
        <v>0</v>
      </c>
      <c r="M8" s="610">
        <v>0</v>
      </c>
      <c r="N8" s="581">
        <v>0</v>
      </c>
      <c r="O8" s="581">
        <v>0</v>
      </c>
      <c r="P8" s="581">
        <v>0</v>
      </c>
    </row>
    <row r="9" spans="1:16" s="499" customFormat="1" ht="16.5" customHeight="1" x14ac:dyDescent="0.2">
      <c r="A9" s="502" t="s">
        <v>849</v>
      </c>
      <c r="B9" s="580">
        <v>33.7851</v>
      </c>
      <c r="C9" s="580">
        <v>44.357500000000002</v>
      </c>
      <c r="D9" s="580">
        <v>58.000900000000001</v>
      </c>
      <c r="E9" s="580">
        <v>68.317999999999998</v>
      </c>
      <c r="F9" s="580">
        <v>79.692300000000003</v>
      </c>
      <c r="G9" s="580">
        <v>20.48</v>
      </c>
      <c r="H9" s="580">
        <v>31.24</v>
      </c>
      <c r="I9" s="580">
        <v>49.55</v>
      </c>
      <c r="J9" s="580">
        <v>64.86</v>
      </c>
      <c r="K9" s="580">
        <v>81.069999999999993</v>
      </c>
      <c r="L9" s="581">
        <v>100</v>
      </c>
      <c r="M9" s="610">
        <v>100</v>
      </c>
      <c r="N9" s="581">
        <v>100</v>
      </c>
      <c r="O9" s="581">
        <v>100</v>
      </c>
      <c r="P9" s="581">
        <v>100</v>
      </c>
    </row>
    <row r="10" spans="1:16" s="499" customFormat="1" ht="18" customHeight="1" x14ac:dyDescent="0.2">
      <c r="A10" s="806" t="s">
        <v>344</v>
      </c>
      <c r="B10" s="877"/>
      <c r="C10" s="877"/>
      <c r="D10" s="877"/>
      <c r="E10" s="877"/>
      <c r="F10" s="877"/>
      <c r="G10" s="877"/>
      <c r="H10" s="877"/>
      <c r="I10" s="877"/>
      <c r="J10" s="877"/>
      <c r="K10" s="877"/>
      <c r="L10" s="877"/>
      <c r="M10" s="877"/>
      <c r="N10" s="877"/>
      <c r="O10" s="877"/>
      <c r="P10" s="807"/>
    </row>
    <row r="11" spans="1:16" s="499" customFormat="1" ht="18" customHeight="1" x14ac:dyDescent="0.2">
      <c r="A11" s="502" t="s">
        <v>73</v>
      </c>
      <c r="B11" s="580">
        <v>26.49</v>
      </c>
      <c r="C11" s="580">
        <v>40.159999999999997</v>
      </c>
      <c r="D11" s="580">
        <v>64.55</v>
      </c>
      <c r="E11" s="580">
        <v>76.040000000000006</v>
      </c>
      <c r="F11" s="580">
        <v>85.83</v>
      </c>
      <c r="G11" s="580">
        <v>25.48</v>
      </c>
      <c r="H11" s="580">
        <v>39.020000000000003</v>
      </c>
      <c r="I11" s="580">
        <v>59.55</v>
      </c>
      <c r="J11" s="580">
        <v>75.87</v>
      </c>
      <c r="K11" s="580">
        <v>87.66</v>
      </c>
      <c r="L11" s="581">
        <v>80.36</v>
      </c>
      <c r="M11" s="610">
        <v>100</v>
      </c>
      <c r="N11" s="581">
        <v>100</v>
      </c>
      <c r="O11" s="581">
        <v>100</v>
      </c>
      <c r="P11" s="581">
        <v>100</v>
      </c>
    </row>
    <row r="12" spans="1:16" s="499" customFormat="1" ht="18" customHeight="1" x14ac:dyDescent="0.2">
      <c r="A12" s="502" t="s">
        <v>76</v>
      </c>
      <c r="B12" s="580">
        <v>37.39</v>
      </c>
      <c r="C12" s="580">
        <v>53.56</v>
      </c>
      <c r="D12" s="580">
        <v>74.59</v>
      </c>
      <c r="E12" s="580">
        <v>84.2</v>
      </c>
      <c r="F12" s="580">
        <v>91.46</v>
      </c>
      <c r="G12" s="580">
        <v>30.7</v>
      </c>
      <c r="H12" s="580">
        <v>44.79</v>
      </c>
      <c r="I12" s="580">
        <v>64.38</v>
      </c>
      <c r="J12" s="580">
        <v>79.66</v>
      </c>
      <c r="K12" s="580">
        <v>90.21</v>
      </c>
      <c r="L12" s="581">
        <v>100</v>
      </c>
      <c r="M12" s="610">
        <v>100</v>
      </c>
      <c r="N12" s="581">
        <v>100</v>
      </c>
      <c r="O12" s="581">
        <v>100</v>
      </c>
      <c r="P12" s="581">
        <v>0</v>
      </c>
    </row>
    <row r="13" spans="1:16" s="499" customFormat="1" ht="18" customHeight="1" x14ac:dyDescent="0.2">
      <c r="A13" s="502" t="s">
        <v>75</v>
      </c>
      <c r="B13" s="580">
        <v>32.94</v>
      </c>
      <c r="C13" s="580">
        <v>49.91</v>
      </c>
      <c r="D13" s="580">
        <v>71.44</v>
      </c>
      <c r="E13" s="580">
        <v>82.7</v>
      </c>
      <c r="F13" s="580">
        <v>91.2</v>
      </c>
      <c r="G13" s="580">
        <v>30.67</v>
      </c>
      <c r="H13" s="580">
        <v>44.88</v>
      </c>
      <c r="I13" s="580">
        <v>65.510000000000005</v>
      </c>
      <c r="J13" s="580">
        <v>80.709999999999994</v>
      </c>
      <c r="K13" s="580">
        <v>90.92</v>
      </c>
      <c r="L13" s="581">
        <v>100</v>
      </c>
      <c r="M13" s="610">
        <v>100</v>
      </c>
      <c r="N13" s="581">
        <v>100</v>
      </c>
      <c r="O13" s="581">
        <v>100</v>
      </c>
      <c r="P13" s="581">
        <v>0</v>
      </c>
    </row>
    <row r="14" spans="1:16" s="499" customFormat="1" ht="18" customHeight="1" x14ac:dyDescent="0.2">
      <c r="A14" s="502" t="s">
        <v>74</v>
      </c>
      <c r="B14" s="580">
        <v>42.92</v>
      </c>
      <c r="C14" s="580">
        <v>56.43</v>
      </c>
      <c r="D14" s="580">
        <v>76.25</v>
      </c>
      <c r="E14" s="580">
        <v>85.01</v>
      </c>
      <c r="F14" s="580">
        <v>91.92</v>
      </c>
      <c r="G14" s="580">
        <v>30.67</v>
      </c>
      <c r="H14" s="580">
        <v>44.2</v>
      </c>
      <c r="I14" s="580">
        <v>64.59</v>
      </c>
      <c r="J14" s="580">
        <v>80.209999999999994</v>
      </c>
      <c r="K14" s="580">
        <v>90.67</v>
      </c>
      <c r="L14" s="581">
        <v>0</v>
      </c>
      <c r="M14" s="610">
        <v>0</v>
      </c>
      <c r="N14" s="581">
        <v>0</v>
      </c>
      <c r="O14" s="581">
        <v>0</v>
      </c>
      <c r="P14" s="581">
        <v>0</v>
      </c>
    </row>
    <row r="15" spans="1:16" s="499" customFormat="1" ht="18" customHeight="1" x14ac:dyDescent="0.2">
      <c r="A15" s="502" t="s">
        <v>849</v>
      </c>
      <c r="B15" s="580">
        <v>45.78</v>
      </c>
      <c r="C15" s="580">
        <v>60.7</v>
      </c>
      <c r="D15" s="580">
        <v>77.42</v>
      </c>
      <c r="E15" s="580">
        <v>85.46</v>
      </c>
      <c r="F15" s="580">
        <v>92.1</v>
      </c>
      <c r="G15" s="580">
        <v>30.73</v>
      </c>
      <c r="H15" s="580">
        <v>45.25</v>
      </c>
      <c r="I15" s="580">
        <v>64.84</v>
      </c>
      <c r="J15" s="580">
        <v>78.89</v>
      </c>
      <c r="K15" s="580">
        <v>89.48</v>
      </c>
      <c r="L15" s="581">
        <v>100</v>
      </c>
      <c r="M15" s="610">
        <v>100</v>
      </c>
      <c r="N15" s="581">
        <v>100</v>
      </c>
      <c r="O15" s="581">
        <v>100</v>
      </c>
      <c r="P15" s="581">
        <v>0</v>
      </c>
    </row>
    <row r="16" spans="1:16" s="499" customFormat="1" ht="15" customHeight="1" x14ac:dyDescent="0.2">
      <c r="A16" s="939" t="s">
        <v>1091</v>
      </c>
      <c r="B16" s="939"/>
      <c r="C16" s="939"/>
      <c r="D16" s="939"/>
      <c r="E16" s="939"/>
      <c r="F16" s="939"/>
      <c r="G16" s="939"/>
      <c r="H16" s="939"/>
      <c r="I16" s="939"/>
      <c r="J16" s="939"/>
      <c r="K16" s="939"/>
    </row>
    <row r="17" spans="1:11" s="499" customFormat="1" ht="13.5" customHeight="1" x14ac:dyDescent="0.2">
      <c r="A17" s="939" t="s">
        <v>848</v>
      </c>
      <c r="B17" s="939"/>
      <c r="C17" s="939"/>
      <c r="D17" s="939"/>
      <c r="E17" s="939"/>
      <c r="F17" s="939"/>
      <c r="G17" s="939"/>
      <c r="H17" s="939"/>
      <c r="I17" s="939"/>
      <c r="J17" s="939"/>
      <c r="K17" s="939"/>
    </row>
    <row r="18" spans="1:11" s="499" customFormat="1" ht="13.5" customHeight="1" x14ac:dyDescent="0.2">
      <c r="A18" s="860" t="s">
        <v>110</v>
      </c>
      <c r="B18" s="860"/>
      <c r="C18" s="860"/>
      <c r="D18" s="860"/>
      <c r="E18" s="860"/>
      <c r="F18" s="860"/>
      <c r="G18" s="860"/>
      <c r="H18" s="860"/>
      <c r="I18" s="860"/>
      <c r="J18" s="860"/>
      <c r="K18" s="860"/>
    </row>
    <row r="19" spans="1:11" s="499" customFormat="1" ht="28.35" customHeight="1" x14ac:dyDescent="0.2"/>
  </sheetData>
  <mergeCells count="9">
    <mergeCell ref="A18:K18"/>
    <mergeCell ref="L2:P2"/>
    <mergeCell ref="A4:P4"/>
    <mergeCell ref="A16:K16"/>
    <mergeCell ref="A1:K1"/>
    <mergeCell ref="B2:F2"/>
    <mergeCell ref="G2:K2"/>
    <mergeCell ref="A10:P10"/>
    <mergeCell ref="A17:K17"/>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10"/>
  <sheetViews>
    <sheetView zoomScaleNormal="100" workbookViewId="0">
      <selection sqref="A1:XFD1048576"/>
    </sheetView>
  </sheetViews>
  <sheetFormatPr defaultRowHeight="12.75" x14ac:dyDescent="0.2"/>
  <cols>
    <col min="1" max="8" width="14.7109375" bestFit="1" customWidth="1"/>
    <col min="9" max="9" width="8.42578125" bestFit="1" customWidth="1"/>
    <col min="10" max="10" width="21" bestFit="1" customWidth="1"/>
    <col min="11" max="17" width="14.7109375" bestFit="1" customWidth="1"/>
    <col min="18" max="18" width="4.7109375" bestFit="1" customWidth="1"/>
  </cols>
  <sheetData>
    <row r="1" spans="1:17" ht="13.5" customHeight="1" x14ac:dyDescent="0.2">
      <c r="A1" s="863" t="s">
        <v>918</v>
      </c>
      <c r="B1" s="863"/>
      <c r="C1" s="863"/>
      <c r="D1" s="863"/>
      <c r="E1" s="863"/>
      <c r="F1" s="863"/>
      <c r="G1" s="863"/>
      <c r="H1" s="863"/>
      <c r="I1" s="863"/>
    </row>
    <row r="2" spans="1:17" s="612" customFormat="1" ht="88.5" customHeight="1" x14ac:dyDescent="0.2">
      <c r="A2" s="611" t="s">
        <v>345</v>
      </c>
      <c r="B2" s="611" t="s">
        <v>1057</v>
      </c>
      <c r="C2" s="611" t="s">
        <v>1058</v>
      </c>
      <c r="D2" s="611" t="s">
        <v>1059</v>
      </c>
      <c r="E2" s="611" t="s">
        <v>967</v>
      </c>
      <c r="F2" s="611" t="s">
        <v>143</v>
      </c>
      <c r="G2" s="611" t="s">
        <v>346</v>
      </c>
      <c r="H2" s="611" t="s">
        <v>968</v>
      </c>
      <c r="I2" s="611" t="s">
        <v>1060</v>
      </c>
      <c r="J2" s="611" t="s">
        <v>969</v>
      </c>
      <c r="K2" s="611" t="s">
        <v>347</v>
      </c>
      <c r="L2" s="611" t="s">
        <v>971</v>
      </c>
      <c r="M2" s="611" t="s">
        <v>1061</v>
      </c>
      <c r="N2" s="611" t="s">
        <v>970</v>
      </c>
      <c r="O2" s="611" t="s">
        <v>348</v>
      </c>
      <c r="P2" s="611" t="s">
        <v>349</v>
      </c>
      <c r="Q2" s="611" t="s">
        <v>350</v>
      </c>
    </row>
    <row r="3" spans="1:17" s="499" customFormat="1" ht="18" customHeight="1" x14ac:dyDescent="0.2">
      <c r="A3" s="502" t="s">
        <v>73</v>
      </c>
      <c r="B3" s="540">
        <v>3210.1607600000002</v>
      </c>
      <c r="C3" s="549">
        <v>555304</v>
      </c>
      <c r="D3" s="549">
        <v>204312.50842</v>
      </c>
      <c r="E3" s="613">
        <v>35.861057875</v>
      </c>
      <c r="F3" s="549">
        <v>672464.22</v>
      </c>
      <c r="G3" s="549">
        <v>193663.12298489001</v>
      </c>
      <c r="H3" s="614">
        <v>29.292300591</v>
      </c>
      <c r="I3" s="549">
        <v>171221.4999</v>
      </c>
      <c r="J3" s="613">
        <v>94.463028816000005</v>
      </c>
      <c r="K3" s="549">
        <v>193243.43338827</v>
      </c>
      <c r="L3" s="580">
        <v>99.819526788000005</v>
      </c>
      <c r="M3" s="504">
        <v>369.15190000000001</v>
      </c>
      <c r="N3" s="609">
        <v>0.21803175499999999</v>
      </c>
      <c r="O3" s="504">
        <v>61952.6980559</v>
      </c>
      <c r="P3" s="549">
        <v>193935.17293415</v>
      </c>
      <c r="Q3" s="504">
        <v>223.1</v>
      </c>
    </row>
    <row r="4" spans="1:17" s="499" customFormat="1" ht="18" customHeight="1" x14ac:dyDescent="0.2">
      <c r="A4" s="502" t="s">
        <v>76</v>
      </c>
      <c r="B4" s="540">
        <v>1198.4000000000001</v>
      </c>
      <c r="C4" s="504">
        <v>192185.60000000001</v>
      </c>
      <c r="D4" s="504">
        <v>54987.7</v>
      </c>
      <c r="E4" s="613">
        <v>29.974510017282213</v>
      </c>
      <c r="F4" s="549">
        <v>216905</v>
      </c>
      <c r="G4" s="504">
        <v>50202</v>
      </c>
      <c r="H4" s="614">
        <v>24.394283587054669</v>
      </c>
      <c r="I4" s="504">
        <v>54987.7</v>
      </c>
      <c r="J4" s="613">
        <v>100</v>
      </c>
      <c r="K4" s="504">
        <v>50202</v>
      </c>
      <c r="L4" s="580">
        <v>100</v>
      </c>
      <c r="M4" s="504">
        <v>120</v>
      </c>
      <c r="N4" s="609">
        <v>0.22077322199999999</v>
      </c>
      <c r="O4" s="504">
        <v>13434</v>
      </c>
      <c r="P4" s="504">
        <v>50256</v>
      </c>
      <c r="Q4" s="504">
        <v>115.15</v>
      </c>
    </row>
    <row r="5" spans="1:17" s="499" customFormat="1" ht="18" customHeight="1" x14ac:dyDescent="0.2">
      <c r="A5" s="502" t="s">
        <v>75</v>
      </c>
      <c r="B5" s="540">
        <v>339</v>
      </c>
      <c r="C5" s="504">
        <v>37309</v>
      </c>
      <c r="D5" s="504">
        <v>11926.5</v>
      </c>
      <c r="E5" s="613">
        <v>31.97</v>
      </c>
      <c r="F5" s="504">
        <v>44040</v>
      </c>
      <c r="G5" s="504">
        <v>13144.999999999998</v>
      </c>
      <c r="H5" s="614">
        <v>29.85</v>
      </c>
      <c r="I5" s="504">
        <v>11926.5</v>
      </c>
      <c r="J5" s="613">
        <v>100</v>
      </c>
      <c r="K5" s="504">
        <v>13144.999999999998</v>
      </c>
      <c r="L5" s="580">
        <v>100</v>
      </c>
      <c r="M5" s="504">
        <v>30.299999999999997</v>
      </c>
      <c r="N5" s="609">
        <v>0.25</v>
      </c>
      <c r="O5" s="504">
        <v>3609</v>
      </c>
      <c r="P5" s="504">
        <v>13162</v>
      </c>
      <c r="Q5" s="504">
        <v>224.38</v>
      </c>
    </row>
    <row r="6" spans="1:17" s="499" customFormat="1" ht="18" customHeight="1" x14ac:dyDescent="0.2">
      <c r="A6" s="502" t="s">
        <v>74</v>
      </c>
      <c r="B6" s="540">
        <v>316.2</v>
      </c>
      <c r="C6" s="504">
        <v>46869</v>
      </c>
      <c r="D6" s="504">
        <v>14976.300000000001</v>
      </c>
      <c r="E6" s="613">
        <v>31.953530051846641</v>
      </c>
      <c r="F6" s="504">
        <v>63127</v>
      </c>
      <c r="G6" s="504">
        <v>14218</v>
      </c>
      <c r="H6" s="614">
        <v>22.522850761164005</v>
      </c>
      <c r="I6" s="504">
        <v>14976.300000000001</v>
      </c>
      <c r="J6" s="613">
        <v>100</v>
      </c>
      <c r="K6" s="504">
        <v>14218</v>
      </c>
      <c r="L6" s="580">
        <v>100</v>
      </c>
      <c r="M6" s="504">
        <v>30.299999999999997</v>
      </c>
      <c r="N6" s="609">
        <v>0.20231966500000001</v>
      </c>
      <c r="O6" s="504">
        <v>4598</v>
      </c>
      <c r="P6" s="504">
        <v>14230</v>
      </c>
      <c r="Q6" s="504">
        <v>225.71</v>
      </c>
    </row>
    <row r="7" spans="1:17" s="499" customFormat="1" ht="18" customHeight="1" x14ac:dyDescent="0.2">
      <c r="A7" s="502" t="s">
        <v>849</v>
      </c>
      <c r="B7" s="540">
        <v>543.20000000000005</v>
      </c>
      <c r="C7" s="504">
        <v>108007.6</v>
      </c>
      <c r="D7" s="504">
        <v>28084.899999999998</v>
      </c>
      <c r="E7" s="613">
        <v>26</v>
      </c>
      <c r="F7" s="549">
        <v>109738.00000000001</v>
      </c>
      <c r="G7" s="504">
        <v>22839</v>
      </c>
      <c r="H7" s="614">
        <v>20.81</v>
      </c>
      <c r="I7" s="504">
        <v>28084.899999999998</v>
      </c>
      <c r="J7" s="613">
        <v>100</v>
      </c>
      <c r="K7" s="504">
        <v>22839</v>
      </c>
      <c r="L7" s="580">
        <v>100</v>
      </c>
      <c r="M7" s="504">
        <v>59.400000000000006</v>
      </c>
      <c r="N7" s="609">
        <v>0.21</v>
      </c>
      <c r="O7" s="504">
        <v>5227</v>
      </c>
      <c r="P7" s="504">
        <v>22864</v>
      </c>
      <c r="Q7" s="504">
        <v>115.15</v>
      </c>
    </row>
    <row r="8" spans="1:17" s="499" customFormat="1" ht="18" customHeight="1" x14ac:dyDescent="0.2">
      <c r="A8" s="438" t="s">
        <v>1083</v>
      </c>
      <c r="B8" s="545"/>
      <c r="C8" s="437"/>
      <c r="D8" s="437"/>
      <c r="E8" s="615"/>
      <c r="F8" s="559"/>
      <c r="G8" s="437"/>
      <c r="H8" s="616"/>
      <c r="I8" s="437"/>
      <c r="J8" s="615"/>
      <c r="K8" s="437"/>
      <c r="L8" s="617"/>
      <c r="M8" s="437"/>
      <c r="N8" s="618"/>
      <c r="O8" s="437"/>
      <c r="P8" s="437"/>
      <c r="Q8" s="437"/>
    </row>
    <row r="9" spans="1:17" s="499" customFormat="1" ht="13.5" customHeight="1" x14ac:dyDescent="0.2">
      <c r="A9" s="939" t="s">
        <v>848</v>
      </c>
      <c r="B9" s="939"/>
      <c r="C9" s="939"/>
      <c r="D9" s="939"/>
    </row>
    <row r="10" spans="1:17" s="499" customFormat="1" ht="15" customHeight="1" x14ac:dyDescent="0.2">
      <c r="A10" s="860" t="s">
        <v>919</v>
      </c>
      <c r="B10" s="860"/>
      <c r="C10" s="860"/>
      <c r="D10" s="860"/>
    </row>
  </sheetData>
  <mergeCells count="3">
    <mergeCell ref="A1:I1"/>
    <mergeCell ref="A9:D9"/>
    <mergeCell ref="A10:D10"/>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11"/>
  <sheetViews>
    <sheetView topLeftCell="F1" zoomScaleNormal="100" workbookViewId="0">
      <selection activeCell="F1" sqref="A1:XFD1048576"/>
    </sheetView>
  </sheetViews>
  <sheetFormatPr defaultRowHeight="12.75" x14ac:dyDescent="0.2"/>
  <cols>
    <col min="1" max="8" width="14.7109375" bestFit="1" customWidth="1"/>
    <col min="9" max="9" width="11.140625" bestFit="1" customWidth="1"/>
    <col min="10" max="10" width="18.28515625" bestFit="1" customWidth="1"/>
    <col min="11" max="17" width="14.7109375" bestFit="1" customWidth="1"/>
    <col min="18" max="18" width="4.7109375" bestFit="1" customWidth="1"/>
  </cols>
  <sheetData>
    <row r="1" spans="1:17" ht="18" customHeight="1" x14ac:dyDescent="0.2">
      <c r="A1" s="913" t="s">
        <v>921</v>
      </c>
      <c r="B1" s="913"/>
      <c r="C1" s="913"/>
      <c r="D1" s="913"/>
      <c r="E1" s="913"/>
      <c r="F1" s="913"/>
      <c r="G1" s="913"/>
      <c r="H1" s="913"/>
      <c r="I1" s="913"/>
    </row>
    <row r="2" spans="1:17" s="499" customFormat="1" ht="88.5" customHeight="1" x14ac:dyDescent="0.2">
      <c r="A2" s="500" t="s">
        <v>345</v>
      </c>
      <c r="B2" s="500" t="s">
        <v>1057</v>
      </c>
      <c r="C2" s="500" t="s">
        <v>1058</v>
      </c>
      <c r="D2" s="500" t="s">
        <v>1059</v>
      </c>
      <c r="E2" s="587" t="s">
        <v>967</v>
      </c>
      <c r="F2" s="501" t="s">
        <v>143</v>
      </c>
      <c r="G2" s="501" t="s">
        <v>346</v>
      </c>
      <c r="H2" s="587" t="s">
        <v>968</v>
      </c>
      <c r="I2" s="500" t="s">
        <v>1060</v>
      </c>
      <c r="J2" s="587" t="s">
        <v>969</v>
      </c>
      <c r="K2" s="501" t="s">
        <v>347</v>
      </c>
      <c r="L2" s="587" t="s">
        <v>971</v>
      </c>
      <c r="M2" s="500" t="s">
        <v>1061</v>
      </c>
      <c r="N2" s="587" t="s">
        <v>970</v>
      </c>
      <c r="O2" s="501" t="s">
        <v>348</v>
      </c>
      <c r="P2" s="501" t="s">
        <v>349</v>
      </c>
      <c r="Q2" s="501" t="s">
        <v>350</v>
      </c>
    </row>
    <row r="3" spans="1:17" s="499" customFormat="1" ht="18" customHeight="1" x14ac:dyDescent="0.2">
      <c r="A3" s="502" t="s">
        <v>73</v>
      </c>
      <c r="B3" s="540">
        <v>35768.935709999998</v>
      </c>
      <c r="C3" s="549">
        <v>5361647.5389999999</v>
      </c>
      <c r="D3" s="549">
        <v>1067585.125</v>
      </c>
      <c r="E3" s="580">
        <v>19.911512590000001</v>
      </c>
      <c r="F3" s="549">
        <v>9643316.7670000009</v>
      </c>
      <c r="G3" s="549">
        <v>2077333.0319999999</v>
      </c>
      <c r="H3" s="580">
        <v>21.54168615</v>
      </c>
      <c r="I3" s="549">
        <v>1065619.0109999999</v>
      </c>
      <c r="J3" s="581">
        <v>100</v>
      </c>
      <c r="K3" s="549">
        <v>2075912.925</v>
      </c>
      <c r="L3" s="580">
        <v>100</v>
      </c>
      <c r="M3" s="540">
        <v>1966.104961</v>
      </c>
      <c r="N3" s="580">
        <v>0.18450355500000001</v>
      </c>
      <c r="O3" s="549">
        <v>600587.1226</v>
      </c>
      <c r="P3" s="549">
        <v>2077333.0319999999</v>
      </c>
      <c r="Q3" s="504">
        <v>302.11</v>
      </c>
    </row>
    <row r="4" spans="1:17" s="499" customFormat="1" ht="18" customHeight="1" x14ac:dyDescent="0.2">
      <c r="A4" s="502" t="s">
        <v>76</v>
      </c>
      <c r="B4" s="540">
        <v>49228.245620000002</v>
      </c>
      <c r="C4" s="549">
        <v>7380247.96</v>
      </c>
      <c r="D4" s="549">
        <v>1399684.2930000001</v>
      </c>
      <c r="E4" s="580">
        <v>18.965274610000002</v>
      </c>
      <c r="F4" s="619">
        <v>13139112.539999999</v>
      </c>
      <c r="G4" s="549">
        <v>2698055.696</v>
      </c>
      <c r="H4" s="580">
        <v>20.534535250000001</v>
      </c>
      <c r="I4" s="549">
        <v>1396992.808</v>
      </c>
      <c r="J4" s="581">
        <v>100</v>
      </c>
      <c r="K4" s="549">
        <v>2696248.2620000001</v>
      </c>
      <c r="L4" s="580">
        <v>100</v>
      </c>
      <c r="M4" s="540">
        <v>2691.4761210000001</v>
      </c>
      <c r="N4" s="580">
        <v>0.19266213200000001</v>
      </c>
      <c r="O4" s="549">
        <v>809871.57259999996</v>
      </c>
      <c r="P4" s="549">
        <v>2698055.696</v>
      </c>
      <c r="Q4" s="504">
        <v>314.77999999999997</v>
      </c>
    </row>
    <row r="5" spans="1:17" s="499" customFormat="1" ht="18" customHeight="1" x14ac:dyDescent="0.2">
      <c r="A5" s="502" t="s">
        <v>75</v>
      </c>
      <c r="B5" s="540">
        <v>4150.2334300000002</v>
      </c>
      <c r="C5" s="549">
        <v>468098.45819999999</v>
      </c>
      <c r="D5" s="504">
        <v>86142.43144</v>
      </c>
      <c r="E5" s="580">
        <v>18.40263088</v>
      </c>
      <c r="F5" s="549">
        <v>926064.65599999996</v>
      </c>
      <c r="G5" s="549">
        <v>169258.2064</v>
      </c>
      <c r="H5" s="580">
        <v>18.277147849999999</v>
      </c>
      <c r="I5" s="504">
        <v>85960.241169999994</v>
      </c>
      <c r="J5" s="581">
        <v>100</v>
      </c>
      <c r="K5" s="549">
        <v>169154.07440000001</v>
      </c>
      <c r="L5" s="580">
        <v>100</v>
      </c>
      <c r="M5" s="540">
        <v>182.19027</v>
      </c>
      <c r="N5" s="580">
        <v>0.21194713700000001</v>
      </c>
      <c r="O5" s="504">
        <v>53768.75</v>
      </c>
      <c r="P5" s="549">
        <v>169258.2064</v>
      </c>
      <c r="Q5" s="504">
        <v>305.51</v>
      </c>
    </row>
    <row r="6" spans="1:17" s="499" customFormat="1" ht="18" customHeight="1" x14ac:dyDescent="0.2">
      <c r="A6" s="502" t="s">
        <v>74</v>
      </c>
      <c r="B6" s="540">
        <v>3967.3101900000001</v>
      </c>
      <c r="C6" s="549">
        <v>519841.9523</v>
      </c>
      <c r="D6" s="504">
        <v>90797.839619999999</v>
      </c>
      <c r="E6" s="580">
        <v>17.466431709999998</v>
      </c>
      <c r="F6" s="549">
        <v>1049727.142</v>
      </c>
      <c r="G6" s="549">
        <v>201623.16380000001</v>
      </c>
      <c r="H6" s="580">
        <v>19.207197359999999</v>
      </c>
      <c r="I6" s="504">
        <v>90650.955839999995</v>
      </c>
      <c r="J6" s="581">
        <v>100</v>
      </c>
      <c r="K6" s="549">
        <v>201524.13329999999</v>
      </c>
      <c r="L6" s="580">
        <v>100</v>
      </c>
      <c r="M6" s="540">
        <v>146.88378</v>
      </c>
      <c r="N6" s="580">
        <v>0.16177012599999999</v>
      </c>
      <c r="O6" s="504">
        <v>80224.740000000005</v>
      </c>
      <c r="P6" s="549">
        <v>201623.16380000001</v>
      </c>
      <c r="Q6" s="504">
        <v>311.04000000000002</v>
      </c>
    </row>
    <row r="7" spans="1:17" s="499" customFormat="1" ht="18" customHeight="1" x14ac:dyDescent="0.2">
      <c r="A7" s="502" t="s">
        <v>849</v>
      </c>
      <c r="B7" s="540">
        <v>5341.7662899999996</v>
      </c>
      <c r="C7" s="549">
        <v>1030660.0110000001</v>
      </c>
      <c r="D7" s="549">
        <v>155158.89689999999</v>
      </c>
      <c r="E7" s="580">
        <v>15.054323950000001</v>
      </c>
      <c r="F7" s="549">
        <v>1520003.977</v>
      </c>
      <c r="G7" s="549">
        <v>249841.2941</v>
      </c>
      <c r="H7" s="580">
        <v>16.43688423</v>
      </c>
      <c r="I7" s="549">
        <v>154762.5999</v>
      </c>
      <c r="J7" s="581">
        <v>100</v>
      </c>
      <c r="K7" s="549">
        <v>249657.12940000001</v>
      </c>
      <c r="L7" s="580">
        <v>100</v>
      </c>
      <c r="M7" s="540">
        <v>396.29710999999998</v>
      </c>
      <c r="N7" s="580">
        <v>0.25606775199999998</v>
      </c>
      <c r="O7" s="504">
        <v>75290.960000000006</v>
      </c>
      <c r="P7" s="549">
        <v>249841.2941</v>
      </c>
      <c r="Q7" s="504">
        <v>314.77999999999997</v>
      </c>
    </row>
    <row r="8" spans="1:17" s="499" customFormat="1" ht="15" customHeight="1" x14ac:dyDescent="0.2">
      <c r="A8" s="786" t="s">
        <v>1092</v>
      </c>
      <c r="B8" s="786"/>
      <c r="C8" s="786"/>
      <c r="D8" s="786"/>
      <c r="E8" s="786"/>
      <c r="F8" s="786"/>
      <c r="G8" s="786"/>
    </row>
    <row r="9" spans="1:17" s="499" customFormat="1" ht="13.5" customHeight="1" x14ac:dyDescent="0.2">
      <c r="A9" s="786" t="s">
        <v>848</v>
      </c>
      <c r="B9" s="786"/>
      <c r="C9" s="786"/>
      <c r="D9" s="786"/>
      <c r="E9" s="786"/>
      <c r="F9" s="786"/>
      <c r="G9" s="786"/>
    </row>
    <row r="10" spans="1:17" s="499" customFormat="1" ht="13.5" customHeight="1" x14ac:dyDescent="0.2">
      <c r="A10" s="797" t="s">
        <v>922</v>
      </c>
      <c r="B10" s="797"/>
      <c r="C10" s="797"/>
      <c r="D10" s="797"/>
      <c r="E10" s="797"/>
      <c r="F10" s="797"/>
      <c r="G10" s="797"/>
    </row>
    <row r="11" spans="1:17" s="499" customFormat="1" ht="26.85" customHeight="1" x14ac:dyDescent="0.2"/>
  </sheetData>
  <mergeCells count="4">
    <mergeCell ref="A1:I1"/>
    <mergeCell ref="A9:G9"/>
    <mergeCell ref="A8:G8"/>
    <mergeCell ref="A10:G10"/>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11"/>
  <sheetViews>
    <sheetView zoomScaleNormal="100" workbookViewId="0">
      <selection sqref="A1:XFD1048576"/>
    </sheetView>
  </sheetViews>
  <sheetFormatPr defaultRowHeight="12.75" x14ac:dyDescent="0.2"/>
  <cols>
    <col min="1" max="15" width="14.7109375" bestFit="1" customWidth="1"/>
    <col min="16" max="16" width="4.7109375" bestFit="1" customWidth="1"/>
  </cols>
  <sheetData>
    <row r="1" spans="1:17" ht="14.25" customHeight="1" x14ac:dyDescent="0.2">
      <c r="A1" s="620" t="s">
        <v>923</v>
      </c>
      <c r="B1" s="620"/>
      <c r="C1" s="620"/>
    </row>
    <row r="2" spans="1:17" s="499" customFormat="1" ht="88.5" customHeight="1" x14ac:dyDescent="0.2">
      <c r="A2" s="500" t="s">
        <v>345</v>
      </c>
      <c r="B2" s="500" t="s">
        <v>1057</v>
      </c>
      <c r="C2" s="500" t="s">
        <v>1058</v>
      </c>
      <c r="D2" s="500" t="s">
        <v>1059</v>
      </c>
      <c r="E2" s="587" t="s">
        <v>967</v>
      </c>
      <c r="F2" s="501" t="s">
        <v>143</v>
      </c>
      <c r="G2" s="501" t="s">
        <v>346</v>
      </c>
      <c r="H2" s="587" t="s">
        <v>968</v>
      </c>
      <c r="I2" s="500" t="s">
        <v>1060</v>
      </c>
      <c r="J2" s="587" t="s">
        <v>969</v>
      </c>
      <c r="K2" s="501" t="s">
        <v>347</v>
      </c>
      <c r="L2" s="587" t="s">
        <v>971</v>
      </c>
      <c r="M2" s="500" t="s">
        <v>1061</v>
      </c>
      <c r="N2" s="587" t="s">
        <v>970</v>
      </c>
      <c r="O2" s="501" t="s">
        <v>348</v>
      </c>
      <c r="P2" s="501" t="s">
        <v>349</v>
      </c>
      <c r="Q2" s="501" t="s">
        <v>350</v>
      </c>
    </row>
    <row r="3" spans="1:17" s="499" customFormat="1" ht="18" customHeight="1" x14ac:dyDescent="0.2">
      <c r="A3" s="621" t="s">
        <v>73</v>
      </c>
      <c r="B3" s="622">
        <v>5.64E-3</v>
      </c>
      <c r="C3" s="623">
        <v>10.29321</v>
      </c>
      <c r="D3" s="623">
        <v>10.291169999999999</v>
      </c>
      <c r="E3" s="624">
        <v>99.98</v>
      </c>
      <c r="F3" s="623">
        <v>20.302788339999999</v>
      </c>
      <c r="G3" s="623">
        <v>20.301970449999999</v>
      </c>
      <c r="H3" s="624">
        <v>100</v>
      </c>
      <c r="I3" s="623">
        <v>10.291169999999999</v>
      </c>
      <c r="J3" s="624">
        <v>100</v>
      </c>
      <c r="K3" s="623">
        <v>20.301970449999999</v>
      </c>
      <c r="L3" s="622">
        <v>100</v>
      </c>
      <c r="M3" s="623">
        <v>20.301970449999999</v>
      </c>
      <c r="N3" s="623">
        <v>20.301970449999999</v>
      </c>
      <c r="O3" s="623">
        <v>0.35</v>
      </c>
    </row>
    <row r="4" spans="1:17" s="499" customFormat="1" ht="18" customHeight="1" x14ac:dyDescent="0.2">
      <c r="A4" s="621" t="s">
        <v>76</v>
      </c>
      <c r="B4" s="622">
        <v>0</v>
      </c>
      <c r="C4" s="623">
        <v>0</v>
      </c>
      <c r="D4" s="623">
        <v>0</v>
      </c>
      <c r="E4" s="624">
        <v>0</v>
      </c>
      <c r="F4" s="623">
        <v>0</v>
      </c>
      <c r="G4" s="623">
        <v>0</v>
      </c>
      <c r="H4" s="624">
        <v>0</v>
      </c>
      <c r="I4" s="623">
        <v>0</v>
      </c>
      <c r="J4" s="624">
        <v>0</v>
      </c>
      <c r="K4" s="623">
        <v>0</v>
      </c>
      <c r="L4" s="622">
        <v>0</v>
      </c>
      <c r="M4" s="623">
        <v>0</v>
      </c>
      <c r="N4" s="623">
        <v>0</v>
      </c>
      <c r="O4" s="623">
        <v>0</v>
      </c>
    </row>
    <row r="5" spans="1:17" s="499" customFormat="1" ht="18" customHeight="1" x14ac:dyDescent="0.2">
      <c r="A5" s="621" t="s">
        <v>75</v>
      </c>
      <c r="B5" s="622">
        <v>0</v>
      </c>
      <c r="C5" s="623">
        <v>0</v>
      </c>
      <c r="D5" s="623">
        <v>0</v>
      </c>
      <c r="E5" s="624">
        <v>0</v>
      </c>
      <c r="F5" s="623">
        <v>0</v>
      </c>
      <c r="G5" s="623">
        <v>0</v>
      </c>
      <c r="H5" s="624">
        <v>0</v>
      </c>
      <c r="I5" s="623">
        <v>0</v>
      </c>
      <c r="J5" s="624">
        <v>0</v>
      </c>
      <c r="K5" s="623">
        <v>0</v>
      </c>
      <c r="L5" s="622">
        <v>0</v>
      </c>
      <c r="M5" s="623">
        <v>0</v>
      </c>
      <c r="N5" s="623">
        <v>0</v>
      </c>
      <c r="O5" s="623">
        <v>0</v>
      </c>
    </row>
    <row r="6" spans="1:17" s="499" customFormat="1" ht="18" customHeight="1" x14ac:dyDescent="0.2">
      <c r="A6" s="621" t="s">
        <v>74</v>
      </c>
      <c r="B6" s="622">
        <v>0</v>
      </c>
      <c r="C6" s="623">
        <v>0</v>
      </c>
      <c r="D6" s="623">
        <v>0</v>
      </c>
      <c r="E6" s="624">
        <v>0</v>
      </c>
      <c r="F6" s="623">
        <v>0</v>
      </c>
      <c r="G6" s="623">
        <v>0</v>
      </c>
      <c r="H6" s="624">
        <v>0</v>
      </c>
      <c r="I6" s="623">
        <v>0</v>
      </c>
      <c r="J6" s="624">
        <v>0</v>
      </c>
      <c r="K6" s="623">
        <v>0</v>
      </c>
      <c r="L6" s="622">
        <v>0</v>
      </c>
      <c r="M6" s="623">
        <v>0</v>
      </c>
      <c r="N6" s="623">
        <v>0</v>
      </c>
      <c r="O6" s="623">
        <v>0</v>
      </c>
    </row>
    <row r="7" spans="1:17" s="499" customFormat="1" ht="18" customHeight="1" x14ac:dyDescent="0.2">
      <c r="A7" s="621" t="s">
        <v>849</v>
      </c>
      <c r="B7" s="622">
        <v>0</v>
      </c>
      <c r="C7" s="623">
        <v>0</v>
      </c>
      <c r="D7" s="623">
        <v>0</v>
      </c>
      <c r="E7" s="624">
        <v>0</v>
      </c>
      <c r="F7" s="623">
        <v>0</v>
      </c>
      <c r="G7" s="623">
        <v>0</v>
      </c>
      <c r="H7" s="624">
        <v>0</v>
      </c>
      <c r="I7" s="623">
        <v>0</v>
      </c>
      <c r="J7" s="624">
        <v>0</v>
      </c>
      <c r="K7" s="623">
        <v>0</v>
      </c>
      <c r="L7" s="622">
        <v>0</v>
      </c>
      <c r="M7" s="623">
        <v>0</v>
      </c>
      <c r="N7" s="623">
        <v>0</v>
      </c>
      <c r="O7" s="623">
        <v>0</v>
      </c>
    </row>
    <row r="8" spans="1:17" s="499" customFormat="1" ht="18" customHeight="1" x14ac:dyDescent="0.2">
      <c r="A8" s="625" t="s">
        <v>1083</v>
      </c>
      <c r="B8" s="626"/>
      <c r="C8" s="627"/>
      <c r="D8" s="627"/>
      <c r="E8" s="628"/>
      <c r="F8" s="627"/>
      <c r="G8" s="627"/>
      <c r="H8" s="628"/>
      <c r="I8" s="627"/>
      <c r="J8" s="628"/>
      <c r="K8" s="627"/>
      <c r="L8" s="626"/>
      <c r="M8" s="627"/>
      <c r="N8" s="627"/>
      <c r="O8" s="627"/>
    </row>
    <row r="9" spans="1:17" s="499" customFormat="1" ht="17.25" customHeight="1" x14ac:dyDescent="0.2">
      <c r="A9" s="946" t="s">
        <v>848</v>
      </c>
      <c r="B9" s="946"/>
      <c r="C9" s="946"/>
      <c r="D9" s="946"/>
      <c r="E9" s="946"/>
      <c r="F9" s="946"/>
      <c r="G9" s="946"/>
      <c r="H9" s="946"/>
      <c r="I9" s="946"/>
      <c r="J9" s="946"/>
      <c r="K9" s="946"/>
      <c r="L9" s="946"/>
      <c r="M9" s="946"/>
      <c r="N9" s="946"/>
      <c r="O9" s="946"/>
    </row>
    <row r="10" spans="1:17" s="499" customFormat="1" ht="18" customHeight="1" x14ac:dyDescent="0.2">
      <c r="A10" s="947" t="s">
        <v>924</v>
      </c>
      <c r="B10" s="947"/>
      <c r="C10" s="947"/>
      <c r="D10" s="947"/>
      <c r="E10" s="947"/>
      <c r="F10" s="947"/>
      <c r="G10" s="947"/>
      <c r="H10" s="947"/>
      <c r="I10" s="947"/>
      <c r="J10" s="947"/>
      <c r="K10" s="947"/>
      <c r="L10" s="947"/>
      <c r="M10" s="947"/>
      <c r="N10" s="947"/>
      <c r="O10" s="947"/>
    </row>
    <row r="11" spans="1:17" s="499" customFormat="1" ht="28.35" customHeight="1" x14ac:dyDescent="0.2"/>
  </sheetData>
  <mergeCells count="2">
    <mergeCell ref="A9:O9"/>
    <mergeCell ref="A10:O10"/>
  </mergeCells>
  <pageMargins left="0.78431372549019618" right="0.78431372549019618" top="0.98039215686274517" bottom="0.98039215686274517" header="0.50980392156862753" footer="0.50980392156862753"/>
  <pageSetup paperSize="9" orientation="portrait" useFirstPageNumber="1" r:id="rId1"/>
  <headerFooter alignWithMargin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13"/>
  <sheetViews>
    <sheetView zoomScaleNormal="100" workbookViewId="0">
      <selection activeCell="A12" sqref="A12:J12"/>
    </sheetView>
  </sheetViews>
  <sheetFormatPr defaultRowHeight="12.75" x14ac:dyDescent="0.2"/>
  <cols>
    <col min="1" max="1" width="14.7109375" bestFit="1" customWidth="1"/>
    <col min="2" max="2" width="9.140625" bestFit="1" customWidth="1"/>
    <col min="3" max="3" width="10.140625" bestFit="1" customWidth="1"/>
    <col min="4" max="4" width="9.42578125" bestFit="1" customWidth="1"/>
    <col min="5" max="5" width="10.140625" bestFit="1" customWidth="1"/>
    <col min="6" max="6" width="9.5703125" bestFit="1" customWidth="1"/>
    <col min="7" max="11" width="10.140625" bestFit="1" customWidth="1"/>
    <col min="12" max="12" width="9.85546875" bestFit="1" customWidth="1"/>
    <col min="13" max="13" width="9.28515625" bestFit="1" customWidth="1"/>
    <col min="14" max="14" width="10.28515625" bestFit="1" customWidth="1"/>
    <col min="15" max="15" width="11.7109375" bestFit="1" customWidth="1"/>
    <col min="16" max="16" width="9.7109375" bestFit="1" customWidth="1"/>
    <col min="17" max="17" width="8.28515625" bestFit="1" customWidth="1"/>
    <col min="18" max="18" width="9.140625" bestFit="1" customWidth="1"/>
    <col min="19" max="19" width="4.7109375" bestFit="1" customWidth="1"/>
  </cols>
  <sheetData>
    <row r="1" spans="1:18" ht="18" customHeight="1" x14ac:dyDescent="0.2">
      <c r="A1" s="948" t="s">
        <v>8</v>
      </c>
      <c r="B1" s="948"/>
      <c r="C1" s="948"/>
      <c r="D1" s="948"/>
      <c r="E1" s="948"/>
      <c r="F1" s="948"/>
      <c r="G1" s="948"/>
      <c r="H1" s="948"/>
      <c r="I1" s="948"/>
      <c r="J1" s="948"/>
      <c r="K1" s="948"/>
      <c r="L1" s="948"/>
      <c r="M1" s="948"/>
      <c r="N1" s="948"/>
      <c r="O1" s="948"/>
      <c r="P1" s="948"/>
      <c r="Q1" s="948"/>
      <c r="R1" s="948"/>
    </row>
    <row r="2" spans="1:18" s="204" customFormat="1" ht="25.5" customHeight="1" x14ac:dyDescent="0.2">
      <c r="A2" s="906" t="s">
        <v>351</v>
      </c>
      <c r="B2" s="906" t="s">
        <v>142</v>
      </c>
      <c r="C2" s="950" t="s">
        <v>352</v>
      </c>
      <c r="D2" s="951"/>
      <c r="E2" s="950" t="s">
        <v>353</v>
      </c>
      <c r="F2" s="951"/>
      <c r="G2" s="954" t="s">
        <v>354</v>
      </c>
      <c r="H2" s="955"/>
      <c r="I2" s="955"/>
      <c r="J2" s="956"/>
      <c r="K2" s="954" t="s">
        <v>355</v>
      </c>
      <c r="L2" s="955"/>
      <c r="M2" s="955"/>
      <c r="N2" s="956"/>
      <c r="O2" s="950" t="s">
        <v>67</v>
      </c>
      <c r="P2" s="951"/>
      <c r="Q2" s="957" t="s">
        <v>356</v>
      </c>
      <c r="R2" s="958"/>
    </row>
    <row r="3" spans="1:18" s="204" customFormat="1" ht="13.5" customHeight="1" x14ac:dyDescent="0.2">
      <c r="A3" s="949"/>
      <c r="B3" s="949"/>
      <c r="C3" s="952"/>
      <c r="D3" s="953"/>
      <c r="E3" s="952"/>
      <c r="F3" s="953"/>
      <c r="G3" s="954" t="s">
        <v>357</v>
      </c>
      <c r="H3" s="956"/>
      <c r="I3" s="954" t="s">
        <v>358</v>
      </c>
      <c r="J3" s="956"/>
      <c r="K3" s="954" t="s">
        <v>357</v>
      </c>
      <c r="L3" s="956"/>
      <c r="M3" s="954" t="s">
        <v>358</v>
      </c>
      <c r="N3" s="956"/>
      <c r="O3" s="952"/>
      <c r="P3" s="953"/>
      <c r="Q3" s="959"/>
      <c r="R3" s="960"/>
    </row>
    <row r="4" spans="1:18" s="204" customFormat="1" ht="62.25" customHeight="1" x14ac:dyDescent="0.2">
      <c r="A4" s="907"/>
      <c r="B4" s="907"/>
      <c r="C4" s="248" t="s">
        <v>359</v>
      </c>
      <c r="D4" s="247" t="s">
        <v>360</v>
      </c>
      <c r="E4" s="248" t="s">
        <v>359</v>
      </c>
      <c r="F4" s="247" t="s">
        <v>360</v>
      </c>
      <c r="G4" s="248" t="s">
        <v>359</v>
      </c>
      <c r="H4" s="247" t="s">
        <v>360</v>
      </c>
      <c r="I4" s="248" t="s">
        <v>359</v>
      </c>
      <c r="J4" s="247" t="s">
        <v>360</v>
      </c>
      <c r="K4" s="248" t="s">
        <v>359</v>
      </c>
      <c r="L4" s="247" t="s">
        <v>360</v>
      </c>
      <c r="M4" s="248" t="s">
        <v>359</v>
      </c>
      <c r="N4" s="247" t="s">
        <v>360</v>
      </c>
      <c r="O4" s="248" t="s">
        <v>359</v>
      </c>
      <c r="P4" s="247" t="s">
        <v>360</v>
      </c>
      <c r="Q4" s="248" t="s">
        <v>361</v>
      </c>
      <c r="R4" s="247" t="s">
        <v>360</v>
      </c>
    </row>
    <row r="5" spans="1:18" s="204" customFormat="1" ht="15" customHeight="1" x14ac:dyDescent="0.2">
      <c r="A5" s="207" t="s">
        <v>73</v>
      </c>
      <c r="B5" s="208">
        <v>247</v>
      </c>
      <c r="C5" s="221">
        <v>150212</v>
      </c>
      <c r="D5" s="209">
        <v>14933.63792825</v>
      </c>
      <c r="E5" s="209">
        <v>2983</v>
      </c>
      <c r="F5" s="209">
        <v>162.96255754500001</v>
      </c>
      <c r="G5" s="221">
        <v>2032161</v>
      </c>
      <c r="H5" s="221">
        <v>200440.05508463</v>
      </c>
      <c r="I5" s="221">
        <v>480178</v>
      </c>
      <c r="J5" s="209">
        <v>45522.520567375002</v>
      </c>
      <c r="K5" s="209">
        <v>8473</v>
      </c>
      <c r="L5" s="209">
        <v>626.10800537499995</v>
      </c>
      <c r="M5" s="209">
        <v>7876</v>
      </c>
      <c r="N5" s="209">
        <v>583.24307475000001</v>
      </c>
      <c r="O5" s="221">
        <v>2681883</v>
      </c>
      <c r="P5" s="221">
        <v>262268.51721791999</v>
      </c>
      <c r="Q5" s="209">
        <v>515</v>
      </c>
      <c r="R5" s="209">
        <v>37.94</v>
      </c>
    </row>
    <row r="6" spans="1:18" s="204" customFormat="1" ht="15" customHeight="1" x14ac:dyDescent="0.2">
      <c r="A6" s="207" t="s">
        <v>76</v>
      </c>
      <c r="B6" s="208">
        <v>59</v>
      </c>
      <c r="C6" s="209">
        <v>6853</v>
      </c>
      <c r="D6" s="209">
        <v>549.99</v>
      </c>
      <c r="E6" s="209">
        <v>0</v>
      </c>
      <c r="F6" s="209">
        <v>0</v>
      </c>
      <c r="G6" s="221">
        <v>2214604</v>
      </c>
      <c r="H6" s="221">
        <v>195386.96</v>
      </c>
      <c r="I6" s="221">
        <v>451520</v>
      </c>
      <c r="J6" s="209">
        <v>31117.29</v>
      </c>
      <c r="K6" s="209">
        <v>0</v>
      </c>
      <c r="L6" s="209">
        <v>0</v>
      </c>
      <c r="M6" s="209">
        <v>0</v>
      </c>
      <c r="N6" s="209">
        <v>0</v>
      </c>
      <c r="O6" s="221">
        <v>2672977</v>
      </c>
      <c r="P6" s="221">
        <v>227054.24</v>
      </c>
      <c r="Q6" s="209">
        <v>81</v>
      </c>
      <c r="R6" s="209">
        <v>6.54</v>
      </c>
    </row>
    <row r="7" spans="1:18" s="204" customFormat="1" ht="15" customHeight="1" x14ac:dyDescent="0.2">
      <c r="A7" s="207" t="s">
        <v>75</v>
      </c>
      <c r="B7" s="208">
        <v>18</v>
      </c>
      <c r="C7" s="209">
        <v>962</v>
      </c>
      <c r="D7" s="209">
        <v>77.77</v>
      </c>
      <c r="E7" s="209">
        <v>0</v>
      </c>
      <c r="F7" s="209">
        <v>0</v>
      </c>
      <c r="G7" s="221">
        <v>995903</v>
      </c>
      <c r="H7" s="209">
        <v>87578.38</v>
      </c>
      <c r="I7" s="221">
        <v>309028</v>
      </c>
      <c r="J7" s="209">
        <v>21493.72</v>
      </c>
      <c r="K7" s="209">
        <v>0</v>
      </c>
      <c r="L7" s="209">
        <v>0</v>
      </c>
      <c r="M7" s="209">
        <v>0</v>
      </c>
      <c r="N7" s="209">
        <v>0</v>
      </c>
      <c r="O7" s="221">
        <v>1305893</v>
      </c>
      <c r="P7" s="221">
        <v>109149.87</v>
      </c>
      <c r="Q7" s="209">
        <v>2407</v>
      </c>
      <c r="R7" s="209">
        <v>202.9</v>
      </c>
    </row>
    <row r="8" spans="1:18" s="204" customFormat="1" ht="15" customHeight="1" x14ac:dyDescent="0.2">
      <c r="A8" s="207" t="s">
        <v>74</v>
      </c>
      <c r="B8" s="208">
        <v>19</v>
      </c>
      <c r="C8" s="209">
        <v>4144</v>
      </c>
      <c r="D8" s="209">
        <v>326.38</v>
      </c>
      <c r="E8" s="209">
        <v>0</v>
      </c>
      <c r="F8" s="209">
        <v>0</v>
      </c>
      <c r="G8" s="221">
        <v>1218595</v>
      </c>
      <c r="H8" s="221">
        <v>107799.6</v>
      </c>
      <c r="I8" s="221">
        <v>142492</v>
      </c>
      <c r="J8" s="209">
        <v>9623.57</v>
      </c>
      <c r="K8" s="209">
        <v>0</v>
      </c>
      <c r="L8" s="209">
        <v>0</v>
      </c>
      <c r="M8" s="209">
        <v>0</v>
      </c>
      <c r="N8" s="209">
        <v>0</v>
      </c>
      <c r="O8" s="221">
        <v>1365231</v>
      </c>
      <c r="P8" s="221">
        <v>117749.55</v>
      </c>
      <c r="Q8" s="209">
        <v>971</v>
      </c>
      <c r="R8" s="209">
        <v>78.709999999999994</v>
      </c>
    </row>
    <row r="9" spans="1:18" s="204" customFormat="1" ht="15" customHeight="1" x14ac:dyDescent="0.2">
      <c r="A9" s="207" t="s">
        <v>849</v>
      </c>
      <c r="B9" s="208">
        <v>22</v>
      </c>
      <c r="C9" s="209">
        <v>1747</v>
      </c>
      <c r="D9" s="209">
        <v>145.84</v>
      </c>
      <c r="E9" s="209">
        <v>0</v>
      </c>
      <c r="F9" s="209">
        <v>0</v>
      </c>
      <c r="G9" s="209">
        <v>106</v>
      </c>
      <c r="H9" s="209">
        <v>8.98</v>
      </c>
      <c r="I9" s="209">
        <v>0</v>
      </c>
      <c r="J9" s="209">
        <v>0</v>
      </c>
      <c r="K9" s="209">
        <v>0</v>
      </c>
      <c r="L9" s="209">
        <v>0</v>
      </c>
      <c r="M9" s="209">
        <v>0</v>
      </c>
      <c r="N9" s="209">
        <v>0</v>
      </c>
      <c r="O9" s="209">
        <v>1853</v>
      </c>
      <c r="P9" s="209">
        <v>154.82</v>
      </c>
      <c r="Q9" s="209">
        <v>81</v>
      </c>
      <c r="R9" s="209">
        <v>6.54</v>
      </c>
    </row>
    <row r="10" spans="1:18" s="204" customFormat="1" ht="14.25" customHeight="1" x14ac:dyDescent="0.2">
      <c r="A10" s="888" t="s">
        <v>1093</v>
      </c>
      <c r="B10" s="888"/>
      <c r="C10" s="888"/>
      <c r="D10" s="888"/>
      <c r="E10" s="888"/>
      <c r="F10" s="888"/>
      <c r="G10" s="888"/>
      <c r="H10" s="888"/>
      <c r="I10" s="888"/>
      <c r="J10" s="888"/>
    </row>
    <row r="11" spans="1:18" s="204" customFormat="1" ht="13.5" customHeight="1" x14ac:dyDescent="0.2">
      <c r="A11" s="888" t="s">
        <v>848</v>
      </c>
      <c r="B11" s="888"/>
      <c r="C11" s="888"/>
      <c r="D11" s="888"/>
      <c r="E11" s="888"/>
      <c r="F11" s="888"/>
      <c r="G11" s="888"/>
      <c r="H11" s="888"/>
      <c r="I11" s="888"/>
      <c r="J11" s="888"/>
    </row>
    <row r="12" spans="1:18" s="204" customFormat="1" ht="13.5" customHeight="1" x14ac:dyDescent="0.2">
      <c r="A12" s="887" t="s">
        <v>190</v>
      </c>
      <c r="B12" s="887"/>
      <c r="C12" s="887"/>
      <c r="D12" s="887"/>
      <c r="E12" s="887"/>
      <c r="F12" s="887"/>
      <c r="G12" s="887"/>
      <c r="H12" s="887"/>
      <c r="I12" s="887"/>
      <c r="J12" s="887"/>
    </row>
    <row r="13" spans="1:18" s="204" customFormat="1" ht="28.35" customHeight="1" x14ac:dyDescent="0.2"/>
  </sheetData>
  <mergeCells count="16">
    <mergeCell ref="A12:J12"/>
    <mergeCell ref="A1:R1"/>
    <mergeCell ref="A2:A4"/>
    <mergeCell ref="B2:B4"/>
    <mergeCell ref="C2:D3"/>
    <mergeCell ref="E2:F3"/>
    <mergeCell ref="G2:J2"/>
    <mergeCell ref="K2:N2"/>
    <mergeCell ref="O2:P3"/>
    <mergeCell ref="Q2:R3"/>
    <mergeCell ref="G3:H3"/>
    <mergeCell ref="I3:J3"/>
    <mergeCell ref="K3:L3"/>
    <mergeCell ref="M3:N3"/>
    <mergeCell ref="A11:J11"/>
    <mergeCell ref="A10:J10"/>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13"/>
  <sheetViews>
    <sheetView topLeftCell="F1" zoomScaleNormal="100" workbookViewId="0">
      <selection activeCell="L27" sqref="L27"/>
    </sheetView>
  </sheetViews>
  <sheetFormatPr defaultRowHeight="12.75" x14ac:dyDescent="0.2"/>
  <cols>
    <col min="1" max="1" width="12.140625" bestFit="1" customWidth="1"/>
    <col min="2" max="2" width="9.140625" bestFit="1" customWidth="1"/>
    <col min="3" max="18" width="13.5703125" bestFit="1" customWidth="1"/>
    <col min="19" max="19" width="5" bestFit="1" customWidth="1"/>
  </cols>
  <sheetData>
    <row r="1" spans="1:18" ht="18" customHeight="1" x14ac:dyDescent="0.2">
      <c r="A1" s="948" t="s">
        <v>362</v>
      </c>
      <c r="B1" s="948"/>
      <c r="C1" s="948"/>
      <c r="D1" s="948"/>
      <c r="E1" s="948"/>
      <c r="F1" s="948"/>
      <c r="G1" s="948"/>
      <c r="H1" s="948"/>
      <c r="I1" s="948"/>
      <c r="J1" s="948"/>
      <c r="K1" s="948"/>
      <c r="L1" s="948"/>
      <c r="M1" s="948"/>
      <c r="N1" s="948"/>
    </row>
    <row r="2" spans="1:18" s="204" customFormat="1" ht="25.5" customHeight="1" x14ac:dyDescent="0.2">
      <c r="A2" s="906" t="s">
        <v>351</v>
      </c>
      <c r="B2" s="906" t="s">
        <v>142</v>
      </c>
      <c r="C2" s="950" t="s">
        <v>352</v>
      </c>
      <c r="D2" s="951"/>
      <c r="E2" s="950" t="s">
        <v>353</v>
      </c>
      <c r="F2" s="951"/>
      <c r="G2" s="954" t="s">
        <v>354</v>
      </c>
      <c r="H2" s="955"/>
      <c r="I2" s="955"/>
      <c r="J2" s="956"/>
      <c r="K2" s="954" t="s">
        <v>355</v>
      </c>
      <c r="L2" s="955"/>
      <c r="M2" s="955"/>
      <c r="N2" s="956"/>
      <c r="O2" s="950" t="s">
        <v>67</v>
      </c>
      <c r="P2" s="951"/>
      <c r="Q2" s="957" t="s">
        <v>356</v>
      </c>
      <c r="R2" s="958"/>
    </row>
    <row r="3" spans="1:18" s="204" customFormat="1" ht="13.5" customHeight="1" x14ac:dyDescent="0.2">
      <c r="A3" s="949"/>
      <c r="B3" s="949"/>
      <c r="C3" s="952"/>
      <c r="D3" s="953"/>
      <c r="E3" s="952"/>
      <c r="F3" s="953"/>
      <c r="G3" s="954" t="s">
        <v>357</v>
      </c>
      <c r="H3" s="956"/>
      <c r="I3" s="954" t="s">
        <v>358</v>
      </c>
      <c r="J3" s="956"/>
      <c r="K3" s="954" t="s">
        <v>357</v>
      </c>
      <c r="L3" s="956"/>
      <c r="M3" s="954" t="s">
        <v>358</v>
      </c>
      <c r="N3" s="956"/>
      <c r="O3" s="952"/>
      <c r="P3" s="953"/>
      <c r="Q3" s="959"/>
      <c r="R3" s="960"/>
    </row>
    <row r="4" spans="1:18" s="204" customFormat="1" ht="27" customHeight="1" x14ac:dyDescent="0.2">
      <c r="A4" s="907"/>
      <c r="B4" s="907"/>
      <c r="C4" s="248" t="s">
        <v>359</v>
      </c>
      <c r="D4" s="247" t="s">
        <v>360</v>
      </c>
      <c r="E4" s="248" t="s">
        <v>359</v>
      </c>
      <c r="F4" s="247" t="s">
        <v>360</v>
      </c>
      <c r="G4" s="248" t="s">
        <v>359</v>
      </c>
      <c r="H4" s="247" t="s">
        <v>360</v>
      </c>
      <c r="I4" s="248" t="s">
        <v>359</v>
      </c>
      <c r="J4" s="247" t="s">
        <v>360</v>
      </c>
      <c r="K4" s="248" t="s">
        <v>359</v>
      </c>
      <c r="L4" s="247" t="s">
        <v>360</v>
      </c>
      <c r="M4" s="248" t="s">
        <v>359</v>
      </c>
      <c r="N4" s="247" t="s">
        <v>360</v>
      </c>
      <c r="O4" s="248" t="s">
        <v>359</v>
      </c>
      <c r="P4" s="247" t="s">
        <v>360</v>
      </c>
      <c r="Q4" s="248" t="s">
        <v>359</v>
      </c>
      <c r="R4" s="247" t="s">
        <v>360</v>
      </c>
    </row>
    <row r="5" spans="1:18" s="204" customFormat="1" ht="15" customHeight="1" x14ac:dyDescent="0.2">
      <c r="A5" s="207" t="s">
        <v>73</v>
      </c>
      <c r="B5" s="208">
        <v>247</v>
      </c>
      <c r="C5" s="244">
        <v>94472538</v>
      </c>
      <c r="D5" s="221">
        <v>6677312.0489999996</v>
      </c>
      <c r="E5" s="244">
        <v>256643910</v>
      </c>
      <c r="F5" s="244">
        <v>14874729.23</v>
      </c>
      <c r="G5" s="249">
        <v>2480471005</v>
      </c>
      <c r="H5" s="244">
        <v>169696653.69999999</v>
      </c>
      <c r="I5" s="249">
        <v>2095899292</v>
      </c>
      <c r="J5" s="244">
        <v>140995315.59999999</v>
      </c>
      <c r="K5" s="244">
        <v>125587962</v>
      </c>
      <c r="L5" s="221">
        <v>8003236.6960000005</v>
      </c>
      <c r="M5" s="244">
        <v>72247170</v>
      </c>
      <c r="N5" s="221">
        <v>4285644.5180000002</v>
      </c>
      <c r="O5" s="249">
        <v>5125321877</v>
      </c>
      <c r="P5" s="244">
        <v>344532891.80000001</v>
      </c>
      <c r="Q5" s="221">
        <v>3162958</v>
      </c>
      <c r="R5" s="221">
        <v>163121.89000000001</v>
      </c>
    </row>
    <row r="6" spans="1:18" s="204" customFormat="1" ht="15" customHeight="1" x14ac:dyDescent="0.2">
      <c r="A6" s="207" t="s">
        <v>76</v>
      </c>
      <c r="B6" s="208">
        <v>59</v>
      </c>
      <c r="C6" s="244">
        <v>39661625</v>
      </c>
      <c r="D6" s="221">
        <v>2095081.335</v>
      </c>
      <c r="E6" s="244">
        <v>68326493</v>
      </c>
      <c r="F6" s="221">
        <v>3528358.3110000002</v>
      </c>
      <c r="G6" s="244">
        <v>758230776</v>
      </c>
      <c r="H6" s="244">
        <v>40196732.969999999</v>
      </c>
      <c r="I6" s="244">
        <v>656659237</v>
      </c>
      <c r="J6" s="244">
        <v>33319661.82</v>
      </c>
      <c r="K6" s="244">
        <v>35178276</v>
      </c>
      <c r="L6" s="221">
        <v>2064677.9469999999</v>
      </c>
      <c r="M6" s="244">
        <v>19643455</v>
      </c>
      <c r="N6" s="221">
        <v>1020577.417</v>
      </c>
      <c r="O6" s="249">
        <v>1577699862</v>
      </c>
      <c r="P6" s="244">
        <v>82225089.799999997</v>
      </c>
      <c r="Q6" s="221">
        <v>4366903</v>
      </c>
      <c r="R6" s="221">
        <v>287861.11</v>
      </c>
    </row>
    <row r="7" spans="1:18" s="204" customFormat="1" ht="15" customHeight="1" x14ac:dyDescent="0.2">
      <c r="A7" s="207" t="s">
        <v>75</v>
      </c>
      <c r="B7" s="208">
        <v>18</v>
      </c>
      <c r="C7" s="244">
        <v>11339332</v>
      </c>
      <c r="D7" s="221">
        <v>594715.51879999996</v>
      </c>
      <c r="E7" s="244">
        <v>19476580</v>
      </c>
      <c r="F7" s="221">
        <v>954968.99560000002</v>
      </c>
      <c r="G7" s="244">
        <v>194547845</v>
      </c>
      <c r="H7" s="244">
        <v>10077297.859999999</v>
      </c>
      <c r="I7" s="244">
        <v>170934639</v>
      </c>
      <c r="J7" s="221">
        <v>8385702.6540000001</v>
      </c>
      <c r="K7" s="221">
        <v>8039630</v>
      </c>
      <c r="L7" s="221">
        <v>446624.89990000002</v>
      </c>
      <c r="M7" s="221">
        <v>4593986</v>
      </c>
      <c r="N7" s="221">
        <v>224068.50750000001</v>
      </c>
      <c r="O7" s="244">
        <v>408932012</v>
      </c>
      <c r="P7" s="244">
        <v>20683378.43</v>
      </c>
      <c r="Q7" s="221">
        <v>2874264</v>
      </c>
      <c r="R7" s="221">
        <v>170257.67</v>
      </c>
    </row>
    <row r="8" spans="1:18" s="204" customFormat="1" ht="15" customHeight="1" x14ac:dyDescent="0.2">
      <c r="A8" s="207" t="s">
        <v>74</v>
      </c>
      <c r="B8" s="208">
        <v>19</v>
      </c>
      <c r="C8" s="244">
        <v>12843909</v>
      </c>
      <c r="D8" s="221">
        <v>640625.01850000001</v>
      </c>
      <c r="E8" s="244">
        <v>22573353</v>
      </c>
      <c r="F8" s="221">
        <v>1118023.5830000001</v>
      </c>
      <c r="G8" s="244">
        <v>247931778</v>
      </c>
      <c r="H8" s="244">
        <v>12205317.18</v>
      </c>
      <c r="I8" s="244">
        <v>211059297</v>
      </c>
      <c r="J8" s="221">
        <v>9947263.2349999994</v>
      </c>
      <c r="K8" s="244">
        <v>10850597</v>
      </c>
      <c r="L8" s="221">
        <v>613231.52850000001</v>
      </c>
      <c r="M8" s="221">
        <v>6115405</v>
      </c>
      <c r="N8" s="221">
        <v>307470.4877</v>
      </c>
      <c r="O8" s="244">
        <v>511374339</v>
      </c>
      <c r="P8" s="244">
        <v>24831931.030000001</v>
      </c>
      <c r="Q8" s="221">
        <v>3707494</v>
      </c>
      <c r="R8" s="221">
        <v>207782.64</v>
      </c>
    </row>
    <row r="9" spans="1:18" s="204" customFormat="1" ht="15" customHeight="1" x14ac:dyDescent="0.2">
      <c r="A9" s="207" t="s">
        <v>849</v>
      </c>
      <c r="B9" s="208">
        <v>22</v>
      </c>
      <c r="C9" s="244">
        <v>15478384</v>
      </c>
      <c r="D9" s="221">
        <v>859740.79729999998</v>
      </c>
      <c r="E9" s="244">
        <v>26276560</v>
      </c>
      <c r="F9" s="221">
        <v>1455365.7320000001</v>
      </c>
      <c r="G9" s="244">
        <v>315751153</v>
      </c>
      <c r="H9" s="244">
        <v>17914117.940000001</v>
      </c>
      <c r="I9" s="244">
        <v>274665301</v>
      </c>
      <c r="J9" s="244">
        <v>14986695.93</v>
      </c>
      <c r="K9" s="244">
        <v>16288049</v>
      </c>
      <c r="L9" s="221">
        <v>1004821.518</v>
      </c>
      <c r="M9" s="221">
        <v>8934064</v>
      </c>
      <c r="N9" s="221">
        <v>489038.42219999997</v>
      </c>
      <c r="O9" s="244">
        <v>657393511</v>
      </c>
      <c r="P9" s="244">
        <v>36709780.340000004</v>
      </c>
      <c r="Q9" s="221">
        <v>4366903</v>
      </c>
      <c r="R9" s="221">
        <v>287861.11</v>
      </c>
    </row>
    <row r="10" spans="1:18" s="204" customFormat="1" ht="14.25" customHeight="1" x14ac:dyDescent="0.2">
      <c r="A10" s="888" t="s">
        <v>1094</v>
      </c>
      <c r="B10" s="888"/>
      <c r="C10" s="888"/>
      <c r="D10" s="888"/>
      <c r="E10" s="888"/>
      <c r="F10" s="888"/>
      <c r="G10" s="888"/>
      <c r="H10" s="888"/>
      <c r="I10" s="888"/>
      <c r="J10" s="888"/>
      <c r="K10" s="888"/>
      <c r="L10" s="888"/>
      <c r="M10" s="888"/>
      <c r="N10" s="888"/>
      <c r="O10" s="888"/>
      <c r="P10" s="888"/>
      <c r="Q10" s="888"/>
      <c r="R10" s="888"/>
    </row>
    <row r="11" spans="1:18" s="204" customFormat="1" ht="13.5" customHeight="1" x14ac:dyDescent="0.2">
      <c r="A11" s="888" t="s">
        <v>848</v>
      </c>
      <c r="B11" s="888"/>
      <c r="C11" s="888"/>
      <c r="D11" s="888"/>
      <c r="E11" s="888"/>
      <c r="F11" s="888"/>
      <c r="G11" s="888"/>
      <c r="H11" s="888"/>
      <c r="I11" s="888"/>
      <c r="J11" s="888"/>
      <c r="K11" s="888"/>
      <c r="L11" s="888"/>
      <c r="M11" s="888"/>
      <c r="N11" s="888"/>
      <c r="O11" s="888"/>
      <c r="P11" s="888"/>
      <c r="Q11" s="888"/>
      <c r="R11" s="888"/>
    </row>
    <row r="12" spans="1:18" s="204" customFormat="1" ht="13.5" customHeight="1" x14ac:dyDescent="0.2">
      <c r="A12" s="887" t="s">
        <v>192</v>
      </c>
      <c r="B12" s="887"/>
      <c r="C12" s="887"/>
      <c r="D12" s="887"/>
      <c r="E12" s="887"/>
      <c r="F12" s="887"/>
      <c r="G12" s="887"/>
      <c r="H12" s="887"/>
      <c r="I12" s="887"/>
      <c r="J12" s="887"/>
      <c r="K12" s="887"/>
      <c r="L12" s="887"/>
      <c r="M12" s="887"/>
      <c r="N12" s="887"/>
      <c r="O12" s="887"/>
      <c r="P12" s="887"/>
      <c r="Q12" s="887"/>
      <c r="R12" s="887"/>
    </row>
    <row r="13" spans="1:18" s="204" customFormat="1" ht="28.35" customHeight="1" x14ac:dyDescent="0.2"/>
  </sheetData>
  <mergeCells count="16">
    <mergeCell ref="A12:R12"/>
    <mergeCell ref="A1:N1"/>
    <mergeCell ref="A2:A4"/>
    <mergeCell ref="B2:B4"/>
    <mergeCell ref="C2:D3"/>
    <mergeCell ref="E2:F3"/>
    <mergeCell ref="G2:J2"/>
    <mergeCell ref="K2:N2"/>
    <mergeCell ref="A11:R11"/>
    <mergeCell ref="A10:R10"/>
    <mergeCell ref="O2:P3"/>
    <mergeCell ref="Q2:R3"/>
    <mergeCell ref="G3:H3"/>
    <mergeCell ref="I3:J3"/>
    <mergeCell ref="K3:L3"/>
    <mergeCell ref="M3:N3"/>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14"/>
  <sheetViews>
    <sheetView zoomScaleNormal="100" workbookViewId="0">
      <selection activeCell="J16" sqref="J16"/>
    </sheetView>
  </sheetViews>
  <sheetFormatPr defaultRowHeight="12.75" x14ac:dyDescent="0.2"/>
  <cols>
    <col min="1" max="1" width="13.42578125" bestFit="1" customWidth="1"/>
    <col min="2" max="6" width="10.7109375" bestFit="1" customWidth="1"/>
    <col min="7" max="7" width="11.28515625" bestFit="1" customWidth="1"/>
    <col min="8" max="12" width="10.7109375" bestFit="1" customWidth="1"/>
    <col min="13" max="13" width="10.85546875" bestFit="1" customWidth="1"/>
    <col min="14" max="14" width="4.7109375" bestFit="1" customWidth="1"/>
  </cols>
  <sheetData>
    <row r="1" spans="1:13" ht="17.25" customHeight="1" x14ac:dyDescent="0.2">
      <c r="A1" s="963" t="s">
        <v>996</v>
      </c>
      <c r="B1" s="963"/>
      <c r="C1" s="963"/>
      <c r="D1" s="963"/>
      <c r="E1" s="963"/>
      <c r="F1" s="963"/>
      <c r="G1" s="963"/>
      <c r="H1" s="963"/>
      <c r="I1" s="963"/>
      <c r="J1" s="963"/>
      <c r="K1" s="963"/>
      <c r="L1" s="963"/>
      <c r="M1" s="963"/>
    </row>
    <row r="2" spans="1:13" ht="17.25" customHeight="1" x14ac:dyDescent="0.2">
      <c r="A2" s="629"/>
      <c r="B2" s="629"/>
      <c r="C2" s="629"/>
      <c r="D2" s="629"/>
      <c r="E2" s="629"/>
      <c r="F2" s="629"/>
      <c r="G2" s="629"/>
      <c r="H2" s="629"/>
      <c r="I2" s="629"/>
      <c r="J2" s="629"/>
      <c r="K2" s="629"/>
      <c r="L2" s="629"/>
      <c r="M2" s="629" t="s">
        <v>997</v>
      </c>
    </row>
    <row r="3" spans="1:13" s="499" customFormat="1" ht="17.25" customHeight="1" x14ac:dyDescent="0.2">
      <c r="A3" s="810" t="s">
        <v>351</v>
      </c>
      <c r="B3" s="866" t="s">
        <v>116</v>
      </c>
      <c r="C3" s="945"/>
      <c r="D3" s="945"/>
      <c r="E3" s="945"/>
      <c r="F3" s="945"/>
      <c r="G3" s="867"/>
      <c r="H3" s="866" t="s">
        <v>117</v>
      </c>
      <c r="I3" s="945"/>
      <c r="J3" s="945"/>
      <c r="K3" s="945"/>
      <c r="L3" s="945"/>
      <c r="M3" s="867"/>
    </row>
    <row r="4" spans="1:13" s="499" customFormat="1" ht="27" customHeight="1" x14ac:dyDescent="0.2">
      <c r="A4" s="964"/>
      <c r="B4" s="808" t="s">
        <v>363</v>
      </c>
      <c r="C4" s="809"/>
      <c r="D4" s="808" t="s">
        <v>364</v>
      </c>
      <c r="E4" s="809"/>
      <c r="F4" s="799" t="s">
        <v>67</v>
      </c>
      <c r="G4" s="961" t="s">
        <v>365</v>
      </c>
      <c r="H4" s="808" t="s">
        <v>363</v>
      </c>
      <c r="I4" s="809"/>
      <c r="J4" s="808" t="s">
        <v>364</v>
      </c>
      <c r="K4" s="809"/>
      <c r="L4" s="799" t="s">
        <v>67</v>
      </c>
      <c r="M4" s="961" t="s">
        <v>365</v>
      </c>
    </row>
    <row r="5" spans="1:13" s="499" customFormat="1" ht="27" customHeight="1" x14ac:dyDescent="0.2">
      <c r="A5" s="811"/>
      <c r="B5" s="588" t="s">
        <v>366</v>
      </c>
      <c r="C5" s="588" t="s">
        <v>367</v>
      </c>
      <c r="D5" s="588" t="s">
        <v>368</v>
      </c>
      <c r="E5" s="588" t="s">
        <v>369</v>
      </c>
      <c r="F5" s="801"/>
      <c r="G5" s="962"/>
      <c r="H5" s="588" t="s">
        <v>366</v>
      </c>
      <c r="I5" s="588" t="s">
        <v>367</v>
      </c>
      <c r="J5" s="588" t="s">
        <v>368</v>
      </c>
      <c r="K5" s="588" t="s">
        <v>369</v>
      </c>
      <c r="L5" s="801"/>
      <c r="M5" s="962"/>
    </row>
    <row r="6" spans="1:13" s="499" customFormat="1" ht="18" customHeight="1" x14ac:dyDescent="0.2">
      <c r="A6" s="502" t="s">
        <v>73</v>
      </c>
      <c r="B6" s="504">
        <v>1778.49</v>
      </c>
      <c r="C6" s="504">
        <v>95.27</v>
      </c>
      <c r="D6" s="504">
        <v>1165.5999999999999</v>
      </c>
      <c r="E6" s="504">
        <v>10.91</v>
      </c>
      <c r="F6" s="504">
        <v>3180.55</v>
      </c>
      <c r="G6" s="504">
        <v>21.81</v>
      </c>
      <c r="H6" s="504">
        <v>13384.326666667001</v>
      </c>
      <c r="I6" s="504">
        <v>188.74</v>
      </c>
      <c r="J6" s="504">
        <v>2131.8208333329999</v>
      </c>
      <c r="K6" s="504">
        <v>532.07166666700004</v>
      </c>
      <c r="L6" s="504">
        <v>16237.0425</v>
      </c>
      <c r="M6" s="504">
        <v>2211.84</v>
      </c>
    </row>
    <row r="7" spans="1:13" s="499" customFormat="1" ht="18" customHeight="1" x14ac:dyDescent="0.2">
      <c r="A7" s="502" t="s">
        <v>76</v>
      </c>
      <c r="B7" s="504">
        <v>438.51</v>
      </c>
      <c r="C7" s="504">
        <v>12.61</v>
      </c>
      <c r="D7" s="504">
        <v>670.02</v>
      </c>
      <c r="E7" s="504">
        <v>5.26</v>
      </c>
      <c r="F7" s="504">
        <v>1282.1199999999999</v>
      </c>
      <c r="G7" s="504">
        <v>22.3</v>
      </c>
      <c r="H7" s="504">
        <v>40771.769999999997</v>
      </c>
      <c r="I7" s="504">
        <v>632.41999999999996</v>
      </c>
      <c r="J7" s="504">
        <v>6209.62</v>
      </c>
      <c r="K7" s="504">
        <v>1186.21</v>
      </c>
      <c r="L7" s="504">
        <v>48800.02</v>
      </c>
      <c r="M7" s="504">
        <v>2268.39</v>
      </c>
    </row>
    <row r="8" spans="1:13" s="499" customFormat="1" ht="18" customHeight="1" x14ac:dyDescent="0.2">
      <c r="A8" s="502" t="s">
        <v>75</v>
      </c>
      <c r="B8" s="504">
        <v>135.52000000000001</v>
      </c>
      <c r="C8" s="504">
        <v>5.79</v>
      </c>
      <c r="D8" s="504">
        <v>173.72</v>
      </c>
      <c r="E8" s="504">
        <v>1.8</v>
      </c>
      <c r="F8" s="504">
        <v>316.83</v>
      </c>
      <c r="G8" s="504">
        <v>21.93</v>
      </c>
      <c r="H8" s="504">
        <v>15832.02</v>
      </c>
      <c r="I8" s="504">
        <v>370.66</v>
      </c>
      <c r="J8" s="504">
        <v>1809.08</v>
      </c>
      <c r="K8" s="504">
        <v>431.1</v>
      </c>
      <c r="L8" s="504">
        <v>18442.86</v>
      </c>
      <c r="M8" s="504">
        <v>2231.7399999999998</v>
      </c>
    </row>
    <row r="9" spans="1:13" s="499" customFormat="1" ht="18" customHeight="1" x14ac:dyDescent="0.2">
      <c r="A9" s="502" t="s">
        <v>74</v>
      </c>
      <c r="B9" s="504">
        <v>123.84</v>
      </c>
      <c r="C9" s="504">
        <v>4.07</v>
      </c>
      <c r="D9" s="504">
        <v>197.23</v>
      </c>
      <c r="E9" s="504">
        <v>0.84</v>
      </c>
      <c r="F9" s="504">
        <v>366.55</v>
      </c>
      <c r="G9" s="504">
        <v>22.07</v>
      </c>
      <c r="H9" s="504">
        <v>12028.16</v>
      </c>
      <c r="I9" s="504">
        <v>187.57</v>
      </c>
      <c r="J9" s="504">
        <v>1889.56</v>
      </c>
      <c r="K9" s="504">
        <v>261.08999999999997</v>
      </c>
      <c r="L9" s="504">
        <v>14366.38</v>
      </c>
      <c r="M9" s="504">
        <v>2244.09</v>
      </c>
    </row>
    <row r="10" spans="1:13" s="499" customFormat="1" ht="18" customHeight="1" x14ac:dyDescent="0.2">
      <c r="A10" s="502" t="s">
        <v>849</v>
      </c>
      <c r="B10" s="504">
        <v>179.15</v>
      </c>
      <c r="C10" s="504">
        <v>2.75</v>
      </c>
      <c r="D10" s="504">
        <v>299.07</v>
      </c>
      <c r="E10" s="504">
        <v>2.62</v>
      </c>
      <c r="F10" s="504">
        <v>598.74</v>
      </c>
      <c r="G10" s="504">
        <v>22.3</v>
      </c>
      <c r="H10" s="504">
        <v>12911.59</v>
      </c>
      <c r="I10" s="504">
        <v>74.19</v>
      </c>
      <c r="J10" s="504">
        <v>2510.98</v>
      </c>
      <c r="K10" s="504">
        <v>494.02</v>
      </c>
      <c r="L10" s="504">
        <v>15990.78</v>
      </c>
      <c r="M10" s="504">
        <v>2268.39</v>
      </c>
    </row>
    <row r="11" spans="1:13" s="499" customFormat="1" ht="18" customHeight="1" x14ac:dyDescent="0.2">
      <c r="A11" s="438" t="s">
        <v>1083</v>
      </c>
      <c r="B11" s="437"/>
      <c r="C11" s="437"/>
      <c r="D11" s="437"/>
      <c r="E11" s="437"/>
      <c r="F11" s="437"/>
      <c r="G11" s="437"/>
      <c r="H11" s="437"/>
      <c r="I11" s="437"/>
      <c r="J11" s="437"/>
      <c r="K11" s="437"/>
      <c r="L11" s="437"/>
      <c r="M11" s="437"/>
    </row>
    <row r="12" spans="1:13" s="499" customFormat="1" ht="12.75" customHeight="1" x14ac:dyDescent="0.2">
      <c r="A12" s="786" t="s">
        <v>848</v>
      </c>
      <c r="B12" s="786"/>
      <c r="C12" s="786"/>
      <c r="D12" s="786"/>
    </row>
    <row r="13" spans="1:13" s="499" customFormat="1" ht="14.25" customHeight="1" x14ac:dyDescent="0.2">
      <c r="A13" s="797" t="s">
        <v>925</v>
      </c>
      <c r="B13" s="797"/>
      <c r="C13" s="797"/>
      <c r="D13" s="797"/>
    </row>
    <row r="14" spans="1:13" s="499" customFormat="1" ht="26.1" customHeight="1" x14ac:dyDescent="0.2"/>
  </sheetData>
  <mergeCells count="14">
    <mergeCell ref="A13:D13"/>
    <mergeCell ref="L4:L5"/>
    <mergeCell ref="M4:M5"/>
    <mergeCell ref="A12:D12"/>
    <mergeCell ref="A1:M1"/>
    <mergeCell ref="A3:A5"/>
    <mergeCell ref="B3:G3"/>
    <mergeCell ref="H3:M3"/>
    <mergeCell ref="B4:C4"/>
    <mergeCell ref="D4:E4"/>
    <mergeCell ref="F4:F5"/>
    <mergeCell ref="G4:G5"/>
    <mergeCell ref="H4:I4"/>
    <mergeCell ref="J4:K4"/>
  </mergeCells>
  <pageMargins left="0.78431372549019618" right="0.78431372549019618" top="0.98039215686274517" bottom="0.98039215686274517" header="0.50980392156862753" footer="0.50980392156862753"/>
  <pageSetup paperSize="9" orientation="portrait" useFirstPageNumber="1" r:id="rId1"/>
  <headerFooter alignWithMargin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12"/>
  <sheetViews>
    <sheetView zoomScaleNormal="100" workbookViewId="0">
      <selection activeCell="G18" sqref="G18"/>
    </sheetView>
  </sheetViews>
  <sheetFormatPr defaultRowHeight="12.75" x14ac:dyDescent="0.2"/>
  <cols>
    <col min="1" max="11" width="14.7109375" bestFit="1" customWidth="1"/>
    <col min="12" max="12" width="4.7109375" bestFit="1" customWidth="1"/>
  </cols>
  <sheetData>
    <row r="1" spans="1:11" ht="15" customHeight="1" x14ac:dyDescent="0.2">
      <c r="A1" s="891" t="s">
        <v>9</v>
      </c>
      <c r="B1" s="891"/>
      <c r="C1" s="891"/>
      <c r="D1" s="891"/>
      <c r="E1" s="891"/>
      <c r="F1" s="891"/>
      <c r="G1" s="891"/>
      <c r="H1" s="891"/>
      <c r="I1" s="891"/>
      <c r="J1" s="891"/>
      <c r="K1" s="891"/>
    </row>
    <row r="2" spans="1:11" s="204" customFormat="1" ht="12.75" customHeight="1" x14ac:dyDescent="0.2">
      <c r="A2" s="923" t="s">
        <v>111</v>
      </c>
      <c r="B2" s="954" t="s">
        <v>186</v>
      </c>
      <c r="C2" s="955"/>
      <c r="D2" s="955"/>
      <c r="E2" s="955"/>
      <c r="F2" s="956"/>
      <c r="G2" s="954" t="s">
        <v>370</v>
      </c>
      <c r="H2" s="955"/>
      <c r="I2" s="955"/>
      <c r="J2" s="955"/>
      <c r="K2" s="956"/>
    </row>
    <row r="3" spans="1:11" s="204" customFormat="1" ht="15" customHeight="1" x14ac:dyDescent="0.2">
      <c r="A3" s="924"/>
      <c r="B3" s="237" t="s">
        <v>856</v>
      </c>
      <c r="C3" s="237" t="s">
        <v>371</v>
      </c>
      <c r="D3" s="237" t="s">
        <v>39</v>
      </c>
      <c r="E3" s="237" t="s">
        <v>189</v>
      </c>
      <c r="F3" s="237" t="s">
        <v>185</v>
      </c>
      <c r="G3" s="237" t="s">
        <v>856</v>
      </c>
      <c r="H3" s="237" t="s">
        <v>371</v>
      </c>
      <c r="I3" s="237" t="s">
        <v>39</v>
      </c>
      <c r="J3" s="237" t="s">
        <v>189</v>
      </c>
      <c r="K3" s="237" t="s">
        <v>185</v>
      </c>
    </row>
    <row r="4" spans="1:11" s="204" customFormat="1" ht="18" customHeight="1" x14ac:dyDescent="0.2">
      <c r="A4" s="207" t="s">
        <v>73</v>
      </c>
      <c r="B4" s="250">
        <v>59.88</v>
      </c>
      <c r="C4" s="250">
        <v>0.02</v>
      </c>
      <c r="D4" s="250">
        <v>0</v>
      </c>
      <c r="E4" s="250">
        <v>0</v>
      </c>
      <c r="F4" s="250">
        <v>40.1</v>
      </c>
      <c r="G4" s="250">
        <v>52.91</v>
      </c>
      <c r="H4" s="250">
        <v>0</v>
      </c>
      <c r="I4" s="250">
        <v>0</v>
      </c>
      <c r="J4" s="250">
        <v>0</v>
      </c>
      <c r="K4" s="250">
        <v>47.09</v>
      </c>
    </row>
    <row r="5" spans="1:11" s="204" customFormat="1" ht="18" customHeight="1" x14ac:dyDescent="0.2">
      <c r="A5" s="207" t="s">
        <v>76</v>
      </c>
      <c r="B5" s="250">
        <v>89.37</v>
      </c>
      <c r="C5" s="250">
        <v>0.03</v>
      </c>
      <c r="D5" s="250">
        <v>0</v>
      </c>
      <c r="E5" s="250">
        <v>0</v>
      </c>
      <c r="F5" s="250">
        <v>10.6</v>
      </c>
      <c r="G5" s="250">
        <v>50</v>
      </c>
      <c r="H5" s="250">
        <v>0</v>
      </c>
      <c r="I5" s="250">
        <v>0</v>
      </c>
      <c r="J5" s="250">
        <v>0</v>
      </c>
      <c r="K5" s="250">
        <v>50</v>
      </c>
    </row>
    <row r="6" spans="1:11" s="204" customFormat="1" ht="18" customHeight="1" x14ac:dyDescent="0.2">
      <c r="A6" s="207" t="s">
        <v>75</v>
      </c>
      <c r="B6" s="250">
        <v>99.98</v>
      </c>
      <c r="C6" s="250">
        <v>0</v>
      </c>
      <c r="D6" s="250">
        <v>0</v>
      </c>
      <c r="E6" s="250">
        <v>0</v>
      </c>
      <c r="F6" s="250">
        <v>0.02</v>
      </c>
      <c r="G6" s="250">
        <v>49.89</v>
      </c>
      <c r="H6" s="250">
        <v>0</v>
      </c>
      <c r="I6" s="250">
        <v>0</v>
      </c>
      <c r="J6" s="250">
        <v>0</v>
      </c>
      <c r="K6" s="250">
        <v>50.11</v>
      </c>
    </row>
    <row r="7" spans="1:11" s="204" customFormat="1" ht="18" customHeight="1" x14ac:dyDescent="0.2">
      <c r="A7" s="207" t="s">
        <v>74</v>
      </c>
      <c r="B7" s="250">
        <v>99.92</v>
      </c>
      <c r="C7" s="250">
        <v>0</v>
      </c>
      <c r="D7" s="250">
        <v>0</v>
      </c>
      <c r="E7" s="250">
        <v>0</v>
      </c>
      <c r="F7" s="250">
        <v>0.08</v>
      </c>
      <c r="G7" s="250">
        <v>74.459999999999994</v>
      </c>
      <c r="H7" s="250">
        <v>0</v>
      </c>
      <c r="I7" s="250">
        <v>0</v>
      </c>
      <c r="J7" s="250">
        <v>0</v>
      </c>
      <c r="K7" s="250">
        <v>25.54</v>
      </c>
    </row>
    <row r="8" spans="1:11" s="204" customFormat="1" ht="18" customHeight="1" x14ac:dyDescent="0.2">
      <c r="A8" s="207" t="s">
        <v>849</v>
      </c>
      <c r="B8" s="250">
        <v>68.209999999999994</v>
      </c>
      <c r="C8" s="250">
        <v>0.1</v>
      </c>
      <c r="D8" s="250">
        <v>0</v>
      </c>
      <c r="E8" s="250">
        <v>0</v>
      </c>
      <c r="F8" s="250">
        <v>31.69</v>
      </c>
      <c r="G8" s="250">
        <v>50</v>
      </c>
      <c r="H8" s="250">
        <v>0</v>
      </c>
      <c r="I8" s="250">
        <v>0</v>
      </c>
      <c r="J8" s="250">
        <v>0</v>
      </c>
      <c r="K8" s="250">
        <v>50</v>
      </c>
    </row>
    <row r="9" spans="1:11" s="204" customFormat="1" ht="18" customHeight="1" x14ac:dyDescent="0.2">
      <c r="A9" s="432" t="s">
        <v>1083</v>
      </c>
      <c r="B9" s="443"/>
      <c r="C9" s="443"/>
      <c r="D9" s="443"/>
      <c r="E9" s="443"/>
      <c r="F9" s="443"/>
      <c r="G9" s="443"/>
      <c r="H9" s="443"/>
      <c r="I9" s="443"/>
      <c r="J9" s="443"/>
      <c r="K9" s="443"/>
    </row>
    <row r="10" spans="1:11" s="204" customFormat="1" ht="13.5" customHeight="1" x14ac:dyDescent="0.2">
      <c r="A10" s="888" t="s">
        <v>848</v>
      </c>
      <c r="B10" s="888"/>
      <c r="C10" s="888"/>
      <c r="D10" s="888"/>
      <c r="E10" s="888"/>
      <c r="F10" s="888"/>
      <c r="G10" s="888"/>
      <c r="H10" s="888"/>
      <c r="I10" s="888"/>
      <c r="J10" s="888"/>
      <c r="K10" s="888"/>
    </row>
    <row r="11" spans="1:11" s="204" customFormat="1" ht="15" customHeight="1" x14ac:dyDescent="0.2">
      <c r="A11" s="887" t="s">
        <v>190</v>
      </c>
      <c r="B11" s="887"/>
      <c r="C11" s="887"/>
      <c r="D11" s="887"/>
      <c r="E11" s="887"/>
      <c r="F11" s="887"/>
      <c r="G11" s="887"/>
      <c r="H11" s="887"/>
      <c r="I11" s="887"/>
      <c r="J11" s="887"/>
      <c r="K11" s="887"/>
    </row>
    <row r="12" spans="1:11" s="204" customFormat="1" ht="27.6" customHeight="1" x14ac:dyDescent="0.2"/>
  </sheetData>
  <mergeCells count="6">
    <mergeCell ref="A11:K11"/>
    <mergeCell ref="A1:K1"/>
    <mergeCell ref="A2:A3"/>
    <mergeCell ref="B2:F2"/>
    <mergeCell ref="G2:K2"/>
    <mergeCell ref="A10:K10"/>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12"/>
  <sheetViews>
    <sheetView zoomScaleNormal="100" workbookViewId="0">
      <selection activeCell="G15" sqref="G15"/>
    </sheetView>
  </sheetViews>
  <sheetFormatPr defaultRowHeight="12.75" x14ac:dyDescent="0.2"/>
  <cols>
    <col min="1" max="11" width="14.7109375" bestFit="1" customWidth="1"/>
    <col min="12" max="12" width="5" bestFit="1" customWidth="1"/>
  </cols>
  <sheetData>
    <row r="1" spans="1:11" ht="18" customHeight="1" x14ac:dyDescent="0.2">
      <c r="A1" s="965" t="s">
        <v>10</v>
      </c>
      <c r="B1" s="965"/>
      <c r="C1" s="965"/>
      <c r="D1" s="965"/>
      <c r="E1" s="965"/>
      <c r="F1" s="965"/>
      <c r="G1" s="965"/>
      <c r="H1" s="965"/>
      <c r="I1" s="965"/>
      <c r="J1" s="965"/>
      <c r="K1" s="965"/>
    </row>
    <row r="2" spans="1:11" s="204" customFormat="1" ht="18" customHeight="1" x14ac:dyDescent="0.2">
      <c r="A2" s="923" t="s">
        <v>111</v>
      </c>
      <c r="B2" s="925" t="s">
        <v>186</v>
      </c>
      <c r="C2" s="926"/>
      <c r="D2" s="926"/>
      <c r="E2" s="926"/>
      <c r="F2" s="927"/>
      <c r="G2" s="925" t="s">
        <v>370</v>
      </c>
      <c r="H2" s="926"/>
      <c r="I2" s="926"/>
      <c r="J2" s="926"/>
      <c r="K2" s="927"/>
    </row>
    <row r="3" spans="1:11" s="204" customFormat="1" ht="15" customHeight="1" x14ac:dyDescent="0.2">
      <c r="A3" s="924"/>
      <c r="B3" s="219" t="s">
        <v>856</v>
      </c>
      <c r="C3" s="219" t="s">
        <v>188</v>
      </c>
      <c r="D3" s="219" t="s">
        <v>39</v>
      </c>
      <c r="E3" s="219" t="s">
        <v>189</v>
      </c>
      <c r="F3" s="219" t="s">
        <v>185</v>
      </c>
      <c r="G3" s="219" t="s">
        <v>856</v>
      </c>
      <c r="H3" s="219" t="s">
        <v>188</v>
      </c>
      <c r="I3" s="219" t="s">
        <v>39</v>
      </c>
      <c r="J3" s="219" t="s">
        <v>189</v>
      </c>
      <c r="K3" s="219" t="s">
        <v>185</v>
      </c>
    </row>
    <row r="4" spans="1:11" s="204" customFormat="1" ht="18" customHeight="1" x14ac:dyDescent="0.2">
      <c r="A4" s="207" t="s">
        <v>73</v>
      </c>
      <c r="B4" s="245">
        <v>33.130000000000003</v>
      </c>
      <c r="C4" s="245">
        <v>19.329999999999998</v>
      </c>
      <c r="D4" s="245">
        <v>0.3</v>
      </c>
      <c r="E4" s="245">
        <v>0</v>
      </c>
      <c r="F4" s="245">
        <v>47.25</v>
      </c>
      <c r="G4" s="245">
        <v>13.25</v>
      </c>
      <c r="H4" s="245">
        <v>27.08</v>
      </c>
      <c r="I4" s="245">
        <v>14.5</v>
      </c>
      <c r="J4" s="245">
        <v>0</v>
      </c>
      <c r="K4" s="245">
        <v>45.17</v>
      </c>
    </row>
    <row r="5" spans="1:11" s="204" customFormat="1" ht="18" customHeight="1" x14ac:dyDescent="0.2">
      <c r="A5" s="207" t="s">
        <v>76</v>
      </c>
      <c r="B5" s="245">
        <v>34.090000000000003</v>
      </c>
      <c r="C5" s="245">
        <v>17.829999999999998</v>
      </c>
      <c r="D5" s="245">
        <v>0.27</v>
      </c>
      <c r="E5" s="245">
        <v>0</v>
      </c>
      <c r="F5" s="245">
        <v>47.81</v>
      </c>
      <c r="G5" s="245">
        <v>14.44</v>
      </c>
      <c r="H5" s="245">
        <v>29.38</v>
      </c>
      <c r="I5" s="245">
        <v>13.95</v>
      </c>
      <c r="J5" s="245">
        <v>0</v>
      </c>
      <c r="K5" s="245">
        <v>42.23</v>
      </c>
    </row>
    <row r="6" spans="1:11" s="204" customFormat="1" ht="18" customHeight="1" x14ac:dyDescent="0.2">
      <c r="A6" s="207" t="s">
        <v>75</v>
      </c>
      <c r="B6" s="245">
        <v>32.369999999999997</v>
      </c>
      <c r="C6" s="245">
        <v>17.2</v>
      </c>
      <c r="D6" s="245">
        <v>0.28999999999999998</v>
      </c>
      <c r="E6" s="245">
        <v>0</v>
      </c>
      <c r="F6" s="245">
        <v>50.14</v>
      </c>
      <c r="G6" s="245">
        <v>11.99</v>
      </c>
      <c r="H6" s="245">
        <v>33.979999999999997</v>
      </c>
      <c r="I6" s="245">
        <v>15.95</v>
      </c>
      <c r="J6" s="245">
        <v>0</v>
      </c>
      <c r="K6" s="245">
        <v>38.08</v>
      </c>
    </row>
    <row r="7" spans="1:11" s="204" customFormat="1" ht="18" customHeight="1" x14ac:dyDescent="0.2">
      <c r="A7" s="207" t="s">
        <v>74</v>
      </c>
      <c r="B7" s="245">
        <v>34.69</v>
      </c>
      <c r="C7" s="245">
        <v>17.84</v>
      </c>
      <c r="D7" s="245">
        <v>0.28999999999999998</v>
      </c>
      <c r="E7" s="245">
        <v>0</v>
      </c>
      <c r="F7" s="245">
        <v>47.18</v>
      </c>
      <c r="G7" s="245">
        <v>14.18</v>
      </c>
      <c r="H7" s="245">
        <v>29.9</v>
      </c>
      <c r="I7" s="245">
        <v>15.22</v>
      </c>
      <c r="J7" s="245">
        <v>0</v>
      </c>
      <c r="K7" s="245">
        <v>40.700000000000003</v>
      </c>
    </row>
    <row r="8" spans="1:11" s="204" customFormat="1" ht="18" customHeight="1" x14ac:dyDescent="0.2">
      <c r="A8" s="207" t="s">
        <v>849</v>
      </c>
      <c r="B8" s="245">
        <v>35.22</v>
      </c>
      <c r="C8" s="245">
        <v>18.45</v>
      </c>
      <c r="D8" s="245">
        <v>0.22</v>
      </c>
      <c r="E8" s="245">
        <v>0</v>
      </c>
      <c r="F8" s="245">
        <v>46.11</v>
      </c>
      <c r="G8" s="245">
        <v>17.14</v>
      </c>
      <c r="H8" s="245">
        <v>24.27</v>
      </c>
      <c r="I8" s="245">
        <v>10.68</v>
      </c>
      <c r="J8" s="245">
        <v>0</v>
      </c>
      <c r="K8" s="245">
        <v>47.91</v>
      </c>
    </row>
    <row r="9" spans="1:11" s="204" customFormat="1" ht="18" customHeight="1" x14ac:dyDescent="0.2">
      <c r="A9" s="432" t="s">
        <v>1083</v>
      </c>
      <c r="B9" s="442"/>
      <c r="C9" s="442"/>
      <c r="D9" s="442"/>
      <c r="E9" s="442"/>
      <c r="F9" s="442"/>
      <c r="G9" s="442"/>
      <c r="H9" s="442"/>
      <c r="I9" s="442"/>
      <c r="J9" s="442"/>
      <c r="K9" s="442"/>
    </row>
    <row r="10" spans="1:11" s="204" customFormat="1" ht="13.5" customHeight="1" x14ac:dyDescent="0.2">
      <c r="A10" s="903" t="s">
        <v>848</v>
      </c>
      <c r="B10" s="903"/>
      <c r="C10" s="903"/>
      <c r="D10" s="903"/>
      <c r="E10" s="903"/>
      <c r="F10" s="903"/>
      <c r="G10" s="903"/>
      <c r="H10" s="903"/>
      <c r="I10" s="903"/>
      <c r="J10" s="903"/>
      <c r="K10" s="903"/>
    </row>
    <row r="11" spans="1:11" s="204" customFormat="1" ht="14.25" customHeight="1" x14ac:dyDescent="0.2">
      <c r="A11" s="899" t="s">
        <v>192</v>
      </c>
      <c r="B11" s="899"/>
      <c r="C11" s="899"/>
      <c r="D11" s="899"/>
      <c r="E11" s="899"/>
      <c r="F11" s="899"/>
      <c r="G11" s="899"/>
      <c r="H11" s="899"/>
      <c r="I11" s="899"/>
      <c r="J11" s="899"/>
      <c r="K11" s="899"/>
    </row>
    <row r="12" spans="1:11" s="204" customFormat="1" ht="26.85" customHeight="1" x14ac:dyDescent="0.2"/>
  </sheetData>
  <mergeCells count="6">
    <mergeCell ref="A11:K11"/>
    <mergeCell ref="A1:K1"/>
    <mergeCell ref="A2:A3"/>
    <mergeCell ref="B2:F2"/>
    <mergeCell ref="G2:K2"/>
    <mergeCell ref="A10:K10"/>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12"/>
  <sheetViews>
    <sheetView zoomScaleNormal="100" workbookViewId="0">
      <selection activeCell="J16" sqref="J16"/>
    </sheetView>
  </sheetViews>
  <sheetFormatPr defaultRowHeight="12.75" x14ac:dyDescent="0.2"/>
  <cols>
    <col min="1" max="3" width="14.7109375" bestFit="1" customWidth="1"/>
    <col min="4" max="4" width="21" customWidth="1"/>
    <col min="5" max="5" width="4.7109375" bestFit="1" customWidth="1"/>
  </cols>
  <sheetData>
    <row r="1" spans="1:4" ht="15" customHeight="1" x14ac:dyDescent="0.2">
      <c r="A1" s="863" t="s">
        <v>11</v>
      </c>
      <c r="B1" s="863"/>
      <c r="C1" s="863"/>
      <c r="D1" s="863"/>
    </row>
    <row r="2" spans="1:4" s="499" customFormat="1" ht="18" customHeight="1" x14ac:dyDescent="0.2">
      <c r="A2" s="966" t="s">
        <v>995</v>
      </c>
      <c r="B2" s="967"/>
      <c r="C2" s="967"/>
      <c r="D2" s="968"/>
    </row>
    <row r="3" spans="1:4" s="499" customFormat="1" ht="27.75" customHeight="1" x14ac:dyDescent="0.2">
      <c r="A3" s="630" t="s">
        <v>111</v>
      </c>
      <c r="B3" s="631" t="s">
        <v>372</v>
      </c>
      <c r="C3" s="631" t="s">
        <v>373</v>
      </c>
      <c r="D3" s="632" t="s">
        <v>920</v>
      </c>
    </row>
    <row r="4" spans="1:4" s="499" customFormat="1" ht="18" customHeight="1" x14ac:dyDescent="0.2">
      <c r="A4" s="502" t="s">
        <v>73</v>
      </c>
      <c r="B4" s="580">
        <v>100</v>
      </c>
      <c r="C4" s="580">
        <v>0</v>
      </c>
      <c r="D4" s="580">
        <v>0</v>
      </c>
    </row>
    <row r="5" spans="1:4" s="499" customFormat="1" ht="18" customHeight="1" x14ac:dyDescent="0.2">
      <c r="A5" s="502" t="s">
        <v>76</v>
      </c>
      <c r="B5" s="580">
        <v>72.28</v>
      </c>
      <c r="C5" s="580">
        <v>27.72</v>
      </c>
      <c r="D5" s="580">
        <v>0</v>
      </c>
    </row>
    <row r="6" spans="1:4" s="499" customFormat="1" ht="18" customHeight="1" x14ac:dyDescent="0.2">
      <c r="A6" s="502" t="s">
        <v>75</v>
      </c>
      <c r="B6" s="580">
        <v>100</v>
      </c>
      <c r="C6" s="580">
        <v>0</v>
      </c>
      <c r="D6" s="580">
        <v>0</v>
      </c>
    </row>
    <row r="7" spans="1:4" s="499" customFormat="1" ht="18" customHeight="1" x14ac:dyDescent="0.2">
      <c r="A7" s="502" t="s">
        <v>74</v>
      </c>
      <c r="B7" s="580">
        <v>100</v>
      </c>
      <c r="C7" s="580">
        <v>0</v>
      </c>
      <c r="D7" s="580">
        <v>0</v>
      </c>
    </row>
    <row r="8" spans="1:4" s="499" customFormat="1" ht="18" customHeight="1" x14ac:dyDescent="0.2">
      <c r="A8" s="502" t="s">
        <v>849</v>
      </c>
      <c r="B8" s="580">
        <v>16.84</v>
      </c>
      <c r="C8" s="580">
        <v>83.16</v>
      </c>
      <c r="D8" s="580">
        <v>0</v>
      </c>
    </row>
    <row r="9" spans="1:4" s="499" customFormat="1" ht="18" customHeight="1" x14ac:dyDescent="0.2">
      <c r="A9" s="438" t="s">
        <v>1083</v>
      </c>
      <c r="B9" s="617"/>
      <c r="C9" s="617"/>
      <c r="D9" s="617"/>
    </row>
    <row r="10" spans="1:4" s="499" customFormat="1" ht="13.5" customHeight="1" x14ac:dyDescent="0.2">
      <c r="A10" s="786" t="s">
        <v>848</v>
      </c>
      <c r="B10" s="786"/>
      <c r="C10" s="786"/>
      <c r="D10" s="786"/>
    </row>
    <row r="11" spans="1:4" s="499" customFormat="1" ht="14.25" customHeight="1" x14ac:dyDescent="0.2">
      <c r="A11" s="797" t="s">
        <v>190</v>
      </c>
      <c r="B11" s="797"/>
      <c r="C11" s="797"/>
      <c r="D11" s="797"/>
    </row>
    <row r="12" spans="1:4" s="499" customFormat="1" ht="27.6" customHeight="1" x14ac:dyDescent="0.2"/>
  </sheetData>
  <mergeCells count="4">
    <mergeCell ref="A1:D1"/>
    <mergeCell ref="A2:D2"/>
    <mergeCell ref="A10:D10"/>
    <mergeCell ref="A11:D11"/>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12"/>
  <sheetViews>
    <sheetView zoomScaleNormal="100" workbookViewId="0">
      <selection activeCell="I19" sqref="I19"/>
    </sheetView>
  </sheetViews>
  <sheetFormatPr defaultRowHeight="12.75" x14ac:dyDescent="0.2"/>
  <cols>
    <col min="1" max="4" width="14.7109375" bestFit="1" customWidth="1"/>
    <col min="5" max="5" width="4.7109375" bestFit="1" customWidth="1"/>
  </cols>
  <sheetData>
    <row r="1" spans="1:4" ht="15" customHeight="1" x14ac:dyDescent="0.2">
      <c r="A1" s="863" t="s">
        <v>12</v>
      </c>
      <c r="B1" s="863"/>
      <c r="C1" s="863"/>
      <c r="D1" s="863"/>
    </row>
    <row r="2" spans="1:4" s="499" customFormat="1" ht="18" customHeight="1" x14ac:dyDescent="0.2">
      <c r="A2" s="969" t="s">
        <v>998</v>
      </c>
      <c r="B2" s="970"/>
      <c r="C2" s="970"/>
      <c r="D2" s="970"/>
    </row>
    <row r="3" spans="1:4" s="499" customFormat="1" ht="18.75" customHeight="1" x14ac:dyDescent="0.2">
      <c r="A3" s="538" t="s">
        <v>111</v>
      </c>
      <c r="B3" s="538" t="s">
        <v>374</v>
      </c>
      <c r="C3" s="538" t="s">
        <v>375</v>
      </c>
      <c r="D3" s="538" t="s">
        <v>376</v>
      </c>
    </row>
    <row r="4" spans="1:4" s="499" customFormat="1" ht="18" customHeight="1" x14ac:dyDescent="0.2">
      <c r="A4" s="502" t="s">
        <v>73</v>
      </c>
      <c r="B4" s="580">
        <v>39.006821029999998</v>
      </c>
      <c r="C4" s="580">
        <v>9.5086300000000003E-4</v>
      </c>
      <c r="D4" s="580">
        <v>60.992228109999999</v>
      </c>
    </row>
    <row r="5" spans="1:4" s="499" customFormat="1" ht="18" customHeight="1" x14ac:dyDescent="0.2">
      <c r="A5" s="502" t="s">
        <v>76</v>
      </c>
      <c r="B5" s="580">
        <v>50.938096770000001</v>
      </c>
      <c r="C5" s="580">
        <v>2.02365E-4</v>
      </c>
      <c r="D5" s="580">
        <v>49.061700870000003</v>
      </c>
    </row>
    <row r="6" spans="1:4" s="499" customFormat="1" ht="18" customHeight="1" x14ac:dyDescent="0.2">
      <c r="A6" s="502" t="s">
        <v>75</v>
      </c>
      <c r="B6" s="580">
        <v>49.588625409999999</v>
      </c>
      <c r="C6" s="580">
        <v>3.1785899999999998E-4</v>
      </c>
      <c r="D6" s="580">
        <v>50.411056729999999</v>
      </c>
    </row>
    <row r="7" spans="1:4" s="499" customFormat="1" ht="18" customHeight="1" x14ac:dyDescent="0.2">
      <c r="A7" s="502" t="s">
        <v>74</v>
      </c>
      <c r="B7" s="580">
        <v>46.989811170000003</v>
      </c>
      <c r="C7" s="580">
        <v>2.1736600000000001E-4</v>
      </c>
      <c r="D7" s="580">
        <v>53.009971460000003</v>
      </c>
    </row>
    <row r="8" spans="1:4" s="499" customFormat="1" ht="18" customHeight="1" x14ac:dyDescent="0.2">
      <c r="A8" s="502" t="s">
        <v>849</v>
      </c>
      <c r="B8" s="580">
        <v>54.365526439999996</v>
      </c>
      <c r="C8" s="580">
        <v>1.2704099999999999E-4</v>
      </c>
      <c r="D8" s="580">
        <v>45.634346520000001</v>
      </c>
    </row>
    <row r="9" spans="1:4" s="499" customFormat="1" ht="18" customHeight="1" x14ac:dyDescent="0.2">
      <c r="A9" s="438" t="s">
        <v>1083</v>
      </c>
      <c r="B9" s="617"/>
      <c r="C9" s="617"/>
      <c r="D9" s="617"/>
    </row>
    <row r="10" spans="1:4" s="499" customFormat="1" ht="13.5" customHeight="1" x14ac:dyDescent="0.2">
      <c r="A10" s="939" t="s">
        <v>848</v>
      </c>
      <c r="B10" s="939"/>
      <c r="C10" s="939"/>
      <c r="D10" s="939"/>
    </row>
    <row r="11" spans="1:4" s="499" customFormat="1" ht="14.25" customHeight="1" x14ac:dyDescent="0.2">
      <c r="A11" s="860" t="s">
        <v>192</v>
      </c>
      <c r="B11" s="860"/>
      <c r="C11" s="860"/>
      <c r="D11" s="860"/>
    </row>
    <row r="12" spans="1:4" s="499" customFormat="1" ht="28.35" customHeight="1" x14ac:dyDescent="0.2"/>
  </sheetData>
  <mergeCells count="4">
    <mergeCell ref="A1:D1"/>
    <mergeCell ref="A2:D2"/>
    <mergeCell ref="A10:D10"/>
    <mergeCell ref="A11:D11"/>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13"/>
  <sheetViews>
    <sheetView zoomScaleNormal="100" workbookViewId="0">
      <selection activeCell="G14" sqref="G14"/>
    </sheetView>
  </sheetViews>
  <sheetFormatPr defaultRowHeight="12.75" x14ac:dyDescent="0.2"/>
  <cols>
    <col min="1" max="11" width="14.7109375" bestFit="1" customWidth="1"/>
    <col min="12" max="12" width="15" bestFit="1" customWidth="1"/>
    <col min="13" max="13" width="4.7109375" bestFit="1" customWidth="1"/>
  </cols>
  <sheetData>
    <row r="1" spans="1:12" ht="16.5" customHeight="1" x14ac:dyDescent="0.2">
      <c r="A1" s="891" t="s">
        <v>13</v>
      </c>
      <c r="B1" s="891"/>
      <c r="C1" s="891"/>
      <c r="D1" s="891"/>
      <c r="E1" s="891"/>
      <c r="F1" s="891"/>
      <c r="G1" s="891"/>
      <c r="H1" s="891"/>
      <c r="I1" s="891"/>
      <c r="J1" s="891"/>
      <c r="K1" s="891"/>
      <c r="L1" s="891"/>
    </row>
    <row r="2" spans="1:12" s="204" customFormat="1" ht="15" customHeight="1" x14ac:dyDescent="0.2">
      <c r="A2" s="923" t="s">
        <v>86</v>
      </c>
      <c r="B2" s="906" t="s">
        <v>142</v>
      </c>
      <c r="C2" s="972" t="s">
        <v>377</v>
      </c>
      <c r="D2" s="973"/>
      <c r="E2" s="954" t="s">
        <v>378</v>
      </c>
      <c r="F2" s="955"/>
      <c r="G2" s="955"/>
      <c r="H2" s="956"/>
      <c r="I2" s="972" t="s">
        <v>67</v>
      </c>
      <c r="J2" s="973"/>
      <c r="K2" s="976" t="s">
        <v>379</v>
      </c>
      <c r="L2" s="977"/>
    </row>
    <row r="3" spans="1:12" s="204" customFormat="1" ht="15" customHeight="1" x14ac:dyDescent="0.2">
      <c r="A3" s="971"/>
      <c r="B3" s="949"/>
      <c r="C3" s="974"/>
      <c r="D3" s="975"/>
      <c r="E3" s="954" t="s">
        <v>357</v>
      </c>
      <c r="F3" s="956"/>
      <c r="G3" s="954" t="s">
        <v>358</v>
      </c>
      <c r="H3" s="956"/>
      <c r="I3" s="974"/>
      <c r="J3" s="975"/>
      <c r="K3" s="978"/>
      <c r="L3" s="979"/>
    </row>
    <row r="4" spans="1:12" s="204" customFormat="1" ht="27" customHeight="1" x14ac:dyDescent="0.2">
      <c r="A4" s="924"/>
      <c r="B4" s="907"/>
      <c r="C4" s="219" t="s">
        <v>380</v>
      </c>
      <c r="D4" s="220" t="s">
        <v>143</v>
      </c>
      <c r="E4" s="219" t="s">
        <v>380</v>
      </c>
      <c r="F4" s="220" t="s">
        <v>143</v>
      </c>
      <c r="G4" s="219" t="s">
        <v>381</v>
      </c>
      <c r="H4" s="220" t="s">
        <v>143</v>
      </c>
      <c r="I4" s="219" t="s">
        <v>380</v>
      </c>
      <c r="J4" s="220" t="s">
        <v>143</v>
      </c>
      <c r="K4" s="219" t="s">
        <v>381</v>
      </c>
      <c r="L4" s="251" t="s">
        <v>382</v>
      </c>
    </row>
    <row r="5" spans="1:12" s="204" customFormat="1" ht="18" customHeight="1" x14ac:dyDescent="0.2">
      <c r="A5" s="207" t="s">
        <v>73</v>
      </c>
      <c r="B5" s="208">
        <v>243</v>
      </c>
      <c r="C5" s="244">
        <v>400927037</v>
      </c>
      <c r="D5" s="221">
        <v>2852910.86</v>
      </c>
      <c r="E5" s="244">
        <v>214693422</v>
      </c>
      <c r="F5" s="221">
        <v>1538428.304</v>
      </c>
      <c r="G5" s="244">
        <v>328897100</v>
      </c>
      <c r="H5" s="221">
        <v>2291934.5920000002</v>
      </c>
      <c r="I5" s="244">
        <v>944517559</v>
      </c>
      <c r="J5" s="221">
        <v>6683273.7560000001</v>
      </c>
      <c r="K5" s="221">
        <v>2288248</v>
      </c>
      <c r="L5" s="209">
        <v>17251.47</v>
      </c>
    </row>
    <row r="6" spans="1:12" s="204" customFormat="1" ht="18" customHeight="1" x14ac:dyDescent="0.2">
      <c r="A6" s="207" t="s">
        <v>76</v>
      </c>
      <c r="B6" s="208">
        <v>57</v>
      </c>
      <c r="C6" s="244">
        <v>59348510</v>
      </c>
      <c r="D6" s="221">
        <v>451436.51</v>
      </c>
      <c r="E6" s="244">
        <v>31404755</v>
      </c>
      <c r="F6" s="221">
        <v>243461.2</v>
      </c>
      <c r="G6" s="244">
        <v>46897743</v>
      </c>
      <c r="H6" s="221">
        <v>349636.77</v>
      </c>
      <c r="I6" s="244">
        <v>137651008</v>
      </c>
      <c r="J6" s="221">
        <v>1044534.48</v>
      </c>
      <c r="K6" s="221">
        <v>712652</v>
      </c>
      <c r="L6" s="209">
        <v>5394.75</v>
      </c>
    </row>
    <row r="7" spans="1:12" s="204" customFormat="1" ht="18" customHeight="1" x14ac:dyDescent="0.2">
      <c r="A7" s="207" t="s">
        <v>75</v>
      </c>
      <c r="B7" s="208">
        <v>17</v>
      </c>
      <c r="C7" s="244">
        <v>18156395</v>
      </c>
      <c r="D7" s="221">
        <v>138820.29</v>
      </c>
      <c r="E7" s="221">
        <v>6476787</v>
      </c>
      <c r="F7" s="209">
        <v>50460.69</v>
      </c>
      <c r="G7" s="244">
        <v>10892155</v>
      </c>
      <c r="H7" s="209">
        <v>81863.399999999994</v>
      </c>
      <c r="I7" s="244">
        <v>35525337</v>
      </c>
      <c r="J7" s="221">
        <v>271144.38</v>
      </c>
      <c r="K7" s="221">
        <v>1273915</v>
      </c>
      <c r="L7" s="209">
        <v>9570.3700000000008</v>
      </c>
    </row>
    <row r="8" spans="1:12" s="204" customFormat="1" ht="18" customHeight="1" x14ac:dyDescent="0.2">
      <c r="A8" s="207" t="s">
        <v>74</v>
      </c>
      <c r="B8" s="208">
        <v>18</v>
      </c>
      <c r="C8" s="244">
        <v>17436081</v>
      </c>
      <c r="D8" s="221">
        <v>132222.54999999999</v>
      </c>
      <c r="E8" s="221">
        <v>9017175</v>
      </c>
      <c r="F8" s="209">
        <v>69915.06</v>
      </c>
      <c r="G8" s="244">
        <v>14011006</v>
      </c>
      <c r="H8" s="221">
        <v>104007.3</v>
      </c>
      <c r="I8" s="244">
        <v>40464262</v>
      </c>
      <c r="J8" s="221">
        <v>306144.90000000002</v>
      </c>
      <c r="K8" s="221">
        <v>678398</v>
      </c>
      <c r="L8" s="209">
        <v>5151.87</v>
      </c>
    </row>
    <row r="9" spans="1:12" s="204" customFormat="1" ht="18" customHeight="1" x14ac:dyDescent="0.2">
      <c r="A9" s="207" t="s">
        <v>849</v>
      </c>
      <c r="B9" s="208">
        <v>22</v>
      </c>
      <c r="C9" s="244">
        <v>23756034</v>
      </c>
      <c r="D9" s="221">
        <v>180393.67</v>
      </c>
      <c r="E9" s="244">
        <v>15910793</v>
      </c>
      <c r="F9" s="221">
        <v>123085.45</v>
      </c>
      <c r="G9" s="244">
        <v>21994582</v>
      </c>
      <c r="H9" s="221">
        <v>163766.07</v>
      </c>
      <c r="I9" s="244">
        <v>61661409</v>
      </c>
      <c r="J9" s="221">
        <v>467245.2</v>
      </c>
      <c r="K9" s="221">
        <v>712652</v>
      </c>
      <c r="L9" s="209">
        <v>5394.75</v>
      </c>
    </row>
    <row r="10" spans="1:12" s="204" customFormat="1" ht="18" customHeight="1" x14ac:dyDescent="0.2">
      <c r="A10" s="432" t="s">
        <v>1083</v>
      </c>
      <c r="B10" s="430"/>
      <c r="C10" s="441"/>
      <c r="D10" s="433"/>
      <c r="E10" s="441"/>
      <c r="F10" s="433"/>
      <c r="G10" s="441"/>
      <c r="H10" s="433"/>
      <c r="I10" s="441"/>
      <c r="J10" s="433"/>
      <c r="K10" s="433"/>
      <c r="L10" s="431"/>
    </row>
    <row r="11" spans="1:12" s="204" customFormat="1" ht="13.5" customHeight="1" x14ac:dyDescent="0.2">
      <c r="A11" s="888" t="s">
        <v>848</v>
      </c>
      <c r="B11" s="888"/>
      <c r="C11" s="888"/>
      <c r="D11" s="888"/>
      <c r="E11" s="888"/>
      <c r="F11" s="888"/>
      <c r="G11" s="888"/>
      <c r="H11" s="888"/>
      <c r="I11" s="888"/>
      <c r="J11" s="888"/>
      <c r="K11" s="888"/>
      <c r="L11" s="888"/>
    </row>
    <row r="12" spans="1:12" s="204" customFormat="1" ht="15" customHeight="1" x14ac:dyDescent="0.2">
      <c r="A12" s="887" t="s">
        <v>383</v>
      </c>
      <c r="B12" s="887"/>
      <c r="C12" s="887"/>
      <c r="D12" s="887"/>
      <c r="E12" s="887"/>
      <c r="F12" s="887"/>
      <c r="G12" s="887"/>
      <c r="H12" s="887"/>
      <c r="I12" s="887"/>
      <c r="J12" s="887"/>
      <c r="K12" s="887"/>
      <c r="L12" s="887"/>
    </row>
    <row r="13" spans="1:12" s="204" customFormat="1" ht="26.85" customHeight="1" x14ac:dyDescent="0.2"/>
  </sheetData>
  <mergeCells count="11">
    <mergeCell ref="A12:L12"/>
    <mergeCell ref="I2:J3"/>
    <mergeCell ref="K2:L3"/>
    <mergeCell ref="E3:F3"/>
    <mergeCell ref="G3:H3"/>
    <mergeCell ref="A11:L11"/>
    <mergeCell ref="A1:L1"/>
    <mergeCell ref="A2:A4"/>
    <mergeCell ref="B2:B4"/>
    <mergeCell ref="C2:D3"/>
    <mergeCell ref="E2:H2"/>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13"/>
  <sheetViews>
    <sheetView zoomScaleNormal="100" workbookViewId="0">
      <selection activeCell="H31" sqref="H31"/>
    </sheetView>
  </sheetViews>
  <sheetFormatPr defaultRowHeight="12.75" x14ac:dyDescent="0.2"/>
  <cols>
    <col min="1" max="1" width="9.42578125" bestFit="1" customWidth="1"/>
    <col min="2" max="2" width="7.7109375" bestFit="1" customWidth="1"/>
    <col min="3" max="8" width="12.140625" bestFit="1" customWidth="1"/>
    <col min="9" max="9" width="14.140625" bestFit="1" customWidth="1"/>
    <col min="10" max="11" width="12.140625" bestFit="1" customWidth="1"/>
    <col min="12" max="12" width="10.7109375" bestFit="1" customWidth="1"/>
    <col min="13" max="13" width="6" bestFit="1" customWidth="1"/>
  </cols>
  <sheetData>
    <row r="1" spans="1:12" ht="15.75" customHeight="1" x14ac:dyDescent="0.2">
      <c r="A1" s="891" t="s">
        <v>14</v>
      </c>
      <c r="B1" s="891"/>
      <c r="C1" s="891"/>
      <c r="D1" s="891"/>
      <c r="E1" s="891"/>
      <c r="F1" s="891"/>
      <c r="G1" s="891"/>
      <c r="H1" s="891"/>
      <c r="I1" s="891"/>
      <c r="J1" s="891"/>
      <c r="K1" s="891"/>
      <c r="L1" s="891"/>
    </row>
    <row r="2" spans="1:12" s="204" customFormat="1" ht="25.5" customHeight="1" x14ac:dyDescent="0.2">
      <c r="A2" s="892" t="s">
        <v>351</v>
      </c>
      <c r="B2" s="892" t="s">
        <v>384</v>
      </c>
      <c r="C2" s="981" t="s">
        <v>377</v>
      </c>
      <c r="D2" s="982"/>
      <c r="E2" s="981" t="s">
        <v>385</v>
      </c>
      <c r="F2" s="983"/>
      <c r="G2" s="983"/>
      <c r="H2" s="982"/>
      <c r="I2" s="981" t="s">
        <v>67</v>
      </c>
      <c r="J2" s="982"/>
      <c r="K2" s="984" t="s">
        <v>386</v>
      </c>
      <c r="L2" s="985"/>
    </row>
    <row r="3" spans="1:12" s="204" customFormat="1" ht="18" customHeight="1" x14ac:dyDescent="0.2">
      <c r="A3" s="980"/>
      <c r="B3" s="980"/>
      <c r="C3" s="986" t="s">
        <v>359</v>
      </c>
      <c r="D3" s="988" t="s">
        <v>360</v>
      </c>
      <c r="E3" s="981" t="s">
        <v>357</v>
      </c>
      <c r="F3" s="982"/>
      <c r="G3" s="981" t="s">
        <v>358</v>
      </c>
      <c r="H3" s="982"/>
      <c r="I3" s="892" t="s">
        <v>381</v>
      </c>
      <c r="J3" s="889" t="s">
        <v>143</v>
      </c>
      <c r="K3" s="986" t="s">
        <v>359</v>
      </c>
      <c r="L3" s="988" t="s">
        <v>387</v>
      </c>
    </row>
    <row r="4" spans="1:12" s="204" customFormat="1" ht="24" customHeight="1" x14ac:dyDescent="0.2">
      <c r="A4" s="893"/>
      <c r="B4" s="893"/>
      <c r="C4" s="987"/>
      <c r="D4" s="989"/>
      <c r="E4" s="252" t="s">
        <v>359</v>
      </c>
      <c r="F4" s="253" t="s">
        <v>360</v>
      </c>
      <c r="G4" s="252" t="s">
        <v>359</v>
      </c>
      <c r="H4" s="253" t="s">
        <v>360</v>
      </c>
      <c r="I4" s="893"/>
      <c r="J4" s="890"/>
      <c r="K4" s="987"/>
      <c r="L4" s="989"/>
    </row>
    <row r="5" spans="1:12" s="204" customFormat="1" ht="18" customHeight="1" x14ac:dyDescent="0.2">
      <c r="A5" s="207" t="s">
        <v>73</v>
      </c>
      <c r="B5" s="208">
        <v>243</v>
      </c>
      <c r="C5" s="244">
        <v>660128849</v>
      </c>
      <c r="D5" s="221">
        <v>4806639.4400000004</v>
      </c>
      <c r="E5" s="244">
        <v>352374185</v>
      </c>
      <c r="F5" s="221">
        <v>2520679.83</v>
      </c>
      <c r="G5" s="244">
        <v>327759150</v>
      </c>
      <c r="H5" s="221">
        <v>2327074.4989999998</v>
      </c>
      <c r="I5" s="249">
        <v>1340262184</v>
      </c>
      <c r="J5" s="221">
        <v>9654393.7679999992</v>
      </c>
      <c r="K5" s="221">
        <v>6826565</v>
      </c>
      <c r="L5" s="209">
        <v>51810.079769999997</v>
      </c>
    </row>
    <row r="6" spans="1:12" s="204" customFormat="1" ht="18" customHeight="1" x14ac:dyDescent="0.2">
      <c r="A6" s="207" t="s">
        <v>76</v>
      </c>
      <c r="B6" s="208">
        <v>57</v>
      </c>
      <c r="C6" s="244">
        <v>153742628</v>
      </c>
      <c r="D6" s="221">
        <v>1196238.9809999999</v>
      </c>
      <c r="E6" s="244">
        <v>82653994</v>
      </c>
      <c r="F6" s="221">
        <v>631537.46030000004</v>
      </c>
      <c r="G6" s="244">
        <v>72264431</v>
      </c>
      <c r="H6" s="221">
        <v>547203.32149999996</v>
      </c>
      <c r="I6" s="244">
        <v>308661053</v>
      </c>
      <c r="J6" s="221">
        <v>2374979.7629999998</v>
      </c>
      <c r="K6" s="221">
        <v>4593310</v>
      </c>
      <c r="L6" s="209">
        <v>35033.710249999996</v>
      </c>
    </row>
    <row r="7" spans="1:12" s="204" customFormat="1" ht="18" customHeight="1" x14ac:dyDescent="0.2">
      <c r="A7" s="207" t="s">
        <v>75</v>
      </c>
      <c r="B7" s="208">
        <v>17</v>
      </c>
      <c r="C7" s="244">
        <v>48012637</v>
      </c>
      <c r="D7" s="221">
        <v>372205.46909999999</v>
      </c>
      <c r="E7" s="244">
        <v>22067309</v>
      </c>
      <c r="F7" s="221">
        <v>169628.2971</v>
      </c>
      <c r="G7" s="244">
        <v>20327816</v>
      </c>
      <c r="H7" s="221">
        <v>154448.6911</v>
      </c>
      <c r="I7" s="244">
        <v>90407762</v>
      </c>
      <c r="J7" s="221">
        <v>696282.45719999995</v>
      </c>
      <c r="K7" s="221">
        <v>4263641</v>
      </c>
      <c r="L7" s="209">
        <v>32203.754280000001</v>
      </c>
    </row>
    <row r="8" spans="1:12" s="204" customFormat="1" ht="18" customHeight="1" x14ac:dyDescent="0.2">
      <c r="A8" s="207" t="s">
        <v>74</v>
      </c>
      <c r="B8" s="208">
        <v>18</v>
      </c>
      <c r="C8" s="244">
        <v>47443900</v>
      </c>
      <c r="D8" s="221">
        <v>367808.5477</v>
      </c>
      <c r="E8" s="244">
        <v>26027374</v>
      </c>
      <c r="F8" s="221">
        <v>198497.3371</v>
      </c>
      <c r="G8" s="244">
        <v>21602048</v>
      </c>
      <c r="H8" s="221">
        <v>163221.3511</v>
      </c>
      <c r="I8" s="244">
        <v>95073322</v>
      </c>
      <c r="J8" s="221">
        <v>729527.23580000002</v>
      </c>
      <c r="K8" s="221">
        <v>3650637</v>
      </c>
      <c r="L8" s="209">
        <v>27865.660650000002</v>
      </c>
    </row>
    <row r="9" spans="1:12" s="204" customFormat="1" ht="18" customHeight="1" x14ac:dyDescent="0.2">
      <c r="A9" s="207" t="s">
        <v>849</v>
      </c>
      <c r="B9" s="208">
        <v>22</v>
      </c>
      <c r="C9" s="244">
        <v>58286091</v>
      </c>
      <c r="D9" s="221">
        <v>456224.96409999998</v>
      </c>
      <c r="E9" s="244">
        <v>34559311</v>
      </c>
      <c r="F9" s="221">
        <v>263411.82620000001</v>
      </c>
      <c r="G9" s="244">
        <v>30334567</v>
      </c>
      <c r="H9" s="221">
        <v>229533.27929999999</v>
      </c>
      <c r="I9" s="244">
        <v>123179969</v>
      </c>
      <c r="J9" s="221">
        <v>949170.06960000005</v>
      </c>
      <c r="K9" s="221">
        <v>4593310</v>
      </c>
      <c r="L9" s="209">
        <v>35033.710249999996</v>
      </c>
    </row>
    <row r="10" spans="1:12" s="204" customFormat="1" ht="15" customHeight="1" x14ac:dyDescent="0.2">
      <c r="A10" s="903" t="s">
        <v>1095</v>
      </c>
      <c r="B10" s="903"/>
      <c r="C10" s="903"/>
      <c r="D10" s="903"/>
      <c r="E10" s="903"/>
      <c r="F10" s="903"/>
      <c r="G10" s="903"/>
      <c r="H10" s="903"/>
      <c r="I10" s="903"/>
      <c r="J10" s="903"/>
      <c r="K10" s="903"/>
      <c r="L10" s="903"/>
    </row>
    <row r="11" spans="1:12" s="204" customFormat="1" ht="13.5" customHeight="1" x14ac:dyDescent="0.2">
      <c r="A11" s="903" t="s">
        <v>848</v>
      </c>
      <c r="B11" s="903"/>
      <c r="C11" s="903"/>
      <c r="D11" s="903"/>
      <c r="E11" s="903"/>
      <c r="F11" s="903"/>
      <c r="G11" s="903"/>
      <c r="H11" s="903"/>
      <c r="I11" s="903"/>
      <c r="J11" s="903"/>
      <c r="K11" s="903"/>
      <c r="L11" s="903"/>
    </row>
    <row r="12" spans="1:12" s="204" customFormat="1" ht="13.5" customHeight="1" x14ac:dyDescent="0.2">
      <c r="A12" s="899" t="s">
        <v>192</v>
      </c>
      <c r="B12" s="899"/>
      <c r="C12" s="899"/>
      <c r="D12" s="899"/>
      <c r="E12" s="899"/>
      <c r="F12" s="899"/>
      <c r="G12" s="899"/>
      <c r="H12" s="899"/>
      <c r="I12" s="899"/>
      <c r="J12" s="899"/>
      <c r="K12" s="899"/>
      <c r="L12" s="899"/>
    </row>
    <row r="13" spans="1:12" s="204" customFormat="1" ht="28.35" customHeight="1" x14ac:dyDescent="0.2"/>
  </sheetData>
  <mergeCells count="18">
    <mergeCell ref="A12:L12"/>
    <mergeCell ref="A11:L11"/>
    <mergeCell ref="A10:L10"/>
    <mergeCell ref="A1:L1"/>
    <mergeCell ref="A2:A4"/>
    <mergeCell ref="B2:B4"/>
    <mergeCell ref="C2:D2"/>
    <mergeCell ref="E2:H2"/>
    <mergeCell ref="I2:J2"/>
    <mergeCell ref="K2:L2"/>
    <mergeCell ref="C3:C4"/>
    <mergeCell ref="D3:D4"/>
    <mergeCell ref="E3:F3"/>
    <mergeCell ref="G3:H3"/>
    <mergeCell ref="I3:I4"/>
    <mergeCell ref="J3:J4"/>
    <mergeCell ref="K3:K4"/>
    <mergeCell ref="L3:L4"/>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13"/>
  <sheetViews>
    <sheetView zoomScaleNormal="100" workbookViewId="0">
      <selection activeCell="F25" sqref="F25"/>
    </sheetView>
  </sheetViews>
  <sheetFormatPr defaultRowHeight="12.75" x14ac:dyDescent="0.2"/>
  <cols>
    <col min="1" max="1" width="9.42578125" bestFit="1" customWidth="1"/>
    <col min="2" max="2" width="7.7109375" bestFit="1" customWidth="1"/>
    <col min="3" max="9" width="12.140625" bestFit="1" customWidth="1"/>
    <col min="10" max="10" width="10" bestFit="1" customWidth="1"/>
    <col min="11" max="11" width="14.140625" bestFit="1" customWidth="1"/>
    <col min="12" max="12" width="9.140625" bestFit="1" customWidth="1"/>
    <col min="13" max="13" width="7.5703125" bestFit="1" customWidth="1"/>
  </cols>
  <sheetData>
    <row r="1" spans="1:12" ht="15.75" customHeight="1" x14ac:dyDescent="0.2">
      <c r="A1" s="891" t="s">
        <v>15</v>
      </c>
      <c r="B1" s="891"/>
      <c r="C1" s="891"/>
      <c r="D1" s="891"/>
      <c r="E1" s="891"/>
      <c r="F1" s="891"/>
      <c r="G1" s="891"/>
      <c r="H1" s="891"/>
      <c r="I1" s="891"/>
      <c r="J1" s="891"/>
      <c r="K1" s="891"/>
      <c r="L1" s="891"/>
    </row>
    <row r="2" spans="1:12" s="204" customFormat="1" ht="24" customHeight="1" x14ac:dyDescent="0.2">
      <c r="A2" s="892" t="s">
        <v>351</v>
      </c>
      <c r="B2" s="892" t="s">
        <v>384</v>
      </c>
      <c r="C2" s="981" t="s">
        <v>377</v>
      </c>
      <c r="D2" s="982"/>
      <c r="E2" s="990" t="s">
        <v>385</v>
      </c>
      <c r="F2" s="990"/>
      <c r="G2" s="990"/>
      <c r="H2" s="990"/>
      <c r="I2" s="981" t="s">
        <v>67</v>
      </c>
      <c r="J2" s="982"/>
      <c r="K2" s="991" t="s">
        <v>386</v>
      </c>
      <c r="L2" s="992"/>
    </row>
    <row r="3" spans="1:12" s="204" customFormat="1" ht="18" customHeight="1" x14ac:dyDescent="0.2">
      <c r="A3" s="980"/>
      <c r="B3" s="980"/>
      <c r="C3" s="986" t="s">
        <v>359</v>
      </c>
      <c r="D3" s="988" t="s">
        <v>360</v>
      </c>
      <c r="E3" s="981" t="s">
        <v>357</v>
      </c>
      <c r="F3" s="982"/>
      <c r="G3" s="981" t="s">
        <v>358</v>
      </c>
      <c r="H3" s="982"/>
      <c r="I3" s="892" t="s">
        <v>381</v>
      </c>
      <c r="J3" s="993" t="s">
        <v>143</v>
      </c>
      <c r="K3" s="986" t="s">
        <v>359</v>
      </c>
      <c r="L3" s="988" t="s">
        <v>387</v>
      </c>
    </row>
    <row r="4" spans="1:12" s="204" customFormat="1" ht="24" customHeight="1" x14ac:dyDescent="0.2">
      <c r="A4" s="893"/>
      <c r="B4" s="893"/>
      <c r="C4" s="987"/>
      <c r="D4" s="989"/>
      <c r="E4" s="252" t="s">
        <v>359</v>
      </c>
      <c r="F4" s="253" t="s">
        <v>360</v>
      </c>
      <c r="G4" s="252" t="s">
        <v>359</v>
      </c>
      <c r="H4" s="253" t="s">
        <v>360</v>
      </c>
      <c r="I4" s="893"/>
      <c r="J4" s="993"/>
      <c r="K4" s="987"/>
      <c r="L4" s="989"/>
    </row>
    <row r="5" spans="1:12" s="204" customFormat="1" ht="18" customHeight="1" x14ac:dyDescent="0.2">
      <c r="A5" s="207" t="s">
        <v>73</v>
      </c>
      <c r="B5" s="208">
        <v>243</v>
      </c>
      <c r="C5" s="221">
        <v>5783785</v>
      </c>
      <c r="D5" s="209">
        <v>41521.070337750003</v>
      </c>
      <c r="E5" s="221">
        <v>234838</v>
      </c>
      <c r="F5" s="209">
        <v>1757.805652</v>
      </c>
      <c r="G5" s="221">
        <v>273575</v>
      </c>
      <c r="H5" s="209">
        <v>2045.6429625000001</v>
      </c>
      <c r="I5" s="221">
        <v>6292198</v>
      </c>
      <c r="J5" s="209">
        <v>45324.51895225</v>
      </c>
      <c r="K5" s="209">
        <v>6073</v>
      </c>
      <c r="L5" s="209">
        <v>45.977366000000004</v>
      </c>
    </row>
    <row r="6" spans="1:12" s="204" customFormat="1" ht="18" customHeight="1" x14ac:dyDescent="0.2">
      <c r="A6" s="207" t="s">
        <v>76</v>
      </c>
      <c r="B6" s="208">
        <v>57</v>
      </c>
      <c r="C6" s="221">
        <v>834301</v>
      </c>
      <c r="D6" s="209">
        <v>6341.9560810000003</v>
      </c>
      <c r="E6" s="209">
        <v>0</v>
      </c>
      <c r="F6" s="209">
        <v>0</v>
      </c>
      <c r="G6" s="209">
        <v>0</v>
      </c>
      <c r="H6" s="209">
        <v>0</v>
      </c>
      <c r="I6" s="221">
        <v>834301</v>
      </c>
      <c r="J6" s="209">
        <v>6341.9560810000003</v>
      </c>
      <c r="K6" s="209">
        <v>15683</v>
      </c>
      <c r="L6" s="209">
        <v>119.1682203</v>
      </c>
    </row>
    <row r="7" spans="1:12" s="204" customFormat="1" ht="18" customHeight="1" x14ac:dyDescent="0.2">
      <c r="A7" s="207" t="s">
        <v>75</v>
      </c>
      <c r="B7" s="208">
        <v>17</v>
      </c>
      <c r="C7" s="221">
        <v>233754</v>
      </c>
      <c r="D7" s="209">
        <v>1785.2814207500001</v>
      </c>
      <c r="E7" s="209">
        <v>0</v>
      </c>
      <c r="F7" s="209">
        <v>0</v>
      </c>
      <c r="G7" s="209">
        <v>0</v>
      </c>
      <c r="H7" s="209">
        <v>0</v>
      </c>
      <c r="I7" s="221">
        <v>233754</v>
      </c>
      <c r="J7" s="209">
        <v>1785.2814207500001</v>
      </c>
      <c r="K7" s="209">
        <v>22075</v>
      </c>
      <c r="L7" s="209">
        <v>166.24752325</v>
      </c>
    </row>
    <row r="8" spans="1:12" s="204" customFormat="1" ht="18" customHeight="1" x14ac:dyDescent="0.2">
      <c r="A8" s="207" t="s">
        <v>74</v>
      </c>
      <c r="B8" s="208">
        <v>18</v>
      </c>
      <c r="C8" s="221">
        <v>224568</v>
      </c>
      <c r="D8" s="209">
        <v>1702.42343375</v>
      </c>
      <c r="E8" s="209">
        <v>0</v>
      </c>
      <c r="F8" s="209">
        <v>0</v>
      </c>
      <c r="G8" s="209">
        <v>0</v>
      </c>
      <c r="H8" s="209">
        <v>0</v>
      </c>
      <c r="I8" s="221">
        <v>224568</v>
      </c>
      <c r="J8" s="209">
        <v>1702.42343375</v>
      </c>
      <c r="K8" s="209">
        <v>9679</v>
      </c>
      <c r="L8" s="209">
        <v>73.879713749999993</v>
      </c>
    </row>
    <row r="9" spans="1:12" s="204" customFormat="1" ht="18" customHeight="1" x14ac:dyDescent="0.2">
      <c r="A9" s="207" t="s">
        <v>849</v>
      </c>
      <c r="B9" s="208">
        <v>22</v>
      </c>
      <c r="C9" s="221">
        <v>375979</v>
      </c>
      <c r="D9" s="209">
        <v>2854.2512265</v>
      </c>
      <c r="E9" s="209">
        <v>0</v>
      </c>
      <c r="F9" s="209">
        <v>0</v>
      </c>
      <c r="G9" s="209">
        <v>0</v>
      </c>
      <c r="H9" s="209">
        <v>0</v>
      </c>
      <c r="I9" s="221">
        <v>375979</v>
      </c>
      <c r="J9" s="209">
        <v>2854.2512265</v>
      </c>
      <c r="K9" s="209">
        <v>15683</v>
      </c>
      <c r="L9" s="209">
        <v>119.16822025</v>
      </c>
    </row>
    <row r="10" spans="1:12" s="204" customFormat="1" ht="18" customHeight="1" x14ac:dyDescent="0.2">
      <c r="A10" s="432" t="s">
        <v>1083</v>
      </c>
      <c r="B10" s="430"/>
      <c r="C10" s="433"/>
      <c r="D10" s="431"/>
      <c r="E10" s="431"/>
      <c r="F10" s="431"/>
      <c r="G10" s="431"/>
      <c r="H10" s="431"/>
      <c r="I10" s="433"/>
      <c r="J10" s="431"/>
      <c r="K10" s="431"/>
      <c r="L10" s="431"/>
    </row>
    <row r="11" spans="1:12" s="204" customFormat="1" ht="13.5" customHeight="1" x14ac:dyDescent="0.2">
      <c r="A11" s="903" t="s">
        <v>848</v>
      </c>
      <c r="B11" s="903"/>
      <c r="C11" s="903"/>
      <c r="D11" s="903"/>
      <c r="E11" s="903"/>
      <c r="F11" s="903"/>
      <c r="G11" s="903"/>
      <c r="H11" s="903"/>
      <c r="I11" s="903"/>
      <c r="J11" s="903"/>
    </row>
    <row r="12" spans="1:12" s="204" customFormat="1" ht="14.25" customHeight="1" x14ac:dyDescent="0.2">
      <c r="A12" s="899" t="s">
        <v>162</v>
      </c>
      <c r="B12" s="899"/>
      <c r="C12" s="899"/>
      <c r="D12" s="899"/>
      <c r="E12" s="899"/>
      <c r="F12" s="899"/>
      <c r="G12" s="899"/>
      <c r="H12" s="899"/>
      <c r="I12" s="899"/>
      <c r="J12" s="899"/>
    </row>
    <row r="13" spans="1:12" s="204" customFormat="1" ht="27.6" customHeight="1" x14ac:dyDescent="0.2"/>
  </sheetData>
  <mergeCells count="17">
    <mergeCell ref="L3:L4"/>
    <mergeCell ref="E3:F3"/>
    <mergeCell ref="A12:J12"/>
    <mergeCell ref="A11:J11"/>
    <mergeCell ref="A1:L1"/>
    <mergeCell ref="A2:A4"/>
    <mergeCell ref="B2:B4"/>
    <mergeCell ref="C2:D2"/>
    <mergeCell ref="E2:H2"/>
    <mergeCell ref="I2:J2"/>
    <mergeCell ref="K2:L2"/>
    <mergeCell ref="C3:C4"/>
    <mergeCell ref="D3:D4"/>
    <mergeCell ref="G3:H3"/>
    <mergeCell ref="I3:I4"/>
    <mergeCell ref="J3:J4"/>
    <mergeCell ref="K3:K4"/>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14"/>
  <sheetViews>
    <sheetView zoomScaleNormal="100" workbookViewId="0">
      <selection activeCell="K28" sqref="K28"/>
    </sheetView>
  </sheetViews>
  <sheetFormatPr defaultRowHeight="12.75" x14ac:dyDescent="0.2"/>
  <cols>
    <col min="1" max="1" width="13.5703125" bestFit="1" customWidth="1"/>
    <col min="2" max="5" width="12.140625" bestFit="1" customWidth="1"/>
    <col min="6" max="6" width="9.28515625" bestFit="1" customWidth="1"/>
    <col min="7" max="10" width="12.140625" bestFit="1" customWidth="1"/>
    <col min="11" max="11" width="14.7109375" bestFit="1" customWidth="1"/>
    <col min="12" max="15" width="12.140625" bestFit="1" customWidth="1"/>
    <col min="16" max="16" width="9.28515625" bestFit="1" customWidth="1"/>
    <col min="17" max="17" width="4.7109375" bestFit="1" customWidth="1"/>
  </cols>
  <sheetData>
    <row r="1" spans="1:16" ht="15.75" customHeight="1" x14ac:dyDescent="0.2">
      <c r="A1" s="963" t="s">
        <v>999</v>
      </c>
      <c r="B1" s="963"/>
      <c r="C1" s="963"/>
      <c r="D1" s="963"/>
      <c r="E1" s="963"/>
      <c r="F1" s="963"/>
      <c r="G1" s="963"/>
      <c r="H1" s="963"/>
      <c r="I1" s="963"/>
      <c r="J1" s="963"/>
      <c r="K1" s="963"/>
      <c r="L1" s="963"/>
      <c r="M1" s="963"/>
      <c r="N1" s="963"/>
      <c r="O1" s="963"/>
    </row>
    <row r="2" spans="1:16" ht="15.75" customHeight="1" x14ac:dyDescent="0.2">
      <c r="A2" s="629"/>
      <c r="B2" s="629"/>
      <c r="C2" s="629"/>
      <c r="D2" s="629"/>
      <c r="E2" s="629"/>
      <c r="F2" s="629"/>
      <c r="G2" s="629"/>
      <c r="H2" s="629"/>
      <c r="I2" s="629"/>
      <c r="J2" s="629"/>
      <c r="K2" s="629"/>
      <c r="L2" s="629"/>
      <c r="M2" s="629"/>
      <c r="N2" s="629"/>
      <c r="O2" s="629"/>
      <c r="P2" t="s">
        <v>1000</v>
      </c>
    </row>
    <row r="3" spans="1:16" s="499" customFormat="1" ht="18" customHeight="1" x14ac:dyDescent="0.2">
      <c r="A3" s="810" t="s">
        <v>351</v>
      </c>
      <c r="B3" s="866" t="s">
        <v>116</v>
      </c>
      <c r="C3" s="945"/>
      <c r="D3" s="945"/>
      <c r="E3" s="867"/>
      <c r="F3" s="799" t="s">
        <v>67</v>
      </c>
      <c r="G3" s="866" t="s">
        <v>117</v>
      </c>
      <c r="H3" s="945"/>
      <c r="I3" s="945"/>
      <c r="J3" s="867"/>
      <c r="K3" s="810" t="s">
        <v>67</v>
      </c>
      <c r="L3" s="866" t="s">
        <v>118</v>
      </c>
      <c r="M3" s="945"/>
      <c r="N3" s="945"/>
      <c r="O3" s="867"/>
      <c r="P3" s="799" t="s">
        <v>67</v>
      </c>
    </row>
    <row r="4" spans="1:16" s="499" customFormat="1" ht="27" customHeight="1" x14ac:dyDescent="0.2">
      <c r="A4" s="964"/>
      <c r="B4" s="808" t="s">
        <v>388</v>
      </c>
      <c r="C4" s="809"/>
      <c r="D4" s="866" t="s">
        <v>385</v>
      </c>
      <c r="E4" s="867"/>
      <c r="F4" s="800"/>
      <c r="G4" s="808" t="s">
        <v>388</v>
      </c>
      <c r="H4" s="809"/>
      <c r="I4" s="866" t="s">
        <v>385</v>
      </c>
      <c r="J4" s="867"/>
      <c r="K4" s="964"/>
      <c r="L4" s="808" t="s">
        <v>388</v>
      </c>
      <c r="M4" s="809"/>
      <c r="N4" s="866" t="s">
        <v>385</v>
      </c>
      <c r="O4" s="867"/>
      <c r="P4" s="800"/>
    </row>
    <row r="5" spans="1:16" s="499" customFormat="1" ht="27" customHeight="1" x14ac:dyDescent="0.2">
      <c r="A5" s="811"/>
      <c r="B5" s="588" t="s">
        <v>366</v>
      </c>
      <c r="C5" s="588" t="s">
        <v>367</v>
      </c>
      <c r="D5" s="588" t="s">
        <v>368</v>
      </c>
      <c r="E5" s="588" t="s">
        <v>369</v>
      </c>
      <c r="F5" s="801"/>
      <c r="G5" s="588" t="s">
        <v>366</v>
      </c>
      <c r="H5" s="588" t="s">
        <v>367</v>
      </c>
      <c r="I5" s="588" t="s">
        <v>368</v>
      </c>
      <c r="J5" s="588" t="s">
        <v>369</v>
      </c>
      <c r="K5" s="811"/>
      <c r="L5" s="588" t="s">
        <v>366</v>
      </c>
      <c r="M5" s="588" t="s">
        <v>367</v>
      </c>
      <c r="N5" s="588" t="s">
        <v>368</v>
      </c>
      <c r="O5" s="588" t="s">
        <v>369</v>
      </c>
      <c r="P5" s="801"/>
    </row>
    <row r="6" spans="1:16" s="499" customFormat="1" ht="18" customHeight="1" x14ac:dyDescent="0.2">
      <c r="A6" s="502" t="s">
        <v>73</v>
      </c>
      <c r="B6" s="633">
        <v>7222.5</v>
      </c>
      <c r="C6" s="633">
        <v>246.08</v>
      </c>
      <c r="D6" s="633">
        <v>5002.79</v>
      </c>
      <c r="E6" s="633">
        <v>76.14</v>
      </c>
      <c r="F6" s="504">
        <v>12547.51</v>
      </c>
      <c r="G6" s="633">
        <v>9038.7684582069996</v>
      </c>
      <c r="H6" s="633">
        <v>266.00635390000002</v>
      </c>
      <c r="I6" s="633">
        <v>1351.72486134</v>
      </c>
      <c r="J6" s="633">
        <v>553.36033283999996</v>
      </c>
      <c r="K6" s="504">
        <v>11209.860006286999</v>
      </c>
      <c r="L6" s="633">
        <v>28.27095825</v>
      </c>
      <c r="M6" s="633">
        <v>1.03627519</v>
      </c>
      <c r="N6" s="633">
        <v>4.3813499999999998E-2</v>
      </c>
      <c r="O6" s="633">
        <v>1.1548999999999999E-3</v>
      </c>
      <c r="P6" s="504">
        <v>29.352201839999999</v>
      </c>
    </row>
    <row r="7" spans="1:16" s="499" customFormat="1" ht="18" customHeight="1" x14ac:dyDescent="0.2">
      <c r="A7" s="502" t="s">
        <v>76</v>
      </c>
      <c r="B7" s="633">
        <v>1868.1</v>
      </c>
      <c r="C7" s="633">
        <v>20.309999999999999</v>
      </c>
      <c r="D7" s="633">
        <v>968.14</v>
      </c>
      <c r="E7" s="633">
        <v>16.399999999999999</v>
      </c>
      <c r="F7" s="504">
        <v>2872.95</v>
      </c>
      <c r="G7" s="633">
        <v>2648.0159745380001</v>
      </c>
      <c r="H7" s="633">
        <v>28.593235610000001</v>
      </c>
      <c r="I7" s="633">
        <v>286.87158475000001</v>
      </c>
      <c r="J7" s="633">
        <v>70.124562650000001</v>
      </c>
      <c r="K7" s="504">
        <v>3033.605357548</v>
      </c>
      <c r="L7" s="633">
        <v>0</v>
      </c>
      <c r="M7" s="633">
        <v>0</v>
      </c>
      <c r="N7" s="633">
        <v>0</v>
      </c>
      <c r="O7" s="633">
        <v>0</v>
      </c>
      <c r="P7" s="504">
        <v>0</v>
      </c>
    </row>
    <row r="8" spans="1:16" s="499" customFormat="1" ht="18" customHeight="1" x14ac:dyDescent="0.2">
      <c r="A8" s="502" t="s">
        <v>75</v>
      </c>
      <c r="B8" s="633">
        <v>1122.19</v>
      </c>
      <c r="C8" s="633">
        <v>12.14</v>
      </c>
      <c r="D8" s="633">
        <v>322.02999999999997</v>
      </c>
      <c r="E8" s="633">
        <v>8.34</v>
      </c>
      <c r="F8" s="504">
        <v>1464.7</v>
      </c>
      <c r="G8" s="633">
        <v>1732.109531028</v>
      </c>
      <c r="H8" s="633">
        <v>17.211897870000001</v>
      </c>
      <c r="I8" s="633">
        <v>118.462208</v>
      </c>
      <c r="J8" s="633">
        <v>30.032362689999999</v>
      </c>
      <c r="K8" s="504">
        <v>1897.8159995880001</v>
      </c>
      <c r="L8" s="633">
        <v>0</v>
      </c>
      <c r="M8" s="633">
        <v>0</v>
      </c>
      <c r="N8" s="633">
        <v>0</v>
      </c>
      <c r="O8" s="633">
        <v>0</v>
      </c>
      <c r="P8" s="504">
        <v>0</v>
      </c>
    </row>
    <row r="9" spans="1:16" s="499" customFormat="1" ht="18" customHeight="1" x14ac:dyDescent="0.2">
      <c r="A9" s="502" t="s">
        <v>74</v>
      </c>
      <c r="B9" s="633">
        <v>457.51</v>
      </c>
      <c r="C9" s="633">
        <v>4</v>
      </c>
      <c r="D9" s="633">
        <v>312.08999999999997</v>
      </c>
      <c r="E9" s="633">
        <v>3.94</v>
      </c>
      <c r="F9" s="504">
        <v>777.54</v>
      </c>
      <c r="G9" s="633">
        <v>555.48637647999999</v>
      </c>
      <c r="H9" s="633">
        <v>4.4865100900000003</v>
      </c>
      <c r="I9" s="633">
        <v>79.326992250000004</v>
      </c>
      <c r="J9" s="633">
        <v>16.697893109999999</v>
      </c>
      <c r="K9" s="504">
        <v>655.99777193</v>
      </c>
      <c r="L9" s="633">
        <v>0</v>
      </c>
      <c r="M9" s="633">
        <v>0</v>
      </c>
      <c r="N9" s="633">
        <v>0</v>
      </c>
      <c r="O9" s="633">
        <v>0</v>
      </c>
      <c r="P9" s="504">
        <v>0</v>
      </c>
    </row>
    <row r="10" spans="1:16" s="499" customFormat="1" ht="18" customHeight="1" x14ac:dyDescent="0.2">
      <c r="A10" s="502" t="s">
        <v>849</v>
      </c>
      <c r="B10" s="633">
        <v>288.39999999999998</v>
      </c>
      <c r="C10" s="633">
        <v>4.17</v>
      </c>
      <c r="D10" s="633">
        <v>334.02</v>
      </c>
      <c r="E10" s="633">
        <v>4.12</v>
      </c>
      <c r="F10" s="504">
        <v>630.71</v>
      </c>
      <c r="G10" s="633">
        <v>360.42006702999998</v>
      </c>
      <c r="H10" s="633">
        <v>6.8948276499999999</v>
      </c>
      <c r="I10" s="633">
        <v>89.082384500000003</v>
      </c>
      <c r="J10" s="633">
        <v>23.39430685</v>
      </c>
      <c r="K10" s="504">
        <v>479.79158603000002</v>
      </c>
      <c r="L10" s="633">
        <v>0</v>
      </c>
      <c r="M10" s="633">
        <v>0</v>
      </c>
      <c r="N10" s="633">
        <v>0</v>
      </c>
      <c r="O10" s="633">
        <v>0</v>
      </c>
      <c r="P10" s="504">
        <v>0</v>
      </c>
    </row>
    <row r="11" spans="1:16" s="499" customFormat="1" ht="18" customHeight="1" x14ac:dyDescent="0.2">
      <c r="A11" s="438" t="s">
        <v>1083</v>
      </c>
      <c r="B11" s="634"/>
      <c r="C11" s="634"/>
      <c r="D11" s="634"/>
      <c r="E11" s="634"/>
      <c r="F11" s="437"/>
      <c r="G11" s="634"/>
      <c r="H11" s="634"/>
      <c r="I11" s="634"/>
      <c r="J11" s="634"/>
      <c r="K11" s="437"/>
      <c r="L11" s="634"/>
      <c r="M11" s="634"/>
      <c r="N11" s="634"/>
      <c r="O11" s="634"/>
      <c r="P11" s="437"/>
    </row>
    <row r="12" spans="1:16" s="499" customFormat="1" ht="13.5" customHeight="1" x14ac:dyDescent="0.2">
      <c r="A12" s="939" t="s">
        <v>848</v>
      </c>
      <c r="B12" s="939"/>
      <c r="C12" s="939"/>
      <c r="D12" s="939"/>
      <c r="E12" s="939"/>
      <c r="F12" s="939"/>
      <c r="G12" s="939"/>
      <c r="H12" s="939"/>
      <c r="I12" s="939"/>
      <c r="J12" s="939"/>
      <c r="K12" s="939"/>
      <c r="L12" s="939"/>
      <c r="M12" s="939"/>
      <c r="N12" s="939"/>
      <c r="O12" s="939"/>
    </row>
    <row r="13" spans="1:16" s="499" customFormat="1" ht="15" customHeight="1" x14ac:dyDescent="0.2">
      <c r="A13" s="860" t="s">
        <v>926</v>
      </c>
      <c r="B13" s="860"/>
      <c r="C13" s="860"/>
      <c r="D13" s="860"/>
      <c r="E13" s="860"/>
      <c r="F13" s="860"/>
      <c r="G13" s="860"/>
      <c r="H13" s="860"/>
      <c r="I13" s="860"/>
      <c r="J13" s="860"/>
      <c r="K13" s="860"/>
      <c r="L13" s="860"/>
      <c r="M13" s="860"/>
      <c r="N13" s="860"/>
      <c r="O13" s="860"/>
    </row>
    <row r="14" spans="1:16" s="499" customFormat="1" ht="27.6" customHeight="1" x14ac:dyDescent="0.2"/>
  </sheetData>
  <mergeCells count="16">
    <mergeCell ref="A13:O13"/>
    <mergeCell ref="A1:O1"/>
    <mergeCell ref="A3:A5"/>
    <mergeCell ref="B3:E3"/>
    <mergeCell ref="F3:F5"/>
    <mergeCell ref="G3:J3"/>
    <mergeCell ref="K3:K5"/>
    <mergeCell ref="L3:O3"/>
    <mergeCell ref="A12:O12"/>
    <mergeCell ref="P3:P5"/>
    <mergeCell ref="B4:C4"/>
    <mergeCell ref="D4:E4"/>
    <mergeCell ref="G4:H4"/>
    <mergeCell ref="I4:J4"/>
    <mergeCell ref="L4:M4"/>
    <mergeCell ref="N4:O4"/>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5"/>
  <sheetViews>
    <sheetView zoomScaleNormal="100" workbookViewId="0">
      <selection activeCell="J25" sqref="J25"/>
    </sheetView>
  </sheetViews>
  <sheetFormatPr defaultRowHeight="12.75" x14ac:dyDescent="0.2"/>
  <cols>
    <col min="1" max="15" width="12.140625" bestFit="1" customWidth="1"/>
    <col min="16" max="16" width="4.7109375" bestFit="1" customWidth="1"/>
  </cols>
  <sheetData>
    <row r="1" spans="1:15" ht="15" customHeight="1" x14ac:dyDescent="0.2">
      <c r="A1" s="868" t="s">
        <v>946</v>
      </c>
      <c r="B1" s="863"/>
      <c r="C1" s="863"/>
      <c r="D1" s="863"/>
      <c r="E1" s="863"/>
      <c r="F1" s="863"/>
      <c r="G1" s="863"/>
      <c r="H1" s="863"/>
      <c r="I1" s="863"/>
    </row>
    <row r="2" spans="1:15" s="499" customFormat="1" ht="18" customHeight="1" x14ac:dyDescent="0.2">
      <c r="A2" s="799" t="s">
        <v>111</v>
      </c>
      <c r="B2" s="994" t="s">
        <v>143</v>
      </c>
      <c r="C2" s="995"/>
      <c r="D2" s="995"/>
      <c r="E2" s="995"/>
      <c r="F2" s="995"/>
      <c r="G2" s="995"/>
      <c r="H2" s="996"/>
      <c r="I2" s="806" t="s">
        <v>389</v>
      </c>
      <c r="J2" s="877"/>
      <c r="K2" s="877"/>
      <c r="L2" s="877"/>
      <c r="M2" s="877"/>
      <c r="N2" s="877"/>
      <c r="O2" s="807"/>
    </row>
    <row r="3" spans="1:15" s="499" customFormat="1" ht="18" customHeight="1" x14ac:dyDescent="0.2">
      <c r="A3" s="801"/>
      <c r="B3" s="561" t="s">
        <v>390</v>
      </c>
      <c r="C3" s="561" t="s">
        <v>391</v>
      </c>
      <c r="D3" s="561" t="s">
        <v>392</v>
      </c>
      <c r="E3" s="561" t="s">
        <v>393</v>
      </c>
      <c r="F3" s="561" t="s">
        <v>394</v>
      </c>
      <c r="G3" s="561" t="s">
        <v>395</v>
      </c>
      <c r="H3" s="561" t="s">
        <v>396</v>
      </c>
      <c r="I3" s="561" t="s">
        <v>390</v>
      </c>
      <c r="J3" s="561" t="s">
        <v>391</v>
      </c>
      <c r="K3" s="561" t="s">
        <v>392</v>
      </c>
      <c r="L3" s="561" t="s">
        <v>393</v>
      </c>
      <c r="M3" s="561" t="s">
        <v>394</v>
      </c>
      <c r="N3" s="561" t="s">
        <v>395</v>
      </c>
      <c r="O3" s="561" t="s">
        <v>396</v>
      </c>
    </row>
    <row r="4" spans="1:15" s="499" customFormat="1" ht="18" customHeight="1" x14ac:dyDescent="0.2">
      <c r="A4" s="481" t="s">
        <v>73</v>
      </c>
      <c r="B4" s="549">
        <v>5129221.2883187998</v>
      </c>
      <c r="C4" s="504">
        <v>1792.549354</v>
      </c>
      <c r="D4" s="504">
        <v>2170.6853637499999</v>
      </c>
      <c r="E4" s="504">
        <v>1823.75314875</v>
      </c>
      <c r="F4" s="504">
        <v>9.3858820999999995E-2</v>
      </c>
      <c r="G4" s="504">
        <v>3.7072341000000002E-2</v>
      </c>
      <c r="H4" s="504">
        <v>0.16362080000000001</v>
      </c>
      <c r="I4" s="549">
        <v>2270484</v>
      </c>
      <c r="J4" s="504">
        <v>7992</v>
      </c>
      <c r="K4" s="504">
        <v>338</v>
      </c>
      <c r="L4" s="504">
        <v>9434</v>
      </c>
      <c r="M4" s="503">
        <v>0</v>
      </c>
      <c r="N4" s="503">
        <v>0</v>
      </c>
      <c r="O4" s="503">
        <v>0</v>
      </c>
    </row>
    <row r="5" spans="1:15" s="499" customFormat="1" ht="18" customHeight="1" x14ac:dyDescent="0.2">
      <c r="A5" s="481" t="s">
        <v>76</v>
      </c>
      <c r="B5" s="549">
        <v>449894.8</v>
      </c>
      <c r="C5" s="504">
        <v>848.99</v>
      </c>
      <c r="D5" s="504">
        <v>868.22</v>
      </c>
      <c r="E5" s="504">
        <v>262.14999999999998</v>
      </c>
      <c r="F5" s="504">
        <v>0</v>
      </c>
      <c r="G5" s="504">
        <v>0</v>
      </c>
      <c r="H5" s="504">
        <v>0</v>
      </c>
      <c r="I5" s="549">
        <v>700596</v>
      </c>
      <c r="J5" s="504">
        <v>9437</v>
      </c>
      <c r="K5" s="504">
        <v>2256</v>
      </c>
      <c r="L5" s="504">
        <v>363</v>
      </c>
      <c r="M5" s="503">
        <v>0</v>
      </c>
      <c r="N5" s="503">
        <v>0</v>
      </c>
      <c r="O5" s="503">
        <v>0</v>
      </c>
    </row>
    <row r="6" spans="1:15" s="499" customFormat="1" ht="18" customHeight="1" x14ac:dyDescent="0.2">
      <c r="A6" s="502" t="s">
        <v>75</v>
      </c>
      <c r="B6" s="549">
        <v>138649.70000000001</v>
      </c>
      <c r="C6" s="504">
        <v>96.07</v>
      </c>
      <c r="D6" s="504">
        <v>126.95</v>
      </c>
      <c r="E6" s="504">
        <v>75.66</v>
      </c>
      <c r="F6" s="504">
        <v>0</v>
      </c>
      <c r="G6" s="504">
        <v>0</v>
      </c>
      <c r="H6" s="504">
        <v>0</v>
      </c>
      <c r="I6" s="549">
        <v>1271120</v>
      </c>
      <c r="J6" s="504">
        <v>1045</v>
      </c>
      <c r="K6" s="504">
        <v>646</v>
      </c>
      <c r="L6" s="504">
        <v>1104</v>
      </c>
      <c r="M6" s="503">
        <v>0</v>
      </c>
      <c r="N6" s="503">
        <v>0</v>
      </c>
      <c r="O6" s="503">
        <v>0</v>
      </c>
    </row>
    <row r="7" spans="1:15" s="499" customFormat="1" ht="18" customHeight="1" x14ac:dyDescent="0.2">
      <c r="A7" s="502" t="s">
        <v>74</v>
      </c>
      <c r="B7" s="549">
        <v>131726.06</v>
      </c>
      <c r="C7" s="504">
        <v>318.10000000000002</v>
      </c>
      <c r="D7" s="504">
        <v>229.2</v>
      </c>
      <c r="E7" s="504">
        <v>89.68</v>
      </c>
      <c r="F7" s="504">
        <v>0</v>
      </c>
      <c r="G7" s="504">
        <v>0</v>
      </c>
      <c r="H7" s="504">
        <v>0</v>
      </c>
      <c r="I7" s="549">
        <v>652421</v>
      </c>
      <c r="J7" s="504">
        <v>20386</v>
      </c>
      <c r="K7" s="504">
        <v>2921</v>
      </c>
      <c r="L7" s="504">
        <v>2670</v>
      </c>
      <c r="M7" s="503">
        <v>0</v>
      </c>
      <c r="N7" s="503">
        <v>0</v>
      </c>
      <c r="O7" s="503">
        <v>0</v>
      </c>
    </row>
    <row r="8" spans="1:15" s="499" customFormat="1" ht="18" customHeight="1" x14ac:dyDescent="0.2">
      <c r="A8" s="502" t="s">
        <v>849</v>
      </c>
      <c r="B8" s="549">
        <v>179519.04</v>
      </c>
      <c r="C8" s="504">
        <v>434.82</v>
      </c>
      <c r="D8" s="504">
        <v>512.07000000000005</v>
      </c>
      <c r="E8" s="504">
        <v>96.81</v>
      </c>
      <c r="F8" s="504">
        <v>0</v>
      </c>
      <c r="G8" s="504">
        <v>0</v>
      </c>
      <c r="H8" s="504">
        <v>0</v>
      </c>
      <c r="I8" s="549">
        <v>700596</v>
      </c>
      <c r="J8" s="504">
        <v>9437</v>
      </c>
      <c r="K8" s="504">
        <v>2256</v>
      </c>
      <c r="L8" s="504">
        <v>363</v>
      </c>
      <c r="M8" s="503">
        <v>0</v>
      </c>
      <c r="N8" s="503">
        <v>0</v>
      </c>
      <c r="O8" s="503">
        <v>0</v>
      </c>
    </row>
    <row r="9" spans="1:15" s="499" customFormat="1" ht="18" customHeight="1" x14ac:dyDescent="0.2">
      <c r="A9" s="438" t="s">
        <v>1083</v>
      </c>
      <c r="B9" s="559"/>
      <c r="C9" s="437"/>
      <c r="D9" s="437"/>
      <c r="E9" s="437"/>
      <c r="F9" s="437"/>
      <c r="G9" s="437"/>
      <c r="H9" s="437"/>
      <c r="I9" s="559"/>
      <c r="J9" s="437"/>
      <c r="K9" s="437"/>
      <c r="L9" s="437"/>
      <c r="M9" s="543"/>
      <c r="N9" s="543"/>
      <c r="O9" s="543"/>
    </row>
    <row r="10" spans="1:15" s="499" customFormat="1" ht="14.25" customHeight="1" x14ac:dyDescent="0.2">
      <c r="A10" s="939" t="s">
        <v>397</v>
      </c>
      <c r="B10" s="939"/>
      <c r="C10" s="939"/>
      <c r="D10" s="939"/>
      <c r="E10" s="939"/>
      <c r="F10" s="939"/>
      <c r="G10" s="939"/>
      <c r="H10" s="939"/>
      <c r="I10" s="939"/>
    </row>
    <row r="11" spans="1:15" s="499" customFormat="1" ht="13.5" customHeight="1" x14ac:dyDescent="0.2">
      <c r="A11" s="939" t="s">
        <v>398</v>
      </c>
      <c r="B11" s="939"/>
      <c r="C11" s="939"/>
      <c r="D11" s="939"/>
      <c r="E11" s="939"/>
      <c r="F11" s="939"/>
      <c r="G11" s="939"/>
      <c r="H11" s="939"/>
      <c r="I11" s="939"/>
    </row>
    <row r="12" spans="1:15" s="499" customFormat="1" ht="13.5" customHeight="1" x14ac:dyDescent="0.2">
      <c r="A12" s="939" t="s">
        <v>399</v>
      </c>
      <c r="B12" s="939"/>
      <c r="C12" s="939"/>
      <c r="D12" s="939"/>
      <c r="E12" s="939"/>
      <c r="F12" s="939"/>
      <c r="G12" s="939"/>
      <c r="H12" s="939"/>
      <c r="I12" s="939"/>
    </row>
    <row r="13" spans="1:15" s="499" customFormat="1" ht="13.5" customHeight="1" x14ac:dyDescent="0.2">
      <c r="A13" s="939" t="s">
        <v>848</v>
      </c>
      <c r="B13" s="939"/>
      <c r="C13" s="939"/>
      <c r="D13" s="939"/>
      <c r="E13" s="939"/>
      <c r="F13" s="939"/>
      <c r="G13" s="939"/>
      <c r="H13" s="939"/>
      <c r="I13" s="939"/>
    </row>
    <row r="14" spans="1:15" s="499" customFormat="1" ht="13.5" customHeight="1" x14ac:dyDescent="0.2">
      <c r="A14" s="860" t="s">
        <v>383</v>
      </c>
      <c r="B14" s="860"/>
      <c r="C14" s="860"/>
      <c r="D14" s="860"/>
      <c r="E14" s="860"/>
      <c r="F14" s="860"/>
      <c r="G14" s="860"/>
      <c r="H14" s="860"/>
      <c r="I14" s="860"/>
    </row>
    <row r="15" spans="1:15" s="499" customFormat="1" ht="28.35" customHeight="1" x14ac:dyDescent="0.2"/>
  </sheetData>
  <mergeCells count="9">
    <mergeCell ref="A14:I14"/>
    <mergeCell ref="A11:I11"/>
    <mergeCell ref="A13:I13"/>
    <mergeCell ref="A12:I12"/>
    <mergeCell ref="A1:I1"/>
    <mergeCell ref="A2:A3"/>
    <mergeCell ref="B2:H2"/>
    <mergeCell ref="I2:O2"/>
    <mergeCell ref="A10:I10"/>
  </mergeCells>
  <pageMargins left="0.78431372549019618" right="0.78431372549019618" top="0.98039215686274517" bottom="0.98039215686274517" header="0.50980392156862753" footer="0.50980392156862753"/>
  <pageSetup paperSize="9" orientation="portrait" useFirstPageNumber="1" r:id="rId1"/>
  <headerFooter alignWithMargin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4"/>
  <sheetViews>
    <sheetView zoomScaleNormal="100" workbookViewId="0">
      <selection activeCell="E15" sqref="E15"/>
    </sheetView>
  </sheetViews>
  <sheetFormatPr defaultRowHeight="12.75" x14ac:dyDescent="0.2"/>
  <cols>
    <col min="1" max="15" width="14.7109375" bestFit="1" customWidth="1"/>
    <col min="16" max="16" width="4.7109375" bestFit="1" customWidth="1"/>
  </cols>
  <sheetData>
    <row r="1" spans="1:15" ht="18.75" customHeight="1" x14ac:dyDescent="0.2">
      <c r="A1" s="997" t="s">
        <v>947</v>
      </c>
      <c r="B1" s="891"/>
      <c r="C1" s="891"/>
      <c r="D1" s="891"/>
      <c r="E1" s="891"/>
      <c r="F1" s="891"/>
      <c r="G1" s="891"/>
    </row>
    <row r="2" spans="1:15" s="204" customFormat="1" ht="18" customHeight="1" x14ac:dyDescent="0.2">
      <c r="A2" s="998" t="s">
        <v>111</v>
      </c>
      <c r="B2" s="999" t="s">
        <v>400</v>
      </c>
      <c r="C2" s="1000"/>
      <c r="D2" s="1000"/>
      <c r="E2" s="1000"/>
      <c r="F2" s="1000"/>
      <c r="G2" s="1000"/>
      <c r="H2" s="1001"/>
      <c r="I2" s="925" t="s">
        <v>401</v>
      </c>
      <c r="J2" s="926"/>
      <c r="K2" s="926"/>
      <c r="L2" s="926"/>
      <c r="M2" s="926"/>
      <c r="N2" s="926"/>
      <c r="O2" s="927"/>
    </row>
    <row r="3" spans="1:15" s="204" customFormat="1" ht="18" customHeight="1" x14ac:dyDescent="0.2">
      <c r="A3" s="924"/>
      <c r="B3" s="219" t="s">
        <v>390</v>
      </c>
      <c r="C3" s="219" t="s">
        <v>391</v>
      </c>
      <c r="D3" s="219" t="s">
        <v>392</v>
      </c>
      <c r="E3" s="219" t="s">
        <v>393</v>
      </c>
      <c r="F3" s="219" t="s">
        <v>394</v>
      </c>
      <c r="G3" s="219" t="s">
        <v>395</v>
      </c>
      <c r="H3" s="219" t="s">
        <v>396</v>
      </c>
      <c r="I3" s="219" t="s">
        <v>390</v>
      </c>
      <c r="J3" s="219" t="s">
        <v>391</v>
      </c>
      <c r="K3" s="219" t="s">
        <v>392</v>
      </c>
      <c r="L3" s="219" t="s">
        <v>393</v>
      </c>
      <c r="M3" s="219" t="s">
        <v>394</v>
      </c>
      <c r="N3" s="219" t="s">
        <v>395</v>
      </c>
      <c r="O3" s="219" t="s">
        <v>396</v>
      </c>
    </row>
    <row r="4" spans="1:15" s="204" customFormat="1" ht="18" customHeight="1" x14ac:dyDescent="0.2">
      <c r="A4" s="1" t="s">
        <v>73</v>
      </c>
      <c r="B4" s="221">
        <v>9200220.8990000002</v>
      </c>
      <c r="C4" s="221">
        <v>168295.07449999999</v>
      </c>
      <c r="D4" s="221">
        <v>365744.80619999999</v>
      </c>
      <c r="E4" s="209">
        <v>76795.437569999995</v>
      </c>
      <c r="F4" s="209">
        <v>11624.22788</v>
      </c>
      <c r="G4" s="209">
        <v>12483.349190000001</v>
      </c>
      <c r="H4" s="209">
        <v>225.53186160000001</v>
      </c>
      <c r="I4" s="221">
        <v>6680611</v>
      </c>
      <c r="J4" s="209">
        <v>81513</v>
      </c>
      <c r="K4" s="209">
        <v>32141</v>
      </c>
      <c r="L4" s="209">
        <v>30965</v>
      </c>
      <c r="M4" s="208">
        <v>650</v>
      </c>
      <c r="N4" s="208">
        <v>643</v>
      </c>
      <c r="O4" s="208">
        <v>24</v>
      </c>
    </row>
    <row r="5" spans="1:15" s="204" customFormat="1" ht="18" customHeight="1" x14ac:dyDescent="0.2">
      <c r="A5" s="1" t="s">
        <v>76</v>
      </c>
      <c r="B5" s="221">
        <v>2172895.5219999999</v>
      </c>
      <c r="C5" s="209">
        <v>60708.914340000003</v>
      </c>
      <c r="D5" s="221">
        <v>116727.27959999999</v>
      </c>
      <c r="E5" s="209">
        <v>22346.4545</v>
      </c>
      <c r="F5" s="209">
        <v>907.0487253</v>
      </c>
      <c r="G5" s="209">
        <v>1379.287691</v>
      </c>
      <c r="H5" s="209">
        <v>15.256130089999999</v>
      </c>
      <c r="I5" s="221">
        <v>4288347</v>
      </c>
      <c r="J5" s="221">
        <v>154408</v>
      </c>
      <c r="K5" s="209">
        <v>72300</v>
      </c>
      <c r="L5" s="209">
        <v>31324</v>
      </c>
      <c r="M5" s="208">
        <v>2564</v>
      </c>
      <c r="N5" s="208">
        <v>2375</v>
      </c>
      <c r="O5" s="208">
        <v>25</v>
      </c>
    </row>
    <row r="6" spans="1:15" s="204" customFormat="1" ht="18" customHeight="1" x14ac:dyDescent="0.2">
      <c r="A6" s="207" t="s">
        <v>75</v>
      </c>
      <c r="B6" s="221">
        <v>655054.75670000003</v>
      </c>
      <c r="C6" s="209">
        <v>11949.74469</v>
      </c>
      <c r="D6" s="209">
        <v>23656.508689999999</v>
      </c>
      <c r="E6" s="209">
        <v>5267.9496369999997</v>
      </c>
      <c r="F6" s="209">
        <v>129.5959632</v>
      </c>
      <c r="G6" s="209">
        <v>221.4217347</v>
      </c>
      <c r="H6" s="209">
        <v>2.4798537180000002</v>
      </c>
      <c r="I6" s="221">
        <v>4875455</v>
      </c>
      <c r="J6" s="209">
        <v>67920</v>
      </c>
      <c r="K6" s="209">
        <v>42712</v>
      </c>
      <c r="L6" s="209">
        <v>36164</v>
      </c>
      <c r="M6" s="208">
        <v>1128</v>
      </c>
      <c r="N6" s="208">
        <v>1805</v>
      </c>
      <c r="O6" s="208">
        <v>47</v>
      </c>
    </row>
    <row r="7" spans="1:15" s="204" customFormat="1" ht="18" customHeight="1" x14ac:dyDescent="0.2">
      <c r="A7" s="207" t="s">
        <v>74</v>
      </c>
      <c r="B7" s="221">
        <v>663982.92599999998</v>
      </c>
      <c r="C7" s="209">
        <v>20144.290290000001</v>
      </c>
      <c r="D7" s="209">
        <v>37101.386590000002</v>
      </c>
      <c r="E7" s="209">
        <v>7695.0969370000003</v>
      </c>
      <c r="F7" s="209">
        <v>230.85869769999999</v>
      </c>
      <c r="G7" s="209">
        <v>367.38587510000002</v>
      </c>
      <c r="H7" s="209">
        <v>5.291468558</v>
      </c>
      <c r="I7" s="221">
        <v>4204478</v>
      </c>
      <c r="J7" s="221">
        <v>165613</v>
      </c>
      <c r="K7" s="209">
        <v>42731</v>
      </c>
      <c r="L7" s="209">
        <v>32939</v>
      </c>
      <c r="M7" s="208">
        <v>3028</v>
      </c>
      <c r="N7" s="208">
        <v>2283</v>
      </c>
      <c r="O7" s="208">
        <v>18</v>
      </c>
    </row>
    <row r="8" spans="1:15" s="204" customFormat="1" ht="18" customHeight="1" x14ac:dyDescent="0.2">
      <c r="A8" s="207" t="s">
        <v>849</v>
      </c>
      <c r="B8" s="221">
        <v>853857.83900000004</v>
      </c>
      <c r="C8" s="209">
        <v>28614.879359999999</v>
      </c>
      <c r="D8" s="209">
        <v>55969.384319999997</v>
      </c>
      <c r="E8" s="209">
        <v>9383.4079270000002</v>
      </c>
      <c r="F8" s="209">
        <v>546.59406430000001</v>
      </c>
      <c r="G8" s="209">
        <v>790.48008149999998</v>
      </c>
      <c r="H8" s="209">
        <v>7.4848078119999997</v>
      </c>
      <c r="I8" s="221">
        <v>4288347</v>
      </c>
      <c r="J8" s="221">
        <v>154408</v>
      </c>
      <c r="K8" s="209">
        <v>72300</v>
      </c>
      <c r="L8" s="209">
        <v>31324</v>
      </c>
      <c r="M8" s="208">
        <v>2564</v>
      </c>
      <c r="N8" s="208">
        <v>2375</v>
      </c>
      <c r="O8" s="208">
        <v>25</v>
      </c>
    </row>
    <row r="9" spans="1:15" s="204" customFormat="1" ht="18" customHeight="1" x14ac:dyDescent="0.2">
      <c r="A9" s="432" t="s">
        <v>1083</v>
      </c>
      <c r="B9" s="433"/>
      <c r="C9" s="431"/>
      <c r="D9" s="431"/>
      <c r="E9" s="431"/>
      <c r="F9" s="431"/>
      <c r="G9" s="431"/>
      <c r="H9" s="431"/>
      <c r="I9" s="433"/>
      <c r="J9" s="433"/>
      <c r="K9" s="431"/>
      <c r="L9" s="431"/>
      <c r="M9" s="430"/>
      <c r="N9" s="430"/>
      <c r="O9" s="430"/>
    </row>
    <row r="10" spans="1:15" s="204" customFormat="1" ht="14.25" customHeight="1" x14ac:dyDescent="0.2">
      <c r="A10" s="888" t="s">
        <v>402</v>
      </c>
      <c r="B10" s="888"/>
      <c r="C10" s="888"/>
      <c r="D10" s="888"/>
      <c r="E10" s="888"/>
      <c r="F10" s="888"/>
      <c r="G10" s="888"/>
      <c r="H10" s="888"/>
      <c r="I10" s="888"/>
    </row>
    <row r="11" spans="1:15" s="204" customFormat="1" ht="13.5" customHeight="1" x14ac:dyDescent="0.2">
      <c r="A11" s="888" t="s">
        <v>403</v>
      </c>
      <c r="B11" s="888"/>
      <c r="C11" s="888"/>
      <c r="D11" s="888"/>
      <c r="E11" s="888"/>
      <c r="F11" s="888"/>
      <c r="G11" s="888"/>
      <c r="H11" s="888"/>
      <c r="I11" s="888"/>
    </row>
    <row r="12" spans="1:15" s="204" customFormat="1" ht="13.5" customHeight="1" x14ac:dyDescent="0.2">
      <c r="A12" s="888" t="s">
        <v>848</v>
      </c>
      <c r="B12" s="888"/>
      <c r="C12" s="888"/>
      <c r="D12" s="888"/>
      <c r="E12" s="888"/>
      <c r="F12" s="888"/>
      <c r="G12" s="888"/>
      <c r="H12" s="888"/>
      <c r="I12" s="888"/>
    </row>
    <row r="13" spans="1:15" s="204" customFormat="1" ht="13.5" customHeight="1" x14ac:dyDescent="0.2">
      <c r="A13" s="887" t="s">
        <v>192</v>
      </c>
      <c r="B13" s="887"/>
      <c r="C13" s="887"/>
      <c r="D13" s="887"/>
      <c r="E13" s="887"/>
      <c r="F13" s="887"/>
      <c r="G13" s="887"/>
      <c r="H13" s="887"/>
      <c r="I13" s="887"/>
    </row>
    <row r="14" spans="1:15" s="204" customFormat="1" ht="24.6" customHeight="1" x14ac:dyDescent="0.2"/>
  </sheetData>
  <mergeCells count="8">
    <mergeCell ref="A13:I13"/>
    <mergeCell ref="A12:I12"/>
    <mergeCell ref="A11:I11"/>
    <mergeCell ref="A1:G1"/>
    <mergeCell ref="A2:A3"/>
    <mergeCell ref="B2:H2"/>
    <mergeCell ref="I2:O2"/>
    <mergeCell ref="A10:I10"/>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4"/>
  <sheetViews>
    <sheetView zoomScaleNormal="100" workbookViewId="0">
      <selection activeCell="H20" sqref="H20"/>
    </sheetView>
  </sheetViews>
  <sheetFormatPr defaultRowHeight="12.75" x14ac:dyDescent="0.2"/>
  <cols>
    <col min="1" max="9" width="14.7109375" bestFit="1" customWidth="1"/>
    <col min="10" max="10" width="5" bestFit="1" customWidth="1"/>
  </cols>
  <sheetData>
    <row r="1" spans="1:9" ht="18.75" customHeight="1" x14ac:dyDescent="0.2">
      <c r="A1" s="868" t="s">
        <v>948</v>
      </c>
      <c r="B1" s="863"/>
      <c r="C1" s="863"/>
      <c r="D1" s="863"/>
      <c r="E1" s="863"/>
      <c r="F1" s="863"/>
      <c r="G1" s="863"/>
    </row>
    <row r="2" spans="1:9" s="499" customFormat="1" ht="27" customHeight="1" x14ac:dyDescent="0.2">
      <c r="A2" s="799" t="s">
        <v>111</v>
      </c>
      <c r="B2" s="994" t="s">
        <v>143</v>
      </c>
      <c r="C2" s="995"/>
      <c r="D2" s="995"/>
      <c r="E2" s="996"/>
      <c r="F2" s="1002" t="s">
        <v>404</v>
      </c>
      <c r="G2" s="1003"/>
      <c r="H2" s="1003"/>
      <c r="I2" s="1004"/>
    </row>
    <row r="3" spans="1:9" s="499" customFormat="1" ht="18" customHeight="1" x14ac:dyDescent="0.2">
      <c r="A3" s="801"/>
      <c r="B3" s="561" t="s">
        <v>390</v>
      </c>
      <c r="C3" s="561" t="s">
        <v>391</v>
      </c>
      <c r="D3" s="561" t="s">
        <v>392</v>
      </c>
      <c r="E3" s="561" t="s">
        <v>393</v>
      </c>
      <c r="F3" s="561" t="s">
        <v>390</v>
      </c>
      <c r="G3" s="561" t="s">
        <v>391</v>
      </c>
      <c r="H3" s="561" t="s">
        <v>392</v>
      </c>
      <c r="I3" s="561" t="s">
        <v>393</v>
      </c>
    </row>
    <row r="4" spans="1:9" s="499" customFormat="1" ht="18" customHeight="1" x14ac:dyDescent="0.2">
      <c r="A4" s="502" t="s">
        <v>73</v>
      </c>
      <c r="B4" s="504">
        <v>43153.868839249997</v>
      </c>
      <c r="C4" s="504">
        <v>941.32911249999995</v>
      </c>
      <c r="D4" s="504">
        <v>1223.80989875</v>
      </c>
      <c r="E4" s="504">
        <v>5.5111017499999999</v>
      </c>
      <c r="F4" s="504">
        <v>6062</v>
      </c>
      <c r="G4" s="504">
        <v>11</v>
      </c>
      <c r="H4" s="504">
        <v>0</v>
      </c>
      <c r="I4" s="504">
        <v>0</v>
      </c>
    </row>
    <row r="5" spans="1:9" s="499" customFormat="1" ht="18" customHeight="1" x14ac:dyDescent="0.2">
      <c r="A5" s="502" t="s">
        <v>76</v>
      </c>
      <c r="B5" s="504">
        <v>6307.3557012499996</v>
      </c>
      <c r="C5" s="504">
        <v>25.68000425</v>
      </c>
      <c r="D5" s="504">
        <v>8.9203755000000005</v>
      </c>
      <c r="E5" s="504">
        <v>0</v>
      </c>
      <c r="F5" s="504">
        <v>15405</v>
      </c>
      <c r="G5" s="504">
        <v>201</v>
      </c>
      <c r="H5" s="504">
        <v>77</v>
      </c>
      <c r="I5" s="504">
        <v>0</v>
      </c>
    </row>
    <row r="6" spans="1:9" s="499" customFormat="1" ht="18" customHeight="1" x14ac:dyDescent="0.2">
      <c r="A6" s="502" t="s">
        <v>75</v>
      </c>
      <c r="B6" s="504">
        <v>1782.7734902499999</v>
      </c>
      <c r="C6" s="504">
        <v>1.07487325</v>
      </c>
      <c r="D6" s="504">
        <v>1.4330572500000001</v>
      </c>
      <c r="E6" s="504">
        <v>0</v>
      </c>
      <c r="F6" s="504">
        <v>21998</v>
      </c>
      <c r="G6" s="504">
        <v>52</v>
      </c>
      <c r="H6" s="504">
        <v>25</v>
      </c>
      <c r="I6" s="504">
        <v>0</v>
      </c>
    </row>
    <row r="7" spans="1:9" s="499" customFormat="1" ht="18" customHeight="1" x14ac:dyDescent="0.2">
      <c r="A7" s="502" t="s">
        <v>74</v>
      </c>
      <c r="B7" s="504">
        <v>1694.2693977500001</v>
      </c>
      <c r="C7" s="504">
        <v>5.6188107499999997</v>
      </c>
      <c r="D7" s="504">
        <v>2.5352252499999999</v>
      </c>
      <c r="E7" s="504">
        <v>0</v>
      </c>
      <c r="F7" s="504">
        <v>9148</v>
      </c>
      <c r="G7" s="504">
        <v>506</v>
      </c>
      <c r="H7" s="504">
        <v>25</v>
      </c>
      <c r="I7" s="504">
        <v>0</v>
      </c>
    </row>
    <row r="8" spans="1:9" s="499" customFormat="1" ht="18" customHeight="1" x14ac:dyDescent="0.2">
      <c r="A8" s="502" t="s">
        <v>849</v>
      </c>
      <c r="B8" s="504">
        <v>2830.3128132500001</v>
      </c>
      <c r="C8" s="504">
        <v>18.986320249999999</v>
      </c>
      <c r="D8" s="504">
        <v>4.9520929999999996</v>
      </c>
      <c r="E8" s="504">
        <v>0</v>
      </c>
      <c r="F8" s="504">
        <v>15405</v>
      </c>
      <c r="G8" s="504">
        <v>201</v>
      </c>
      <c r="H8" s="504">
        <v>77</v>
      </c>
      <c r="I8" s="504">
        <v>0</v>
      </c>
    </row>
    <row r="9" spans="1:9" s="499" customFormat="1" ht="18" customHeight="1" x14ac:dyDescent="0.2">
      <c r="A9" s="438" t="s">
        <v>1083</v>
      </c>
      <c r="B9" s="437"/>
      <c r="C9" s="437"/>
      <c r="D9" s="437"/>
      <c r="E9" s="437"/>
      <c r="F9" s="437"/>
      <c r="G9" s="437"/>
      <c r="H9" s="437"/>
      <c r="I9" s="437"/>
    </row>
    <row r="10" spans="1:9" s="499" customFormat="1" ht="15.75" customHeight="1" x14ac:dyDescent="0.2">
      <c r="A10" s="786" t="s">
        <v>405</v>
      </c>
      <c r="B10" s="786"/>
      <c r="C10" s="786"/>
      <c r="D10" s="786"/>
      <c r="E10" s="786"/>
      <c r="F10" s="786"/>
      <c r="G10" s="786"/>
      <c r="H10" s="786"/>
      <c r="I10" s="786"/>
    </row>
    <row r="11" spans="1:9" s="499" customFormat="1" ht="15" customHeight="1" x14ac:dyDescent="0.2">
      <c r="A11" s="786" t="s">
        <v>406</v>
      </c>
      <c r="B11" s="786"/>
      <c r="C11" s="786"/>
      <c r="D11" s="786"/>
      <c r="E11" s="786"/>
      <c r="F11" s="786"/>
      <c r="G11" s="786"/>
      <c r="H11" s="786"/>
      <c r="I11" s="786"/>
    </row>
    <row r="12" spans="1:9" s="499" customFormat="1" ht="15" customHeight="1" x14ac:dyDescent="0.2">
      <c r="A12" s="786" t="s">
        <v>848</v>
      </c>
      <c r="B12" s="786"/>
      <c r="C12" s="786"/>
      <c r="D12" s="786"/>
      <c r="E12" s="786"/>
      <c r="F12" s="786"/>
      <c r="G12" s="786"/>
      <c r="H12" s="786"/>
      <c r="I12" s="786"/>
    </row>
    <row r="13" spans="1:9" s="499" customFormat="1" ht="15" customHeight="1" x14ac:dyDescent="0.2">
      <c r="A13" s="797" t="s">
        <v>162</v>
      </c>
      <c r="B13" s="797"/>
      <c r="C13" s="797"/>
      <c r="D13" s="797"/>
      <c r="E13" s="797"/>
      <c r="F13" s="797"/>
      <c r="G13" s="797"/>
      <c r="H13" s="797"/>
      <c r="I13" s="797"/>
    </row>
    <row r="14" spans="1:9" s="499" customFormat="1" ht="24.6" customHeight="1" x14ac:dyDescent="0.2"/>
  </sheetData>
  <mergeCells count="8">
    <mergeCell ref="A13:I13"/>
    <mergeCell ref="A12:I12"/>
    <mergeCell ref="A11:I11"/>
    <mergeCell ref="A1:G1"/>
    <mergeCell ref="A2:A3"/>
    <mergeCell ref="B2:E2"/>
    <mergeCell ref="F2:I2"/>
    <mergeCell ref="A10:I10"/>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13"/>
  <sheetViews>
    <sheetView zoomScaleNormal="100" workbookViewId="0">
      <selection activeCell="J25" sqref="J25"/>
    </sheetView>
  </sheetViews>
  <sheetFormatPr defaultRowHeight="12.75" x14ac:dyDescent="0.2"/>
  <cols>
    <col min="1" max="9" width="12.140625" bestFit="1" customWidth="1"/>
    <col min="10" max="10" width="22.42578125" bestFit="1" customWidth="1"/>
    <col min="11" max="11" width="4.7109375" bestFit="1" customWidth="1"/>
  </cols>
  <sheetData>
    <row r="1" spans="1:10" ht="13.5" customHeight="1" x14ac:dyDescent="0.2">
      <c r="A1" s="1005" t="s">
        <v>1003</v>
      </c>
      <c r="B1" s="963"/>
      <c r="C1" s="963"/>
      <c r="D1" s="963"/>
      <c r="E1" s="963"/>
      <c r="F1" s="963"/>
      <c r="G1" s="963"/>
      <c r="H1" s="963"/>
      <c r="I1" s="963"/>
      <c r="J1" s="963"/>
    </row>
    <row r="2" spans="1:10" ht="13.5" customHeight="1" x14ac:dyDescent="0.2">
      <c r="A2" s="635"/>
      <c r="B2" s="629"/>
      <c r="C2" s="629"/>
      <c r="D2" s="629"/>
      <c r="E2" s="629"/>
      <c r="F2" s="629"/>
      <c r="G2" s="629"/>
      <c r="H2" s="629"/>
      <c r="I2" s="629" t="s">
        <v>1002</v>
      </c>
      <c r="J2" s="629"/>
    </row>
    <row r="3" spans="1:10" s="499" customFormat="1" ht="19.5" customHeight="1" x14ac:dyDescent="0.2">
      <c r="A3" s="799" t="s">
        <v>111</v>
      </c>
      <c r="B3" s="806" t="s">
        <v>377</v>
      </c>
      <c r="C3" s="877"/>
      <c r="D3" s="877"/>
      <c r="E3" s="807"/>
      <c r="F3" s="806" t="s">
        <v>385</v>
      </c>
      <c r="G3" s="877"/>
      <c r="H3" s="877"/>
      <c r="I3" s="807"/>
    </row>
    <row r="4" spans="1:10" s="499" customFormat="1" ht="15" customHeight="1" x14ac:dyDescent="0.2">
      <c r="A4" s="801"/>
      <c r="B4" s="561" t="s">
        <v>407</v>
      </c>
      <c r="C4" s="561" t="s">
        <v>408</v>
      </c>
      <c r="D4" s="561" t="s">
        <v>409</v>
      </c>
      <c r="E4" s="561" t="s">
        <v>410</v>
      </c>
      <c r="F4" s="561" t="s">
        <v>407</v>
      </c>
      <c r="G4" s="561" t="s">
        <v>408</v>
      </c>
      <c r="H4" s="561" t="s">
        <v>409</v>
      </c>
      <c r="I4" s="561" t="s">
        <v>410</v>
      </c>
    </row>
    <row r="5" spans="1:10" s="499" customFormat="1" ht="17.25" customHeight="1" x14ac:dyDescent="0.2">
      <c r="A5" s="502" t="s">
        <v>73</v>
      </c>
      <c r="B5" s="549">
        <v>2414981.7793000001</v>
      </c>
      <c r="C5" s="549">
        <v>345729.96879999997</v>
      </c>
      <c r="D5" s="504">
        <v>10549.547200000001</v>
      </c>
      <c r="E5" s="504">
        <v>531.93679999999995</v>
      </c>
      <c r="F5" s="549">
        <v>3124335.8001999999</v>
      </c>
      <c r="G5" s="549">
        <v>235545.02340000001</v>
      </c>
      <c r="H5" s="504">
        <v>127.5506</v>
      </c>
      <c r="I5" s="504">
        <v>0</v>
      </c>
    </row>
    <row r="6" spans="1:10" s="499" customFormat="1" ht="17.25" customHeight="1" x14ac:dyDescent="0.2">
      <c r="A6" s="502" t="s">
        <v>76</v>
      </c>
      <c r="B6" s="549">
        <v>322296.42</v>
      </c>
      <c r="C6" s="549">
        <v>105161.09</v>
      </c>
      <c r="D6" s="504">
        <v>1750.65</v>
      </c>
      <c r="E6" s="504">
        <v>14.38</v>
      </c>
      <c r="F6" s="549">
        <v>386566.7</v>
      </c>
      <c r="G6" s="549">
        <v>106488.4</v>
      </c>
      <c r="H6" s="504">
        <v>17.010000000000002</v>
      </c>
      <c r="I6" s="504">
        <v>0</v>
      </c>
    </row>
    <row r="7" spans="1:10" s="499" customFormat="1" ht="17.25" customHeight="1" x14ac:dyDescent="0.2">
      <c r="A7" s="502" t="s">
        <v>75</v>
      </c>
      <c r="B7" s="504">
        <v>94355.03</v>
      </c>
      <c r="C7" s="504">
        <v>43315.96</v>
      </c>
      <c r="D7" s="504">
        <v>1144.9000000000001</v>
      </c>
      <c r="E7" s="504">
        <v>4.4000000000000004</v>
      </c>
      <c r="F7" s="504">
        <v>97103.31</v>
      </c>
      <c r="G7" s="504">
        <v>35217.67</v>
      </c>
      <c r="H7" s="504">
        <v>3.11</v>
      </c>
      <c r="I7" s="504">
        <v>0</v>
      </c>
    </row>
    <row r="8" spans="1:10" s="499" customFormat="1" ht="17.25" customHeight="1" x14ac:dyDescent="0.2">
      <c r="A8" s="502" t="s">
        <v>74</v>
      </c>
      <c r="B8" s="504">
        <v>98146.42</v>
      </c>
      <c r="C8" s="504">
        <v>24875.23</v>
      </c>
      <c r="D8" s="504">
        <v>274.55</v>
      </c>
      <c r="E8" s="504">
        <v>8.24</v>
      </c>
      <c r="F8" s="504">
        <v>89806.55</v>
      </c>
      <c r="G8" s="504">
        <v>33912.230000000003</v>
      </c>
      <c r="H8" s="504">
        <v>7.81</v>
      </c>
      <c r="I8" s="504">
        <v>0</v>
      </c>
    </row>
    <row r="9" spans="1:10" s="499" customFormat="1" ht="17.25" customHeight="1" x14ac:dyDescent="0.2">
      <c r="A9" s="502" t="s">
        <v>849</v>
      </c>
      <c r="B9" s="549">
        <v>129794.97</v>
      </c>
      <c r="C9" s="504">
        <v>36969.9</v>
      </c>
      <c r="D9" s="504">
        <v>331.2</v>
      </c>
      <c r="E9" s="504">
        <v>1.74</v>
      </c>
      <c r="F9" s="549">
        <v>199656.84</v>
      </c>
      <c r="G9" s="504">
        <v>37358.5</v>
      </c>
      <c r="H9" s="504">
        <v>6.09</v>
      </c>
      <c r="I9" s="504">
        <v>0</v>
      </c>
    </row>
    <row r="10" spans="1:10" s="499" customFormat="1" ht="17.25" customHeight="1" x14ac:dyDescent="0.2">
      <c r="A10" s="438" t="s">
        <v>1083</v>
      </c>
      <c r="B10" s="559"/>
      <c r="C10" s="437"/>
      <c r="D10" s="437"/>
      <c r="E10" s="437"/>
      <c r="F10" s="559"/>
      <c r="G10" s="437"/>
      <c r="H10" s="437"/>
      <c r="I10" s="437"/>
    </row>
    <row r="11" spans="1:10" s="499" customFormat="1" ht="13.5" customHeight="1" x14ac:dyDescent="0.2">
      <c r="A11" s="939" t="s">
        <v>848</v>
      </c>
      <c r="B11" s="939"/>
      <c r="C11" s="939"/>
      <c r="D11" s="939"/>
      <c r="E11" s="939"/>
      <c r="F11" s="939"/>
      <c r="G11" s="939"/>
      <c r="H11" s="939"/>
      <c r="I11" s="939"/>
    </row>
    <row r="12" spans="1:10" s="499" customFormat="1" ht="15" customHeight="1" x14ac:dyDescent="0.2">
      <c r="A12" s="860" t="s">
        <v>383</v>
      </c>
      <c r="B12" s="860"/>
      <c r="C12" s="860"/>
      <c r="D12" s="860"/>
      <c r="E12" s="860"/>
      <c r="F12" s="860"/>
      <c r="G12" s="860"/>
      <c r="H12" s="860"/>
      <c r="I12" s="860"/>
    </row>
    <row r="13" spans="1:10" s="499" customFormat="1" ht="28.35" customHeight="1" x14ac:dyDescent="0.2"/>
  </sheetData>
  <mergeCells count="6">
    <mergeCell ref="A12:I12"/>
    <mergeCell ref="A1:J1"/>
    <mergeCell ref="A3:A4"/>
    <mergeCell ref="B3:E3"/>
    <mergeCell ref="F3:I3"/>
    <mergeCell ref="A11:I11"/>
  </mergeCells>
  <pageMargins left="0.78431372549019618" right="0.78431372549019618" top="0.98039215686274517" bottom="0.98039215686274517" header="0.50980392156862753" footer="0.50980392156862753"/>
  <pageSetup paperSize="9" orientation="portrait" useFirstPageNumber="1" r:id="rId1"/>
  <headerFooter alignWithMargins="0"/>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3"/>
  <sheetViews>
    <sheetView zoomScaleNormal="100" workbookViewId="0">
      <selection activeCell="I22" sqref="I22"/>
    </sheetView>
  </sheetViews>
  <sheetFormatPr defaultRowHeight="12.75" x14ac:dyDescent="0.2"/>
  <cols>
    <col min="1" max="8" width="12.140625" bestFit="1" customWidth="1"/>
    <col min="9" max="9" width="12.42578125" bestFit="1" customWidth="1"/>
    <col min="10" max="10" width="4.7109375" bestFit="1" customWidth="1"/>
  </cols>
  <sheetData>
    <row r="1" spans="1:9" ht="17.25" customHeight="1" x14ac:dyDescent="0.2">
      <c r="A1" s="1006" t="s">
        <v>1005</v>
      </c>
      <c r="B1" s="1007"/>
      <c r="C1" s="1007"/>
      <c r="D1" s="1007"/>
      <c r="E1" s="1007"/>
      <c r="F1" s="1007"/>
      <c r="G1" s="1007"/>
      <c r="H1" s="1007"/>
      <c r="I1" s="1007"/>
    </row>
    <row r="2" spans="1:9" ht="17.25" customHeight="1" x14ac:dyDescent="0.2">
      <c r="A2" s="636"/>
      <c r="B2" s="637"/>
      <c r="C2" s="637"/>
      <c r="D2" s="637"/>
      <c r="E2" s="637"/>
      <c r="F2" s="637"/>
      <c r="G2" s="637"/>
      <c r="H2" s="637"/>
      <c r="I2" s="637" t="s">
        <v>1002</v>
      </c>
    </row>
    <row r="3" spans="1:9" s="499" customFormat="1" ht="18" customHeight="1" x14ac:dyDescent="0.2">
      <c r="A3" s="871" t="s">
        <v>111</v>
      </c>
      <c r="B3" s="884" t="s">
        <v>377</v>
      </c>
      <c r="C3" s="877"/>
      <c r="D3" s="877"/>
      <c r="E3" s="807"/>
      <c r="F3" s="806" t="s">
        <v>385</v>
      </c>
      <c r="G3" s="877"/>
      <c r="H3" s="877"/>
      <c r="I3" s="807"/>
    </row>
    <row r="4" spans="1:9" s="499" customFormat="1" ht="18" customHeight="1" x14ac:dyDescent="0.2">
      <c r="A4" s="872"/>
      <c r="B4" s="561" t="s">
        <v>407</v>
      </c>
      <c r="C4" s="561" t="s">
        <v>411</v>
      </c>
      <c r="D4" s="561" t="s">
        <v>409</v>
      </c>
      <c r="E4" s="561" t="s">
        <v>410</v>
      </c>
      <c r="F4" s="561" t="s">
        <v>407</v>
      </c>
      <c r="G4" s="561" t="s">
        <v>408</v>
      </c>
      <c r="H4" s="561" t="s">
        <v>409</v>
      </c>
      <c r="I4" s="561" t="s">
        <v>410</v>
      </c>
    </row>
    <row r="5" spans="1:9" s="499" customFormat="1" ht="16.5" customHeight="1" x14ac:dyDescent="0.2">
      <c r="A5" s="502" t="s">
        <v>73</v>
      </c>
      <c r="B5" s="549">
        <v>3697571.6570000001</v>
      </c>
      <c r="C5" s="549">
        <v>991649.22309999994</v>
      </c>
      <c r="D5" s="504">
        <v>77821.751610000007</v>
      </c>
      <c r="E5" s="504">
        <v>39596.808019999997</v>
      </c>
      <c r="F5" s="549">
        <v>2565212.378</v>
      </c>
      <c r="G5" s="549">
        <v>942140.94609999994</v>
      </c>
      <c r="H5" s="549">
        <v>440868.72080000001</v>
      </c>
      <c r="I5" s="549">
        <v>899532.28419999999</v>
      </c>
    </row>
    <row r="6" spans="1:9" s="499" customFormat="1" ht="16.5" customHeight="1" x14ac:dyDescent="0.2">
      <c r="A6" s="502" t="s">
        <v>76</v>
      </c>
      <c r="B6" s="549">
        <v>939234.56189999997</v>
      </c>
      <c r="C6" s="549">
        <v>232761.1035</v>
      </c>
      <c r="D6" s="504">
        <v>17987.456020000001</v>
      </c>
      <c r="E6" s="504">
        <v>6255.8594579999999</v>
      </c>
      <c r="F6" s="549">
        <v>660794.54469999997</v>
      </c>
      <c r="G6" s="549">
        <v>229769.34539999999</v>
      </c>
      <c r="H6" s="504">
        <v>99961.355150000003</v>
      </c>
      <c r="I6" s="549">
        <v>188215.53659999999</v>
      </c>
    </row>
    <row r="7" spans="1:9" s="499" customFormat="1" ht="16.5" customHeight="1" x14ac:dyDescent="0.2">
      <c r="A7" s="502" t="s">
        <v>75</v>
      </c>
      <c r="B7" s="549">
        <v>282105.40490000002</v>
      </c>
      <c r="C7" s="504">
        <v>81657.161569999997</v>
      </c>
      <c r="D7" s="504">
        <v>6045.598669</v>
      </c>
      <c r="E7" s="504">
        <v>2397.3038889999998</v>
      </c>
      <c r="F7" s="549">
        <v>153692.5281</v>
      </c>
      <c r="G7" s="504">
        <v>74087.095490000007</v>
      </c>
      <c r="H7" s="504">
        <v>31407.265029999999</v>
      </c>
      <c r="I7" s="504">
        <v>64890.099569999998</v>
      </c>
    </row>
    <row r="8" spans="1:9" s="499" customFormat="1" ht="16.5" customHeight="1" x14ac:dyDescent="0.2">
      <c r="A8" s="502" t="s">
        <v>74</v>
      </c>
      <c r="B8" s="549">
        <v>289073.96289999998</v>
      </c>
      <c r="C8" s="504">
        <v>71291.097030000004</v>
      </c>
      <c r="D8" s="504">
        <v>6200.1757619999998</v>
      </c>
      <c r="E8" s="504">
        <v>1243.3119360000001</v>
      </c>
      <c r="F8" s="549">
        <v>193516.68460000001</v>
      </c>
      <c r="G8" s="504">
        <v>76267.898230000006</v>
      </c>
      <c r="H8" s="504">
        <v>36481.874389999997</v>
      </c>
      <c r="I8" s="504">
        <v>55452.230940000001</v>
      </c>
    </row>
    <row r="9" spans="1:9" s="499" customFormat="1" ht="16.5" customHeight="1" x14ac:dyDescent="0.2">
      <c r="A9" s="502" t="s">
        <v>849</v>
      </c>
      <c r="B9" s="549">
        <v>368055.19400000002</v>
      </c>
      <c r="C9" s="504">
        <v>79812.844859999997</v>
      </c>
      <c r="D9" s="504">
        <v>5741.6815909999996</v>
      </c>
      <c r="E9" s="504">
        <v>2615.243633</v>
      </c>
      <c r="F9" s="549">
        <v>313585.3321</v>
      </c>
      <c r="G9" s="504">
        <v>79414.351620000001</v>
      </c>
      <c r="H9" s="504">
        <v>32072.21573</v>
      </c>
      <c r="I9" s="504">
        <v>67873.206059999997</v>
      </c>
    </row>
    <row r="10" spans="1:9" s="499" customFormat="1" ht="16.5" customHeight="1" x14ac:dyDescent="0.2">
      <c r="A10" s="438" t="s">
        <v>1083</v>
      </c>
      <c r="B10" s="559"/>
      <c r="C10" s="437"/>
      <c r="D10" s="437"/>
      <c r="E10" s="437"/>
      <c r="F10" s="559"/>
      <c r="G10" s="437"/>
      <c r="H10" s="437"/>
      <c r="I10" s="437"/>
    </row>
    <row r="11" spans="1:9" s="499" customFormat="1" ht="13.5" customHeight="1" x14ac:dyDescent="0.2">
      <c r="A11" s="786" t="s">
        <v>848</v>
      </c>
      <c r="B11" s="786"/>
      <c r="C11" s="786"/>
      <c r="D11" s="786"/>
      <c r="E11" s="786"/>
      <c r="F11" s="786"/>
      <c r="G11" s="786"/>
      <c r="H11" s="786"/>
      <c r="I11" s="786"/>
    </row>
    <row r="12" spans="1:9" s="499" customFormat="1" ht="15" customHeight="1" x14ac:dyDescent="0.2">
      <c r="A12" s="797" t="s">
        <v>192</v>
      </c>
      <c r="B12" s="797"/>
      <c r="C12" s="797"/>
      <c r="D12" s="797"/>
      <c r="E12" s="797"/>
      <c r="F12" s="797"/>
      <c r="G12" s="797"/>
      <c r="H12" s="797"/>
      <c r="I12" s="797"/>
    </row>
    <row r="13" spans="1:9" s="499" customFormat="1" ht="26.1" customHeight="1" x14ac:dyDescent="0.2"/>
  </sheetData>
  <mergeCells count="6">
    <mergeCell ref="A12:I12"/>
    <mergeCell ref="A1:I1"/>
    <mergeCell ref="A3:A4"/>
    <mergeCell ref="B3:E3"/>
    <mergeCell ref="F3:I3"/>
    <mergeCell ref="A11:I11"/>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3"/>
  <sheetViews>
    <sheetView zoomScaleNormal="100" workbookViewId="0">
      <selection activeCell="N22" sqref="N22"/>
    </sheetView>
  </sheetViews>
  <sheetFormatPr defaultRowHeight="12.75" x14ac:dyDescent="0.2"/>
  <cols>
    <col min="1" max="9" width="12.140625" bestFit="1" customWidth="1"/>
    <col min="10" max="10" width="4.7109375" bestFit="1" customWidth="1"/>
  </cols>
  <sheetData>
    <row r="1" spans="1:9" ht="15.75" customHeight="1" x14ac:dyDescent="0.2">
      <c r="A1" s="1006" t="s">
        <v>1010</v>
      </c>
      <c r="B1" s="1007"/>
      <c r="C1" s="1007"/>
      <c r="D1" s="1007"/>
      <c r="E1" s="1007"/>
      <c r="F1" s="1007"/>
      <c r="G1" s="1007"/>
      <c r="H1" s="1007"/>
      <c r="I1" s="1007"/>
    </row>
    <row r="2" spans="1:9" ht="15.75" customHeight="1" x14ac:dyDescent="0.2">
      <c r="A2" s="636"/>
      <c r="B2" s="637"/>
      <c r="C2" s="637"/>
      <c r="D2" s="637"/>
      <c r="E2" s="637"/>
      <c r="F2" s="637"/>
      <c r="G2" s="637"/>
      <c r="H2" s="637"/>
      <c r="I2" s="637" t="s">
        <v>1002</v>
      </c>
    </row>
    <row r="3" spans="1:9" s="499" customFormat="1" ht="18" customHeight="1" x14ac:dyDescent="0.2">
      <c r="A3" s="871" t="s">
        <v>111</v>
      </c>
      <c r="B3" s="884" t="s">
        <v>377</v>
      </c>
      <c r="C3" s="877"/>
      <c r="D3" s="877"/>
      <c r="E3" s="807"/>
      <c r="F3" s="806" t="s">
        <v>385</v>
      </c>
      <c r="G3" s="877"/>
      <c r="H3" s="877"/>
      <c r="I3" s="807"/>
    </row>
    <row r="4" spans="1:9" s="499" customFormat="1" ht="18" customHeight="1" x14ac:dyDescent="0.2">
      <c r="A4" s="872"/>
      <c r="B4" s="561" t="s">
        <v>407</v>
      </c>
      <c r="C4" s="561" t="s">
        <v>411</v>
      </c>
      <c r="D4" s="561" t="s">
        <v>409</v>
      </c>
      <c r="E4" s="561" t="s">
        <v>410</v>
      </c>
      <c r="F4" s="561" t="s">
        <v>407</v>
      </c>
      <c r="G4" s="561" t="s">
        <v>408</v>
      </c>
      <c r="H4" s="561" t="s">
        <v>409</v>
      </c>
      <c r="I4" s="561" t="s">
        <v>410</v>
      </c>
    </row>
    <row r="5" spans="1:9" s="499" customFormat="1" ht="17.25" customHeight="1" x14ac:dyDescent="0.2">
      <c r="A5" s="502" t="s">
        <v>73</v>
      </c>
      <c r="B5" s="504">
        <v>39121.486169999996</v>
      </c>
      <c r="C5" s="504">
        <v>2373.3683209999999</v>
      </c>
      <c r="D5" s="504">
        <v>25.859646250000001</v>
      </c>
      <c r="E5" s="504">
        <v>0.35620000000000002</v>
      </c>
      <c r="F5" s="504">
        <v>371.327628</v>
      </c>
      <c r="G5" s="504">
        <v>65.06337225</v>
      </c>
      <c r="H5" s="504">
        <v>0</v>
      </c>
      <c r="I5" s="504">
        <v>0</v>
      </c>
    </row>
    <row r="6" spans="1:9" s="499" customFormat="1" ht="17.25" customHeight="1" x14ac:dyDescent="0.2">
      <c r="A6" s="502" t="s">
        <v>76</v>
      </c>
      <c r="B6" s="504">
        <v>5673.2211432499998</v>
      </c>
      <c r="C6" s="504">
        <v>660.35650050000004</v>
      </c>
      <c r="D6" s="504">
        <v>8.3784372499999993</v>
      </c>
      <c r="E6" s="504">
        <v>0</v>
      </c>
      <c r="F6" s="504">
        <v>0</v>
      </c>
      <c r="G6" s="504">
        <v>0</v>
      </c>
      <c r="H6" s="504">
        <v>0</v>
      </c>
      <c r="I6" s="504">
        <v>0</v>
      </c>
    </row>
    <row r="7" spans="1:9" s="499" customFormat="1" ht="17.25" customHeight="1" x14ac:dyDescent="0.2">
      <c r="A7" s="502" t="s">
        <v>75</v>
      </c>
      <c r="B7" s="504">
        <v>1556.7071227500001</v>
      </c>
      <c r="C7" s="504">
        <v>227.80689924999999</v>
      </c>
      <c r="D7" s="504">
        <v>0.76739875000000002</v>
      </c>
      <c r="E7" s="504">
        <v>0</v>
      </c>
      <c r="F7" s="504">
        <v>0</v>
      </c>
      <c r="G7" s="504">
        <v>0</v>
      </c>
      <c r="H7" s="504">
        <v>0</v>
      </c>
      <c r="I7" s="504">
        <v>0</v>
      </c>
    </row>
    <row r="8" spans="1:9" s="499" customFormat="1" ht="17.25" customHeight="1" x14ac:dyDescent="0.2">
      <c r="A8" s="502" t="s">
        <v>74</v>
      </c>
      <c r="B8" s="504">
        <v>1483.9977269999999</v>
      </c>
      <c r="C8" s="504">
        <v>211.95682479999999</v>
      </c>
      <c r="D8" s="504">
        <v>6.4688822500000001</v>
      </c>
      <c r="E8" s="504">
        <v>0</v>
      </c>
      <c r="F8" s="504">
        <v>0</v>
      </c>
      <c r="G8" s="504">
        <v>0</v>
      </c>
      <c r="H8" s="504">
        <v>0</v>
      </c>
      <c r="I8" s="504">
        <v>0</v>
      </c>
    </row>
    <row r="9" spans="1:9" s="499" customFormat="1" ht="17.25" customHeight="1" x14ac:dyDescent="0.2">
      <c r="A9" s="502" t="s">
        <v>849</v>
      </c>
      <c r="B9" s="504">
        <v>2632.5162937499999</v>
      </c>
      <c r="C9" s="504">
        <v>220.59277650000001</v>
      </c>
      <c r="D9" s="504">
        <v>1.14215625</v>
      </c>
      <c r="E9" s="504">
        <v>0</v>
      </c>
      <c r="F9" s="504">
        <v>0</v>
      </c>
      <c r="G9" s="504">
        <v>0</v>
      </c>
      <c r="H9" s="504">
        <v>0</v>
      </c>
      <c r="I9" s="504">
        <v>0</v>
      </c>
    </row>
    <row r="10" spans="1:9" s="499" customFormat="1" ht="17.25" customHeight="1" x14ac:dyDescent="0.2">
      <c r="A10" s="438" t="s">
        <v>1083</v>
      </c>
      <c r="B10" s="437"/>
      <c r="C10" s="437"/>
      <c r="D10" s="437"/>
      <c r="E10" s="437"/>
      <c r="F10" s="437"/>
      <c r="G10" s="437"/>
      <c r="H10" s="437"/>
      <c r="I10" s="437"/>
    </row>
    <row r="11" spans="1:9" s="499" customFormat="1" ht="13.5" customHeight="1" x14ac:dyDescent="0.2">
      <c r="A11" s="939" t="s">
        <v>848</v>
      </c>
      <c r="B11" s="939"/>
      <c r="C11" s="939"/>
      <c r="D11" s="939"/>
      <c r="E11" s="939"/>
      <c r="F11" s="939"/>
      <c r="G11" s="939"/>
      <c r="H11" s="939"/>
      <c r="I11" s="939"/>
    </row>
    <row r="12" spans="1:9" s="499" customFormat="1" ht="15" customHeight="1" x14ac:dyDescent="0.2">
      <c r="A12" s="860" t="s">
        <v>162</v>
      </c>
      <c r="B12" s="860"/>
      <c r="C12" s="860"/>
      <c r="D12" s="860"/>
      <c r="E12" s="860"/>
      <c r="F12" s="860"/>
      <c r="G12" s="860"/>
      <c r="H12" s="860"/>
      <c r="I12" s="860"/>
    </row>
    <row r="13" spans="1:9" s="499" customFormat="1" ht="27.6" customHeight="1" x14ac:dyDescent="0.2"/>
  </sheetData>
  <mergeCells count="6">
    <mergeCell ref="A12:I12"/>
    <mergeCell ref="A1:I1"/>
    <mergeCell ref="A3:A4"/>
    <mergeCell ref="B3:E3"/>
    <mergeCell ref="F3:I3"/>
    <mergeCell ref="A11:I11"/>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13"/>
  <sheetViews>
    <sheetView zoomScaleNormal="100" workbookViewId="0">
      <selection activeCell="M22" sqref="M22"/>
    </sheetView>
  </sheetViews>
  <sheetFormatPr defaultRowHeight="12.75" x14ac:dyDescent="0.2"/>
  <cols>
    <col min="1" max="1" width="12.140625" bestFit="1" customWidth="1"/>
    <col min="2" max="2" width="8.28515625" bestFit="1" customWidth="1"/>
    <col min="3" max="3" width="10.140625" bestFit="1" customWidth="1"/>
    <col min="4" max="4" width="13" bestFit="1" customWidth="1"/>
    <col min="5" max="5" width="10.140625" bestFit="1" customWidth="1"/>
    <col min="6" max="6" width="12.7109375" bestFit="1" customWidth="1"/>
    <col min="7" max="7" width="11.42578125" bestFit="1" customWidth="1"/>
    <col min="8" max="8" width="12.7109375" bestFit="1" customWidth="1"/>
    <col min="9" max="9" width="8.28515625" bestFit="1" customWidth="1"/>
    <col min="10" max="10" width="14.140625" bestFit="1" customWidth="1"/>
    <col min="11" max="14" width="12.140625" bestFit="1" customWidth="1"/>
    <col min="15" max="15" width="4.7109375" bestFit="1" customWidth="1"/>
  </cols>
  <sheetData>
    <row r="1" spans="1:14" ht="15.75" customHeight="1" x14ac:dyDescent="0.2">
      <c r="A1" s="913" t="s">
        <v>1011</v>
      </c>
      <c r="B1" s="913"/>
      <c r="C1" s="913"/>
      <c r="D1" s="913"/>
      <c r="E1" s="913"/>
      <c r="F1" s="913"/>
      <c r="G1" s="913"/>
      <c r="H1" s="913"/>
      <c r="I1" s="913"/>
      <c r="J1" s="913"/>
      <c r="K1" s="913"/>
      <c r="L1" s="913"/>
      <c r="M1" s="913"/>
    </row>
    <row r="2" spans="1:14" s="499" customFormat="1" ht="19.5" customHeight="1" x14ac:dyDescent="0.2">
      <c r="A2" s="810" t="s">
        <v>86</v>
      </c>
      <c r="B2" s="810" t="s">
        <v>142</v>
      </c>
      <c r="C2" s="866" t="s">
        <v>116</v>
      </c>
      <c r="D2" s="945"/>
      <c r="E2" s="945"/>
      <c r="F2" s="867"/>
      <c r="G2" s="866" t="s">
        <v>117</v>
      </c>
      <c r="H2" s="945"/>
      <c r="I2" s="945"/>
      <c r="J2" s="867"/>
      <c r="K2" s="866" t="s">
        <v>118</v>
      </c>
      <c r="L2" s="945"/>
      <c r="M2" s="945"/>
      <c r="N2" s="867"/>
    </row>
    <row r="3" spans="1:14" s="499" customFormat="1" ht="36" customHeight="1" x14ac:dyDescent="0.2">
      <c r="A3" s="964"/>
      <c r="B3" s="964"/>
      <c r="C3" s="866" t="s">
        <v>412</v>
      </c>
      <c r="D3" s="867"/>
      <c r="E3" s="808" t="s">
        <v>413</v>
      </c>
      <c r="F3" s="809"/>
      <c r="G3" s="866" t="s">
        <v>412</v>
      </c>
      <c r="H3" s="867"/>
      <c r="I3" s="808" t="s">
        <v>413</v>
      </c>
      <c r="J3" s="809"/>
      <c r="K3" s="866" t="s">
        <v>414</v>
      </c>
      <c r="L3" s="867"/>
      <c r="M3" s="866" t="s">
        <v>415</v>
      </c>
      <c r="N3" s="867"/>
    </row>
    <row r="4" spans="1:14" s="499" customFormat="1" ht="39" customHeight="1" x14ac:dyDescent="0.2">
      <c r="A4" s="811"/>
      <c r="B4" s="811"/>
      <c r="C4" s="500" t="s">
        <v>380</v>
      </c>
      <c r="D4" s="586" t="s">
        <v>416</v>
      </c>
      <c r="E4" s="500" t="s">
        <v>380</v>
      </c>
      <c r="F4" s="586" t="s">
        <v>382</v>
      </c>
      <c r="G4" s="588" t="s">
        <v>359</v>
      </c>
      <c r="H4" s="586" t="s">
        <v>416</v>
      </c>
      <c r="I4" s="588" t="s">
        <v>359</v>
      </c>
      <c r="J4" s="586" t="s">
        <v>382</v>
      </c>
      <c r="K4" s="500" t="s">
        <v>381</v>
      </c>
      <c r="L4" s="586" t="s">
        <v>416</v>
      </c>
      <c r="M4" s="500" t="s">
        <v>380</v>
      </c>
      <c r="N4" s="586" t="s">
        <v>382</v>
      </c>
    </row>
    <row r="5" spans="1:14" s="499" customFormat="1" ht="27" customHeight="1" x14ac:dyDescent="0.2">
      <c r="A5" s="502" t="s">
        <v>73</v>
      </c>
      <c r="B5" s="540">
        <v>243</v>
      </c>
      <c r="C5" s="549">
        <v>4917740</v>
      </c>
      <c r="D5" s="549">
        <v>100045.43150000001</v>
      </c>
      <c r="E5" s="504">
        <v>32362</v>
      </c>
      <c r="F5" s="504">
        <v>682.81</v>
      </c>
      <c r="G5" s="619">
        <v>17661885</v>
      </c>
      <c r="H5" s="549">
        <v>360811.13909999997</v>
      </c>
      <c r="I5" s="504">
        <v>77036</v>
      </c>
      <c r="J5" s="504">
        <v>1592.8485949999999</v>
      </c>
      <c r="K5" s="504">
        <v>0</v>
      </c>
      <c r="L5" s="504">
        <v>0</v>
      </c>
      <c r="M5" s="504">
        <v>0</v>
      </c>
      <c r="N5" s="504">
        <v>0</v>
      </c>
    </row>
    <row r="6" spans="1:14" s="499" customFormat="1" ht="27" customHeight="1" x14ac:dyDescent="0.2">
      <c r="A6" s="502" t="s">
        <v>76</v>
      </c>
      <c r="B6" s="540">
        <v>57</v>
      </c>
      <c r="C6" s="549">
        <v>416537</v>
      </c>
      <c r="D6" s="504">
        <v>8601.1381999999994</v>
      </c>
      <c r="E6" s="504">
        <v>25260</v>
      </c>
      <c r="F6" s="504">
        <v>525.02</v>
      </c>
      <c r="G6" s="549">
        <v>1885797</v>
      </c>
      <c r="H6" s="504">
        <v>38721.635150000002</v>
      </c>
      <c r="I6" s="549">
        <v>102803</v>
      </c>
      <c r="J6" s="504">
        <v>2140.6479290000002</v>
      </c>
      <c r="K6" s="504">
        <v>0</v>
      </c>
      <c r="L6" s="504">
        <v>0</v>
      </c>
      <c r="M6" s="504">
        <v>0</v>
      </c>
      <c r="N6" s="504">
        <v>0</v>
      </c>
    </row>
    <row r="7" spans="1:14" s="499" customFormat="1" ht="27" customHeight="1" x14ac:dyDescent="0.2">
      <c r="A7" s="502" t="s">
        <v>75</v>
      </c>
      <c r="B7" s="540">
        <v>17</v>
      </c>
      <c r="C7" s="549">
        <v>117135</v>
      </c>
      <c r="D7" s="504">
        <v>2394.6293999999998</v>
      </c>
      <c r="E7" s="504">
        <v>22389</v>
      </c>
      <c r="F7" s="504">
        <v>486.62</v>
      </c>
      <c r="G7" s="549">
        <v>478168</v>
      </c>
      <c r="H7" s="504">
        <v>9733.7467489999999</v>
      </c>
      <c r="I7" s="504">
        <v>51482</v>
      </c>
      <c r="J7" s="504">
        <v>1075.917142</v>
      </c>
      <c r="K7" s="504">
        <v>0</v>
      </c>
      <c r="L7" s="504">
        <v>0</v>
      </c>
      <c r="M7" s="504">
        <v>0</v>
      </c>
      <c r="N7" s="504">
        <v>0</v>
      </c>
    </row>
    <row r="8" spans="1:14" s="499" customFormat="1" ht="27" customHeight="1" x14ac:dyDescent="0.2">
      <c r="A8" s="502" t="s">
        <v>74</v>
      </c>
      <c r="B8" s="540">
        <v>18</v>
      </c>
      <c r="C8" s="504">
        <v>92350</v>
      </c>
      <c r="D8" s="504">
        <v>1898.7684999999999</v>
      </c>
      <c r="E8" s="504">
        <v>32071</v>
      </c>
      <c r="F8" s="504">
        <v>695.75</v>
      </c>
      <c r="G8" s="549">
        <v>593534</v>
      </c>
      <c r="H8" s="504">
        <v>12197.848</v>
      </c>
      <c r="I8" s="504">
        <v>66972</v>
      </c>
      <c r="J8" s="504">
        <v>1409.258315</v>
      </c>
      <c r="K8" s="504">
        <v>0</v>
      </c>
      <c r="L8" s="504">
        <v>0</v>
      </c>
      <c r="M8" s="504">
        <v>0</v>
      </c>
      <c r="N8" s="504">
        <v>0</v>
      </c>
    </row>
    <row r="9" spans="1:14" s="499" customFormat="1" ht="27" customHeight="1" x14ac:dyDescent="0.2">
      <c r="A9" s="502" t="s">
        <v>849</v>
      </c>
      <c r="B9" s="540">
        <v>22</v>
      </c>
      <c r="C9" s="549">
        <v>207052</v>
      </c>
      <c r="D9" s="504">
        <v>4307.7403000000004</v>
      </c>
      <c r="E9" s="504">
        <v>25260</v>
      </c>
      <c r="F9" s="504">
        <v>525.02</v>
      </c>
      <c r="G9" s="549">
        <v>814095</v>
      </c>
      <c r="H9" s="504">
        <v>16790.040400000002</v>
      </c>
      <c r="I9" s="549">
        <v>102803</v>
      </c>
      <c r="J9" s="504">
        <v>2140.6479290000002</v>
      </c>
      <c r="K9" s="504">
        <v>0</v>
      </c>
      <c r="L9" s="504">
        <v>0</v>
      </c>
      <c r="M9" s="504">
        <v>0</v>
      </c>
      <c r="N9" s="504">
        <v>0</v>
      </c>
    </row>
    <row r="10" spans="1:14" s="499" customFormat="1" ht="27" customHeight="1" x14ac:dyDescent="0.2">
      <c r="A10" s="438" t="s">
        <v>1083</v>
      </c>
      <c r="B10" s="545"/>
      <c r="C10" s="559"/>
      <c r="D10" s="437"/>
      <c r="E10" s="437"/>
      <c r="F10" s="437"/>
      <c r="G10" s="559"/>
      <c r="H10" s="437"/>
      <c r="I10" s="559"/>
      <c r="J10" s="437"/>
      <c r="K10" s="437"/>
      <c r="L10" s="437"/>
      <c r="M10" s="437"/>
      <c r="N10" s="437"/>
    </row>
    <row r="11" spans="1:14" s="499" customFormat="1" ht="18" customHeight="1" x14ac:dyDescent="0.2">
      <c r="A11" s="939" t="s">
        <v>848</v>
      </c>
      <c r="B11" s="939"/>
      <c r="C11" s="939"/>
      <c r="D11" s="939"/>
      <c r="E11" s="939"/>
      <c r="F11" s="939"/>
      <c r="G11" s="939"/>
      <c r="H11" s="939"/>
      <c r="I11" s="939"/>
      <c r="J11" s="939"/>
      <c r="K11" s="939"/>
      <c r="L11" s="939"/>
      <c r="M11" s="939"/>
      <c r="N11" s="939"/>
    </row>
    <row r="12" spans="1:14" s="499" customFormat="1" ht="19.5" customHeight="1" x14ac:dyDescent="0.2">
      <c r="A12" s="860" t="s">
        <v>417</v>
      </c>
      <c r="B12" s="860"/>
      <c r="C12" s="860"/>
      <c r="D12" s="860"/>
      <c r="E12" s="860"/>
      <c r="F12" s="860"/>
      <c r="G12" s="860"/>
      <c r="H12" s="860"/>
      <c r="I12" s="860"/>
      <c r="J12" s="860"/>
      <c r="K12" s="860"/>
      <c r="L12" s="860"/>
      <c r="M12" s="860"/>
      <c r="N12" s="860"/>
    </row>
    <row r="13" spans="1:14" s="499" customFormat="1" ht="27.6" customHeight="1" x14ac:dyDescent="0.2"/>
  </sheetData>
  <mergeCells count="14">
    <mergeCell ref="A12:N12"/>
    <mergeCell ref="K3:L3"/>
    <mergeCell ref="M3:N3"/>
    <mergeCell ref="A11:N11"/>
    <mergeCell ref="A1:M1"/>
    <mergeCell ref="A2:A4"/>
    <mergeCell ref="B2:B4"/>
    <mergeCell ref="C2:F2"/>
    <mergeCell ref="G2:J2"/>
    <mergeCell ref="K2:N2"/>
    <mergeCell ref="C3:D3"/>
    <mergeCell ref="E3:F3"/>
    <mergeCell ref="G3:H3"/>
    <mergeCell ref="I3:J3"/>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13"/>
  <sheetViews>
    <sheetView zoomScaleNormal="100" workbookViewId="0">
      <selection activeCell="J15" sqref="J15"/>
    </sheetView>
  </sheetViews>
  <sheetFormatPr defaultRowHeight="12.75" x14ac:dyDescent="0.2"/>
  <cols>
    <col min="1" max="1" width="14.7109375" bestFit="1" customWidth="1"/>
    <col min="2" max="2" width="16.5703125" bestFit="1" customWidth="1"/>
    <col min="3" max="6" width="12.140625" bestFit="1" customWidth="1"/>
    <col min="7" max="7" width="11.28515625" customWidth="1"/>
    <col min="8" max="8" width="22.140625" bestFit="1" customWidth="1"/>
    <col min="9" max="9" width="4.7109375" bestFit="1" customWidth="1"/>
  </cols>
  <sheetData>
    <row r="1" spans="1:8" ht="15" customHeight="1" x14ac:dyDescent="0.2">
      <c r="A1" s="963" t="s">
        <v>1013</v>
      </c>
      <c r="B1" s="963"/>
      <c r="C1" s="963"/>
      <c r="D1" s="963"/>
      <c r="E1" s="963"/>
      <c r="F1" s="963"/>
      <c r="G1" s="963"/>
      <c r="H1" s="963"/>
    </row>
    <row r="2" spans="1:8" ht="15" customHeight="1" x14ac:dyDescent="0.2">
      <c r="A2" s="629"/>
      <c r="B2" s="629"/>
      <c r="C2" s="629"/>
      <c r="D2" s="629"/>
      <c r="E2" s="629"/>
      <c r="F2" s="629"/>
      <c r="G2" s="637" t="s">
        <v>1002</v>
      </c>
      <c r="H2" s="629"/>
    </row>
    <row r="3" spans="1:8" s="499" customFormat="1" ht="18" customHeight="1" x14ac:dyDescent="0.2">
      <c r="A3" s="799" t="s">
        <v>86</v>
      </c>
      <c r="B3" s="866" t="s">
        <v>116</v>
      </c>
      <c r="C3" s="867"/>
      <c r="D3" s="866" t="s">
        <v>117</v>
      </c>
      <c r="E3" s="867"/>
      <c r="F3" s="866" t="s">
        <v>118</v>
      </c>
      <c r="G3" s="867"/>
    </row>
    <row r="4" spans="1:8" s="499" customFormat="1" ht="37.5" customHeight="1" x14ac:dyDescent="0.2">
      <c r="A4" s="801"/>
      <c r="B4" s="588" t="s">
        <v>366</v>
      </c>
      <c r="C4" s="500" t="s">
        <v>418</v>
      </c>
      <c r="D4" s="588" t="s">
        <v>366</v>
      </c>
      <c r="E4" s="500" t="s">
        <v>418</v>
      </c>
      <c r="F4" s="500" t="s">
        <v>419</v>
      </c>
      <c r="G4" s="500" t="s">
        <v>418</v>
      </c>
    </row>
    <row r="5" spans="1:8" s="499" customFormat="1" ht="18" customHeight="1" x14ac:dyDescent="0.2">
      <c r="A5" s="502" t="s">
        <v>73</v>
      </c>
      <c r="B5" s="633">
        <v>1417.0222240000001</v>
      </c>
      <c r="C5" s="633">
        <v>23.052129999999998</v>
      </c>
      <c r="D5" s="633">
        <v>1400.2491</v>
      </c>
      <c r="E5" s="633">
        <v>20.05797746</v>
      </c>
      <c r="F5" s="638">
        <v>0</v>
      </c>
      <c r="G5" s="638">
        <v>0</v>
      </c>
    </row>
    <row r="6" spans="1:8" s="499" customFormat="1" ht="18" customHeight="1" x14ac:dyDescent="0.2">
      <c r="A6" s="502" t="s">
        <v>76</v>
      </c>
      <c r="B6" s="633">
        <v>192.17811599999999</v>
      </c>
      <c r="C6" s="633">
        <v>1.0974489999999999</v>
      </c>
      <c r="D6" s="633">
        <v>178.83156600000001</v>
      </c>
      <c r="E6" s="633">
        <v>0.98571878000000002</v>
      </c>
      <c r="F6" s="638">
        <v>0</v>
      </c>
      <c r="G6" s="638">
        <v>0</v>
      </c>
    </row>
    <row r="7" spans="1:8" s="499" customFormat="1" ht="18" customHeight="1" x14ac:dyDescent="0.2">
      <c r="A7" s="502" t="s">
        <v>75</v>
      </c>
      <c r="B7" s="633">
        <v>100.356579</v>
      </c>
      <c r="C7" s="633">
        <v>0.31318800000000002</v>
      </c>
      <c r="D7" s="633">
        <v>78.215149999999994</v>
      </c>
      <c r="E7" s="633">
        <v>0.38330288000000001</v>
      </c>
      <c r="F7" s="638">
        <v>0</v>
      </c>
      <c r="G7" s="638">
        <v>0</v>
      </c>
    </row>
    <row r="8" spans="1:8" s="499" customFormat="1" ht="18" customHeight="1" x14ac:dyDescent="0.2">
      <c r="A8" s="502" t="s">
        <v>74</v>
      </c>
      <c r="B8" s="633">
        <v>50.891993999999997</v>
      </c>
      <c r="C8" s="633">
        <v>4.7840000000000001E-2</v>
      </c>
      <c r="D8" s="633">
        <v>51.993362500000003</v>
      </c>
      <c r="E8" s="633">
        <v>0.26414280000000001</v>
      </c>
      <c r="F8" s="638">
        <v>0</v>
      </c>
      <c r="G8" s="638">
        <v>0</v>
      </c>
    </row>
    <row r="9" spans="1:8" s="499" customFormat="1" ht="18" customHeight="1" x14ac:dyDescent="0.2">
      <c r="A9" s="502" t="s">
        <v>849</v>
      </c>
      <c r="B9" s="633">
        <v>40.929543000000002</v>
      </c>
      <c r="C9" s="633">
        <v>0.73642099999999999</v>
      </c>
      <c r="D9" s="633">
        <v>48.623053499999997</v>
      </c>
      <c r="E9" s="633">
        <v>0.33827309999999999</v>
      </c>
      <c r="F9" s="638">
        <v>0</v>
      </c>
      <c r="G9" s="638">
        <v>0</v>
      </c>
    </row>
    <row r="10" spans="1:8" s="499" customFormat="1" ht="18" customHeight="1" x14ac:dyDescent="0.2">
      <c r="A10" s="438" t="s">
        <v>1083</v>
      </c>
      <c r="B10" s="634"/>
      <c r="C10" s="634"/>
      <c r="D10" s="634"/>
      <c r="E10" s="634"/>
      <c r="F10" s="639"/>
      <c r="G10" s="639"/>
    </row>
    <row r="11" spans="1:8" s="499" customFormat="1" ht="18" customHeight="1" x14ac:dyDescent="0.2">
      <c r="A11" s="786" t="s">
        <v>848</v>
      </c>
      <c r="B11" s="786"/>
      <c r="C11" s="786"/>
      <c r="D11" s="786"/>
      <c r="E11" s="786"/>
      <c r="F11" s="786"/>
      <c r="G11" s="786"/>
    </row>
    <row r="12" spans="1:8" s="499" customFormat="1" ht="19.5" customHeight="1" x14ac:dyDescent="0.2">
      <c r="A12" s="797" t="s">
        <v>927</v>
      </c>
      <c r="B12" s="797"/>
      <c r="C12" s="797"/>
      <c r="D12" s="797"/>
      <c r="E12" s="797"/>
      <c r="F12" s="797"/>
      <c r="G12" s="797"/>
    </row>
    <row r="13" spans="1:8" s="499" customFormat="1" ht="28.35" customHeight="1" x14ac:dyDescent="0.2"/>
  </sheetData>
  <mergeCells count="7">
    <mergeCell ref="A12:G12"/>
    <mergeCell ref="A11:G11"/>
    <mergeCell ref="A1:H1"/>
    <mergeCell ref="A3:A4"/>
    <mergeCell ref="B3:C3"/>
    <mergeCell ref="D3:E3"/>
    <mergeCell ref="F3:G3"/>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11"/>
  <sheetViews>
    <sheetView zoomScaleNormal="100" workbookViewId="0">
      <selection activeCell="N16" sqref="N16"/>
    </sheetView>
  </sheetViews>
  <sheetFormatPr defaultRowHeight="12.75" x14ac:dyDescent="0.2"/>
  <cols>
    <col min="1" max="5" width="12.140625" bestFit="1" customWidth="1"/>
    <col min="6" max="6" width="16.140625" customWidth="1"/>
    <col min="7" max="7" width="4.85546875" bestFit="1" customWidth="1"/>
  </cols>
  <sheetData>
    <row r="1" spans="1:8" ht="15" customHeight="1" x14ac:dyDescent="0.2">
      <c r="A1" s="863" t="s">
        <v>16</v>
      </c>
      <c r="B1" s="863"/>
      <c r="C1" s="863"/>
      <c r="D1" s="863"/>
    </row>
    <row r="2" spans="1:8" s="499" customFormat="1" ht="51" customHeight="1" x14ac:dyDescent="0.2">
      <c r="A2" s="500" t="s">
        <v>111</v>
      </c>
      <c r="B2" s="501" t="s">
        <v>420</v>
      </c>
      <c r="C2" s="501" t="s">
        <v>942</v>
      </c>
      <c r="D2" s="501" t="s">
        <v>943</v>
      </c>
      <c r="E2" s="587" t="s">
        <v>1050</v>
      </c>
      <c r="F2" s="587" t="s">
        <v>1049</v>
      </c>
    </row>
    <row r="3" spans="1:8" s="499" customFormat="1" x14ac:dyDescent="0.2">
      <c r="A3" s="640" t="s">
        <v>73</v>
      </c>
      <c r="B3" s="549">
        <v>1905516.99</v>
      </c>
      <c r="C3" s="549">
        <v>1933046.1599999997</v>
      </c>
      <c r="D3" s="504">
        <v>-27529.170000000013</v>
      </c>
      <c r="E3" s="540">
        <v>-3041.5499999999993</v>
      </c>
      <c r="F3" s="540">
        <v>245112.63</v>
      </c>
    </row>
    <row r="4" spans="1:8" s="499" customFormat="1" ht="18" customHeight="1" x14ac:dyDescent="0.2">
      <c r="A4" s="481" t="s">
        <v>76</v>
      </c>
      <c r="B4" s="549">
        <v>497063.89</v>
      </c>
      <c r="C4" s="549">
        <v>493268.85</v>
      </c>
      <c r="D4" s="504">
        <v>3795.04</v>
      </c>
      <c r="E4" s="540">
        <v>507.25</v>
      </c>
      <c r="F4" s="540">
        <v>245619.88</v>
      </c>
      <c r="H4" s="641"/>
    </row>
    <row r="5" spans="1:8" s="499" customFormat="1" ht="18" customHeight="1" x14ac:dyDescent="0.2">
      <c r="A5" s="502" t="s">
        <v>75</v>
      </c>
      <c r="B5" s="549">
        <v>144753.65</v>
      </c>
      <c r="C5" s="549">
        <v>159612.19</v>
      </c>
      <c r="D5" s="504">
        <v>-14858.54</v>
      </c>
      <c r="E5" s="540">
        <v>-1961.18</v>
      </c>
      <c r="F5" s="540">
        <v>243151.45</v>
      </c>
    </row>
    <row r="6" spans="1:8" s="499" customFormat="1" ht="18" customHeight="1" x14ac:dyDescent="0.2">
      <c r="A6" s="502" t="s">
        <v>74</v>
      </c>
      <c r="B6" s="549">
        <v>150169.19</v>
      </c>
      <c r="C6" s="549">
        <v>157525.04</v>
      </c>
      <c r="D6" s="504">
        <v>-7355.85</v>
      </c>
      <c r="E6" s="540">
        <v>-972.51</v>
      </c>
      <c r="F6" s="540">
        <v>242178.94</v>
      </c>
    </row>
    <row r="7" spans="1:8" s="499" customFormat="1" ht="18" customHeight="1" x14ac:dyDescent="0.2">
      <c r="A7" s="502" t="s">
        <v>849</v>
      </c>
      <c r="B7" s="549">
        <v>202141.05</v>
      </c>
      <c r="C7" s="549">
        <v>176131.62</v>
      </c>
      <c r="D7" s="504">
        <v>26009.43</v>
      </c>
      <c r="E7" s="540">
        <v>3440.94</v>
      </c>
      <c r="F7" s="540">
        <v>245619.88</v>
      </c>
    </row>
    <row r="8" spans="1:8" s="499" customFormat="1" ht="18" customHeight="1" x14ac:dyDescent="0.2">
      <c r="A8" s="438" t="s">
        <v>1083</v>
      </c>
      <c r="B8" s="559"/>
      <c r="C8" s="559"/>
      <c r="D8" s="437"/>
      <c r="E8" s="545"/>
      <c r="F8" s="545"/>
    </row>
    <row r="9" spans="1:8" s="499" customFormat="1" ht="18" customHeight="1" x14ac:dyDescent="0.2">
      <c r="A9" s="939" t="s">
        <v>848</v>
      </c>
      <c r="B9" s="939"/>
      <c r="C9" s="939"/>
      <c r="D9" s="939"/>
      <c r="E9" s="939"/>
      <c r="F9" s="939"/>
    </row>
    <row r="10" spans="1:8" s="499" customFormat="1" ht="18.75" customHeight="1" x14ac:dyDescent="0.2">
      <c r="A10" s="860" t="s">
        <v>421</v>
      </c>
      <c r="B10" s="860"/>
      <c r="C10" s="860"/>
      <c r="D10" s="860"/>
      <c r="E10" s="860"/>
      <c r="F10" s="860"/>
    </row>
    <row r="11" spans="1:8" s="499" customFormat="1" ht="28.35" customHeight="1" x14ac:dyDescent="0.2"/>
  </sheetData>
  <mergeCells count="3">
    <mergeCell ref="A1:D1"/>
    <mergeCell ref="A9:F9"/>
    <mergeCell ref="A10:F10"/>
  </mergeCells>
  <pageMargins left="0.78431372549019618" right="0.78431372549019618" top="0.98039215686274517" bottom="0.98039215686274517" header="0.50980392156862753" footer="0.50980392156862753"/>
  <pageSetup paperSize="9" orientation="portrait" useFirstPageNumber="1" r:id="rId1"/>
  <headerFooter alignWithMargins="0"/>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16"/>
  <sheetViews>
    <sheetView zoomScaleNormal="100" workbookViewId="0">
      <selection activeCell="L14" sqref="L14"/>
    </sheetView>
  </sheetViews>
  <sheetFormatPr defaultRowHeight="12.75" x14ac:dyDescent="0.2"/>
  <cols>
    <col min="1" max="1" width="14.85546875" bestFit="1" customWidth="1"/>
    <col min="2" max="5" width="14.7109375" bestFit="1" customWidth="1"/>
    <col min="6" max="6" width="16.42578125" bestFit="1" customWidth="1"/>
    <col min="8" max="8" width="8.85546875" bestFit="1" customWidth="1"/>
  </cols>
  <sheetData>
    <row r="1" spans="1:6" x14ac:dyDescent="0.2">
      <c r="A1" s="642" t="s">
        <v>1016</v>
      </c>
      <c r="B1" s="642"/>
      <c r="C1" s="642"/>
      <c r="D1" s="642"/>
      <c r="E1" s="642"/>
      <c r="F1" s="642"/>
    </row>
    <row r="2" spans="1:6" s="404" customFormat="1" ht="114.75" x14ac:dyDescent="0.2">
      <c r="A2" s="479" t="s">
        <v>86</v>
      </c>
      <c r="B2" s="587" t="s">
        <v>1107</v>
      </c>
      <c r="C2" s="587" t="s">
        <v>1108</v>
      </c>
      <c r="D2" s="587" t="s">
        <v>1109</v>
      </c>
      <c r="E2" s="587" t="s">
        <v>422</v>
      </c>
      <c r="F2" s="587" t="s">
        <v>423</v>
      </c>
    </row>
    <row r="3" spans="1:6" s="404" customFormat="1" ht="18" customHeight="1" x14ac:dyDescent="0.2">
      <c r="A3" s="481" t="s">
        <v>73</v>
      </c>
      <c r="B3" s="566">
        <v>48006.398270333913</v>
      </c>
      <c r="C3" s="566">
        <v>47852</v>
      </c>
      <c r="D3" s="568">
        <v>2490223</v>
      </c>
      <c r="E3" s="643">
        <f>(B3/D3)*100</f>
        <v>1.9277951520941663</v>
      </c>
      <c r="F3" s="643">
        <f>(C3/D3)*100</f>
        <v>1.9215949736228441</v>
      </c>
    </row>
    <row r="4" spans="1:6" s="404" customFormat="1" x14ac:dyDescent="0.2">
      <c r="A4" s="481" t="s">
        <v>706</v>
      </c>
      <c r="B4" s="644">
        <v>62137.931794577897</v>
      </c>
      <c r="C4" s="644">
        <v>61974.282086353691</v>
      </c>
      <c r="D4" s="645">
        <v>2979826</v>
      </c>
      <c r="E4" s="646">
        <f>(B4/D4)*100</f>
        <v>2.0852872548456824</v>
      </c>
      <c r="F4" s="646">
        <f>(C4/D4)*100</f>
        <v>2.0797953332293124</v>
      </c>
    </row>
    <row r="5" spans="1:6" s="404" customFormat="1" x14ac:dyDescent="0.2">
      <c r="A5" s="481" t="s">
        <v>75</v>
      </c>
      <c r="B5" s="566">
        <v>57100</v>
      </c>
      <c r="C5" s="566">
        <v>56923</v>
      </c>
      <c r="D5" s="568">
        <v>2819841</v>
      </c>
      <c r="E5" s="643">
        <f>(B5/D5)*100</f>
        <v>2.0249368670077499</v>
      </c>
      <c r="F5" s="643">
        <f>(C5/D5)*100</f>
        <v>2.0186599173499498</v>
      </c>
    </row>
    <row r="6" spans="1:6" s="404" customFormat="1" x14ac:dyDescent="0.2">
      <c r="A6" s="647" t="s">
        <v>74</v>
      </c>
      <c r="B6" s="648">
        <v>60027</v>
      </c>
      <c r="C6" s="648">
        <v>59869</v>
      </c>
      <c r="D6" s="649">
        <v>2743734</v>
      </c>
      <c r="E6" s="650">
        <f>(B6/D6)*100</f>
        <v>2.1877849674932044</v>
      </c>
      <c r="F6" s="650">
        <f>(C6/D6)*100</f>
        <v>2.1820263917712137</v>
      </c>
    </row>
    <row r="7" spans="1:6" s="404" customFormat="1" x14ac:dyDescent="0.2">
      <c r="A7" s="651" t="s">
        <v>849</v>
      </c>
      <c r="B7" s="644">
        <v>62137.931794577897</v>
      </c>
      <c r="C7" s="644">
        <v>61974.282086353691</v>
      </c>
      <c r="D7" s="645">
        <v>2979826</v>
      </c>
      <c r="E7" s="646">
        <f>(B7/D7)*100</f>
        <v>2.0852872548456824</v>
      </c>
      <c r="F7" s="646">
        <f>(C7/D7)*100</f>
        <v>2.0797953332293124</v>
      </c>
    </row>
    <row r="8" spans="1:6" s="404" customFormat="1" ht="14.25" customHeight="1" x14ac:dyDescent="0.2">
      <c r="A8" s="652" t="s">
        <v>46</v>
      </c>
      <c r="B8" s="653"/>
      <c r="C8" s="653"/>
      <c r="D8" s="653"/>
      <c r="E8" s="653"/>
      <c r="F8" s="653"/>
    </row>
    <row r="9" spans="1:6" s="404" customFormat="1" ht="14.25" customHeight="1" x14ac:dyDescent="0.2">
      <c r="A9" s="654" t="s">
        <v>892</v>
      </c>
      <c r="B9" s="653"/>
      <c r="C9" s="653"/>
      <c r="D9" s="653"/>
      <c r="E9" s="653"/>
      <c r="F9" s="653"/>
    </row>
    <row r="10" spans="1:6" s="404" customFormat="1" ht="14.25" customHeight="1" x14ac:dyDescent="0.2">
      <c r="A10" s="654" t="s">
        <v>893</v>
      </c>
      <c r="B10" s="653"/>
      <c r="C10" s="653"/>
      <c r="D10" s="653"/>
      <c r="E10" s="653"/>
      <c r="F10" s="653"/>
    </row>
    <row r="11" spans="1:6" s="404" customFormat="1" ht="14.25" customHeight="1" x14ac:dyDescent="0.2">
      <c r="A11" s="654" t="s">
        <v>894</v>
      </c>
      <c r="B11" s="653"/>
      <c r="C11" s="653"/>
      <c r="D11" s="653"/>
      <c r="E11" s="653"/>
      <c r="F11" s="653"/>
    </row>
    <row r="12" spans="1:6" ht="14.25" customHeight="1" x14ac:dyDescent="0.2">
      <c r="A12" s="939" t="s">
        <v>842</v>
      </c>
      <c r="B12" s="939"/>
      <c r="C12" s="939"/>
      <c r="D12" s="939"/>
      <c r="E12" s="939"/>
      <c r="F12" s="939"/>
    </row>
    <row r="13" spans="1:6" ht="14.25" customHeight="1" x14ac:dyDescent="0.2">
      <c r="A13" s="1008" t="s">
        <v>56</v>
      </c>
      <c r="B13" s="1008"/>
      <c r="C13" s="1008"/>
      <c r="D13" s="1008"/>
      <c r="E13" s="1008"/>
      <c r="F13" s="1008"/>
    </row>
    <row r="14" spans="1:6" ht="14.25" customHeight="1" x14ac:dyDescent="0.2"/>
    <row r="15" spans="1:6" ht="14.25" customHeight="1" x14ac:dyDescent="0.2"/>
    <row r="16" spans="1:6" ht="14.25" customHeight="1" x14ac:dyDescent="0.2"/>
  </sheetData>
  <mergeCells count="2">
    <mergeCell ref="A13:F13"/>
    <mergeCell ref="A12:F12"/>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C13"/>
  <sheetViews>
    <sheetView zoomScaleNormal="100" workbookViewId="0">
      <selection activeCell="I22" sqref="I22"/>
    </sheetView>
  </sheetViews>
  <sheetFormatPr defaultRowHeight="12.75" x14ac:dyDescent="0.2"/>
  <cols>
    <col min="1" max="1" width="11.7109375" bestFit="1" customWidth="1"/>
    <col min="2" max="2" width="7" bestFit="1" customWidth="1"/>
    <col min="3" max="3" width="9.7109375" bestFit="1" customWidth="1"/>
    <col min="4" max="4" width="7" bestFit="1" customWidth="1"/>
    <col min="5" max="5" width="10" bestFit="1" customWidth="1"/>
    <col min="6" max="6" width="7" bestFit="1" customWidth="1"/>
    <col min="7" max="7" width="10.5703125" bestFit="1" customWidth="1"/>
    <col min="8" max="8" width="6.5703125" bestFit="1" customWidth="1"/>
    <col min="9" max="9" width="10" bestFit="1" customWidth="1"/>
    <col min="10" max="10" width="7.42578125" bestFit="1" customWidth="1"/>
    <col min="11" max="11" width="9.7109375" bestFit="1" customWidth="1"/>
    <col min="12" max="12" width="6.85546875" bestFit="1" customWidth="1"/>
    <col min="13" max="13" width="9.5703125" bestFit="1" customWidth="1"/>
    <col min="14" max="14" width="6.85546875" bestFit="1" customWidth="1"/>
    <col min="15" max="15" width="12.42578125" bestFit="1" customWidth="1"/>
    <col min="16" max="16" width="7" bestFit="1" customWidth="1"/>
    <col min="17" max="17" width="10.7109375" bestFit="1" customWidth="1"/>
    <col min="18" max="18" width="6.7109375" bestFit="1" customWidth="1"/>
    <col min="19" max="19" width="10.140625" bestFit="1" customWidth="1"/>
    <col min="20" max="20" width="6.5703125" bestFit="1" customWidth="1"/>
    <col min="21" max="21" width="12.42578125" bestFit="1" customWidth="1"/>
    <col min="22" max="22" width="6.5703125" bestFit="1" customWidth="1"/>
    <col min="23" max="23" width="10.28515625" bestFit="1" customWidth="1"/>
    <col min="24" max="24" width="6.7109375" bestFit="1" customWidth="1"/>
    <col min="25" max="25" width="10.140625" bestFit="1" customWidth="1"/>
    <col min="26" max="26" width="6.5703125" bestFit="1" customWidth="1"/>
    <col min="27" max="27" width="10.85546875" bestFit="1" customWidth="1"/>
    <col min="28" max="28" width="6.7109375" bestFit="1" customWidth="1"/>
    <col min="29" max="29" width="12.85546875" bestFit="1" customWidth="1"/>
    <col min="30" max="30" width="4.7109375" bestFit="1" customWidth="1"/>
  </cols>
  <sheetData>
    <row r="1" spans="1:29" ht="15" customHeight="1" x14ac:dyDescent="0.2">
      <c r="A1" s="891" t="s">
        <v>17</v>
      </c>
      <c r="B1" s="891"/>
      <c r="C1" s="891"/>
      <c r="D1" s="891"/>
      <c r="E1" s="891"/>
      <c r="F1" s="891"/>
      <c r="G1" s="891"/>
      <c r="H1" s="891"/>
      <c r="I1" s="891"/>
      <c r="J1" s="891"/>
      <c r="K1" s="891"/>
      <c r="L1" s="891"/>
      <c r="M1" s="891"/>
      <c r="N1" s="891"/>
      <c r="O1" s="891"/>
      <c r="P1" s="891"/>
      <c r="Q1" s="891"/>
      <c r="R1" s="891"/>
      <c r="S1" s="891"/>
      <c r="T1" s="891"/>
      <c r="U1" s="891"/>
      <c r="V1" s="891"/>
      <c r="W1" s="891"/>
      <c r="X1" s="891"/>
      <c r="Y1" s="891"/>
      <c r="Z1" s="891"/>
    </row>
    <row r="2" spans="1:29" s="204" customFormat="1" ht="51" customHeight="1" x14ac:dyDescent="0.2">
      <c r="A2" s="906" t="s">
        <v>424</v>
      </c>
      <c r="B2" s="954" t="s">
        <v>425</v>
      </c>
      <c r="C2" s="956"/>
      <c r="D2" s="1009" t="s">
        <v>426</v>
      </c>
      <c r="E2" s="1010"/>
      <c r="F2" s="1009" t="s">
        <v>427</v>
      </c>
      <c r="G2" s="1010"/>
      <c r="H2" s="1009" t="s">
        <v>428</v>
      </c>
      <c r="I2" s="1010"/>
      <c r="J2" s="954" t="s">
        <v>429</v>
      </c>
      <c r="K2" s="956"/>
      <c r="L2" s="954" t="s">
        <v>430</v>
      </c>
      <c r="M2" s="956"/>
      <c r="N2" s="1009" t="s">
        <v>431</v>
      </c>
      <c r="O2" s="1010"/>
      <c r="P2" s="954" t="s">
        <v>432</v>
      </c>
      <c r="Q2" s="956"/>
      <c r="R2" s="954" t="s">
        <v>189</v>
      </c>
      <c r="S2" s="956"/>
      <c r="T2" s="1009" t="s">
        <v>433</v>
      </c>
      <c r="U2" s="1010"/>
      <c r="V2" s="1009" t="s">
        <v>434</v>
      </c>
      <c r="W2" s="1010"/>
      <c r="X2" s="1009" t="s">
        <v>435</v>
      </c>
      <c r="Y2" s="1010"/>
      <c r="Z2" s="954" t="s">
        <v>185</v>
      </c>
      <c r="AA2" s="956"/>
      <c r="AB2" s="954" t="s">
        <v>67</v>
      </c>
      <c r="AC2" s="956"/>
    </row>
    <row r="3" spans="1:29" s="204" customFormat="1" ht="51.75" customHeight="1" x14ac:dyDescent="0.2">
      <c r="A3" s="907"/>
      <c r="B3" s="205" t="s">
        <v>436</v>
      </c>
      <c r="C3" s="206" t="s">
        <v>72</v>
      </c>
      <c r="D3" s="205" t="s">
        <v>436</v>
      </c>
      <c r="E3" s="206" t="s">
        <v>92</v>
      </c>
      <c r="F3" s="205" t="s">
        <v>436</v>
      </c>
      <c r="G3" s="206" t="s">
        <v>92</v>
      </c>
      <c r="H3" s="205" t="s">
        <v>436</v>
      </c>
      <c r="I3" s="206" t="s">
        <v>92</v>
      </c>
      <c r="J3" s="205" t="s">
        <v>436</v>
      </c>
      <c r="K3" s="206" t="s">
        <v>92</v>
      </c>
      <c r="L3" s="205" t="s">
        <v>436</v>
      </c>
      <c r="M3" s="206" t="s">
        <v>92</v>
      </c>
      <c r="N3" s="205" t="s">
        <v>436</v>
      </c>
      <c r="O3" s="206" t="s">
        <v>92</v>
      </c>
      <c r="P3" s="205" t="s">
        <v>436</v>
      </c>
      <c r="Q3" s="206" t="s">
        <v>92</v>
      </c>
      <c r="R3" s="205" t="s">
        <v>436</v>
      </c>
      <c r="S3" s="206" t="s">
        <v>92</v>
      </c>
      <c r="T3" s="205" t="s">
        <v>436</v>
      </c>
      <c r="U3" s="206" t="s">
        <v>92</v>
      </c>
      <c r="V3" s="205" t="s">
        <v>436</v>
      </c>
      <c r="W3" s="206" t="s">
        <v>92</v>
      </c>
      <c r="X3" s="205" t="s">
        <v>436</v>
      </c>
      <c r="Y3" s="206" t="s">
        <v>92</v>
      </c>
      <c r="Z3" s="205" t="s">
        <v>436</v>
      </c>
      <c r="AA3" s="206" t="s">
        <v>92</v>
      </c>
      <c r="AB3" s="205" t="s">
        <v>436</v>
      </c>
      <c r="AC3" s="206" t="s">
        <v>92</v>
      </c>
    </row>
    <row r="4" spans="1:29" s="204" customFormat="1" ht="18" customHeight="1" x14ac:dyDescent="0.2">
      <c r="A4" s="207" t="s">
        <v>73</v>
      </c>
      <c r="B4" s="209">
        <v>9825</v>
      </c>
      <c r="C4" s="221">
        <v>2490223.13</v>
      </c>
      <c r="D4" s="208">
        <v>66</v>
      </c>
      <c r="E4" s="221">
        <v>227791.97</v>
      </c>
      <c r="F4" s="209">
        <v>2079</v>
      </c>
      <c r="G4" s="221">
        <v>832863.69</v>
      </c>
      <c r="H4" s="209">
        <v>208</v>
      </c>
      <c r="I4" s="209">
        <v>38124.839999999997</v>
      </c>
      <c r="J4" s="209">
        <v>25</v>
      </c>
      <c r="K4" s="209">
        <v>1582.04</v>
      </c>
      <c r="L4" s="209">
        <v>693</v>
      </c>
      <c r="M4" s="209">
        <v>2098.92</v>
      </c>
      <c r="N4" s="209">
        <v>1624</v>
      </c>
      <c r="O4" s="221">
        <v>1891137.87</v>
      </c>
      <c r="P4" s="209">
        <v>598</v>
      </c>
      <c r="Q4" s="209">
        <v>88517.75</v>
      </c>
      <c r="R4" s="209">
        <v>121</v>
      </c>
      <c r="S4" s="221">
        <v>412044.02</v>
      </c>
      <c r="T4" s="208">
        <v>788</v>
      </c>
      <c r="U4" s="221">
        <v>1547943.43</v>
      </c>
      <c r="V4" s="208">
        <v>124</v>
      </c>
      <c r="W4" s="221">
        <v>477968.29</v>
      </c>
      <c r="X4" s="208">
        <v>25</v>
      </c>
      <c r="Y4" s="209">
        <v>40702.49</v>
      </c>
      <c r="Z4" s="209">
        <v>25595</v>
      </c>
      <c r="AA4" s="221">
        <v>967716.71</v>
      </c>
      <c r="AB4" s="209">
        <v>41771</v>
      </c>
      <c r="AC4" s="221">
        <v>9018715.1500000004</v>
      </c>
    </row>
    <row r="5" spans="1:29" s="204" customFormat="1" ht="18" customHeight="1" x14ac:dyDescent="0.2">
      <c r="A5" s="207" t="s">
        <v>76</v>
      </c>
      <c r="B5" s="209">
        <v>9911</v>
      </c>
      <c r="C5" s="221">
        <v>2979825.58</v>
      </c>
      <c r="D5" s="208">
        <v>66</v>
      </c>
      <c r="E5" s="221">
        <v>310240.28999999998</v>
      </c>
      <c r="F5" s="209">
        <v>2106</v>
      </c>
      <c r="G5" s="221">
        <v>927607.89</v>
      </c>
      <c r="H5" s="209">
        <v>211</v>
      </c>
      <c r="I5" s="209">
        <v>38925.86</v>
      </c>
      <c r="J5" s="209">
        <v>25</v>
      </c>
      <c r="K5" s="209">
        <v>1721.14</v>
      </c>
      <c r="L5" s="209">
        <v>703</v>
      </c>
      <c r="M5" s="209">
        <v>2639.04</v>
      </c>
      <c r="N5" s="209">
        <v>1625</v>
      </c>
      <c r="O5" s="221">
        <v>2032087.29</v>
      </c>
      <c r="P5" s="209">
        <v>598</v>
      </c>
      <c r="Q5" s="209">
        <v>98195.29</v>
      </c>
      <c r="R5" s="209">
        <v>124</v>
      </c>
      <c r="S5" s="221">
        <v>494660.29</v>
      </c>
      <c r="T5" s="208">
        <v>793</v>
      </c>
      <c r="U5" s="221">
        <v>1731728.51</v>
      </c>
      <c r="V5" s="208">
        <v>112</v>
      </c>
      <c r="W5" s="221">
        <v>503181.73</v>
      </c>
      <c r="X5" s="208">
        <v>26</v>
      </c>
      <c r="Y5" s="209">
        <v>44802.16</v>
      </c>
      <c r="Z5" s="209">
        <v>25829</v>
      </c>
      <c r="AA5" s="221">
        <v>1016537.42</v>
      </c>
      <c r="AB5" s="209">
        <v>42129</v>
      </c>
      <c r="AC5" s="244">
        <v>10182152.49</v>
      </c>
    </row>
    <row r="6" spans="1:29" s="204" customFormat="1" ht="18" customHeight="1" x14ac:dyDescent="0.2">
      <c r="A6" s="207" t="s">
        <v>438</v>
      </c>
      <c r="B6" s="209">
        <v>9916</v>
      </c>
      <c r="C6" s="221">
        <v>2819840.63</v>
      </c>
      <c r="D6" s="208">
        <v>66</v>
      </c>
      <c r="E6" s="221">
        <v>264852.96000000002</v>
      </c>
      <c r="F6" s="209">
        <v>2088</v>
      </c>
      <c r="G6" s="221">
        <v>891652.54</v>
      </c>
      <c r="H6" s="209">
        <v>208</v>
      </c>
      <c r="I6" s="209">
        <v>38313.550000000003</v>
      </c>
      <c r="J6" s="209">
        <v>25</v>
      </c>
      <c r="K6" s="209">
        <v>1678.47</v>
      </c>
      <c r="L6" s="209">
        <v>693</v>
      </c>
      <c r="M6" s="209">
        <v>2287.0300000000002</v>
      </c>
      <c r="N6" s="209">
        <v>1621</v>
      </c>
      <c r="O6" s="221">
        <v>2031625.42</v>
      </c>
      <c r="P6" s="209">
        <v>600</v>
      </c>
      <c r="Q6" s="209">
        <v>92221.83</v>
      </c>
      <c r="R6" s="209">
        <v>121</v>
      </c>
      <c r="S6" s="221">
        <v>484474.78</v>
      </c>
      <c r="T6" s="208">
        <v>790</v>
      </c>
      <c r="U6" s="221">
        <v>1656179.49</v>
      </c>
      <c r="V6" s="208">
        <v>124</v>
      </c>
      <c r="W6" s="221">
        <v>486918.55</v>
      </c>
      <c r="X6" s="208">
        <v>26</v>
      </c>
      <c r="Y6" s="209">
        <v>42889.59</v>
      </c>
      <c r="Z6" s="209">
        <v>25629</v>
      </c>
      <c r="AA6" s="221">
        <v>1000395.04</v>
      </c>
      <c r="AB6" s="209">
        <v>41907</v>
      </c>
      <c r="AC6" s="221">
        <v>9813329.8800000008</v>
      </c>
    </row>
    <row r="7" spans="1:29" s="204" customFormat="1" ht="18" customHeight="1" x14ac:dyDescent="0.2">
      <c r="A7" s="207" t="s">
        <v>437</v>
      </c>
      <c r="B7" s="209">
        <v>9912</v>
      </c>
      <c r="C7" s="221">
        <v>2743734.07</v>
      </c>
      <c r="D7" s="208">
        <v>66</v>
      </c>
      <c r="E7" s="221">
        <v>251650.89</v>
      </c>
      <c r="F7" s="209">
        <v>2098</v>
      </c>
      <c r="G7" s="221">
        <v>869794.25</v>
      </c>
      <c r="H7" s="209">
        <v>210</v>
      </c>
      <c r="I7" s="209">
        <v>38512.69</v>
      </c>
      <c r="J7" s="209">
        <v>25</v>
      </c>
      <c r="K7" s="209">
        <v>1564.8</v>
      </c>
      <c r="L7" s="209">
        <v>698</v>
      </c>
      <c r="M7" s="209">
        <v>2438.62</v>
      </c>
      <c r="N7" s="209">
        <v>1622</v>
      </c>
      <c r="O7" s="221">
        <v>2001267.16</v>
      </c>
      <c r="P7" s="209">
        <v>600</v>
      </c>
      <c r="Q7" s="209">
        <v>96705.97</v>
      </c>
      <c r="R7" s="209">
        <v>121</v>
      </c>
      <c r="S7" s="221">
        <v>496496.67</v>
      </c>
      <c r="T7" s="208">
        <v>790</v>
      </c>
      <c r="U7" s="221">
        <v>1650619.6</v>
      </c>
      <c r="V7" s="208">
        <v>112</v>
      </c>
      <c r="W7" s="221">
        <v>493260.74</v>
      </c>
      <c r="X7" s="208">
        <v>26</v>
      </c>
      <c r="Y7" s="209">
        <v>44232.99</v>
      </c>
      <c r="Z7" s="209">
        <v>25655</v>
      </c>
      <c r="AA7" s="221">
        <v>986317.56</v>
      </c>
      <c r="AB7" s="209">
        <v>41935</v>
      </c>
      <c r="AC7" s="221">
        <v>9676596.0099999998</v>
      </c>
    </row>
    <row r="8" spans="1:29" s="204" customFormat="1" ht="18" customHeight="1" x14ac:dyDescent="0.2">
      <c r="A8" s="207" t="s">
        <v>857</v>
      </c>
      <c r="B8" s="209">
        <v>9911</v>
      </c>
      <c r="C8" s="221">
        <v>2979825.58</v>
      </c>
      <c r="D8" s="208">
        <v>66</v>
      </c>
      <c r="E8" s="221">
        <v>310240.28999999998</v>
      </c>
      <c r="F8" s="209">
        <v>2106</v>
      </c>
      <c r="G8" s="221">
        <v>927607.89</v>
      </c>
      <c r="H8" s="209">
        <v>211</v>
      </c>
      <c r="I8" s="209">
        <v>38925.86</v>
      </c>
      <c r="J8" s="209">
        <v>25</v>
      </c>
      <c r="K8" s="209">
        <v>1721.14</v>
      </c>
      <c r="L8" s="209">
        <v>703</v>
      </c>
      <c r="M8" s="209">
        <v>2639.04</v>
      </c>
      <c r="N8" s="209">
        <v>1625</v>
      </c>
      <c r="O8" s="221">
        <v>2032087.29</v>
      </c>
      <c r="P8" s="209">
        <v>598</v>
      </c>
      <c r="Q8" s="209">
        <v>98195.29</v>
      </c>
      <c r="R8" s="209">
        <v>124</v>
      </c>
      <c r="S8" s="221">
        <v>494660.29</v>
      </c>
      <c r="T8" s="208">
        <v>793</v>
      </c>
      <c r="U8" s="221">
        <v>1731728.51</v>
      </c>
      <c r="V8" s="208">
        <v>112</v>
      </c>
      <c r="W8" s="221">
        <v>503181.73</v>
      </c>
      <c r="X8" s="208">
        <v>26</v>
      </c>
      <c r="Y8" s="209">
        <v>44802.16</v>
      </c>
      <c r="Z8" s="209">
        <v>25829</v>
      </c>
      <c r="AA8" s="221">
        <v>1016537.42</v>
      </c>
      <c r="AB8" s="209">
        <v>42129</v>
      </c>
      <c r="AC8" s="244">
        <v>10182152.49</v>
      </c>
    </row>
    <row r="9" spans="1:29" s="204" customFormat="1" ht="14.25" customHeight="1" x14ac:dyDescent="0.2">
      <c r="A9" s="903" t="s">
        <v>1096</v>
      </c>
      <c r="B9" s="903"/>
      <c r="C9" s="903"/>
      <c r="D9" s="903"/>
      <c r="E9" s="903"/>
      <c r="F9" s="903"/>
      <c r="G9" s="903"/>
      <c r="H9" s="903"/>
      <c r="I9" s="903"/>
      <c r="J9" s="903"/>
      <c r="K9" s="903"/>
      <c r="L9" s="903"/>
      <c r="M9" s="903"/>
      <c r="N9" s="903"/>
      <c r="O9" s="903"/>
      <c r="P9" s="903"/>
      <c r="Q9" s="903"/>
      <c r="R9" s="903"/>
      <c r="S9" s="903"/>
      <c r="T9" s="903"/>
      <c r="U9" s="903"/>
      <c r="V9" s="903"/>
      <c r="W9" s="903"/>
      <c r="X9" s="903"/>
      <c r="Y9" s="903"/>
      <c r="Z9" s="903"/>
    </row>
    <row r="10" spans="1:29" s="204" customFormat="1" ht="13.5" customHeight="1" x14ac:dyDescent="0.2">
      <c r="A10" s="903" t="s">
        <v>439</v>
      </c>
      <c r="B10" s="903"/>
      <c r="C10" s="903"/>
      <c r="D10" s="903"/>
      <c r="E10" s="903"/>
      <c r="F10" s="903"/>
      <c r="G10" s="903"/>
      <c r="H10" s="903"/>
      <c r="I10" s="903"/>
      <c r="J10" s="903"/>
      <c r="K10" s="903"/>
      <c r="L10" s="903"/>
      <c r="M10" s="903"/>
      <c r="N10" s="903"/>
      <c r="O10" s="903"/>
      <c r="P10" s="903"/>
      <c r="Q10" s="903"/>
      <c r="R10" s="903"/>
      <c r="S10" s="903"/>
      <c r="T10" s="903"/>
      <c r="U10" s="903"/>
      <c r="V10" s="903"/>
      <c r="W10" s="903"/>
      <c r="X10" s="903"/>
      <c r="Y10" s="903"/>
      <c r="Z10" s="903"/>
    </row>
    <row r="11" spans="1:29" s="204" customFormat="1" ht="13.5" customHeight="1" x14ac:dyDescent="0.2">
      <c r="A11" s="903" t="s">
        <v>848</v>
      </c>
      <c r="B11" s="903"/>
      <c r="C11" s="903"/>
      <c r="D11" s="903"/>
      <c r="E11" s="903"/>
      <c r="F11" s="903"/>
      <c r="G11" s="903"/>
      <c r="H11" s="903"/>
      <c r="I11" s="903"/>
      <c r="J11" s="903"/>
      <c r="K11" s="903"/>
      <c r="L11" s="903"/>
      <c r="M11" s="903"/>
      <c r="N11" s="903"/>
      <c r="O11" s="903"/>
      <c r="P11" s="903"/>
      <c r="Q11" s="903"/>
      <c r="R11" s="903"/>
      <c r="S11" s="903"/>
      <c r="T11" s="903"/>
      <c r="U11" s="903"/>
      <c r="V11" s="903"/>
      <c r="W11" s="903"/>
      <c r="X11" s="903"/>
      <c r="Y11" s="903"/>
      <c r="Z11" s="903"/>
    </row>
    <row r="12" spans="1:29" s="204" customFormat="1" ht="13.5" customHeight="1" x14ac:dyDescent="0.2">
      <c r="A12" s="899" t="s">
        <v>440</v>
      </c>
      <c r="B12" s="899"/>
      <c r="C12" s="899"/>
      <c r="D12" s="899"/>
      <c r="E12" s="899"/>
      <c r="F12" s="899"/>
      <c r="G12" s="899"/>
      <c r="H12" s="899"/>
      <c r="I12" s="899"/>
      <c r="J12" s="899"/>
      <c r="K12" s="899"/>
      <c r="L12" s="899"/>
      <c r="M12" s="899"/>
      <c r="N12" s="899"/>
      <c r="O12" s="899"/>
      <c r="P12" s="899"/>
      <c r="Q12" s="899"/>
      <c r="R12" s="899"/>
      <c r="S12" s="899"/>
      <c r="T12" s="899"/>
      <c r="U12" s="899"/>
      <c r="V12" s="899"/>
      <c r="W12" s="899"/>
      <c r="X12" s="899"/>
      <c r="Y12" s="899"/>
      <c r="Z12" s="899"/>
    </row>
    <row r="13" spans="1:29" s="204" customFormat="1" ht="28.35" customHeight="1" x14ac:dyDescent="0.2"/>
  </sheetData>
  <mergeCells count="20">
    <mergeCell ref="A1:Z1"/>
    <mergeCell ref="A2:A3"/>
    <mergeCell ref="B2:C2"/>
    <mergeCell ref="D2:E2"/>
    <mergeCell ref="F2:G2"/>
    <mergeCell ref="H2:I2"/>
    <mergeCell ref="J2:K2"/>
    <mergeCell ref="L2:M2"/>
    <mergeCell ref="N2:O2"/>
    <mergeCell ref="R2:S2"/>
    <mergeCell ref="T2:U2"/>
    <mergeCell ref="V2:W2"/>
    <mergeCell ref="X2:Y2"/>
    <mergeCell ref="Z2:AA2"/>
    <mergeCell ref="P2:Q2"/>
    <mergeCell ref="A12:Z12"/>
    <mergeCell ref="A9:Z9"/>
    <mergeCell ref="A11:Z11"/>
    <mergeCell ref="A10:Z10"/>
    <mergeCell ref="AB2:AC2"/>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13"/>
  <sheetViews>
    <sheetView zoomScaleNormal="100" workbookViewId="0">
      <selection activeCell="I20" sqref="I20"/>
    </sheetView>
  </sheetViews>
  <sheetFormatPr defaultRowHeight="12.75" x14ac:dyDescent="0.2"/>
  <cols>
    <col min="1" max="11" width="14.7109375" bestFit="1" customWidth="1"/>
    <col min="12" max="12" width="4.7109375" bestFit="1" customWidth="1"/>
  </cols>
  <sheetData>
    <row r="1" spans="1:11" ht="13.5" customHeight="1" x14ac:dyDescent="0.2">
      <c r="A1" s="1011" t="s">
        <v>1017</v>
      </c>
      <c r="B1" s="1011"/>
      <c r="C1" s="1011"/>
      <c r="D1" s="1011"/>
      <c r="E1" s="1011"/>
    </row>
    <row r="2" spans="1:11" ht="13.5" customHeight="1" x14ac:dyDescent="0.2">
      <c r="A2" s="655"/>
      <c r="B2" s="655"/>
      <c r="C2" s="655"/>
      <c r="D2" s="655"/>
      <c r="E2" s="655"/>
      <c r="K2" s="656" t="s">
        <v>1000</v>
      </c>
    </row>
    <row r="3" spans="1:11" s="499" customFormat="1" ht="16.5" customHeight="1" x14ac:dyDescent="0.2">
      <c r="A3" s="799" t="s">
        <v>65</v>
      </c>
      <c r="B3" s="942" t="s">
        <v>441</v>
      </c>
      <c r="C3" s="943"/>
      <c r="D3" s="944"/>
      <c r="E3" s="866" t="s">
        <v>442</v>
      </c>
      <c r="F3" s="945"/>
      <c r="G3" s="867"/>
      <c r="H3" s="942" t="s">
        <v>443</v>
      </c>
      <c r="I3" s="943"/>
      <c r="J3" s="944"/>
      <c r="K3" s="961" t="s">
        <v>444</v>
      </c>
    </row>
    <row r="4" spans="1:11" s="499" customFormat="1" ht="27.75" customHeight="1" x14ac:dyDescent="0.2">
      <c r="A4" s="801"/>
      <c r="B4" s="500" t="s">
        <v>445</v>
      </c>
      <c r="C4" s="500" t="s">
        <v>446</v>
      </c>
      <c r="D4" s="500" t="s">
        <v>67</v>
      </c>
      <c r="E4" s="500" t="s">
        <v>445</v>
      </c>
      <c r="F4" s="500" t="s">
        <v>446</v>
      </c>
      <c r="G4" s="500" t="s">
        <v>67</v>
      </c>
      <c r="H4" s="500" t="s">
        <v>445</v>
      </c>
      <c r="I4" s="500" t="s">
        <v>446</v>
      </c>
      <c r="J4" s="500" t="s">
        <v>67</v>
      </c>
      <c r="K4" s="962"/>
    </row>
    <row r="5" spans="1:11" s="499" customFormat="1" ht="18" customHeight="1" x14ac:dyDescent="0.2">
      <c r="A5" s="502" t="s">
        <v>73</v>
      </c>
      <c r="B5" s="619">
        <v>14989990.49</v>
      </c>
      <c r="C5" s="549">
        <v>3823467.281</v>
      </c>
      <c r="D5" s="619">
        <v>18813457.77</v>
      </c>
      <c r="E5" s="619">
        <v>14965931.060000001</v>
      </c>
      <c r="F5" s="549">
        <v>3760225.8909999998</v>
      </c>
      <c r="G5" s="619">
        <v>18726156.949999999</v>
      </c>
      <c r="H5" s="504">
        <v>24059.435409999998</v>
      </c>
      <c r="I5" s="504">
        <v>63241.390570000003</v>
      </c>
      <c r="J5" s="504">
        <v>87300.825979999994</v>
      </c>
      <c r="K5" s="549">
        <v>2226202.8650000002</v>
      </c>
    </row>
    <row r="6" spans="1:11" s="499" customFormat="1" ht="18" customHeight="1" x14ac:dyDescent="0.2">
      <c r="A6" s="502" t="s">
        <v>76</v>
      </c>
      <c r="B6" s="549">
        <v>1944658.9010000001</v>
      </c>
      <c r="C6" s="549">
        <v>702980.64339999994</v>
      </c>
      <c r="D6" s="549">
        <v>2647639.5449999999</v>
      </c>
      <c r="E6" s="549">
        <v>1857397.9</v>
      </c>
      <c r="F6" s="549">
        <v>666162.674</v>
      </c>
      <c r="G6" s="549">
        <v>2523560.574</v>
      </c>
      <c r="H6" s="504">
        <v>87261.002059999999</v>
      </c>
      <c r="I6" s="504">
        <v>36817.969440000001</v>
      </c>
      <c r="J6" s="549">
        <v>124078.9715</v>
      </c>
      <c r="K6" s="549">
        <v>2548848.4339999999</v>
      </c>
    </row>
    <row r="7" spans="1:11" s="404" customFormat="1" ht="18" customHeight="1" x14ac:dyDescent="0.2">
      <c r="A7" s="481" t="s">
        <v>75</v>
      </c>
      <c r="B7" s="568">
        <v>614258.18709999998</v>
      </c>
      <c r="C7" s="568">
        <v>206442.2309</v>
      </c>
      <c r="D7" s="568">
        <v>820700.4179</v>
      </c>
      <c r="E7" s="568">
        <v>593456.62309999997</v>
      </c>
      <c r="F7" s="568">
        <v>181244.3076</v>
      </c>
      <c r="G7" s="568">
        <v>774700.93070000003</v>
      </c>
      <c r="H7" s="566">
        <v>20801.56393</v>
      </c>
      <c r="I7" s="566">
        <v>25197.923299999999</v>
      </c>
      <c r="J7" s="566">
        <v>45999.487229999999</v>
      </c>
      <c r="K7" s="568">
        <v>2393485.5430000001</v>
      </c>
    </row>
    <row r="8" spans="1:11" s="499" customFormat="1" ht="18" customHeight="1" x14ac:dyDescent="0.2">
      <c r="A8" s="502" t="s">
        <v>74</v>
      </c>
      <c r="B8" s="549">
        <v>619156.47290000005</v>
      </c>
      <c r="C8" s="549">
        <v>246977.14910000001</v>
      </c>
      <c r="D8" s="549">
        <v>866133.62210000004</v>
      </c>
      <c r="E8" s="549">
        <v>562437.9669</v>
      </c>
      <c r="F8" s="549">
        <v>232882.14240000001</v>
      </c>
      <c r="G8" s="549">
        <v>795320.10930000001</v>
      </c>
      <c r="H8" s="504">
        <v>56718.506070000003</v>
      </c>
      <c r="I8" s="504">
        <v>14095.0067</v>
      </c>
      <c r="J8" s="504">
        <v>70813.512770000001</v>
      </c>
      <c r="K8" s="549">
        <v>2454757.5299999998</v>
      </c>
    </row>
    <row r="9" spans="1:11" s="499" customFormat="1" ht="18" customHeight="1" x14ac:dyDescent="0.2">
      <c r="A9" s="502" t="s">
        <v>849</v>
      </c>
      <c r="B9" s="549">
        <v>711244.24100000004</v>
      </c>
      <c r="C9" s="549">
        <v>249561.2634</v>
      </c>
      <c r="D9" s="549">
        <v>960805.505</v>
      </c>
      <c r="E9" s="549">
        <v>701503.31</v>
      </c>
      <c r="F9" s="549">
        <v>252036.22399999999</v>
      </c>
      <c r="G9" s="549">
        <v>953539.53399999999</v>
      </c>
      <c r="H9" s="504">
        <v>9740.9320599999992</v>
      </c>
      <c r="I9" s="504">
        <v>-2474.96056</v>
      </c>
      <c r="J9" s="504">
        <v>7265.9714999999997</v>
      </c>
      <c r="K9" s="549">
        <v>2548848.4339999999</v>
      </c>
    </row>
    <row r="10" spans="1:11" s="499" customFormat="1" ht="18" customHeight="1" x14ac:dyDescent="0.2">
      <c r="A10" s="438" t="s">
        <v>1083</v>
      </c>
      <c r="B10" s="559"/>
      <c r="C10" s="559"/>
      <c r="D10" s="559"/>
      <c r="E10" s="559"/>
      <c r="F10" s="559"/>
      <c r="G10" s="559"/>
      <c r="H10" s="437"/>
      <c r="I10" s="437"/>
      <c r="J10" s="437"/>
      <c r="K10" s="559"/>
    </row>
    <row r="11" spans="1:11" s="499" customFormat="1" ht="18" customHeight="1" x14ac:dyDescent="0.2">
      <c r="A11" s="786" t="s">
        <v>848</v>
      </c>
      <c r="B11" s="786"/>
      <c r="C11" s="786"/>
      <c r="D11" s="786"/>
      <c r="E11" s="786"/>
    </row>
    <row r="12" spans="1:11" s="499" customFormat="1" ht="18.75" customHeight="1" x14ac:dyDescent="0.2">
      <c r="A12" s="797" t="s">
        <v>56</v>
      </c>
      <c r="B12" s="797"/>
      <c r="C12" s="797"/>
      <c r="D12" s="797"/>
      <c r="E12" s="797"/>
    </row>
    <row r="13" spans="1:11" s="499" customFormat="1" ht="28.35" customHeight="1" x14ac:dyDescent="0.2"/>
  </sheetData>
  <mergeCells count="8">
    <mergeCell ref="A12:E12"/>
    <mergeCell ref="H3:J3"/>
    <mergeCell ref="K3:K4"/>
    <mergeCell ref="A11:E11"/>
    <mergeCell ref="A1:E1"/>
    <mergeCell ref="A3:A4"/>
    <mergeCell ref="B3:D3"/>
    <mergeCell ref="E3:G3"/>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97"/>
  <sheetViews>
    <sheetView zoomScaleNormal="100" workbookViewId="0">
      <selection activeCell="S17" sqref="S17"/>
    </sheetView>
  </sheetViews>
  <sheetFormatPr defaultRowHeight="12.75" x14ac:dyDescent="0.2"/>
  <cols>
    <col min="1" max="1" width="9.140625" style="82"/>
    <col min="2" max="2" width="25.7109375" style="82" customWidth="1"/>
    <col min="3" max="3" width="8.85546875" style="224" customWidth="1"/>
    <col min="4" max="4" width="9.85546875" style="224" bestFit="1" customWidth="1"/>
    <col min="5" max="8" width="9.28515625" style="224" bestFit="1" customWidth="1"/>
    <col min="9" max="9" width="9.28515625" style="149" bestFit="1" customWidth="1"/>
    <col min="10" max="10" width="9.85546875" style="149" bestFit="1" customWidth="1"/>
    <col min="11" max="11" width="9.5703125" style="82" customWidth="1"/>
    <col min="12" max="12" width="10.140625" style="82" customWidth="1"/>
    <col min="13" max="14" width="9.28515625" style="82" bestFit="1" customWidth="1"/>
    <col min="15" max="15" width="9.140625" style="82" customWidth="1"/>
    <col min="16" max="16384" width="9.140625" style="82"/>
  </cols>
  <sheetData>
    <row r="1" spans="1:14" s="134" customFormat="1" ht="15.75" x14ac:dyDescent="0.25">
      <c r="A1" s="133" t="s">
        <v>707</v>
      </c>
      <c r="C1" s="222"/>
      <c r="D1" s="222"/>
      <c r="E1" s="222"/>
      <c r="F1" s="222"/>
      <c r="G1" s="222"/>
      <c r="H1" s="222"/>
      <c r="I1" s="135"/>
      <c r="J1" s="135"/>
    </row>
    <row r="2" spans="1:14" s="136" customFormat="1" ht="12" x14ac:dyDescent="0.2">
      <c r="A2" s="1014" t="s">
        <v>708</v>
      </c>
      <c r="B2" s="1015" t="s">
        <v>709</v>
      </c>
      <c r="C2" s="1016" t="s">
        <v>73</v>
      </c>
      <c r="D2" s="1016"/>
      <c r="E2" s="1016"/>
      <c r="F2" s="1016"/>
      <c r="G2" s="1016"/>
      <c r="H2" s="1016"/>
      <c r="I2" s="1012" t="s">
        <v>76</v>
      </c>
      <c r="J2" s="1012"/>
      <c r="K2" s="1012"/>
      <c r="L2" s="1012"/>
      <c r="M2" s="1012"/>
      <c r="N2" s="1012"/>
    </row>
    <row r="3" spans="1:14" s="136" customFormat="1" ht="60" x14ac:dyDescent="0.2">
      <c r="A3" s="1014"/>
      <c r="B3" s="1015"/>
      <c r="C3" s="469" t="s">
        <v>710</v>
      </c>
      <c r="D3" s="469" t="s">
        <v>711</v>
      </c>
      <c r="E3" s="469" t="s">
        <v>1110</v>
      </c>
      <c r="F3" s="469" t="s">
        <v>1111</v>
      </c>
      <c r="G3" s="469" t="s">
        <v>1112</v>
      </c>
      <c r="H3" s="469" t="s">
        <v>1113</v>
      </c>
      <c r="I3" s="469" t="s">
        <v>710</v>
      </c>
      <c r="J3" s="469" t="s">
        <v>711</v>
      </c>
      <c r="K3" s="469" t="s">
        <v>1110</v>
      </c>
      <c r="L3" s="469" t="s">
        <v>1111</v>
      </c>
      <c r="M3" s="469" t="s">
        <v>1112</v>
      </c>
      <c r="N3" s="469" t="s">
        <v>1113</v>
      </c>
    </row>
    <row r="4" spans="1:14" s="136" customFormat="1" ht="12" x14ac:dyDescent="0.2">
      <c r="A4" s="468" t="s">
        <v>627</v>
      </c>
      <c r="B4" s="137" t="s">
        <v>712</v>
      </c>
      <c r="C4" s="137"/>
      <c r="D4" s="137"/>
      <c r="E4" s="137"/>
      <c r="F4" s="137"/>
      <c r="G4" s="137"/>
      <c r="H4" s="137"/>
      <c r="I4" s="138"/>
      <c r="J4" s="138"/>
      <c r="K4" s="137"/>
      <c r="L4" s="137"/>
      <c r="M4" s="137"/>
      <c r="N4" s="137"/>
    </row>
    <row r="5" spans="1:14" s="141" customFormat="1" ht="12" x14ac:dyDescent="0.2">
      <c r="A5" s="139" t="s">
        <v>713</v>
      </c>
      <c r="B5" s="140" t="s">
        <v>714</v>
      </c>
      <c r="C5" s="146">
        <v>329</v>
      </c>
      <c r="D5" s="146">
        <v>6135584</v>
      </c>
      <c r="E5" s="146">
        <v>18278637.423349313</v>
      </c>
      <c r="F5" s="146">
        <v>18283415.40955231</v>
      </c>
      <c r="G5" s="146">
        <v>-4777.9862029992328</v>
      </c>
      <c r="H5" s="146">
        <v>1029141.6773012358</v>
      </c>
      <c r="I5" s="180">
        <v>329</v>
      </c>
      <c r="J5" s="180">
        <v>6246173</v>
      </c>
      <c r="K5" s="180">
        <v>1618430.7683040113</v>
      </c>
      <c r="L5" s="180">
        <v>1511333.6262609272</v>
      </c>
      <c r="M5" s="180">
        <v>107097.14346683412</v>
      </c>
      <c r="N5" s="180">
        <v>1150325.3667870823</v>
      </c>
    </row>
    <row r="6" spans="1:14" s="141" customFormat="1" ht="12" x14ac:dyDescent="0.2">
      <c r="A6" s="139">
        <v>1</v>
      </c>
      <c r="B6" s="142" t="s">
        <v>715</v>
      </c>
      <c r="C6" s="146">
        <v>30</v>
      </c>
      <c r="D6" s="146">
        <v>86255</v>
      </c>
      <c r="E6" s="146">
        <v>3104154.0667759995</v>
      </c>
      <c r="F6" s="146">
        <v>3036499.7779539716</v>
      </c>
      <c r="G6" s="146">
        <v>67654.28882202816</v>
      </c>
      <c r="H6" s="146">
        <v>80174.192291984597</v>
      </c>
      <c r="I6" s="180">
        <v>30</v>
      </c>
      <c r="J6" s="180">
        <v>126933</v>
      </c>
      <c r="K6" s="180">
        <v>1168851.8120960281</v>
      </c>
      <c r="L6" s="180">
        <v>1181074.9850781381</v>
      </c>
      <c r="M6" s="180">
        <v>-12223.172882110044</v>
      </c>
      <c r="N6" s="180">
        <v>68561.64910265668</v>
      </c>
    </row>
    <row r="7" spans="1:14" s="141" customFormat="1" ht="12" x14ac:dyDescent="0.2">
      <c r="A7" s="139">
        <v>2</v>
      </c>
      <c r="B7" s="142" t="s">
        <v>716</v>
      </c>
      <c r="C7" s="146">
        <v>39</v>
      </c>
      <c r="D7" s="146">
        <v>1815547</v>
      </c>
      <c r="E7" s="146">
        <v>14430056.329323001</v>
      </c>
      <c r="F7" s="146">
        <v>14505186.054505004</v>
      </c>
      <c r="G7" s="146">
        <v>-75129.725182001814</v>
      </c>
      <c r="H7" s="146">
        <v>334725.3213015318</v>
      </c>
      <c r="I7" s="180">
        <v>39</v>
      </c>
      <c r="J7" s="180">
        <v>1973714</v>
      </c>
      <c r="K7" s="180">
        <v>1137970.0156259143</v>
      </c>
      <c r="L7" s="180">
        <v>1051477.3825576671</v>
      </c>
      <c r="M7" s="180">
        <v>86492.633068247014</v>
      </c>
      <c r="N7" s="180">
        <v>426408.44320470875</v>
      </c>
    </row>
    <row r="8" spans="1:14" s="141" customFormat="1" ht="12" x14ac:dyDescent="0.2">
      <c r="A8" s="139">
        <v>3</v>
      </c>
      <c r="B8" s="142" t="s">
        <v>717</v>
      </c>
      <c r="C8" s="146">
        <v>29</v>
      </c>
      <c r="D8" s="146">
        <v>650202</v>
      </c>
      <c r="E8" s="146">
        <v>185685.09487737255</v>
      </c>
      <c r="F8" s="146">
        <v>195237.94583798823</v>
      </c>
      <c r="G8" s="146">
        <v>-9552.8509606156586</v>
      </c>
      <c r="H8" s="146">
        <v>72226.364568975245</v>
      </c>
      <c r="I8" s="180">
        <v>29</v>
      </c>
      <c r="J8" s="180">
        <v>639200</v>
      </c>
      <c r="K8" s="180">
        <v>32592.390208402896</v>
      </c>
      <c r="L8" s="180">
        <v>33100.766727243812</v>
      </c>
      <c r="M8" s="180">
        <v>-508.3764188409088</v>
      </c>
      <c r="N8" s="180">
        <v>73200.811914969963</v>
      </c>
    </row>
    <row r="9" spans="1:14" s="141" customFormat="1" ht="12" x14ac:dyDescent="0.2">
      <c r="A9" s="139">
        <v>4</v>
      </c>
      <c r="B9" s="142" t="s">
        <v>718</v>
      </c>
      <c r="C9" s="146">
        <v>26</v>
      </c>
      <c r="D9" s="146">
        <v>963640</v>
      </c>
      <c r="E9" s="146">
        <v>127452.33041418077</v>
      </c>
      <c r="F9" s="146">
        <v>136233.17545214473</v>
      </c>
      <c r="G9" s="146">
        <v>-8780.8450379639798</v>
      </c>
      <c r="H9" s="146">
        <v>81371.187137965753</v>
      </c>
      <c r="I9" s="180">
        <v>26</v>
      </c>
      <c r="J9" s="180">
        <v>951757</v>
      </c>
      <c r="K9" s="180">
        <v>41111.100262403808</v>
      </c>
      <c r="L9" s="180">
        <v>35415.214470948646</v>
      </c>
      <c r="M9" s="180">
        <v>5695.8857914551782</v>
      </c>
      <c r="N9" s="180">
        <v>89026.37377800433</v>
      </c>
    </row>
    <row r="10" spans="1:14" s="141" customFormat="1" ht="12" x14ac:dyDescent="0.2">
      <c r="A10" s="139">
        <v>5</v>
      </c>
      <c r="B10" s="142" t="s">
        <v>719</v>
      </c>
      <c r="C10" s="146">
        <v>20</v>
      </c>
      <c r="D10" s="146">
        <v>350429</v>
      </c>
      <c r="E10" s="146">
        <v>193476.63954390472</v>
      </c>
      <c r="F10" s="146">
        <v>193561.71436373022</v>
      </c>
      <c r="G10" s="146">
        <v>-85.074819825480972</v>
      </c>
      <c r="H10" s="146">
        <v>57016.643850834022</v>
      </c>
      <c r="I10" s="180">
        <v>20</v>
      </c>
      <c r="J10" s="180">
        <v>378752</v>
      </c>
      <c r="K10" s="180">
        <v>48081.931735028898</v>
      </c>
      <c r="L10" s="180">
        <v>39596.394429243992</v>
      </c>
      <c r="M10" s="180">
        <v>8485.5373057848956</v>
      </c>
      <c r="N10" s="180">
        <v>66835.701580808643</v>
      </c>
    </row>
    <row r="11" spans="1:14" s="141" customFormat="1" ht="12" x14ac:dyDescent="0.2">
      <c r="A11" s="139">
        <v>6</v>
      </c>
      <c r="B11" s="142" t="s">
        <v>720</v>
      </c>
      <c r="C11" s="146">
        <v>28</v>
      </c>
      <c r="D11" s="146">
        <v>359856</v>
      </c>
      <c r="E11" s="146">
        <v>60309.593780412593</v>
      </c>
      <c r="F11" s="146">
        <v>51733.484357941859</v>
      </c>
      <c r="G11" s="146">
        <v>8576.1094224707285</v>
      </c>
      <c r="H11" s="146">
        <v>93444.339442586293</v>
      </c>
      <c r="I11" s="180">
        <v>28</v>
      </c>
      <c r="J11" s="180">
        <v>389021</v>
      </c>
      <c r="K11" s="180">
        <v>28228.721949385701</v>
      </c>
      <c r="L11" s="180">
        <v>20173.880989392062</v>
      </c>
      <c r="M11" s="180">
        <v>8054.8409599936385</v>
      </c>
      <c r="N11" s="180">
        <v>104780.66659676889</v>
      </c>
    </row>
    <row r="12" spans="1:14" s="141" customFormat="1" ht="12" x14ac:dyDescent="0.2">
      <c r="A12" s="139">
        <v>7</v>
      </c>
      <c r="B12" s="142" t="s">
        <v>721</v>
      </c>
      <c r="C12" s="146">
        <v>18</v>
      </c>
      <c r="D12" s="146">
        <v>221149</v>
      </c>
      <c r="E12" s="146">
        <v>7325.8834682326251</v>
      </c>
      <c r="F12" s="146">
        <v>17778.474863760603</v>
      </c>
      <c r="G12" s="146">
        <v>-10452.591395527979</v>
      </c>
      <c r="H12" s="146">
        <v>28290.289846830285</v>
      </c>
      <c r="I12" s="180">
        <v>18</v>
      </c>
      <c r="J12" s="180">
        <v>198784</v>
      </c>
      <c r="K12" s="180">
        <v>1189.1214686214944</v>
      </c>
      <c r="L12" s="180">
        <v>9299.1986777398997</v>
      </c>
      <c r="M12" s="180">
        <v>-8110.0772091184044</v>
      </c>
      <c r="N12" s="180">
        <v>20293.700434432925</v>
      </c>
    </row>
    <row r="13" spans="1:14" s="141" customFormat="1" ht="12" x14ac:dyDescent="0.2">
      <c r="A13" s="139">
        <v>8</v>
      </c>
      <c r="B13" s="142" t="s">
        <v>722</v>
      </c>
      <c r="C13" s="146">
        <v>14</v>
      </c>
      <c r="D13" s="146">
        <v>108506</v>
      </c>
      <c r="E13" s="146">
        <v>2086.6459060477173</v>
      </c>
      <c r="F13" s="146">
        <v>3147.5747499203171</v>
      </c>
      <c r="G13" s="146">
        <v>-1060.9288438725998</v>
      </c>
      <c r="H13" s="146">
        <v>9804.7908106611922</v>
      </c>
      <c r="I13" s="180">
        <v>14</v>
      </c>
      <c r="J13" s="180">
        <v>111070</v>
      </c>
      <c r="K13" s="180">
        <v>1430.9322215066084</v>
      </c>
      <c r="L13" s="180">
        <v>1267.5423262601867</v>
      </c>
      <c r="M13" s="180">
        <v>163.38989524642173</v>
      </c>
      <c r="N13" s="180">
        <v>10355.447239385814</v>
      </c>
    </row>
    <row r="14" spans="1:14" s="141" customFormat="1" ht="12" x14ac:dyDescent="0.2">
      <c r="A14" s="139">
        <v>9</v>
      </c>
      <c r="B14" s="142" t="s">
        <v>723</v>
      </c>
      <c r="C14" s="146">
        <v>2</v>
      </c>
      <c r="D14" s="146">
        <v>27215</v>
      </c>
      <c r="E14" s="146">
        <v>628.5458478581354</v>
      </c>
      <c r="F14" s="146">
        <v>278.32056125400004</v>
      </c>
      <c r="G14" s="146">
        <v>350.22528660413542</v>
      </c>
      <c r="H14" s="146">
        <v>1669.5749464186913</v>
      </c>
      <c r="I14" s="180">
        <v>2</v>
      </c>
      <c r="J14" s="180">
        <v>29564</v>
      </c>
      <c r="K14" s="180">
        <v>735.35490025799982</v>
      </c>
      <c r="L14" s="180">
        <v>113.10256796100001</v>
      </c>
      <c r="M14" s="180">
        <v>622.25233229699984</v>
      </c>
      <c r="N14" s="180">
        <v>2377.1352413487684</v>
      </c>
    </row>
    <row r="15" spans="1:14" s="141" customFormat="1" ht="12" x14ac:dyDescent="0.2">
      <c r="A15" s="139">
        <v>10</v>
      </c>
      <c r="B15" s="142" t="s">
        <v>724</v>
      </c>
      <c r="C15" s="146">
        <v>29</v>
      </c>
      <c r="D15" s="146">
        <v>215543</v>
      </c>
      <c r="E15" s="146">
        <v>5571.706000654719</v>
      </c>
      <c r="F15" s="146">
        <v>8309.8008656759994</v>
      </c>
      <c r="G15" s="146">
        <v>-2738.0948650212804</v>
      </c>
      <c r="H15" s="146">
        <v>18115.974121491414</v>
      </c>
      <c r="I15" s="180">
        <v>29</v>
      </c>
      <c r="J15" s="180">
        <v>222354</v>
      </c>
      <c r="K15" s="180">
        <v>2811.6459533209895</v>
      </c>
      <c r="L15" s="180">
        <v>3730.3447134161997</v>
      </c>
      <c r="M15" s="180">
        <v>-918.69876009521124</v>
      </c>
      <c r="N15" s="180">
        <v>17707.985775384393</v>
      </c>
    </row>
    <row r="16" spans="1:14" s="141" customFormat="1" ht="12" x14ac:dyDescent="0.2">
      <c r="A16" s="139">
        <v>11</v>
      </c>
      <c r="B16" s="142" t="s">
        <v>725</v>
      </c>
      <c r="C16" s="146">
        <v>20</v>
      </c>
      <c r="D16" s="146">
        <v>391721</v>
      </c>
      <c r="E16" s="146">
        <v>49845.542744406193</v>
      </c>
      <c r="F16" s="146">
        <v>31577.580181540001</v>
      </c>
      <c r="G16" s="146">
        <v>18267.962562866192</v>
      </c>
      <c r="H16" s="146">
        <v>81729.798821482749</v>
      </c>
      <c r="I16" s="180">
        <v>20</v>
      </c>
      <c r="J16" s="180">
        <v>447026</v>
      </c>
      <c r="K16" s="180">
        <v>29683.551940206667</v>
      </c>
      <c r="L16" s="180">
        <v>10945.707402966</v>
      </c>
      <c r="M16" s="180">
        <v>18737.844537240671</v>
      </c>
      <c r="N16" s="180">
        <v>104404.46858363076</v>
      </c>
    </row>
    <row r="17" spans="1:14" s="141" customFormat="1" ht="12" x14ac:dyDescent="0.2">
      <c r="A17" s="139">
        <v>12</v>
      </c>
      <c r="B17" s="142" t="s">
        <v>726</v>
      </c>
      <c r="C17" s="146">
        <v>23</v>
      </c>
      <c r="D17" s="146">
        <v>461927</v>
      </c>
      <c r="E17" s="146">
        <v>9276.4142857952484</v>
      </c>
      <c r="F17" s="146">
        <v>37303.949861584064</v>
      </c>
      <c r="G17" s="146">
        <v>-28027.535575788814</v>
      </c>
      <c r="H17" s="146">
        <v>55380.524188531796</v>
      </c>
      <c r="I17" s="180">
        <v>23</v>
      </c>
      <c r="J17" s="180">
        <v>369102</v>
      </c>
      <c r="K17" s="180">
        <v>495.9340249930766</v>
      </c>
      <c r="L17" s="180">
        <v>26401.643406593994</v>
      </c>
      <c r="M17" s="180">
        <v>-25905.709381600922</v>
      </c>
      <c r="N17" s="180">
        <v>29423.191937596213</v>
      </c>
    </row>
    <row r="18" spans="1:14" s="141" customFormat="1" ht="12" x14ac:dyDescent="0.2">
      <c r="A18" s="139">
        <v>13</v>
      </c>
      <c r="B18" s="142" t="s">
        <v>727</v>
      </c>
      <c r="C18" s="146">
        <v>19</v>
      </c>
      <c r="D18" s="146">
        <v>170392</v>
      </c>
      <c r="E18" s="146">
        <v>59782.85583444596</v>
      </c>
      <c r="F18" s="146">
        <v>25271.312635743183</v>
      </c>
      <c r="G18" s="146">
        <v>34511.54319870277</v>
      </c>
      <c r="H18" s="146">
        <v>72475.856660864214</v>
      </c>
      <c r="I18" s="180">
        <v>19</v>
      </c>
      <c r="J18" s="180">
        <v>234038</v>
      </c>
      <c r="K18" s="180">
        <v>33857.312194010112</v>
      </c>
      <c r="L18" s="180">
        <v>12945.360533202675</v>
      </c>
      <c r="M18" s="180">
        <v>20911.951660807441</v>
      </c>
      <c r="N18" s="180">
        <v>96816.2887025456</v>
      </c>
    </row>
    <row r="19" spans="1:14" s="141" customFormat="1" ht="12" x14ac:dyDescent="0.2">
      <c r="A19" s="139">
        <v>14</v>
      </c>
      <c r="B19" s="142" t="s">
        <v>728</v>
      </c>
      <c r="C19" s="146">
        <v>21</v>
      </c>
      <c r="D19" s="146">
        <v>116938</v>
      </c>
      <c r="E19" s="146">
        <v>5879.9775928194576</v>
      </c>
      <c r="F19" s="146">
        <v>5170.9811173282751</v>
      </c>
      <c r="G19" s="146">
        <v>708.99647549118345</v>
      </c>
      <c r="H19" s="146">
        <v>9284.9759829144186</v>
      </c>
      <c r="I19" s="180">
        <v>21</v>
      </c>
      <c r="J19" s="180">
        <v>186963</v>
      </c>
      <c r="K19" s="180">
        <v>7282.310470297647</v>
      </c>
      <c r="L19" s="180">
        <v>1660.5527935308953</v>
      </c>
      <c r="M19" s="180">
        <v>5621.7576767667533</v>
      </c>
      <c r="N19" s="180">
        <v>15463.221225033298</v>
      </c>
    </row>
    <row r="20" spans="1:14" s="141" customFormat="1" ht="12" x14ac:dyDescent="0.2">
      <c r="A20" s="139">
        <v>15</v>
      </c>
      <c r="B20" s="142" t="s">
        <v>729</v>
      </c>
      <c r="C20" s="146">
        <v>4</v>
      </c>
      <c r="D20" s="146">
        <v>34206</v>
      </c>
      <c r="E20" s="146">
        <v>789.05916811300006</v>
      </c>
      <c r="F20" s="146">
        <v>446.77712390199997</v>
      </c>
      <c r="G20" s="146">
        <v>342.28204421099997</v>
      </c>
      <c r="H20" s="146">
        <v>941.41219401438013</v>
      </c>
      <c r="I20" s="180">
        <v>4</v>
      </c>
      <c r="J20" s="180">
        <v>47816</v>
      </c>
      <c r="K20" s="180">
        <v>450.980202975</v>
      </c>
      <c r="L20" s="180">
        <v>148.02132046099999</v>
      </c>
      <c r="M20" s="180">
        <v>302.95888251400004</v>
      </c>
      <c r="N20" s="180">
        <v>1293.0984642263729</v>
      </c>
    </row>
    <row r="21" spans="1:14" s="141" customFormat="1" ht="12" x14ac:dyDescent="0.2">
      <c r="A21" s="139">
        <v>16</v>
      </c>
      <c r="B21" s="142" t="s">
        <v>730</v>
      </c>
      <c r="C21" s="146">
        <v>7</v>
      </c>
      <c r="D21" s="146">
        <v>162058</v>
      </c>
      <c r="E21" s="146">
        <v>36316.737786070204</v>
      </c>
      <c r="F21" s="146">
        <v>35678.485120826008</v>
      </c>
      <c r="G21" s="146">
        <v>638.25266524420385</v>
      </c>
      <c r="H21" s="146">
        <v>32490.431134149123</v>
      </c>
      <c r="I21" s="180">
        <v>7</v>
      </c>
      <c r="J21" s="180">
        <v>153711</v>
      </c>
      <c r="K21" s="180">
        <v>10166.041302786763</v>
      </c>
      <c r="L21" s="180">
        <v>7630.2940327039996</v>
      </c>
      <c r="M21" s="180">
        <v>2535.7472700827657</v>
      </c>
      <c r="N21" s="180">
        <v>36075.273005134994</v>
      </c>
    </row>
    <row r="22" spans="1:14" s="141" customFormat="1" ht="36" x14ac:dyDescent="0.2">
      <c r="A22" s="139"/>
      <c r="B22" s="143" t="s">
        <v>731</v>
      </c>
      <c r="C22" s="146">
        <v>329</v>
      </c>
      <c r="D22" s="146">
        <v>6135584</v>
      </c>
      <c r="E22" s="146">
        <v>18278637.423349313</v>
      </c>
      <c r="F22" s="146">
        <v>18283415.40955231</v>
      </c>
      <c r="G22" s="146">
        <v>-4777.9862029992328</v>
      </c>
      <c r="H22" s="146">
        <v>1029141.6773012358</v>
      </c>
      <c r="I22" s="180">
        <v>322</v>
      </c>
      <c r="J22" s="180">
        <v>63762341</v>
      </c>
      <c r="K22" s="180">
        <v>41226.482984917719</v>
      </c>
      <c r="L22" s="180">
        <v>29516.41555103035</v>
      </c>
      <c r="M22" s="180">
        <v>11710.067533887379</v>
      </c>
      <c r="N22" s="180">
        <v>701016.07459850702</v>
      </c>
    </row>
    <row r="23" spans="1:14" s="141" customFormat="1" ht="12" x14ac:dyDescent="0.2">
      <c r="A23" s="139"/>
      <c r="B23" s="140"/>
      <c r="C23" s="146"/>
      <c r="D23" s="146"/>
      <c r="E23" s="146"/>
      <c r="F23" s="146"/>
      <c r="G23" s="146"/>
      <c r="H23" s="146"/>
      <c r="I23" s="180"/>
      <c r="J23" s="180"/>
      <c r="K23" s="180"/>
      <c r="L23" s="180"/>
      <c r="M23" s="180"/>
      <c r="N23" s="180"/>
    </row>
    <row r="24" spans="1:14" s="141" customFormat="1" ht="12" x14ac:dyDescent="0.2">
      <c r="A24" s="139" t="s">
        <v>732</v>
      </c>
      <c r="B24" s="140" t="s">
        <v>733</v>
      </c>
      <c r="C24" s="146">
        <v>324</v>
      </c>
      <c r="D24" s="146">
        <v>62692668</v>
      </c>
      <c r="E24" s="146">
        <v>240183.62826312004</v>
      </c>
      <c r="F24" s="146">
        <v>156396.67882237906</v>
      </c>
      <c r="G24" s="146">
        <v>83786.94944074098</v>
      </c>
      <c r="H24" s="146">
        <v>578507.72821339685</v>
      </c>
      <c r="I24" s="180">
        <v>321</v>
      </c>
      <c r="J24" s="180">
        <v>63625804</v>
      </c>
      <c r="K24" s="180">
        <v>27465.952277403194</v>
      </c>
      <c r="L24" s="180">
        <v>15996.418490679136</v>
      </c>
      <c r="M24" s="180">
        <v>11469.533786724058</v>
      </c>
      <c r="N24" s="180">
        <v>650775.20635319594</v>
      </c>
    </row>
    <row r="25" spans="1:14" s="141" customFormat="1" ht="12" x14ac:dyDescent="0.2">
      <c r="A25" s="139">
        <v>17</v>
      </c>
      <c r="B25" s="144" t="s">
        <v>734</v>
      </c>
      <c r="C25" s="146">
        <v>34</v>
      </c>
      <c r="D25" s="146">
        <v>9264215</v>
      </c>
      <c r="E25" s="146">
        <v>45594.025753337883</v>
      </c>
      <c r="F25" s="146">
        <v>30033.961169581464</v>
      </c>
      <c r="G25" s="146">
        <v>15560.064583756426</v>
      </c>
      <c r="H25" s="146">
        <v>113908.48534887873</v>
      </c>
      <c r="I25" s="180">
        <v>35</v>
      </c>
      <c r="J25" s="180">
        <v>9468232</v>
      </c>
      <c r="K25" s="180">
        <v>7933.1976554731509</v>
      </c>
      <c r="L25" s="180">
        <v>6712.0958559741321</v>
      </c>
      <c r="M25" s="180">
        <v>1221.1017994990186</v>
      </c>
      <c r="N25" s="180">
        <v>135616.702257717</v>
      </c>
    </row>
    <row r="26" spans="1:14" s="141" customFormat="1" ht="12" x14ac:dyDescent="0.2">
      <c r="A26" s="139">
        <v>18</v>
      </c>
      <c r="B26" s="144" t="s">
        <v>735</v>
      </c>
      <c r="C26" s="146">
        <v>29</v>
      </c>
      <c r="D26" s="146">
        <v>10028315</v>
      </c>
      <c r="E26" s="146">
        <v>49942.58972327716</v>
      </c>
      <c r="F26" s="146">
        <v>33939.253940046889</v>
      </c>
      <c r="G26" s="146">
        <v>16003.335783230275</v>
      </c>
      <c r="H26" s="146">
        <v>113541.25340863605</v>
      </c>
      <c r="I26" s="180">
        <v>29</v>
      </c>
      <c r="J26" s="180">
        <v>10370695</v>
      </c>
      <c r="K26" s="180">
        <v>9323.0373188944959</v>
      </c>
      <c r="L26" s="180">
        <v>6288.8883010425925</v>
      </c>
      <c r="M26" s="180">
        <v>3034.1490178518989</v>
      </c>
      <c r="N26" s="180">
        <v>137148.21266880078</v>
      </c>
    </row>
    <row r="27" spans="1:14" s="141" customFormat="1" ht="12" x14ac:dyDescent="0.2">
      <c r="A27" s="139">
        <v>19</v>
      </c>
      <c r="B27" s="144" t="s">
        <v>736</v>
      </c>
      <c r="C27" s="146">
        <v>27</v>
      </c>
      <c r="D27" s="146">
        <v>4735650</v>
      </c>
      <c r="E27" s="146">
        <v>17834.196607885489</v>
      </c>
      <c r="F27" s="146">
        <v>12541.878803005366</v>
      </c>
      <c r="G27" s="146">
        <v>5292.3178048801228</v>
      </c>
      <c r="H27" s="146">
        <v>42971.995422114334</v>
      </c>
      <c r="I27" s="180">
        <v>27</v>
      </c>
      <c r="J27" s="180">
        <v>4803251</v>
      </c>
      <c r="K27" s="180">
        <v>3539.7352806464346</v>
      </c>
      <c r="L27" s="180">
        <v>2401.8088445877192</v>
      </c>
      <c r="M27" s="180">
        <v>1137.9264360587147</v>
      </c>
      <c r="N27" s="180">
        <v>52603.595869321172</v>
      </c>
    </row>
    <row r="28" spans="1:14" s="141" customFormat="1" ht="12" x14ac:dyDescent="0.2">
      <c r="A28" s="139">
        <v>20</v>
      </c>
      <c r="B28" s="144" t="s">
        <v>737</v>
      </c>
      <c r="C28" s="146">
        <v>27</v>
      </c>
      <c r="D28" s="146">
        <v>6498964</v>
      </c>
      <c r="E28" s="146">
        <v>30246.469627091439</v>
      </c>
      <c r="F28" s="146">
        <v>16729.014988343733</v>
      </c>
      <c r="G28" s="146">
        <v>13517.454638747702</v>
      </c>
      <c r="H28" s="146">
        <v>65804.848930772045</v>
      </c>
      <c r="I28" s="180">
        <v>26</v>
      </c>
      <c r="J28" s="180">
        <v>6554424</v>
      </c>
      <c r="K28" s="180">
        <v>4253.0569849496624</v>
      </c>
      <c r="L28" s="180">
        <v>3439.5098693191671</v>
      </c>
      <c r="M28" s="180">
        <v>813.54711563049693</v>
      </c>
      <c r="N28" s="180">
        <v>79993.315426089888</v>
      </c>
    </row>
    <row r="29" spans="1:14" s="141" customFormat="1" ht="12" x14ac:dyDescent="0.2">
      <c r="A29" s="139">
        <v>21</v>
      </c>
      <c r="B29" s="144" t="s">
        <v>738</v>
      </c>
      <c r="C29" s="146">
        <v>23</v>
      </c>
      <c r="D29" s="146">
        <v>5128434</v>
      </c>
      <c r="E29" s="146">
        <v>21544.745674487225</v>
      </c>
      <c r="F29" s="146">
        <v>11113.774490803877</v>
      </c>
      <c r="G29" s="146">
        <v>10430.97118368335</v>
      </c>
      <c r="H29" s="146">
        <v>35832.031286181911</v>
      </c>
      <c r="I29" s="180">
        <v>23</v>
      </c>
      <c r="J29" s="180">
        <v>5151831</v>
      </c>
      <c r="K29" s="180">
        <v>3148.3565348000002</v>
      </c>
      <c r="L29" s="180">
        <v>2221.7822028255032</v>
      </c>
      <c r="M29" s="180">
        <v>926.57433197449654</v>
      </c>
      <c r="N29" s="180">
        <v>44679.050451498108</v>
      </c>
    </row>
    <row r="30" spans="1:14" s="141" customFormat="1" ht="12" x14ac:dyDescent="0.2">
      <c r="A30" s="139">
        <v>22</v>
      </c>
      <c r="B30" s="144" t="s">
        <v>739</v>
      </c>
      <c r="C30" s="146">
        <v>6</v>
      </c>
      <c r="D30" s="146">
        <v>470525</v>
      </c>
      <c r="E30" s="146">
        <v>365.86219874400001</v>
      </c>
      <c r="F30" s="146">
        <v>743.54862671499995</v>
      </c>
      <c r="G30" s="146">
        <v>-377.686427971</v>
      </c>
      <c r="H30" s="146">
        <v>3282.0084482292932</v>
      </c>
      <c r="I30" s="180">
        <v>6</v>
      </c>
      <c r="J30" s="180">
        <v>467400</v>
      </c>
      <c r="K30" s="180">
        <v>50.420752520999997</v>
      </c>
      <c r="L30" s="180">
        <v>79.266384149000004</v>
      </c>
      <c r="M30" s="180">
        <v>-28.845631627999992</v>
      </c>
      <c r="N30" s="180">
        <v>3851.1710545059323</v>
      </c>
    </row>
    <row r="31" spans="1:14" s="141" customFormat="1" ht="12" x14ac:dyDescent="0.2">
      <c r="A31" s="139">
        <v>23</v>
      </c>
      <c r="B31" s="144" t="s">
        <v>740</v>
      </c>
      <c r="C31" s="146">
        <v>17</v>
      </c>
      <c r="D31" s="146">
        <v>4131763</v>
      </c>
      <c r="E31" s="146">
        <v>12840.084762151177</v>
      </c>
      <c r="F31" s="146">
        <v>14770.547673972873</v>
      </c>
      <c r="G31" s="146">
        <v>-1930.4629118216969</v>
      </c>
      <c r="H31" s="146">
        <v>39459.523672551848</v>
      </c>
      <c r="I31" s="180">
        <v>17</v>
      </c>
      <c r="J31" s="180">
        <v>4103832</v>
      </c>
      <c r="K31" s="180">
        <v>1945.059484037406</v>
      </c>
      <c r="L31" s="180">
        <v>1847.4326627734945</v>
      </c>
      <c r="M31" s="180">
        <v>97.62682126391185</v>
      </c>
      <c r="N31" s="180">
        <v>48764.412157985164</v>
      </c>
    </row>
    <row r="32" spans="1:14" s="141" customFormat="1" ht="12" x14ac:dyDescent="0.2">
      <c r="A32" s="139">
        <v>24</v>
      </c>
      <c r="B32" s="144" t="s">
        <v>741</v>
      </c>
      <c r="C32" s="146">
        <v>22</v>
      </c>
      <c r="D32" s="146">
        <v>3570651</v>
      </c>
      <c r="E32" s="146">
        <v>23485.73361535052</v>
      </c>
      <c r="F32" s="146">
        <v>10650.821706157074</v>
      </c>
      <c r="G32" s="146">
        <v>12834.911909193448</v>
      </c>
      <c r="H32" s="146">
        <v>39071.922440695627</v>
      </c>
      <c r="I32" s="180">
        <v>22</v>
      </c>
      <c r="J32" s="180">
        <v>3671249</v>
      </c>
      <c r="K32" s="180">
        <v>3701.9084120374791</v>
      </c>
      <c r="L32" s="180">
        <v>1971.8612701446875</v>
      </c>
      <c r="M32" s="180">
        <v>1730.0472418927932</v>
      </c>
      <c r="N32" s="180">
        <v>48225.245242007091</v>
      </c>
    </row>
    <row r="33" spans="1:14" s="141" customFormat="1" ht="12" x14ac:dyDescent="0.2">
      <c r="A33" s="139">
        <v>25</v>
      </c>
      <c r="B33" s="144" t="s">
        <v>742</v>
      </c>
      <c r="C33" s="146">
        <v>96</v>
      </c>
      <c r="D33" s="146">
        <v>6528979</v>
      </c>
      <c r="E33" s="146">
        <v>20900.560135889402</v>
      </c>
      <c r="F33" s="146">
        <v>16631.597691730614</v>
      </c>
      <c r="G33" s="146">
        <v>4268.9624441587839</v>
      </c>
      <c r="H33" s="146">
        <v>49844.160506678665</v>
      </c>
      <c r="I33" s="180">
        <v>95</v>
      </c>
      <c r="J33" s="180">
        <v>6717238</v>
      </c>
      <c r="K33" s="180">
        <v>4099.7716394341714</v>
      </c>
      <c r="L33" s="180">
        <v>3373.2745613723814</v>
      </c>
      <c r="M33" s="180">
        <v>726.49707806178901</v>
      </c>
      <c r="N33" s="180">
        <v>60109.581176416003</v>
      </c>
    </row>
    <row r="34" spans="1:14" s="141" customFormat="1" ht="12" x14ac:dyDescent="0.2">
      <c r="A34" s="139">
        <v>26</v>
      </c>
      <c r="B34" s="144" t="s">
        <v>743</v>
      </c>
      <c r="C34" s="146">
        <v>43</v>
      </c>
      <c r="D34" s="146">
        <v>12335172</v>
      </c>
      <c r="E34" s="146">
        <v>17429.36016490576</v>
      </c>
      <c r="F34" s="146">
        <v>9242.2797320221853</v>
      </c>
      <c r="G34" s="146">
        <v>8187.0804328835711</v>
      </c>
      <c r="H34" s="146">
        <v>74791.498748658283</v>
      </c>
      <c r="I34" s="180">
        <v>42</v>
      </c>
      <c r="J34" s="180">
        <v>12454189</v>
      </c>
      <c r="K34" s="180">
        <v>3231.9389221239276</v>
      </c>
      <c r="L34" s="180">
        <v>1180.4955988416693</v>
      </c>
      <c r="M34" s="180">
        <v>2051.4433232822571</v>
      </c>
      <c r="N34" s="180">
        <v>90024.788294165861</v>
      </c>
    </row>
    <row r="35" spans="1:14" s="141" customFormat="1" ht="38.25" x14ac:dyDescent="0.2">
      <c r="A35" s="139"/>
      <c r="B35" s="145" t="s">
        <v>744</v>
      </c>
      <c r="C35" s="146">
        <v>324</v>
      </c>
      <c r="D35" s="146">
        <v>62692668</v>
      </c>
      <c r="E35" s="146">
        <v>240183.62826312004</v>
      </c>
      <c r="F35" s="146">
        <v>156396.67882237906</v>
      </c>
      <c r="G35" s="146">
        <v>83786.94944074098</v>
      </c>
      <c r="H35" s="146">
        <v>578507.72821339685</v>
      </c>
      <c r="I35" s="180">
        <v>322</v>
      </c>
      <c r="J35" s="180">
        <v>63762341</v>
      </c>
      <c r="K35" s="180">
        <v>41226.482984917719</v>
      </c>
      <c r="L35" s="180">
        <v>29516.41555103035</v>
      </c>
      <c r="M35" s="180">
        <v>11710.067533887379</v>
      </c>
      <c r="N35" s="180">
        <v>701016.07459850702</v>
      </c>
    </row>
    <row r="36" spans="1:14" s="141" customFormat="1" ht="12" x14ac:dyDescent="0.2">
      <c r="A36" s="139"/>
      <c r="B36" s="140"/>
      <c r="C36" s="146"/>
      <c r="D36" s="146"/>
      <c r="E36" s="146"/>
      <c r="F36" s="146"/>
      <c r="G36" s="146"/>
      <c r="H36" s="146"/>
      <c r="I36" s="180"/>
      <c r="J36" s="180"/>
      <c r="K36" s="180"/>
      <c r="L36" s="180"/>
      <c r="M36" s="180"/>
      <c r="N36" s="180"/>
    </row>
    <row r="37" spans="1:14" s="141" customFormat="1" ht="12" x14ac:dyDescent="0.2">
      <c r="A37" s="139" t="s">
        <v>745</v>
      </c>
      <c r="B37" s="140" t="s">
        <v>746</v>
      </c>
      <c r="C37" s="146">
        <v>134</v>
      </c>
      <c r="D37" s="146">
        <v>9572715</v>
      </c>
      <c r="E37" s="146">
        <v>150980.09044905051</v>
      </c>
      <c r="F37" s="146">
        <v>174746.535458603</v>
      </c>
      <c r="G37" s="146">
        <v>-23766.44500955247</v>
      </c>
      <c r="H37" s="146">
        <v>262149.86826524179</v>
      </c>
      <c r="I37" s="180">
        <v>135</v>
      </c>
      <c r="J37" s="180">
        <v>9553104</v>
      </c>
      <c r="K37" s="180">
        <v>38613.78546683841</v>
      </c>
      <c r="L37" s="180">
        <v>25401.222891263744</v>
      </c>
      <c r="M37" s="180">
        <v>13212.562675574665</v>
      </c>
      <c r="N37" s="180">
        <v>301423.23387935542</v>
      </c>
    </row>
    <row r="38" spans="1:14" s="141" customFormat="1" ht="12" x14ac:dyDescent="0.2">
      <c r="A38" s="139">
        <v>27</v>
      </c>
      <c r="B38" s="144" t="s">
        <v>747</v>
      </c>
      <c r="C38" s="146">
        <v>22</v>
      </c>
      <c r="D38" s="146">
        <v>386103</v>
      </c>
      <c r="E38" s="146">
        <v>1165.5897263883048</v>
      </c>
      <c r="F38" s="146">
        <v>4894.8240683645736</v>
      </c>
      <c r="G38" s="146">
        <v>-3729.2343419762683</v>
      </c>
      <c r="H38" s="146">
        <v>11189.68047502978</v>
      </c>
      <c r="I38" s="180">
        <v>22</v>
      </c>
      <c r="J38" s="180">
        <v>377736</v>
      </c>
      <c r="K38" s="180">
        <v>351.7149337480846</v>
      </c>
      <c r="L38" s="180">
        <v>1341.1989925712182</v>
      </c>
      <c r="M38" s="180">
        <v>-989.48405882313398</v>
      </c>
      <c r="N38" s="180">
        <v>10722.211198526275</v>
      </c>
    </row>
    <row r="39" spans="1:14" s="141" customFormat="1" ht="24" x14ac:dyDescent="0.2">
      <c r="A39" s="139">
        <v>28</v>
      </c>
      <c r="B39" s="144" t="s">
        <v>748</v>
      </c>
      <c r="C39" s="146">
        <v>33</v>
      </c>
      <c r="D39" s="146">
        <v>5272614</v>
      </c>
      <c r="E39" s="146">
        <v>27229.243232883091</v>
      </c>
      <c r="F39" s="146">
        <v>48781.129242591043</v>
      </c>
      <c r="G39" s="146">
        <v>-21551.886009707967</v>
      </c>
      <c r="H39" s="146">
        <v>100990.17902722374</v>
      </c>
      <c r="I39" s="180">
        <v>33</v>
      </c>
      <c r="J39" s="180">
        <v>5228317</v>
      </c>
      <c r="K39" s="180">
        <v>2699.2455160461159</v>
      </c>
      <c r="L39" s="180">
        <v>6234.0957763784318</v>
      </c>
      <c r="M39" s="180">
        <v>-3534.8502603323163</v>
      </c>
      <c r="N39" s="180">
        <v>111624.38267215737</v>
      </c>
    </row>
    <row r="40" spans="1:14" s="141" customFormat="1" ht="24" x14ac:dyDescent="0.2">
      <c r="A40" s="139">
        <v>29</v>
      </c>
      <c r="B40" s="144" t="s">
        <v>749</v>
      </c>
      <c r="C40" s="146">
        <v>23</v>
      </c>
      <c r="D40" s="146">
        <v>2657247</v>
      </c>
      <c r="E40" s="146">
        <v>29572.946994399783</v>
      </c>
      <c r="F40" s="146">
        <v>23497.174200168731</v>
      </c>
      <c r="G40" s="146">
        <v>6075.7727942310557</v>
      </c>
      <c r="H40" s="146">
        <v>77091.389533361667</v>
      </c>
      <c r="I40" s="180">
        <v>23</v>
      </c>
      <c r="J40" s="180">
        <v>2676971</v>
      </c>
      <c r="K40" s="180">
        <v>2756.9434801618313</v>
      </c>
      <c r="L40" s="180">
        <v>4563.667701551155</v>
      </c>
      <c r="M40" s="180">
        <v>-1806.7242213893217</v>
      </c>
      <c r="N40" s="180">
        <v>84980.437639736832</v>
      </c>
    </row>
    <row r="41" spans="1:14" s="141" customFormat="1" ht="12" x14ac:dyDescent="0.2">
      <c r="A41" s="139">
        <v>30</v>
      </c>
      <c r="B41" s="144" t="s">
        <v>750</v>
      </c>
      <c r="C41" s="146">
        <v>8</v>
      </c>
      <c r="D41" s="146">
        <v>631330</v>
      </c>
      <c r="E41" s="146">
        <v>4243.5340999724831</v>
      </c>
      <c r="F41" s="146">
        <v>3490.0690572085082</v>
      </c>
      <c r="G41" s="146">
        <v>753.46504276397502</v>
      </c>
      <c r="H41" s="146">
        <v>9439.4050171137987</v>
      </c>
      <c r="I41" s="180">
        <v>8</v>
      </c>
      <c r="J41" s="180">
        <v>630356</v>
      </c>
      <c r="K41" s="180">
        <v>395.99361448830007</v>
      </c>
      <c r="L41" s="180">
        <v>537.42322458440992</v>
      </c>
      <c r="M41" s="180">
        <v>-141.42961009610991</v>
      </c>
      <c r="N41" s="180">
        <v>11082.060404856868</v>
      </c>
    </row>
    <row r="42" spans="1:14" s="141" customFormat="1" ht="12" x14ac:dyDescent="0.2">
      <c r="A42" s="139">
        <v>31</v>
      </c>
      <c r="B42" s="144" t="s">
        <v>751</v>
      </c>
      <c r="C42" s="146">
        <v>25</v>
      </c>
      <c r="D42" s="146">
        <v>296071</v>
      </c>
      <c r="E42" s="146">
        <v>86320.86078416559</v>
      </c>
      <c r="F42" s="146">
        <v>84637.864433798328</v>
      </c>
      <c r="G42" s="146">
        <v>1682.9963503672657</v>
      </c>
      <c r="H42" s="146">
        <v>52210.302000569289</v>
      </c>
      <c r="I42" s="180">
        <v>26</v>
      </c>
      <c r="J42" s="180">
        <v>316833</v>
      </c>
      <c r="K42" s="180">
        <v>32175.048571709427</v>
      </c>
      <c r="L42" s="180">
        <v>11244.214626507583</v>
      </c>
      <c r="M42" s="180">
        <v>20930.833945201844</v>
      </c>
      <c r="N42" s="180">
        <v>72079.500272783669</v>
      </c>
    </row>
    <row r="43" spans="1:14" s="141" customFormat="1" ht="12" x14ac:dyDescent="0.2">
      <c r="A43" s="139">
        <v>32</v>
      </c>
      <c r="B43" s="144" t="s">
        <v>752</v>
      </c>
      <c r="C43" s="146">
        <v>23</v>
      </c>
      <c r="D43" s="146">
        <v>329350</v>
      </c>
      <c r="E43" s="146">
        <v>2447.9156112412593</v>
      </c>
      <c r="F43" s="146">
        <v>9445.474456471793</v>
      </c>
      <c r="G43" s="146">
        <v>-6997.558845230531</v>
      </c>
      <c r="H43" s="146">
        <v>11228.912211943523</v>
      </c>
      <c r="I43" s="180">
        <v>23</v>
      </c>
      <c r="J43" s="180">
        <v>322891</v>
      </c>
      <c r="K43" s="180">
        <v>234.83935068464592</v>
      </c>
      <c r="L43" s="180">
        <v>1480.622569670943</v>
      </c>
      <c r="M43" s="180">
        <v>-1245.7831189862973</v>
      </c>
      <c r="N43" s="180">
        <v>10934.641691294397</v>
      </c>
    </row>
    <row r="44" spans="1:14" s="141" customFormat="1" ht="24" x14ac:dyDescent="0.2">
      <c r="A44" s="139"/>
      <c r="B44" s="143" t="s">
        <v>753</v>
      </c>
      <c r="C44" s="146">
        <v>134</v>
      </c>
      <c r="D44" s="146">
        <v>9572715</v>
      </c>
      <c r="E44" s="146">
        <v>150980.09044905051</v>
      </c>
      <c r="F44" s="146">
        <v>174746.535458603</v>
      </c>
      <c r="G44" s="146">
        <v>-23766.44500955247</v>
      </c>
      <c r="H44" s="146">
        <v>262149.86826524179</v>
      </c>
      <c r="I44" s="180">
        <v>135</v>
      </c>
      <c r="J44" s="180">
        <v>9553104</v>
      </c>
      <c r="K44" s="180">
        <v>38613.78546683841</v>
      </c>
      <c r="L44" s="180">
        <v>25401.222891263744</v>
      </c>
      <c r="M44" s="180">
        <v>13212.562675574665</v>
      </c>
      <c r="N44" s="180">
        <v>301423.23387935542</v>
      </c>
    </row>
    <row r="45" spans="1:14" s="141" customFormat="1" ht="12" x14ac:dyDescent="0.2">
      <c r="A45" s="139"/>
      <c r="B45" s="140"/>
      <c r="C45" s="146"/>
      <c r="D45" s="146"/>
      <c r="E45" s="146"/>
      <c r="F45" s="146"/>
      <c r="G45" s="146"/>
      <c r="H45" s="146"/>
      <c r="I45" s="180"/>
      <c r="J45" s="180"/>
      <c r="K45" s="180"/>
      <c r="L45" s="180"/>
      <c r="M45" s="180"/>
      <c r="N45" s="180"/>
    </row>
    <row r="46" spans="1:14" s="141" customFormat="1" ht="12" x14ac:dyDescent="0.2">
      <c r="A46" s="139" t="s">
        <v>754</v>
      </c>
      <c r="B46" s="140" t="s">
        <v>755</v>
      </c>
      <c r="C46" s="146">
        <v>33</v>
      </c>
      <c r="D46" s="146">
        <v>5436840</v>
      </c>
      <c r="E46" s="146">
        <v>4007.4239590908278</v>
      </c>
      <c r="F46" s="146">
        <v>1553.2785902472694</v>
      </c>
      <c r="G46" s="146">
        <v>2454.1453688435586</v>
      </c>
      <c r="H46" s="146">
        <v>15699.244346504685</v>
      </c>
      <c r="I46" s="180">
        <v>33</v>
      </c>
      <c r="J46" s="180">
        <v>5436718</v>
      </c>
      <c r="K46" s="180">
        <v>548.33160588247779</v>
      </c>
      <c r="L46" s="180">
        <v>260.44817313265219</v>
      </c>
      <c r="M46" s="180">
        <v>287.88343274982554</v>
      </c>
      <c r="N46" s="180">
        <v>18057.067258131618</v>
      </c>
    </row>
    <row r="47" spans="1:14" s="141" customFormat="1" ht="12" x14ac:dyDescent="0.2">
      <c r="A47" s="139">
        <v>33</v>
      </c>
      <c r="B47" s="144" t="s">
        <v>756</v>
      </c>
      <c r="C47" s="146">
        <v>24</v>
      </c>
      <c r="D47" s="146">
        <v>2544753</v>
      </c>
      <c r="E47" s="146">
        <v>3155.4759845799999</v>
      </c>
      <c r="F47" s="146">
        <v>1113.0925893046999</v>
      </c>
      <c r="G47" s="146">
        <v>2042.3833952753</v>
      </c>
      <c r="H47" s="146">
        <v>8507.0652043591217</v>
      </c>
      <c r="I47" s="180">
        <v>24</v>
      </c>
      <c r="J47" s="180">
        <v>2545543</v>
      </c>
      <c r="K47" s="180">
        <v>403.67398551700001</v>
      </c>
      <c r="L47" s="180">
        <v>227.38314711299998</v>
      </c>
      <c r="M47" s="180">
        <v>176.29083840399997</v>
      </c>
      <c r="N47" s="180">
        <v>9799.6779066957988</v>
      </c>
    </row>
    <row r="48" spans="1:14" s="141" customFormat="1" ht="12" x14ac:dyDescent="0.2">
      <c r="A48" s="139">
        <v>34</v>
      </c>
      <c r="B48" s="144" t="s">
        <v>757</v>
      </c>
      <c r="C48" s="146">
        <v>9</v>
      </c>
      <c r="D48" s="146">
        <v>2892087</v>
      </c>
      <c r="E48" s="146">
        <v>851.94797451082786</v>
      </c>
      <c r="F48" s="146">
        <v>440.18600094256954</v>
      </c>
      <c r="G48" s="146">
        <v>411.76197356825855</v>
      </c>
      <c r="H48" s="146">
        <v>7192.1791421455637</v>
      </c>
      <c r="I48" s="180">
        <v>9</v>
      </c>
      <c r="J48" s="180">
        <v>2891175</v>
      </c>
      <c r="K48" s="180">
        <v>144.65762036547778</v>
      </c>
      <c r="L48" s="180">
        <v>33.065026019652194</v>
      </c>
      <c r="M48" s="180">
        <v>111.59259434582557</v>
      </c>
      <c r="N48" s="180">
        <v>8257.3893514358206</v>
      </c>
    </row>
    <row r="49" spans="1:14" s="141" customFormat="1" ht="12" x14ac:dyDescent="0.2">
      <c r="A49" s="139"/>
      <c r="B49" s="143" t="s">
        <v>758</v>
      </c>
      <c r="C49" s="146">
        <v>33</v>
      </c>
      <c r="D49" s="146">
        <v>5436840</v>
      </c>
      <c r="E49" s="146">
        <v>4007.4239590908278</v>
      </c>
      <c r="F49" s="146">
        <v>1553.2785902472694</v>
      </c>
      <c r="G49" s="146">
        <v>2454.1453688435586</v>
      </c>
      <c r="H49" s="146">
        <v>15699.244346504685</v>
      </c>
      <c r="I49" s="180">
        <v>33</v>
      </c>
      <c r="J49" s="180">
        <v>5436718</v>
      </c>
      <c r="K49" s="180">
        <v>548.33160588247779</v>
      </c>
      <c r="L49" s="180">
        <v>260.44817313265219</v>
      </c>
      <c r="M49" s="180">
        <v>287.88343274982554</v>
      </c>
      <c r="N49" s="180">
        <v>18057.067258131618</v>
      </c>
    </row>
    <row r="50" spans="1:14" s="141" customFormat="1" ht="12" x14ac:dyDescent="0.2">
      <c r="A50" s="139"/>
      <c r="B50" s="140"/>
      <c r="C50" s="146"/>
      <c r="D50" s="146"/>
      <c r="E50" s="146"/>
      <c r="F50" s="146"/>
      <c r="G50" s="146"/>
      <c r="H50" s="146"/>
      <c r="I50" s="180"/>
      <c r="J50" s="180"/>
      <c r="K50" s="180"/>
      <c r="L50" s="180"/>
      <c r="M50" s="180"/>
      <c r="N50" s="180"/>
    </row>
    <row r="51" spans="1:14" s="141" customFormat="1" ht="12" x14ac:dyDescent="0.2">
      <c r="A51" s="139" t="s">
        <v>759</v>
      </c>
      <c r="B51" s="140" t="s">
        <v>760</v>
      </c>
      <c r="C51" s="146">
        <v>147</v>
      </c>
      <c r="D51" s="146">
        <v>3160311</v>
      </c>
      <c r="E51" s="146">
        <v>135137.15601297506</v>
      </c>
      <c r="F51" s="146">
        <v>67826.971700422306</v>
      </c>
      <c r="G51" s="146">
        <v>67310.184312552752</v>
      </c>
      <c r="H51" s="146">
        <v>165235.08948419325</v>
      </c>
      <c r="I51" s="180">
        <v>151</v>
      </c>
      <c r="J51" s="180">
        <v>3818618</v>
      </c>
      <c r="K51" s="180">
        <v>22233.766043149772</v>
      </c>
      <c r="L51" s="180">
        <v>13570.47689482438</v>
      </c>
      <c r="M51" s="180">
        <v>8663.2892483253945</v>
      </c>
      <c r="N51" s="180">
        <v>201270.01134900984</v>
      </c>
    </row>
    <row r="52" spans="1:14" s="141" customFormat="1" ht="12" x14ac:dyDescent="0.2">
      <c r="A52" s="139">
        <v>35</v>
      </c>
      <c r="B52" s="140" t="s">
        <v>761</v>
      </c>
      <c r="C52" s="146">
        <v>32</v>
      </c>
      <c r="D52" s="146">
        <v>544075</v>
      </c>
      <c r="E52" s="146">
        <v>8221.7278099505056</v>
      </c>
      <c r="F52" s="146">
        <v>3205.0868115734311</v>
      </c>
      <c r="G52" s="146">
        <v>5016.6409983770745</v>
      </c>
      <c r="H52" s="146">
        <v>8088.996682432592</v>
      </c>
      <c r="I52" s="180">
        <v>35</v>
      </c>
      <c r="J52" s="180">
        <v>688055</v>
      </c>
      <c r="K52" s="180">
        <v>2610.9675760481728</v>
      </c>
      <c r="L52" s="180">
        <v>1299.1672957870931</v>
      </c>
      <c r="M52" s="180">
        <v>1311.8003802610792</v>
      </c>
      <c r="N52" s="180">
        <v>11168.495464571868</v>
      </c>
    </row>
    <row r="53" spans="1:14" s="141" customFormat="1" ht="12" x14ac:dyDescent="0.2">
      <c r="A53" s="139">
        <v>36</v>
      </c>
      <c r="B53" s="140" t="s">
        <v>762</v>
      </c>
      <c r="C53" s="146">
        <v>11</v>
      </c>
      <c r="D53" s="146">
        <v>526671</v>
      </c>
      <c r="E53" s="146">
        <v>2514.7871980499999</v>
      </c>
      <c r="F53" s="146">
        <v>901.19522454427681</v>
      </c>
      <c r="G53" s="146">
        <v>1613.5919735057232</v>
      </c>
      <c r="H53" s="146">
        <v>7949.0628744751848</v>
      </c>
      <c r="I53" s="180">
        <v>11</v>
      </c>
      <c r="J53" s="180">
        <v>631300</v>
      </c>
      <c r="K53" s="180">
        <v>2214.5446250900004</v>
      </c>
      <c r="L53" s="180">
        <v>174.34418886239499</v>
      </c>
      <c r="M53" s="180">
        <v>2040.2004362276052</v>
      </c>
      <c r="N53" s="180">
        <v>10857.439241828142</v>
      </c>
    </row>
    <row r="54" spans="1:14" s="141" customFormat="1" ht="12" x14ac:dyDescent="0.2">
      <c r="A54" s="139">
        <v>37</v>
      </c>
      <c r="B54" s="140" t="s">
        <v>763</v>
      </c>
      <c r="C54" s="146">
        <v>76</v>
      </c>
      <c r="D54" s="146">
        <v>1899781</v>
      </c>
      <c r="E54" s="146">
        <v>123007.73807137753</v>
      </c>
      <c r="F54" s="146">
        <v>63198.326308484517</v>
      </c>
      <c r="G54" s="146">
        <v>59809.411762893018</v>
      </c>
      <c r="H54" s="146">
        <v>146462.67481179998</v>
      </c>
      <c r="I54" s="180">
        <v>77</v>
      </c>
      <c r="J54" s="180">
        <v>2264179</v>
      </c>
      <c r="K54" s="180">
        <v>16621.110940647995</v>
      </c>
      <c r="L54" s="180">
        <v>11689.768449754405</v>
      </c>
      <c r="M54" s="180">
        <v>4931.3424908935958</v>
      </c>
      <c r="N54" s="180">
        <v>175340.37885158797</v>
      </c>
    </row>
    <row r="55" spans="1:14" s="141" customFormat="1" ht="12" x14ac:dyDescent="0.2">
      <c r="A55" s="139">
        <v>38</v>
      </c>
      <c r="B55" s="140" t="s">
        <v>764</v>
      </c>
      <c r="C55" s="146">
        <v>28</v>
      </c>
      <c r="D55" s="146">
        <v>189784</v>
      </c>
      <c r="E55" s="146">
        <v>1392.9029335969999</v>
      </c>
      <c r="F55" s="146">
        <v>522.36335582007507</v>
      </c>
      <c r="G55" s="146">
        <v>870.53957777692483</v>
      </c>
      <c r="H55" s="146">
        <v>2734.3551154855036</v>
      </c>
      <c r="I55" s="180">
        <v>28</v>
      </c>
      <c r="J55" s="180">
        <v>235084</v>
      </c>
      <c r="K55" s="180">
        <v>787.14290136359989</v>
      </c>
      <c r="L55" s="180">
        <v>407.19696042048554</v>
      </c>
      <c r="M55" s="180">
        <v>379.94594094311446</v>
      </c>
      <c r="N55" s="180">
        <v>3903.697791021882</v>
      </c>
    </row>
    <row r="56" spans="1:14" s="141" customFormat="1" ht="12" x14ac:dyDescent="0.2">
      <c r="A56" s="139"/>
      <c r="B56" s="143" t="s">
        <v>765</v>
      </c>
      <c r="C56" s="146">
        <v>147</v>
      </c>
      <c r="D56" s="146">
        <v>3160311</v>
      </c>
      <c r="E56" s="146">
        <v>135137.15601297506</v>
      </c>
      <c r="F56" s="146">
        <v>67826.971700422306</v>
      </c>
      <c r="G56" s="146">
        <v>67310.184312552752</v>
      </c>
      <c r="H56" s="146">
        <v>165235.08948419325</v>
      </c>
      <c r="I56" s="180">
        <v>151</v>
      </c>
      <c r="J56" s="180">
        <v>3818618</v>
      </c>
      <c r="K56" s="180">
        <v>22233.766043149772</v>
      </c>
      <c r="L56" s="180">
        <v>13570.47689482438</v>
      </c>
      <c r="M56" s="180">
        <v>8663.2892483253945</v>
      </c>
      <c r="N56" s="180">
        <v>201270.01134900984</v>
      </c>
    </row>
    <row r="57" spans="1:14" s="141" customFormat="1" ht="12" x14ac:dyDescent="0.2">
      <c r="A57" s="139"/>
      <c r="B57" s="140"/>
      <c r="C57" s="146"/>
      <c r="D57" s="146"/>
      <c r="E57" s="146"/>
      <c r="F57" s="146"/>
      <c r="G57" s="146"/>
      <c r="H57" s="146"/>
      <c r="I57" s="180"/>
      <c r="J57" s="180"/>
      <c r="K57" s="180"/>
      <c r="L57" s="180"/>
      <c r="M57" s="180"/>
      <c r="N57" s="180"/>
    </row>
    <row r="58" spans="1:14" s="141" customFormat="1" ht="12" x14ac:dyDescent="0.2">
      <c r="A58" s="139"/>
      <c r="B58" s="140" t="s">
        <v>766</v>
      </c>
      <c r="C58" s="146">
        <v>967</v>
      </c>
      <c r="D58" s="146">
        <v>86998118</v>
      </c>
      <c r="E58" s="146">
        <v>18808945.722033549</v>
      </c>
      <c r="F58" s="146">
        <v>18683938.874123961</v>
      </c>
      <c r="G58" s="146">
        <v>125006.84790958559</v>
      </c>
      <c r="H58" s="146">
        <v>2050733.6076105726</v>
      </c>
      <c r="I58" s="180">
        <v>970</v>
      </c>
      <c r="J58" s="180">
        <v>89030586</v>
      </c>
      <c r="K58" s="180">
        <v>2647561.5226569283</v>
      </c>
      <c r="L58" s="180">
        <v>2503728.9555377215</v>
      </c>
      <c r="M58" s="146">
        <v>143832.56761920758</v>
      </c>
      <c r="N58" s="180">
        <v>2384789.84387164</v>
      </c>
    </row>
    <row r="59" spans="1:14" s="141" customFormat="1" ht="12" x14ac:dyDescent="0.2">
      <c r="A59" s="139"/>
      <c r="B59" s="140"/>
      <c r="C59" s="146"/>
      <c r="D59" s="146"/>
      <c r="E59" s="146"/>
      <c r="F59" s="146"/>
      <c r="G59" s="146"/>
      <c r="H59" s="146"/>
      <c r="I59" s="180"/>
      <c r="J59" s="180"/>
      <c r="K59" s="180"/>
      <c r="L59" s="180"/>
      <c r="M59" s="180"/>
      <c r="N59" s="180"/>
    </row>
    <row r="60" spans="1:14" s="136" customFormat="1" ht="12" x14ac:dyDescent="0.2">
      <c r="A60" s="468" t="s">
        <v>629</v>
      </c>
      <c r="B60" s="137" t="s">
        <v>767</v>
      </c>
      <c r="C60" s="223"/>
      <c r="D60" s="223"/>
      <c r="E60" s="223"/>
      <c r="F60" s="223"/>
      <c r="G60" s="223"/>
      <c r="H60" s="223"/>
      <c r="I60" s="181"/>
      <c r="J60" s="181"/>
      <c r="K60" s="181"/>
      <c r="L60" s="181"/>
      <c r="M60" s="181"/>
      <c r="N60" s="181"/>
    </row>
    <row r="61" spans="1:14" s="141" customFormat="1" ht="12" x14ac:dyDescent="0.2">
      <c r="A61" s="139" t="s">
        <v>713</v>
      </c>
      <c r="B61" s="140" t="s">
        <v>714</v>
      </c>
      <c r="C61" s="146">
        <v>815</v>
      </c>
      <c r="D61" s="146">
        <v>1042672</v>
      </c>
      <c r="E61" s="146">
        <v>4503.0041427139995</v>
      </c>
      <c r="F61" s="146">
        <v>38312.8953746568</v>
      </c>
      <c r="G61" s="146">
        <v>-33809.891231942805</v>
      </c>
      <c r="H61" s="146">
        <v>150622.75938203395</v>
      </c>
      <c r="I61" s="180">
        <v>721</v>
      </c>
      <c r="J61" s="180">
        <v>821720</v>
      </c>
      <c r="K61" s="180">
        <v>76.441790505</v>
      </c>
      <c r="L61" s="180">
        <v>19478.941630540001</v>
      </c>
      <c r="M61" s="180">
        <v>-19402.499840035001</v>
      </c>
      <c r="N61" s="180">
        <v>135641.98644111591</v>
      </c>
    </row>
    <row r="62" spans="1:14" s="141" customFormat="1" ht="12" x14ac:dyDescent="0.2">
      <c r="A62" s="139" t="s">
        <v>768</v>
      </c>
      <c r="B62" s="140" t="s">
        <v>769</v>
      </c>
      <c r="C62" s="146">
        <v>742</v>
      </c>
      <c r="D62" s="146">
        <v>851658</v>
      </c>
      <c r="E62" s="146">
        <v>4013.9855413139999</v>
      </c>
      <c r="F62" s="146">
        <v>32726.769196192003</v>
      </c>
      <c r="G62" s="146">
        <v>-28712.783654878</v>
      </c>
      <c r="H62" s="146">
        <v>140594.52457520913</v>
      </c>
      <c r="I62" s="180">
        <v>658</v>
      </c>
      <c r="J62" s="180">
        <v>678474</v>
      </c>
      <c r="K62" s="180">
        <v>76.441790505</v>
      </c>
      <c r="L62" s="180">
        <v>17514.503544598003</v>
      </c>
      <c r="M62" s="180">
        <v>-17438.061754093003</v>
      </c>
      <c r="N62" s="180">
        <v>127383.75925450874</v>
      </c>
    </row>
    <row r="63" spans="1:14" s="141" customFormat="1" ht="12" x14ac:dyDescent="0.2">
      <c r="A63" s="139" t="s">
        <v>770</v>
      </c>
      <c r="B63" s="140" t="s">
        <v>771</v>
      </c>
      <c r="C63" s="146">
        <v>31</v>
      </c>
      <c r="D63" s="146">
        <v>107535</v>
      </c>
      <c r="E63" s="146">
        <v>489.01860140000002</v>
      </c>
      <c r="F63" s="146">
        <v>2665.4728133068024</v>
      </c>
      <c r="G63" s="146">
        <v>-2176.4542119068024</v>
      </c>
      <c r="H63" s="146">
        <v>4209.97686122907</v>
      </c>
      <c r="I63" s="180">
        <v>28</v>
      </c>
      <c r="J63" s="180">
        <v>100865</v>
      </c>
      <c r="K63" s="180">
        <v>0</v>
      </c>
      <c r="L63" s="180">
        <v>390.645467156</v>
      </c>
      <c r="M63" s="180">
        <v>-390.645467156</v>
      </c>
      <c r="N63" s="180">
        <v>3966.9216512311077</v>
      </c>
    </row>
    <row r="64" spans="1:14" s="141" customFormat="1" ht="12" x14ac:dyDescent="0.2">
      <c r="A64" s="139" t="s">
        <v>772</v>
      </c>
      <c r="B64" s="140" t="s">
        <v>773</v>
      </c>
      <c r="C64" s="146">
        <v>9</v>
      </c>
      <c r="D64" s="146">
        <v>89</v>
      </c>
      <c r="E64" s="146">
        <v>0</v>
      </c>
      <c r="F64" s="146">
        <v>314.72242813100002</v>
      </c>
      <c r="G64" s="146">
        <v>-314.72242813100002</v>
      </c>
      <c r="H64" s="146">
        <v>2391.3706024945245</v>
      </c>
      <c r="I64" s="180">
        <v>9</v>
      </c>
      <c r="J64" s="180">
        <v>89</v>
      </c>
      <c r="K64" s="180">
        <v>0</v>
      </c>
      <c r="L64" s="180">
        <v>0</v>
      </c>
      <c r="M64" s="180">
        <v>0</v>
      </c>
      <c r="N64" s="180">
        <v>2368.1728084120214</v>
      </c>
    </row>
    <row r="65" spans="1:14" s="141" customFormat="1" ht="12" x14ac:dyDescent="0.2">
      <c r="A65" s="139" t="s">
        <v>774</v>
      </c>
      <c r="B65" s="140" t="s">
        <v>775</v>
      </c>
      <c r="C65" s="146">
        <v>33</v>
      </c>
      <c r="D65" s="146">
        <v>83390</v>
      </c>
      <c r="E65" s="146">
        <v>0</v>
      </c>
      <c r="F65" s="146">
        <v>2605.9309370270003</v>
      </c>
      <c r="G65" s="146">
        <v>-2605.9309370270003</v>
      </c>
      <c r="H65" s="146">
        <v>3426.8873431012225</v>
      </c>
      <c r="I65" s="180">
        <v>26</v>
      </c>
      <c r="J65" s="180">
        <v>42292</v>
      </c>
      <c r="K65" s="180">
        <v>0</v>
      </c>
      <c r="L65" s="180">
        <v>1573.792618786001</v>
      </c>
      <c r="M65" s="180">
        <v>-1573.792618786001</v>
      </c>
      <c r="N65" s="180">
        <v>1923.1327269640394</v>
      </c>
    </row>
    <row r="66" spans="1:14" s="141" customFormat="1" ht="12" x14ac:dyDescent="0.2">
      <c r="A66" s="139"/>
      <c r="B66" s="140" t="s">
        <v>776</v>
      </c>
      <c r="C66" s="146">
        <v>815</v>
      </c>
      <c r="D66" s="146">
        <v>1042672</v>
      </c>
      <c r="E66" s="146">
        <v>4503.0041427139995</v>
      </c>
      <c r="F66" s="146">
        <v>38312.8953746568</v>
      </c>
      <c r="G66" s="146">
        <v>-33809.891231942805</v>
      </c>
      <c r="H66" s="146">
        <v>150622.75938203395</v>
      </c>
      <c r="I66" s="180">
        <v>721</v>
      </c>
      <c r="J66" s="180">
        <v>821720</v>
      </c>
      <c r="K66" s="180">
        <v>76.441790505</v>
      </c>
      <c r="L66" s="180">
        <v>19478.941630540001</v>
      </c>
      <c r="M66" s="180">
        <v>-19402.499840035001</v>
      </c>
      <c r="N66" s="180">
        <v>135641.98644111591</v>
      </c>
    </row>
    <row r="67" spans="1:14" s="141" customFormat="1" ht="12" x14ac:dyDescent="0.2">
      <c r="A67" s="139"/>
      <c r="B67" s="140"/>
      <c r="C67" s="146"/>
      <c r="D67" s="146"/>
      <c r="E67" s="146"/>
      <c r="F67" s="146"/>
      <c r="G67" s="146"/>
      <c r="H67" s="146"/>
      <c r="I67" s="180"/>
      <c r="J67" s="180"/>
      <c r="K67" s="180"/>
      <c r="L67" s="180"/>
      <c r="M67" s="180"/>
      <c r="N67" s="180"/>
    </row>
    <row r="68" spans="1:14" s="141" customFormat="1" ht="12" x14ac:dyDescent="0.2">
      <c r="A68" s="139" t="s">
        <v>732</v>
      </c>
      <c r="B68" s="140" t="s">
        <v>733</v>
      </c>
      <c r="C68" s="146">
        <v>111</v>
      </c>
      <c r="D68" s="146">
        <v>1701373</v>
      </c>
      <c r="E68" s="146">
        <v>3.999999999999837E-5</v>
      </c>
      <c r="F68" s="146">
        <v>2190.4230618150009</v>
      </c>
      <c r="G68" s="146">
        <v>-2190.4230218150005</v>
      </c>
      <c r="H68" s="146">
        <v>24453.849414134409</v>
      </c>
      <c r="I68" s="180">
        <v>107</v>
      </c>
      <c r="J68" s="180">
        <v>1685950</v>
      </c>
      <c r="K68" s="180">
        <v>0</v>
      </c>
      <c r="L68" s="180">
        <v>330.95416759</v>
      </c>
      <c r="M68" s="180">
        <v>-330.95416759</v>
      </c>
      <c r="N68" s="180">
        <v>28048.897506200145</v>
      </c>
    </row>
    <row r="69" spans="1:14" s="141" customFormat="1" ht="12" x14ac:dyDescent="0.2">
      <c r="A69" s="139" t="s">
        <v>768</v>
      </c>
      <c r="B69" s="140" t="s">
        <v>743</v>
      </c>
      <c r="C69" s="146">
        <v>25</v>
      </c>
      <c r="D69" s="146">
        <v>470566</v>
      </c>
      <c r="E69" s="146">
        <v>0</v>
      </c>
      <c r="F69" s="146">
        <v>322.09820754499998</v>
      </c>
      <c r="G69" s="146">
        <v>-322.09820754499998</v>
      </c>
      <c r="H69" s="146">
        <v>3044.9470239677185</v>
      </c>
      <c r="I69" s="180">
        <v>25</v>
      </c>
      <c r="J69" s="180">
        <v>468229</v>
      </c>
      <c r="K69" s="180">
        <v>0</v>
      </c>
      <c r="L69" s="180">
        <v>26.591844942999998</v>
      </c>
      <c r="M69" s="180">
        <v>-26.591844942999998</v>
      </c>
      <c r="N69" s="180">
        <v>3629.2116363825075</v>
      </c>
    </row>
    <row r="70" spans="1:14" s="141" customFormat="1" ht="12" x14ac:dyDescent="0.2">
      <c r="A70" s="139" t="s">
        <v>770</v>
      </c>
      <c r="B70" s="140" t="s">
        <v>185</v>
      </c>
      <c r="C70" s="146">
        <v>86</v>
      </c>
      <c r="D70" s="146">
        <v>1230807</v>
      </c>
      <c r="E70" s="146">
        <v>3.999999999999837E-5</v>
      </c>
      <c r="F70" s="146">
        <v>1868.3248542700007</v>
      </c>
      <c r="G70" s="146">
        <v>-1868.3248142700006</v>
      </c>
      <c r="H70" s="146">
        <v>21408.902390166691</v>
      </c>
      <c r="I70" s="180">
        <v>82</v>
      </c>
      <c r="J70" s="180">
        <v>1217721</v>
      </c>
      <c r="K70" s="180">
        <v>0</v>
      </c>
      <c r="L70" s="180">
        <v>304.36232264699998</v>
      </c>
      <c r="M70" s="180">
        <v>-304.36232264699998</v>
      </c>
      <c r="N70" s="180">
        <v>24419.685869817637</v>
      </c>
    </row>
    <row r="71" spans="1:14" s="141" customFormat="1" ht="12" x14ac:dyDescent="0.2">
      <c r="A71" s="139"/>
      <c r="B71" s="140" t="s">
        <v>777</v>
      </c>
      <c r="C71" s="146">
        <v>111</v>
      </c>
      <c r="D71" s="146">
        <v>1701373</v>
      </c>
      <c r="E71" s="146">
        <v>3.999999999999837E-5</v>
      </c>
      <c r="F71" s="146">
        <v>2190.4230618150009</v>
      </c>
      <c r="G71" s="146">
        <v>-2190.4230218150005</v>
      </c>
      <c r="H71" s="146">
        <v>24453.849414134409</v>
      </c>
      <c r="I71" s="180">
        <v>107</v>
      </c>
      <c r="J71" s="180">
        <v>1685950</v>
      </c>
      <c r="K71" s="180">
        <v>0</v>
      </c>
      <c r="L71" s="180">
        <v>330.95416759</v>
      </c>
      <c r="M71" s="180">
        <v>-330.95416759</v>
      </c>
      <c r="N71" s="180">
        <v>28048.897506200145</v>
      </c>
    </row>
    <row r="72" spans="1:14" s="141" customFormat="1" ht="12" x14ac:dyDescent="0.2">
      <c r="A72" s="139"/>
      <c r="B72" s="140"/>
      <c r="C72" s="146"/>
      <c r="D72" s="146"/>
      <c r="E72" s="146"/>
      <c r="F72" s="146"/>
      <c r="G72" s="146"/>
      <c r="H72" s="146"/>
      <c r="I72" s="180"/>
      <c r="J72" s="180"/>
      <c r="K72" s="180"/>
      <c r="L72" s="180"/>
      <c r="M72" s="180"/>
      <c r="N72" s="180"/>
    </row>
    <row r="73" spans="1:14" s="141" customFormat="1" ht="12" x14ac:dyDescent="0.2">
      <c r="A73" s="139" t="s">
        <v>745</v>
      </c>
      <c r="B73" s="140" t="s">
        <v>760</v>
      </c>
      <c r="C73" s="146">
        <v>0</v>
      </c>
      <c r="D73" s="146">
        <v>0</v>
      </c>
      <c r="E73" s="146">
        <v>0</v>
      </c>
      <c r="F73" s="146">
        <v>0</v>
      </c>
      <c r="G73" s="146">
        <v>0</v>
      </c>
      <c r="H73" s="146">
        <v>0</v>
      </c>
      <c r="I73" s="180">
        <v>0</v>
      </c>
      <c r="J73" s="180">
        <v>0</v>
      </c>
      <c r="K73" s="180">
        <v>0</v>
      </c>
      <c r="L73" s="180">
        <v>0</v>
      </c>
      <c r="M73" s="180">
        <v>0</v>
      </c>
      <c r="N73" s="180">
        <v>0</v>
      </c>
    </row>
    <row r="74" spans="1:14" s="141" customFormat="1" ht="12" x14ac:dyDescent="0.2">
      <c r="A74" s="139"/>
      <c r="B74" s="140"/>
      <c r="C74" s="146"/>
      <c r="D74" s="146"/>
      <c r="E74" s="146"/>
      <c r="F74" s="146"/>
      <c r="G74" s="146"/>
      <c r="H74" s="146"/>
      <c r="I74" s="180"/>
      <c r="J74" s="180"/>
      <c r="K74" s="180"/>
      <c r="L74" s="180"/>
      <c r="M74" s="180"/>
      <c r="N74" s="180"/>
    </row>
    <row r="75" spans="1:14" s="141" customFormat="1" ht="12" x14ac:dyDescent="0.2">
      <c r="A75" s="139"/>
      <c r="B75" s="140" t="s">
        <v>778</v>
      </c>
      <c r="C75" s="146">
        <v>926</v>
      </c>
      <c r="D75" s="146">
        <v>2744045</v>
      </c>
      <c r="E75" s="146">
        <v>4503.0041827139994</v>
      </c>
      <c r="F75" s="146">
        <v>40503.318436471804</v>
      </c>
      <c r="G75" s="146">
        <v>-36000.31425375781</v>
      </c>
      <c r="H75" s="146">
        <v>175076.60879616835</v>
      </c>
      <c r="I75" s="180">
        <v>828</v>
      </c>
      <c r="J75" s="180">
        <v>2507670</v>
      </c>
      <c r="K75" s="180">
        <v>76.441790505</v>
      </c>
      <c r="L75" s="180">
        <v>19809.895798130001</v>
      </c>
      <c r="M75" s="180">
        <v>-19733.454007625001</v>
      </c>
      <c r="N75" s="180">
        <v>163690.88394731606</v>
      </c>
    </row>
    <row r="76" spans="1:14" s="141" customFormat="1" ht="12" x14ac:dyDescent="0.2">
      <c r="A76" s="139"/>
      <c r="B76" s="140"/>
      <c r="C76" s="146"/>
      <c r="D76" s="146"/>
      <c r="E76" s="146"/>
      <c r="F76" s="146"/>
      <c r="G76" s="146"/>
      <c r="H76" s="146"/>
      <c r="I76" s="180"/>
      <c r="J76" s="180"/>
      <c r="K76" s="180"/>
      <c r="L76" s="180"/>
      <c r="M76" s="180"/>
      <c r="N76" s="180"/>
    </row>
    <row r="77" spans="1:14" s="136" customFormat="1" ht="12" x14ac:dyDescent="0.2">
      <c r="A77" s="468" t="s">
        <v>632</v>
      </c>
      <c r="B77" s="137" t="s">
        <v>779</v>
      </c>
      <c r="C77" s="223"/>
      <c r="D77" s="223"/>
      <c r="E77" s="223"/>
      <c r="F77" s="223"/>
      <c r="G77" s="223"/>
      <c r="H77" s="223"/>
      <c r="I77" s="181"/>
      <c r="J77" s="181"/>
      <c r="K77" s="181"/>
      <c r="L77" s="181"/>
      <c r="M77" s="181"/>
      <c r="N77" s="181"/>
    </row>
    <row r="78" spans="1:14" s="141" customFormat="1" ht="12" x14ac:dyDescent="0.2">
      <c r="A78" s="139" t="s">
        <v>713</v>
      </c>
      <c r="B78" s="140" t="s">
        <v>714</v>
      </c>
      <c r="C78" s="146">
        <v>23</v>
      </c>
      <c r="D78" s="146">
        <v>3888</v>
      </c>
      <c r="E78" s="146">
        <v>9.0477382380000044</v>
      </c>
      <c r="F78" s="146">
        <v>1714.7554145029999</v>
      </c>
      <c r="G78" s="146">
        <v>-1705.7076762649999</v>
      </c>
      <c r="H78" s="146">
        <v>392.64872913278566</v>
      </c>
      <c r="I78" s="180">
        <v>23</v>
      </c>
      <c r="J78" s="180">
        <v>3836</v>
      </c>
      <c r="K78" s="180">
        <v>1.5804113119999996</v>
      </c>
      <c r="L78" s="180">
        <v>21.722518756999996</v>
      </c>
      <c r="M78" s="180">
        <v>-20.142107445000001</v>
      </c>
      <c r="N78" s="180">
        <v>367.70583826861883</v>
      </c>
    </row>
    <row r="79" spans="1:14" s="141" customFormat="1" ht="12" x14ac:dyDescent="0.2">
      <c r="A79" s="139"/>
      <c r="B79" s="140"/>
      <c r="C79" s="146"/>
      <c r="D79" s="146"/>
      <c r="E79" s="146"/>
      <c r="F79" s="146"/>
      <c r="G79" s="146"/>
      <c r="H79" s="146"/>
      <c r="I79" s="180"/>
      <c r="J79" s="180"/>
      <c r="K79" s="180"/>
      <c r="L79" s="180"/>
      <c r="M79" s="180"/>
      <c r="N79" s="180"/>
    </row>
    <row r="80" spans="1:14" s="141" customFormat="1" x14ac:dyDescent="0.2">
      <c r="A80" s="139" t="s">
        <v>732</v>
      </c>
      <c r="B80" s="147" t="s">
        <v>733</v>
      </c>
      <c r="C80" s="146">
        <v>0</v>
      </c>
      <c r="D80" s="146">
        <v>0</v>
      </c>
      <c r="E80" s="146">
        <v>0</v>
      </c>
      <c r="F80" s="146">
        <v>0</v>
      </c>
      <c r="G80" s="146">
        <v>0</v>
      </c>
      <c r="H80" s="146">
        <v>0</v>
      </c>
      <c r="I80" s="180">
        <v>0</v>
      </c>
      <c r="J80" s="180">
        <v>0</v>
      </c>
      <c r="K80" s="180">
        <v>0</v>
      </c>
      <c r="L80" s="180">
        <v>0</v>
      </c>
      <c r="M80" s="180">
        <v>0</v>
      </c>
      <c r="N80" s="180">
        <v>0</v>
      </c>
    </row>
    <row r="81" spans="1:14" s="141" customFormat="1" ht="12" x14ac:dyDescent="0.2">
      <c r="A81" s="139"/>
      <c r="B81" s="140"/>
      <c r="C81" s="146"/>
      <c r="D81" s="146"/>
      <c r="E81" s="146"/>
      <c r="F81" s="146"/>
      <c r="G81" s="146"/>
      <c r="H81" s="146"/>
      <c r="I81" s="180"/>
      <c r="J81" s="180"/>
      <c r="K81" s="180"/>
      <c r="L81" s="180"/>
      <c r="M81" s="180"/>
      <c r="N81" s="180"/>
    </row>
    <row r="82" spans="1:14" s="141" customFormat="1" ht="12" x14ac:dyDescent="0.2">
      <c r="A82" s="139" t="s">
        <v>745</v>
      </c>
      <c r="B82" s="140" t="s">
        <v>760</v>
      </c>
      <c r="C82" s="146">
        <v>0</v>
      </c>
      <c r="D82" s="146">
        <v>0</v>
      </c>
      <c r="E82" s="146">
        <v>0</v>
      </c>
      <c r="F82" s="146">
        <v>0</v>
      </c>
      <c r="G82" s="146">
        <v>0</v>
      </c>
      <c r="H82" s="146">
        <v>0</v>
      </c>
      <c r="I82" s="180">
        <v>0</v>
      </c>
      <c r="J82" s="180">
        <v>0</v>
      </c>
      <c r="K82" s="180">
        <v>0</v>
      </c>
      <c r="L82" s="180">
        <v>0</v>
      </c>
      <c r="M82" s="180">
        <v>0</v>
      </c>
      <c r="N82" s="180">
        <v>0</v>
      </c>
    </row>
    <row r="83" spans="1:14" s="141" customFormat="1" ht="12" x14ac:dyDescent="0.2">
      <c r="A83" s="139"/>
      <c r="B83" s="140"/>
      <c r="C83" s="146"/>
      <c r="D83" s="146"/>
      <c r="E83" s="146"/>
      <c r="F83" s="146"/>
      <c r="G83" s="146"/>
      <c r="H83" s="146"/>
      <c r="I83" s="180"/>
      <c r="J83" s="180"/>
      <c r="K83" s="180"/>
      <c r="L83" s="180"/>
      <c r="M83" s="180"/>
      <c r="N83" s="180"/>
    </row>
    <row r="84" spans="1:14" s="141" customFormat="1" ht="12" x14ac:dyDescent="0.2">
      <c r="A84" s="139"/>
      <c r="B84" s="140" t="s">
        <v>780</v>
      </c>
      <c r="C84" s="146">
        <v>23</v>
      </c>
      <c r="D84" s="146">
        <v>3888</v>
      </c>
      <c r="E84" s="146">
        <v>9.0477382380000044</v>
      </c>
      <c r="F84" s="146">
        <v>1714.7554145029999</v>
      </c>
      <c r="G84" s="146">
        <v>-1705.7076762649999</v>
      </c>
      <c r="H84" s="146">
        <v>392.64872913278566</v>
      </c>
      <c r="I84" s="180">
        <v>23</v>
      </c>
      <c r="J84" s="180">
        <v>3836</v>
      </c>
      <c r="K84" s="180">
        <v>1.5804113119999996</v>
      </c>
      <c r="L84" s="180">
        <v>21.722518756999996</v>
      </c>
      <c r="M84" s="180">
        <v>-20.142107445000001</v>
      </c>
      <c r="N84" s="180">
        <v>367.70583826861883</v>
      </c>
    </row>
    <row r="85" spans="1:14" s="141" customFormat="1" ht="12" x14ac:dyDescent="0.2">
      <c r="A85" s="139"/>
      <c r="B85" s="140"/>
      <c r="C85" s="146"/>
      <c r="D85" s="146"/>
      <c r="E85" s="146"/>
      <c r="F85" s="146"/>
      <c r="G85" s="146"/>
      <c r="H85" s="146"/>
      <c r="I85" s="180"/>
      <c r="J85" s="180"/>
      <c r="K85" s="180"/>
      <c r="L85" s="180"/>
      <c r="M85" s="180"/>
      <c r="N85" s="180"/>
    </row>
    <row r="86" spans="1:14" s="136" customFormat="1" ht="36" x14ac:dyDescent="0.2">
      <c r="A86" s="148" t="s">
        <v>781</v>
      </c>
      <c r="B86" s="148" t="s">
        <v>781</v>
      </c>
      <c r="C86" s="146">
        <v>1916</v>
      </c>
      <c r="D86" s="146">
        <v>89746051</v>
      </c>
      <c r="E86" s="146">
        <v>18813457.7739545</v>
      </c>
      <c r="F86" s="146">
        <v>18726156.947974935</v>
      </c>
      <c r="G86" s="146">
        <v>87300.825979562796</v>
      </c>
      <c r="H86" s="146">
        <v>2226202.8651358737</v>
      </c>
      <c r="I86" s="181">
        <v>1821</v>
      </c>
      <c r="J86" s="181">
        <v>91542092</v>
      </c>
      <c r="K86" s="181">
        <v>2647639.5448587453</v>
      </c>
      <c r="L86" s="181">
        <v>2523560.5738546085</v>
      </c>
      <c r="M86" s="181">
        <v>124078.97150413757</v>
      </c>
      <c r="N86" s="181">
        <v>2548848.4336572248</v>
      </c>
    </row>
    <row r="87" spans="1:14" s="141" customFormat="1" ht="12" x14ac:dyDescent="0.2">
      <c r="A87" s="139"/>
      <c r="B87" s="140"/>
      <c r="C87" s="146"/>
      <c r="D87" s="146"/>
      <c r="E87" s="146"/>
      <c r="F87" s="146"/>
      <c r="G87" s="146"/>
      <c r="H87" s="146"/>
      <c r="I87" s="180"/>
      <c r="J87" s="180"/>
      <c r="K87" s="180"/>
      <c r="L87" s="180"/>
      <c r="M87" s="180"/>
      <c r="N87" s="180"/>
    </row>
    <row r="88" spans="1:14" s="141" customFormat="1" ht="12" x14ac:dyDescent="0.2">
      <c r="A88" s="139"/>
      <c r="B88" s="140" t="s">
        <v>782</v>
      </c>
      <c r="C88" s="146">
        <v>46</v>
      </c>
      <c r="D88" s="146">
        <v>637072</v>
      </c>
      <c r="E88" s="146">
        <v>10813.35154536839</v>
      </c>
      <c r="F88" s="146">
        <v>1930.1320254151196</v>
      </c>
      <c r="G88" s="146">
        <v>8883.2195199532707</v>
      </c>
      <c r="H88" s="146">
        <v>12257.11304643228</v>
      </c>
      <c r="I88" s="180">
        <v>46</v>
      </c>
      <c r="J88" s="180">
        <v>776607</v>
      </c>
      <c r="K88" s="180">
        <v>2648.7689111762484</v>
      </c>
      <c r="L88" s="180">
        <v>954.52823716182138</v>
      </c>
      <c r="M88" s="180">
        <v>1694.240674014427</v>
      </c>
      <c r="N88" s="180">
        <v>15472.414415444084</v>
      </c>
    </row>
    <row r="89" spans="1:14" s="141" customFormat="1" ht="12" x14ac:dyDescent="0.2">
      <c r="A89" s="447" t="s">
        <v>1083</v>
      </c>
      <c r="B89" s="444"/>
      <c r="C89" s="445"/>
      <c r="D89" s="445"/>
      <c r="E89" s="445"/>
      <c r="F89" s="445"/>
      <c r="G89" s="445"/>
      <c r="H89" s="445"/>
      <c r="I89" s="446"/>
      <c r="J89" s="446"/>
      <c r="K89" s="446"/>
      <c r="L89" s="446"/>
      <c r="M89" s="446"/>
      <c r="N89" s="446"/>
    </row>
    <row r="90" spans="1:14" x14ac:dyDescent="0.2">
      <c r="A90" s="82" t="s">
        <v>850</v>
      </c>
    </row>
    <row r="91" spans="1:14" x14ac:dyDescent="0.2">
      <c r="A91" s="1013" t="s">
        <v>56</v>
      </c>
      <c r="B91" s="1013"/>
    </row>
    <row r="92" spans="1:14" x14ac:dyDescent="0.2">
      <c r="C92" s="225"/>
      <c r="H92" s="225"/>
    </row>
    <row r="93" spans="1:14" x14ac:dyDescent="0.2">
      <c r="C93" s="225"/>
    </row>
    <row r="94" spans="1:14" x14ac:dyDescent="0.2">
      <c r="C94" s="225"/>
    </row>
    <row r="95" spans="1:14" x14ac:dyDescent="0.2">
      <c r="C95" s="225"/>
    </row>
    <row r="96" spans="1:14" x14ac:dyDescent="0.2">
      <c r="C96" s="225"/>
    </row>
    <row r="97" spans="3:3" s="82" customFormat="1" x14ac:dyDescent="0.2">
      <c r="C97" s="225"/>
    </row>
  </sheetData>
  <mergeCells count="5">
    <mergeCell ref="I2:N2"/>
    <mergeCell ref="A91:B91"/>
    <mergeCell ref="A2:A3"/>
    <mergeCell ref="B2:B3"/>
    <mergeCell ref="C2:H2"/>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13"/>
  <sheetViews>
    <sheetView zoomScaleNormal="100" workbookViewId="0">
      <selection sqref="A1:XFD1048576"/>
    </sheetView>
  </sheetViews>
  <sheetFormatPr defaultRowHeight="12.75" x14ac:dyDescent="0.2"/>
  <cols>
    <col min="1" max="1" width="11.5703125" bestFit="1" customWidth="1"/>
    <col min="2" max="7" width="12.140625" bestFit="1" customWidth="1"/>
    <col min="8" max="8" width="15" bestFit="1" customWidth="1"/>
    <col min="9" max="9" width="9.7109375" bestFit="1" customWidth="1"/>
    <col min="10" max="10" width="19.42578125" bestFit="1" customWidth="1"/>
    <col min="11" max="11" width="4.7109375" bestFit="1" customWidth="1"/>
  </cols>
  <sheetData>
    <row r="1" spans="1:10" ht="15.75" customHeight="1" x14ac:dyDescent="0.2">
      <c r="A1" s="1017" t="s">
        <v>1019</v>
      </c>
      <c r="B1" s="1017"/>
      <c r="C1" s="1017"/>
      <c r="D1" s="1017"/>
      <c r="E1" s="1017"/>
      <c r="F1" s="1017"/>
      <c r="G1" s="1017"/>
      <c r="H1" s="1017"/>
      <c r="I1" s="1017"/>
    </row>
    <row r="2" spans="1:10" ht="15.75" customHeight="1" x14ac:dyDescent="0.2">
      <c r="A2" s="657"/>
      <c r="B2" s="657"/>
      <c r="C2" s="657"/>
      <c r="D2" s="657"/>
      <c r="E2" s="657"/>
      <c r="F2" s="657"/>
      <c r="G2" s="657"/>
      <c r="H2" s="657"/>
      <c r="I2" s="657"/>
      <c r="J2" t="s">
        <v>1000</v>
      </c>
    </row>
    <row r="3" spans="1:10" s="499" customFormat="1" ht="18.75" customHeight="1" x14ac:dyDescent="0.2">
      <c r="A3" s="894" t="s">
        <v>448</v>
      </c>
      <c r="B3" s="861" t="s">
        <v>449</v>
      </c>
      <c r="C3" s="1018"/>
      <c r="D3" s="862"/>
      <c r="E3" s="861" t="s">
        <v>82</v>
      </c>
      <c r="F3" s="1018"/>
      <c r="G3" s="862"/>
      <c r="H3" s="861" t="s">
        <v>67</v>
      </c>
      <c r="I3" s="1018"/>
      <c r="J3" s="862"/>
    </row>
    <row r="4" spans="1:10" s="499" customFormat="1" ht="34.5" customHeight="1" x14ac:dyDescent="0.2">
      <c r="A4" s="895"/>
      <c r="B4" s="570" t="s">
        <v>450</v>
      </c>
      <c r="C4" s="570" t="s">
        <v>451</v>
      </c>
      <c r="D4" s="570" t="s">
        <v>452</v>
      </c>
      <c r="E4" s="570" t="s">
        <v>450</v>
      </c>
      <c r="F4" s="570" t="s">
        <v>451</v>
      </c>
      <c r="G4" s="570" t="s">
        <v>452</v>
      </c>
      <c r="H4" s="570" t="s">
        <v>450</v>
      </c>
      <c r="I4" s="570" t="s">
        <v>451</v>
      </c>
      <c r="J4" s="570" t="s">
        <v>453</v>
      </c>
    </row>
    <row r="5" spans="1:10" s="499" customFormat="1" ht="22.5" customHeight="1" x14ac:dyDescent="0.2">
      <c r="A5" s="599" t="s">
        <v>73</v>
      </c>
      <c r="B5" s="592" t="s">
        <v>928</v>
      </c>
      <c r="C5" s="592" t="s">
        <v>929</v>
      </c>
      <c r="D5" s="591">
        <v>91603</v>
      </c>
      <c r="E5" s="592" t="s">
        <v>930</v>
      </c>
      <c r="F5" s="592" t="s">
        <v>931</v>
      </c>
      <c r="G5" s="591" t="s">
        <v>932</v>
      </c>
      <c r="H5" s="592" t="s">
        <v>933</v>
      </c>
      <c r="I5" s="592" t="s">
        <v>934</v>
      </c>
      <c r="J5" s="591" t="s">
        <v>935</v>
      </c>
    </row>
    <row r="6" spans="1:10" s="499" customFormat="1" ht="22.5" customHeight="1" x14ac:dyDescent="0.2">
      <c r="A6" s="599" t="s">
        <v>76</v>
      </c>
      <c r="B6" s="592">
        <f>SUM(B7:B9)</f>
        <v>198585.44</v>
      </c>
      <c r="C6" s="592">
        <f>SUM(C7:C9)</f>
        <v>200529.99</v>
      </c>
      <c r="D6" s="591">
        <f t="shared" ref="D6:J6" si="0">SUM(D7:D9)</f>
        <v>-1944.5500000000002</v>
      </c>
      <c r="E6" s="592">
        <f t="shared" si="0"/>
        <v>440406.43</v>
      </c>
      <c r="F6" s="592">
        <f t="shared" si="0"/>
        <v>398136.89</v>
      </c>
      <c r="G6" s="591">
        <f t="shared" si="0"/>
        <v>42269.539999999994</v>
      </c>
      <c r="H6" s="592">
        <f t="shared" si="0"/>
        <v>638991.87</v>
      </c>
      <c r="I6" s="592">
        <f t="shared" si="0"/>
        <v>598666.88</v>
      </c>
      <c r="J6" s="591">
        <f t="shared" si="0"/>
        <v>40324.989999999991</v>
      </c>
    </row>
    <row r="7" spans="1:10" s="499" customFormat="1" ht="22.5" customHeight="1" x14ac:dyDescent="0.2">
      <c r="A7" s="599" t="s">
        <v>75</v>
      </c>
      <c r="B7" s="591">
        <v>54525.1</v>
      </c>
      <c r="C7" s="591">
        <v>62490.6</v>
      </c>
      <c r="D7" s="591">
        <f>B7-C7</f>
        <v>-7965.5</v>
      </c>
      <c r="E7" s="592">
        <v>121444.56</v>
      </c>
      <c r="F7" s="592">
        <v>131239.1</v>
      </c>
      <c r="G7" s="591">
        <f>E7-F7</f>
        <v>-9794.5400000000081</v>
      </c>
      <c r="H7" s="592">
        <v>175969.66</v>
      </c>
      <c r="I7" s="592">
        <v>193729.7</v>
      </c>
      <c r="J7" s="591">
        <f>H7-I7</f>
        <v>-17760.040000000008</v>
      </c>
    </row>
    <row r="8" spans="1:10" s="499" customFormat="1" ht="22.5" customHeight="1" x14ac:dyDescent="0.2">
      <c r="A8" s="599" t="s">
        <v>74</v>
      </c>
      <c r="B8" s="591">
        <v>70794.759999999995</v>
      </c>
      <c r="C8" s="591">
        <v>64272.31</v>
      </c>
      <c r="D8" s="591">
        <v>6522.45</v>
      </c>
      <c r="E8" s="592">
        <v>139959.84</v>
      </c>
      <c r="F8" s="592">
        <v>129260.47</v>
      </c>
      <c r="G8" s="591">
        <v>10699.37</v>
      </c>
      <c r="H8" s="592">
        <v>210754.6</v>
      </c>
      <c r="I8" s="592">
        <v>193532.78</v>
      </c>
      <c r="J8" s="591">
        <v>17221.82</v>
      </c>
    </row>
    <row r="9" spans="1:10" s="499" customFormat="1" ht="22.5" customHeight="1" x14ac:dyDescent="0.2">
      <c r="A9" s="599" t="s">
        <v>849</v>
      </c>
      <c r="B9" s="591">
        <v>73265.58</v>
      </c>
      <c r="C9" s="591">
        <v>73767.08</v>
      </c>
      <c r="D9" s="591">
        <v>-501.5</v>
      </c>
      <c r="E9" s="592">
        <v>179002.03</v>
      </c>
      <c r="F9" s="592">
        <v>137637.32</v>
      </c>
      <c r="G9" s="591">
        <v>41364.71</v>
      </c>
      <c r="H9" s="592">
        <v>252267.61</v>
      </c>
      <c r="I9" s="592">
        <v>211404.4</v>
      </c>
      <c r="J9" s="591">
        <v>40863.21</v>
      </c>
    </row>
    <row r="10" spans="1:10" s="499" customFormat="1" ht="22.5" customHeight="1" x14ac:dyDescent="0.2">
      <c r="A10" s="658" t="s">
        <v>1083</v>
      </c>
      <c r="B10" s="659"/>
      <c r="C10" s="659"/>
      <c r="D10" s="659"/>
      <c r="E10" s="660"/>
      <c r="F10" s="660"/>
      <c r="G10" s="659"/>
      <c r="H10" s="660"/>
      <c r="I10" s="660"/>
      <c r="J10" s="659"/>
    </row>
    <row r="11" spans="1:10" s="499" customFormat="1" ht="18" customHeight="1" x14ac:dyDescent="0.2">
      <c r="A11" s="786" t="s">
        <v>848</v>
      </c>
      <c r="B11" s="786"/>
      <c r="C11" s="786"/>
      <c r="D11" s="786"/>
      <c r="E11" s="786"/>
      <c r="F11" s="786"/>
      <c r="G11" s="786"/>
    </row>
    <row r="12" spans="1:10" s="499" customFormat="1" ht="18.75" customHeight="1" x14ac:dyDescent="0.2">
      <c r="A12" s="797" t="s">
        <v>90</v>
      </c>
      <c r="B12" s="797"/>
      <c r="C12" s="797"/>
      <c r="D12" s="797"/>
      <c r="E12" s="797"/>
      <c r="F12" s="797"/>
      <c r="G12" s="797"/>
    </row>
    <row r="13" spans="1:10" s="499" customFormat="1" ht="28.35" customHeight="1" x14ac:dyDescent="0.2"/>
  </sheetData>
  <mergeCells count="7">
    <mergeCell ref="A12:G12"/>
    <mergeCell ref="A11:G11"/>
    <mergeCell ref="A1:I1"/>
    <mergeCell ref="A3:A4"/>
    <mergeCell ref="B3:D3"/>
    <mergeCell ref="E3:G3"/>
    <mergeCell ref="H3:J3"/>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V30"/>
  <sheetViews>
    <sheetView zoomScaleNormal="100" workbookViewId="0">
      <selection activeCell="H16" sqref="H16"/>
    </sheetView>
  </sheetViews>
  <sheetFormatPr defaultRowHeight="12.75" x14ac:dyDescent="0.2"/>
  <cols>
    <col min="1" max="1" width="21.140625" bestFit="1" customWidth="1"/>
    <col min="2" max="2" width="12.85546875" bestFit="1" customWidth="1"/>
    <col min="3" max="3" width="17.28515625" bestFit="1" customWidth="1"/>
    <col min="4" max="4" width="12.140625" customWidth="1"/>
    <col min="5" max="5" width="12.85546875" customWidth="1"/>
    <col min="6" max="8" width="17.7109375" bestFit="1" customWidth="1"/>
    <col min="9" max="9" width="17.7109375" customWidth="1"/>
    <col min="13" max="13" width="16.42578125" customWidth="1"/>
    <col min="14" max="14" width="16" customWidth="1"/>
    <col min="15" max="15" width="17.140625" customWidth="1"/>
    <col min="16" max="16" width="15" customWidth="1"/>
  </cols>
  <sheetData>
    <row r="1" spans="1:256" x14ac:dyDescent="0.2">
      <c r="A1" s="661" t="s">
        <v>1021</v>
      </c>
      <c r="B1" s="661"/>
      <c r="C1" s="661"/>
      <c r="D1" s="661"/>
      <c r="E1" s="661"/>
      <c r="F1" s="661"/>
      <c r="G1" s="661"/>
      <c r="H1" s="661"/>
      <c r="I1" s="661"/>
    </row>
    <row r="2" spans="1:256" s="404" customFormat="1" x14ac:dyDescent="0.2">
      <c r="A2" s="662" t="s">
        <v>65</v>
      </c>
      <c r="B2" s="663" t="s">
        <v>89</v>
      </c>
      <c r="C2" s="664"/>
      <c r="D2" s="664"/>
      <c r="E2" s="665"/>
      <c r="F2" s="663" t="s">
        <v>783</v>
      </c>
      <c r="G2" s="664"/>
      <c r="H2" s="664"/>
      <c r="I2" s="666"/>
    </row>
    <row r="3" spans="1:256" s="404" customFormat="1" x14ac:dyDescent="0.2">
      <c r="A3" s="667" t="s">
        <v>454</v>
      </c>
      <c r="B3" s="587" t="s">
        <v>784</v>
      </c>
      <c r="C3" s="587" t="s">
        <v>785</v>
      </c>
      <c r="D3" s="587" t="s">
        <v>786</v>
      </c>
      <c r="E3" s="587" t="s">
        <v>67</v>
      </c>
      <c r="F3" s="587" t="s">
        <v>787</v>
      </c>
      <c r="G3" s="587" t="s">
        <v>785</v>
      </c>
      <c r="H3" s="587" t="s">
        <v>788</v>
      </c>
      <c r="I3" s="668" t="s">
        <v>67</v>
      </c>
    </row>
    <row r="4" spans="1:256" s="404" customFormat="1" ht="15.75" x14ac:dyDescent="0.25">
      <c r="A4" s="669" t="s">
        <v>455</v>
      </c>
      <c r="B4" s="568">
        <v>138829</v>
      </c>
      <c r="C4" s="566">
        <v>6853</v>
      </c>
      <c r="D4" s="566">
        <v>4038</v>
      </c>
      <c r="E4" s="568">
        <v>149720</v>
      </c>
      <c r="F4" s="150">
        <v>151982</v>
      </c>
      <c r="G4" s="150">
        <v>9381</v>
      </c>
      <c r="H4" s="150">
        <v>3854</v>
      </c>
      <c r="I4" s="568">
        <f>F4+G4+H4</f>
        <v>165217</v>
      </c>
    </row>
    <row r="5" spans="1:256" s="404" customFormat="1" ht="15.75" customHeight="1" x14ac:dyDescent="0.2">
      <c r="A5" s="1020" t="s">
        <v>456</v>
      </c>
      <c r="B5" s="1021"/>
      <c r="C5" s="1021"/>
      <c r="D5" s="1021"/>
      <c r="E5" s="1021"/>
      <c r="F5" s="1021"/>
      <c r="G5" s="1021"/>
      <c r="H5" s="1021"/>
      <c r="I5" s="1022"/>
    </row>
    <row r="6" spans="1:256" s="404" customFormat="1" ht="15.75" x14ac:dyDescent="0.25">
      <c r="A6" s="669" t="s">
        <v>457</v>
      </c>
      <c r="B6" s="568">
        <v>111995.61</v>
      </c>
      <c r="C6" s="566">
        <v>18477.080000000002</v>
      </c>
      <c r="D6" s="566">
        <v>0</v>
      </c>
      <c r="E6" s="568">
        <v>130472.69</v>
      </c>
      <c r="F6" s="150">
        <v>107262.54899999998</v>
      </c>
      <c r="G6" s="150">
        <v>19139.022000000001</v>
      </c>
      <c r="H6" s="566">
        <v>0</v>
      </c>
      <c r="I6" s="568">
        <f>SUM(F6:H6)</f>
        <v>126401.57099999998</v>
      </c>
    </row>
    <row r="7" spans="1:256" s="404" customFormat="1" ht="15.75" x14ac:dyDescent="0.25">
      <c r="A7" s="669" t="s">
        <v>458</v>
      </c>
      <c r="B7" s="566">
        <v>458.85</v>
      </c>
      <c r="C7" s="566">
        <v>74.69</v>
      </c>
      <c r="D7" s="566">
        <v>0</v>
      </c>
      <c r="E7" s="566">
        <v>533.54</v>
      </c>
      <c r="F7" s="150">
        <v>520.47199999999998</v>
      </c>
      <c r="G7" s="150">
        <v>303.82299999999992</v>
      </c>
      <c r="H7" s="566">
        <v>0</v>
      </c>
      <c r="I7" s="566">
        <f t="shared" ref="I7:I13" si="0">SUM(F7:H7)</f>
        <v>824.29499999999985</v>
      </c>
    </row>
    <row r="8" spans="1:256" s="404" customFormat="1" ht="15.75" x14ac:dyDescent="0.25">
      <c r="A8" s="669" t="s">
        <v>459</v>
      </c>
      <c r="B8" s="568">
        <v>1160856.72</v>
      </c>
      <c r="C8" s="566">
        <v>74701.850000000006</v>
      </c>
      <c r="D8" s="566">
        <v>0</v>
      </c>
      <c r="E8" s="568">
        <v>1235558.57</v>
      </c>
      <c r="F8" s="150">
        <v>1370128.0759999999</v>
      </c>
      <c r="G8" s="150">
        <v>80919.338000000032</v>
      </c>
      <c r="H8" s="566">
        <v>0</v>
      </c>
      <c r="I8" s="568">
        <f t="shared" si="0"/>
        <v>1451047.4139999999</v>
      </c>
    </row>
    <row r="9" spans="1:256" s="404" customFormat="1" ht="15.75" x14ac:dyDescent="0.25">
      <c r="A9" s="669" t="s">
        <v>460</v>
      </c>
      <c r="B9" s="566">
        <v>752.86</v>
      </c>
      <c r="C9" s="566">
        <v>530.57000000000005</v>
      </c>
      <c r="D9" s="566">
        <v>0</v>
      </c>
      <c r="E9" s="566">
        <v>1283.43</v>
      </c>
      <c r="F9" s="150">
        <v>1337.8340000000001</v>
      </c>
      <c r="G9" s="150">
        <v>1232.7729999999999</v>
      </c>
      <c r="H9" s="566">
        <v>0</v>
      </c>
      <c r="I9" s="566">
        <f t="shared" si="0"/>
        <v>2570.607</v>
      </c>
    </row>
    <row r="10" spans="1:256" s="404" customFormat="1" ht="15.75" x14ac:dyDescent="0.25">
      <c r="A10" s="669" t="s">
        <v>461</v>
      </c>
      <c r="B10" s="566">
        <v>466.12</v>
      </c>
      <c r="C10" s="566">
        <v>-1.24</v>
      </c>
      <c r="D10" s="566">
        <v>0</v>
      </c>
      <c r="E10" s="566">
        <v>464.88</v>
      </c>
      <c r="F10" s="150">
        <v>493.41200000000003</v>
      </c>
      <c r="G10" s="150">
        <v>0</v>
      </c>
      <c r="H10" s="566">
        <v>0</v>
      </c>
      <c r="I10" s="566">
        <f t="shared" si="0"/>
        <v>493.41200000000003</v>
      </c>
    </row>
    <row r="11" spans="1:256" s="404" customFormat="1" ht="15.75" x14ac:dyDescent="0.25">
      <c r="A11" s="669" t="s">
        <v>39</v>
      </c>
      <c r="B11" s="566">
        <v>14112.76</v>
      </c>
      <c r="C11" s="566">
        <v>13856.15</v>
      </c>
      <c r="D11" s="566">
        <v>0</v>
      </c>
      <c r="E11" s="566">
        <v>27968.91</v>
      </c>
      <c r="F11" s="150">
        <v>9286.2050000000017</v>
      </c>
      <c r="G11" s="150">
        <v>14256.268</v>
      </c>
      <c r="H11" s="566">
        <v>0</v>
      </c>
      <c r="I11" s="566">
        <f t="shared" si="0"/>
        <v>23542.473000000002</v>
      </c>
    </row>
    <row r="12" spans="1:256" s="404" customFormat="1" ht="15.75" x14ac:dyDescent="0.25">
      <c r="A12" s="669" t="s">
        <v>185</v>
      </c>
      <c r="B12" s="566">
        <v>14498.29</v>
      </c>
      <c r="C12" s="566">
        <v>1392.08</v>
      </c>
      <c r="D12" s="566">
        <v>0</v>
      </c>
      <c r="E12" s="566">
        <v>15890.37</v>
      </c>
      <c r="F12" s="150">
        <v>8692.2499999999909</v>
      </c>
      <c r="G12" s="150">
        <v>2959.4969999999989</v>
      </c>
      <c r="H12" s="566">
        <v>0</v>
      </c>
      <c r="I12" s="566">
        <f t="shared" si="0"/>
        <v>11651.74699999999</v>
      </c>
    </row>
    <row r="13" spans="1:256" s="404" customFormat="1" x14ac:dyDescent="0.2">
      <c r="A13" s="670" t="s">
        <v>789</v>
      </c>
      <c r="B13" s="671">
        <v>1303141.21</v>
      </c>
      <c r="C13" s="671">
        <v>109031.18</v>
      </c>
      <c r="D13" s="671">
        <v>193620</v>
      </c>
      <c r="E13" s="671">
        <v>1605792.39</v>
      </c>
      <c r="F13" s="671">
        <f>SUM(F6:F12)</f>
        <v>1497720.798</v>
      </c>
      <c r="G13" s="671">
        <f>SUM(G6:G12)</f>
        <v>118810.72100000003</v>
      </c>
      <c r="H13" s="671">
        <v>193732</v>
      </c>
      <c r="I13" s="671">
        <f t="shared" si="0"/>
        <v>1810263.5190000001</v>
      </c>
      <c r="J13" s="672"/>
      <c r="K13" s="672"/>
      <c r="L13" s="672"/>
      <c r="M13" s="672"/>
      <c r="N13" s="672"/>
      <c r="O13" s="672"/>
      <c r="P13" s="672"/>
      <c r="Q13" s="672"/>
      <c r="R13" s="672"/>
      <c r="S13" s="672"/>
      <c r="T13" s="672"/>
      <c r="U13" s="672"/>
      <c r="V13" s="672"/>
      <c r="W13" s="672"/>
      <c r="X13" s="672"/>
      <c r="Y13" s="672"/>
      <c r="Z13" s="672"/>
      <c r="AA13" s="672"/>
      <c r="AB13" s="672"/>
      <c r="AC13" s="672"/>
      <c r="AD13" s="672"/>
      <c r="AE13" s="672"/>
      <c r="AF13" s="672"/>
      <c r="AG13" s="672"/>
      <c r="AH13" s="672"/>
      <c r="AI13" s="672"/>
      <c r="AJ13" s="672"/>
      <c r="AK13" s="672"/>
      <c r="AL13" s="672"/>
      <c r="AM13" s="672"/>
      <c r="AN13" s="672"/>
      <c r="AO13" s="672"/>
      <c r="AP13" s="672"/>
      <c r="AQ13" s="672"/>
      <c r="AR13" s="672"/>
      <c r="AS13" s="672"/>
      <c r="AT13" s="672"/>
      <c r="AU13" s="672"/>
      <c r="AV13" s="672"/>
      <c r="AW13" s="672"/>
      <c r="AX13" s="672"/>
      <c r="AY13" s="672"/>
      <c r="AZ13" s="672"/>
      <c r="BA13" s="672"/>
      <c r="BB13" s="672"/>
      <c r="BC13" s="672"/>
      <c r="BD13" s="672"/>
      <c r="BE13" s="672"/>
      <c r="BF13" s="672"/>
      <c r="BG13" s="672"/>
      <c r="BH13" s="672"/>
      <c r="BI13" s="672"/>
      <c r="BJ13" s="672"/>
      <c r="BK13" s="672"/>
      <c r="BL13" s="672"/>
      <c r="BM13" s="672"/>
      <c r="BN13" s="672"/>
      <c r="BO13" s="672"/>
      <c r="BP13" s="672"/>
      <c r="BQ13" s="672"/>
      <c r="BR13" s="672"/>
      <c r="BS13" s="672"/>
      <c r="BT13" s="672"/>
      <c r="BU13" s="672"/>
      <c r="BV13" s="672"/>
      <c r="BW13" s="672"/>
      <c r="BX13" s="672"/>
      <c r="BY13" s="672"/>
      <c r="BZ13" s="672"/>
      <c r="CA13" s="672"/>
      <c r="CB13" s="672"/>
      <c r="CC13" s="672"/>
      <c r="CD13" s="672"/>
      <c r="CE13" s="672"/>
      <c r="CF13" s="672"/>
      <c r="CG13" s="672"/>
      <c r="CH13" s="672"/>
      <c r="CI13" s="672"/>
      <c r="CJ13" s="672"/>
      <c r="CK13" s="672"/>
      <c r="CL13" s="672"/>
      <c r="CM13" s="672"/>
      <c r="CN13" s="672"/>
      <c r="CO13" s="672"/>
      <c r="CP13" s="672"/>
      <c r="CQ13" s="672"/>
      <c r="CR13" s="672"/>
      <c r="CS13" s="672"/>
      <c r="CT13" s="672"/>
      <c r="CU13" s="672"/>
      <c r="CV13" s="672"/>
      <c r="CW13" s="672"/>
      <c r="CX13" s="672"/>
      <c r="CY13" s="672"/>
      <c r="CZ13" s="672"/>
      <c r="DA13" s="672"/>
      <c r="DB13" s="672"/>
      <c r="DC13" s="672"/>
      <c r="DD13" s="672"/>
      <c r="DE13" s="672"/>
      <c r="DF13" s="672"/>
      <c r="DG13" s="672"/>
      <c r="DH13" s="672"/>
      <c r="DI13" s="672"/>
      <c r="DJ13" s="672"/>
      <c r="DK13" s="672"/>
      <c r="DL13" s="672"/>
      <c r="DM13" s="672"/>
      <c r="DN13" s="672"/>
      <c r="DO13" s="672"/>
      <c r="DP13" s="672"/>
      <c r="DQ13" s="672"/>
      <c r="DR13" s="672"/>
      <c r="DS13" s="672"/>
      <c r="DT13" s="672"/>
      <c r="DU13" s="672"/>
      <c r="DV13" s="672"/>
      <c r="DW13" s="672"/>
      <c r="DX13" s="672"/>
      <c r="DY13" s="672"/>
      <c r="DZ13" s="672"/>
      <c r="EA13" s="672"/>
      <c r="EB13" s="672"/>
      <c r="EC13" s="672"/>
      <c r="ED13" s="672"/>
      <c r="EE13" s="672"/>
      <c r="EF13" s="672"/>
      <c r="EG13" s="672"/>
      <c r="EH13" s="672"/>
      <c r="EI13" s="672"/>
      <c r="EJ13" s="672"/>
      <c r="EK13" s="672"/>
      <c r="EL13" s="672"/>
      <c r="EM13" s="672"/>
      <c r="EN13" s="672"/>
      <c r="EO13" s="672"/>
      <c r="EP13" s="672"/>
      <c r="EQ13" s="672"/>
      <c r="ER13" s="672"/>
      <c r="ES13" s="672"/>
      <c r="ET13" s="672"/>
      <c r="EU13" s="672"/>
      <c r="EV13" s="672"/>
      <c r="EW13" s="672"/>
      <c r="EX13" s="672"/>
      <c r="EY13" s="672"/>
      <c r="EZ13" s="672"/>
      <c r="FA13" s="672"/>
      <c r="FB13" s="672"/>
      <c r="FC13" s="672"/>
      <c r="FD13" s="672"/>
      <c r="FE13" s="672"/>
      <c r="FF13" s="672"/>
      <c r="FG13" s="672"/>
      <c r="FH13" s="672"/>
      <c r="FI13" s="672"/>
      <c r="FJ13" s="672"/>
      <c r="FK13" s="672"/>
      <c r="FL13" s="672"/>
      <c r="FM13" s="672"/>
      <c r="FN13" s="672"/>
      <c r="FO13" s="672"/>
      <c r="FP13" s="672"/>
      <c r="FQ13" s="672"/>
      <c r="FR13" s="672"/>
      <c r="FS13" s="672"/>
      <c r="FT13" s="672"/>
      <c r="FU13" s="672"/>
      <c r="FV13" s="672"/>
      <c r="FW13" s="672"/>
      <c r="FX13" s="672"/>
      <c r="FY13" s="672"/>
      <c r="FZ13" s="672"/>
      <c r="GA13" s="672"/>
      <c r="GB13" s="672"/>
      <c r="GC13" s="672"/>
      <c r="GD13" s="672"/>
      <c r="GE13" s="672"/>
      <c r="GF13" s="672"/>
      <c r="GG13" s="672"/>
      <c r="GH13" s="672"/>
      <c r="GI13" s="672"/>
      <c r="GJ13" s="672"/>
      <c r="GK13" s="672"/>
      <c r="GL13" s="672"/>
      <c r="GM13" s="672"/>
      <c r="GN13" s="672"/>
      <c r="GO13" s="672"/>
      <c r="GP13" s="672"/>
      <c r="GQ13" s="672"/>
      <c r="GR13" s="672"/>
      <c r="GS13" s="672"/>
      <c r="GT13" s="672"/>
      <c r="GU13" s="672"/>
      <c r="GV13" s="672"/>
      <c r="GW13" s="672"/>
      <c r="GX13" s="672"/>
      <c r="GY13" s="672"/>
      <c r="GZ13" s="672"/>
      <c r="HA13" s="672"/>
      <c r="HB13" s="672"/>
      <c r="HC13" s="672"/>
      <c r="HD13" s="672"/>
      <c r="HE13" s="672"/>
      <c r="HF13" s="672"/>
      <c r="HG13" s="672"/>
      <c r="HH13" s="672"/>
      <c r="HI13" s="672"/>
      <c r="HJ13" s="672"/>
      <c r="HK13" s="672"/>
      <c r="HL13" s="672"/>
      <c r="HM13" s="672"/>
      <c r="HN13" s="672"/>
      <c r="HO13" s="672"/>
      <c r="HP13" s="672"/>
      <c r="HQ13" s="672"/>
      <c r="HR13" s="672"/>
      <c r="HS13" s="672"/>
      <c r="HT13" s="672"/>
      <c r="HU13" s="672"/>
      <c r="HV13" s="672"/>
      <c r="HW13" s="672"/>
      <c r="HX13" s="672"/>
      <c r="HY13" s="672"/>
      <c r="HZ13" s="672"/>
      <c r="IA13" s="672"/>
      <c r="IB13" s="672"/>
      <c r="IC13" s="672"/>
      <c r="ID13" s="672"/>
      <c r="IE13" s="672"/>
      <c r="IF13" s="672"/>
      <c r="IG13" s="672"/>
      <c r="IH13" s="672"/>
      <c r="II13" s="672"/>
      <c r="IJ13" s="672"/>
      <c r="IK13" s="672"/>
      <c r="IL13" s="672"/>
      <c r="IM13" s="672"/>
      <c r="IN13" s="672"/>
      <c r="IO13" s="672"/>
      <c r="IP13" s="672"/>
      <c r="IQ13" s="672"/>
      <c r="IR13" s="672"/>
      <c r="IS13" s="672"/>
      <c r="IT13" s="672"/>
      <c r="IU13" s="672"/>
      <c r="IV13" s="672"/>
    </row>
    <row r="14" spans="1:256" s="404" customFormat="1" x14ac:dyDescent="0.2">
      <c r="A14" s="151" t="s">
        <v>46</v>
      </c>
      <c r="B14" s="152"/>
      <c r="C14" s="153"/>
      <c r="D14" s="154"/>
      <c r="E14" s="673"/>
      <c r="F14" s="673"/>
      <c r="G14" s="673"/>
      <c r="H14" s="673"/>
      <c r="I14" s="673"/>
      <c r="J14" s="673"/>
      <c r="K14" s="673"/>
      <c r="L14" s="673"/>
      <c r="M14" s="673"/>
      <c r="N14" s="673"/>
      <c r="O14" s="673"/>
      <c r="P14" s="673"/>
      <c r="Q14" s="673"/>
      <c r="R14" s="673"/>
      <c r="S14" s="673"/>
      <c r="T14" s="673"/>
      <c r="U14" s="673"/>
      <c r="V14" s="673"/>
      <c r="W14" s="673"/>
      <c r="X14" s="673"/>
      <c r="Y14" s="673"/>
      <c r="Z14" s="673"/>
      <c r="AA14" s="673"/>
      <c r="AB14" s="673"/>
      <c r="AC14" s="673"/>
      <c r="AD14" s="673"/>
      <c r="AE14" s="673"/>
      <c r="AF14" s="673"/>
      <c r="AG14" s="673"/>
      <c r="AH14" s="673"/>
      <c r="AI14" s="673"/>
      <c r="AJ14" s="673"/>
      <c r="AK14" s="673"/>
      <c r="AL14" s="673"/>
      <c r="AM14" s="673"/>
      <c r="AN14" s="673"/>
      <c r="AO14" s="673"/>
      <c r="AP14" s="673"/>
      <c r="AQ14" s="673"/>
      <c r="AR14" s="673"/>
      <c r="AS14" s="673"/>
      <c r="AT14" s="673"/>
      <c r="AU14" s="673"/>
      <c r="AV14" s="673"/>
      <c r="AW14" s="673"/>
      <c r="AX14" s="673"/>
      <c r="AY14" s="673"/>
      <c r="AZ14" s="673"/>
      <c r="BA14" s="673"/>
      <c r="BB14" s="673"/>
      <c r="BC14" s="673"/>
      <c r="BD14" s="673"/>
      <c r="BE14" s="673"/>
      <c r="BF14" s="673"/>
      <c r="BG14" s="673"/>
      <c r="BH14" s="673"/>
      <c r="BI14" s="673"/>
      <c r="BJ14" s="673"/>
      <c r="BK14" s="673"/>
      <c r="BL14" s="673"/>
      <c r="BM14" s="673"/>
      <c r="BN14" s="673"/>
      <c r="BO14" s="673"/>
      <c r="BP14" s="673"/>
      <c r="BQ14" s="673"/>
      <c r="BR14" s="673"/>
      <c r="BS14" s="673"/>
      <c r="BT14" s="673"/>
      <c r="BU14" s="673"/>
      <c r="BV14" s="673"/>
      <c r="BW14" s="673"/>
      <c r="BX14" s="673"/>
      <c r="BY14" s="673"/>
      <c r="BZ14" s="673"/>
      <c r="CA14" s="673"/>
      <c r="CB14" s="673"/>
      <c r="CC14" s="673"/>
      <c r="CD14" s="673"/>
      <c r="CE14" s="673"/>
      <c r="CF14" s="673"/>
      <c r="CG14" s="673"/>
      <c r="CH14" s="673"/>
      <c r="CI14" s="673"/>
      <c r="CJ14" s="673"/>
      <c r="CK14" s="673"/>
      <c r="CL14" s="673"/>
      <c r="CM14" s="673"/>
      <c r="CN14" s="673"/>
      <c r="CO14" s="673"/>
      <c r="CP14" s="673"/>
      <c r="CQ14" s="673"/>
      <c r="CR14" s="673"/>
      <c r="CS14" s="673"/>
      <c r="CT14" s="673"/>
      <c r="CU14" s="673"/>
      <c r="CV14" s="673"/>
      <c r="CW14" s="673"/>
      <c r="CX14" s="673"/>
      <c r="CY14" s="673"/>
      <c r="CZ14" s="673"/>
      <c r="DA14" s="673"/>
      <c r="DB14" s="673"/>
      <c r="DC14" s="673"/>
      <c r="DD14" s="673"/>
      <c r="DE14" s="673"/>
      <c r="DF14" s="673"/>
      <c r="DG14" s="673"/>
      <c r="DH14" s="673"/>
      <c r="DI14" s="673"/>
      <c r="DJ14" s="673"/>
      <c r="DK14" s="673"/>
      <c r="DL14" s="673"/>
      <c r="DM14" s="673"/>
      <c r="DN14" s="673"/>
      <c r="DO14" s="673"/>
      <c r="DP14" s="673"/>
      <c r="DQ14" s="673"/>
      <c r="DR14" s="673"/>
      <c r="DS14" s="673"/>
      <c r="DT14" s="673"/>
      <c r="DU14" s="673"/>
      <c r="DV14" s="673"/>
      <c r="DW14" s="673"/>
      <c r="DX14" s="673"/>
      <c r="DY14" s="673"/>
      <c r="DZ14" s="673"/>
      <c r="EA14" s="673"/>
      <c r="EB14" s="673"/>
      <c r="EC14" s="673"/>
      <c r="ED14" s="673"/>
      <c r="EE14" s="673"/>
      <c r="EF14" s="673"/>
      <c r="EG14" s="673"/>
      <c r="EH14" s="673"/>
      <c r="EI14" s="673"/>
      <c r="EJ14" s="673"/>
      <c r="EK14" s="673"/>
      <c r="EL14" s="673"/>
      <c r="EM14" s="673"/>
      <c r="EN14" s="673"/>
      <c r="EO14" s="673"/>
      <c r="EP14" s="673"/>
      <c r="EQ14" s="673"/>
      <c r="ER14" s="673"/>
      <c r="ES14" s="673"/>
      <c r="ET14" s="673"/>
      <c r="EU14" s="673"/>
      <c r="EV14" s="673"/>
      <c r="EW14" s="673"/>
      <c r="EX14" s="673"/>
      <c r="EY14" s="673"/>
      <c r="EZ14" s="673"/>
      <c r="FA14" s="673"/>
      <c r="FB14" s="673"/>
      <c r="FC14" s="673"/>
      <c r="FD14" s="673"/>
      <c r="FE14" s="673"/>
      <c r="FF14" s="673"/>
      <c r="FG14" s="673"/>
      <c r="FH14" s="673"/>
      <c r="FI14" s="673"/>
      <c r="FJ14" s="673"/>
      <c r="FK14" s="673"/>
      <c r="FL14" s="673"/>
      <c r="FM14" s="673"/>
      <c r="FN14" s="673"/>
      <c r="FO14" s="673"/>
      <c r="FP14" s="673"/>
      <c r="FQ14" s="673"/>
      <c r="FR14" s="673"/>
      <c r="FS14" s="673"/>
      <c r="FT14" s="673"/>
      <c r="FU14" s="673"/>
      <c r="FV14" s="673"/>
      <c r="FW14" s="673"/>
      <c r="FX14" s="673"/>
      <c r="FY14" s="673"/>
      <c r="FZ14" s="673"/>
      <c r="GA14" s="673"/>
      <c r="GB14" s="673"/>
      <c r="GC14" s="673"/>
      <c r="GD14" s="673"/>
      <c r="GE14" s="673"/>
      <c r="GF14" s="673"/>
      <c r="GG14" s="673"/>
      <c r="GH14" s="673"/>
      <c r="GI14" s="673"/>
      <c r="GJ14" s="673"/>
      <c r="GK14" s="673"/>
      <c r="GL14" s="673"/>
      <c r="GM14" s="673"/>
      <c r="GN14" s="673"/>
      <c r="GO14" s="673"/>
      <c r="GP14" s="673"/>
      <c r="GQ14" s="673"/>
      <c r="GR14" s="673"/>
      <c r="GS14" s="673"/>
      <c r="GT14" s="673"/>
      <c r="GU14" s="673"/>
      <c r="GV14" s="673"/>
      <c r="GW14" s="673"/>
      <c r="GX14" s="673"/>
      <c r="GY14" s="673"/>
      <c r="GZ14" s="673"/>
      <c r="HA14" s="673"/>
      <c r="HB14" s="673"/>
      <c r="HC14" s="673"/>
      <c r="HD14" s="673"/>
      <c r="HE14" s="673"/>
      <c r="HF14" s="673"/>
      <c r="HG14" s="673"/>
      <c r="HH14" s="673"/>
      <c r="HI14" s="673"/>
      <c r="HJ14" s="673"/>
      <c r="HK14" s="673"/>
      <c r="HL14" s="673"/>
      <c r="HM14" s="673"/>
      <c r="HN14" s="673"/>
      <c r="HO14" s="673"/>
      <c r="HP14" s="673"/>
      <c r="HQ14" s="673"/>
      <c r="HR14" s="673"/>
      <c r="HS14" s="673"/>
      <c r="HT14" s="673"/>
      <c r="HU14" s="673"/>
      <c r="HV14" s="673"/>
      <c r="HW14" s="673"/>
      <c r="HX14" s="673"/>
      <c r="HY14" s="673"/>
      <c r="HZ14" s="673"/>
      <c r="IA14" s="673"/>
      <c r="IB14" s="673"/>
      <c r="IC14" s="673"/>
      <c r="ID14" s="673"/>
      <c r="IE14" s="673"/>
      <c r="IF14" s="673"/>
      <c r="IG14" s="673"/>
      <c r="IH14" s="673"/>
      <c r="II14" s="673"/>
      <c r="IJ14" s="673"/>
      <c r="IK14" s="673"/>
      <c r="IL14" s="673"/>
      <c r="IM14" s="673"/>
      <c r="IN14" s="673"/>
      <c r="IO14" s="673"/>
      <c r="IP14" s="673"/>
      <c r="IQ14" s="673"/>
      <c r="IR14" s="673"/>
      <c r="IS14" s="673"/>
      <c r="IT14" s="673"/>
      <c r="IU14" s="673"/>
      <c r="IV14" s="673"/>
    </row>
    <row r="15" spans="1:256" s="404" customFormat="1" ht="13.5" customHeight="1" x14ac:dyDescent="0.25">
      <c r="A15" s="155" t="s">
        <v>851</v>
      </c>
      <c r="B15" s="156"/>
      <c r="C15" s="156"/>
      <c r="D15" s="156"/>
      <c r="E15" s="673"/>
      <c r="F15" s="673"/>
      <c r="G15" s="673"/>
      <c r="H15" s="673"/>
      <c r="I15" s="673"/>
      <c r="J15" s="673"/>
      <c r="K15" s="673"/>
      <c r="L15" s="673"/>
      <c r="M15" s="673"/>
      <c r="N15" s="673"/>
      <c r="O15" s="673"/>
      <c r="P15" s="673"/>
      <c r="Q15" s="673"/>
      <c r="R15" s="673"/>
      <c r="S15" s="673"/>
      <c r="T15" s="673"/>
      <c r="U15" s="673"/>
      <c r="V15" s="673"/>
      <c r="W15" s="673"/>
      <c r="X15" s="673"/>
      <c r="Y15" s="673"/>
      <c r="Z15" s="673"/>
      <c r="AA15" s="673"/>
      <c r="AB15" s="673"/>
      <c r="AC15" s="673"/>
      <c r="AD15" s="673"/>
      <c r="AE15" s="673"/>
      <c r="AF15" s="673"/>
      <c r="AG15" s="673"/>
      <c r="AH15" s="673"/>
      <c r="AI15" s="673"/>
      <c r="AJ15" s="673"/>
      <c r="AK15" s="673"/>
      <c r="AL15" s="673"/>
      <c r="AM15" s="673"/>
      <c r="AN15" s="673"/>
      <c r="AO15" s="673"/>
      <c r="AP15" s="673"/>
      <c r="AQ15" s="673"/>
      <c r="AR15" s="673"/>
      <c r="AS15" s="673"/>
      <c r="AT15" s="673"/>
      <c r="AU15" s="673"/>
      <c r="AV15" s="673"/>
      <c r="AW15" s="673"/>
      <c r="AX15" s="673"/>
      <c r="AY15" s="673"/>
      <c r="AZ15" s="673"/>
      <c r="BA15" s="673"/>
      <c r="BB15" s="673"/>
      <c r="BC15" s="673"/>
      <c r="BD15" s="673"/>
      <c r="BE15" s="673"/>
      <c r="BF15" s="673"/>
      <c r="BG15" s="673"/>
      <c r="BH15" s="673"/>
      <c r="BI15" s="673"/>
      <c r="BJ15" s="673"/>
      <c r="BK15" s="673"/>
      <c r="BL15" s="673"/>
      <c r="BM15" s="673"/>
      <c r="BN15" s="673"/>
      <c r="BO15" s="673"/>
      <c r="BP15" s="673"/>
      <c r="BQ15" s="673"/>
      <c r="BR15" s="673"/>
      <c r="BS15" s="673"/>
      <c r="BT15" s="673"/>
      <c r="BU15" s="673"/>
      <c r="BV15" s="673"/>
      <c r="BW15" s="673"/>
      <c r="BX15" s="673"/>
      <c r="BY15" s="673"/>
      <c r="BZ15" s="673"/>
      <c r="CA15" s="673"/>
      <c r="CB15" s="673"/>
      <c r="CC15" s="673"/>
      <c r="CD15" s="673"/>
      <c r="CE15" s="673"/>
      <c r="CF15" s="673"/>
      <c r="CG15" s="673"/>
      <c r="CH15" s="673"/>
      <c r="CI15" s="673"/>
      <c r="CJ15" s="673"/>
      <c r="CK15" s="673"/>
      <c r="CL15" s="673"/>
      <c r="CM15" s="673"/>
      <c r="CN15" s="673"/>
      <c r="CO15" s="673"/>
      <c r="CP15" s="673"/>
      <c r="CQ15" s="673"/>
      <c r="CR15" s="673"/>
      <c r="CS15" s="673"/>
      <c r="CT15" s="673"/>
      <c r="CU15" s="673"/>
      <c r="CV15" s="673"/>
      <c r="CW15" s="673"/>
      <c r="CX15" s="673"/>
      <c r="CY15" s="673"/>
      <c r="CZ15" s="673"/>
      <c r="DA15" s="673"/>
      <c r="DB15" s="673"/>
      <c r="DC15" s="673"/>
      <c r="DD15" s="673"/>
      <c r="DE15" s="673"/>
      <c r="DF15" s="673"/>
      <c r="DG15" s="673"/>
      <c r="DH15" s="673"/>
      <c r="DI15" s="673"/>
      <c r="DJ15" s="673"/>
      <c r="DK15" s="673"/>
      <c r="DL15" s="673"/>
      <c r="DM15" s="673"/>
      <c r="DN15" s="673"/>
      <c r="DO15" s="673"/>
      <c r="DP15" s="673"/>
      <c r="DQ15" s="673"/>
      <c r="DR15" s="673"/>
      <c r="DS15" s="673"/>
      <c r="DT15" s="673"/>
      <c r="DU15" s="673"/>
      <c r="DV15" s="673"/>
      <c r="DW15" s="673"/>
      <c r="DX15" s="673"/>
      <c r="DY15" s="673"/>
      <c r="DZ15" s="673"/>
      <c r="EA15" s="673"/>
      <c r="EB15" s="673"/>
      <c r="EC15" s="673"/>
      <c r="ED15" s="673"/>
      <c r="EE15" s="673"/>
      <c r="EF15" s="673"/>
      <c r="EG15" s="673"/>
      <c r="EH15" s="673"/>
      <c r="EI15" s="673"/>
      <c r="EJ15" s="673"/>
      <c r="EK15" s="673"/>
      <c r="EL15" s="673"/>
      <c r="EM15" s="673"/>
      <c r="EN15" s="673"/>
      <c r="EO15" s="673"/>
      <c r="EP15" s="673"/>
      <c r="EQ15" s="673"/>
      <c r="ER15" s="673"/>
      <c r="ES15" s="673"/>
      <c r="ET15" s="673"/>
      <c r="EU15" s="673"/>
      <c r="EV15" s="673"/>
      <c r="EW15" s="673"/>
      <c r="EX15" s="673"/>
      <c r="EY15" s="673"/>
      <c r="EZ15" s="673"/>
      <c r="FA15" s="673"/>
      <c r="FB15" s="673"/>
      <c r="FC15" s="673"/>
      <c r="FD15" s="673"/>
      <c r="FE15" s="673"/>
      <c r="FF15" s="673"/>
      <c r="FG15" s="673"/>
      <c r="FH15" s="673"/>
      <c r="FI15" s="673"/>
      <c r="FJ15" s="673"/>
      <c r="FK15" s="673"/>
      <c r="FL15" s="673"/>
      <c r="FM15" s="673"/>
      <c r="FN15" s="673"/>
      <c r="FO15" s="673"/>
      <c r="FP15" s="673"/>
      <c r="FQ15" s="673"/>
      <c r="FR15" s="673"/>
      <c r="FS15" s="673"/>
      <c r="FT15" s="673"/>
      <c r="FU15" s="673"/>
      <c r="FV15" s="673"/>
      <c r="FW15" s="673"/>
      <c r="FX15" s="673"/>
      <c r="FY15" s="673"/>
      <c r="FZ15" s="673"/>
      <c r="GA15" s="673"/>
      <c r="GB15" s="673"/>
      <c r="GC15" s="673"/>
      <c r="GD15" s="673"/>
      <c r="GE15" s="673"/>
      <c r="GF15" s="673"/>
      <c r="GG15" s="673"/>
      <c r="GH15" s="673"/>
      <c r="GI15" s="673"/>
      <c r="GJ15" s="673"/>
      <c r="GK15" s="673"/>
      <c r="GL15" s="673"/>
      <c r="GM15" s="673"/>
      <c r="GN15" s="673"/>
      <c r="GO15" s="673"/>
      <c r="GP15" s="673"/>
      <c r="GQ15" s="673"/>
      <c r="GR15" s="673"/>
      <c r="GS15" s="673"/>
      <c r="GT15" s="673"/>
      <c r="GU15" s="673"/>
      <c r="GV15" s="673"/>
      <c r="GW15" s="673"/>
      <c r="GX15" s="673"/>
      <c r="GY15" s="673"/>
      <c r="GZ15" s="673"/>
      <c r="HA15" s="673"/>
      <c r="HB15" s="673"/>
      <c r="HC15" s="673"/>
      <c r="HD15" s="673"/>
      <c r="HE15" s="673"/>
      <c r="HF15" s="673"/>
      <c r="HG15" s="673"/>
      <c r="HH15" s="673"/>
      <c r="HI15" s="673"/>
      <c r="HJ15" s="673"/>
      <c r="HK15" s="673"/>
      <c r="HL15" s="673"/>
      <c r="HM15" s="673"/>
      <c r="HN15" s="673"/>
      <c r="HO15" s="673"/>
      <c r="HP15" s="673"/>
      <c r="HQ15" s="673"/>
      <c r="HR15" s="673"/>
      <c r="HS15" s="673"/>
      <c r="HT15" s="673"/>
      <c r="HU15" s="673"/>
      <c r="HV15" s="673"/>
      <c r="HW15" s="673"/>
      <c r="HX15" s="673"/>
      <c r="HY15" s="673"/>
      <c r="HZ15" s="673"/>
      <c r="IA15" s="673"/>
      <c r="IB15" s="673"/>
      <c r="IC15" s="673"/>
      <c r="ID15" s="673"/>
      <c r="IE15" s="673"/>
      <c r="IF15" s="673"/>
      <c r="IG15" s="673"/>
      <c r="IH15" s="673"/>
      <c r="II15" s="673"/>
      <c r="IJ15" s="673"/>
      <c r="IK15" s="673"/>
      <c r="IL15" s="673"/>
      <c r="IM15" s="673"/>
      <c r="IN15" s="673"/>
      <c r="IO15" s="673"/>
      <c r="IP15" s="673"/>
      <c r="IQ15" s="673"/>
      <c r="IR15" s="673"/>
      <c r="IS15" s="673"/>
      <c r="IT15" s="673"/>
      <c r="IU15" s="673"/>
      <c r="IV15" s="673"/>
    </row>
    <row r="16" spans="1:256" s="404" customFormat="1" ht="13.5" customHeight="1" x14ac:dyDescent="0.25">
      <c r="A16" s="674" t="s">
        <v>790</v>
      </c>
      <c r="B16" s="675"/>
      <c r="C16" s="675"/>
      <c r="D16" s="675"/>
      <c r="E16" s="673"/>
      <c r="F16" s="673"/>
      <c r="G16" s="673"/>
      <c r="H16" s="673"/>
      <c r="I16" s="673"/>
      <c r="J16" s="673"/>
      <c r="K16" s="673"/>
      <c r="L16" s="673"/>
      <c r="M16" s="673"/>
      <c r="N16" s="673"/>
      <c r="O16" s="673"/>
      <c r="P16" s="673"/>
      <c r="Q16" s="673"/>
      <c r="R16" s="673"/>
      <c r="S16" s="673"/>
      <c r="T16" s="673"/>
      <c r="U16" s="673"/>
      <c r="V16" s="673"/>
      <c r="W16" s="673"/>
      <c r="X16" s="673"/>
      <c r="Y16" s="673"/>
      <c r="Z16" s="673"/>
      <c r="AA16" s="673"/>
      <c r="AB16" s="673"/>
      <c r="AC16" s="673"/>
      <c r="AD16" s="673"/>
      <c r="AE16" s="673"/>
      <c r="AF16" s="673"/>
      <c r="AG16" s="673"/>
      <c r="AH16" s="673"/>
      <c r="AI16" s="673"/>
      <c r="AJ16" s="673"/>
      <c r="AK16" s="673"/>
      <c r="AL16" s="673"/>
      <c r="AM16" s="673"/>
      <c r="AN16" s="673"/>
      <c r="AO16" s="673"/>
      <c r="AP16" s="673"/>
      <c r="AQ16" s="673"/>
      <c r="AR16" s="673"/>
      <c r="AS16" s="673"/>
      <c r="AT16" s="673"/>
      <c r="AU16" s="673"/>
      <c r="AV16" s="673"/>
      <c r="AW16" s="673"/>
      <c r="AX16" s="673"/>
      <c r="AY16" s="673"/>
      <c r="AZ16" s="673"/>
      <c r="BA16" s="673"/>
      <c r="BB16" s="673"/>
      <c r="BC16" s="673"/>
      <c r="BD16" s="673"/>
      <c r="BE16" s="673"/>
      <c r="BF16" s="673"/>
      <c r="BG16" s="673"/>
      <c r="BH16" s="673"/>
      <c r="BI16" s="673"/>
      <c r="BJ16" s="673"/>
      <c r="BK16" s="673"/>
      <c r="BL16" s="673"/>
      <c r="BM16" s="673"/>
      <c r="BN16" s="673"/>
      <c r="BO16" s="673"/>
      <c r="BP16" s="673"/>
      <c r="BQ16" s="673"/>
      <c r="BR16" s="673"/>
      <c r="BS16" s="673"/>
      <c r="BT16" s="673"/>
      <c r="BU16" s="673"/>
      <c r="BV16" s="673"/>
      <c r="BW16" s="673"/>
      <c r="BX16" s="673"/>
      <c r="BY16" s="673"/>
      <c r="BZ16" s="673"/>
      <c r="CA16" s="673"/>
      <c r="CB16" s="673"/>
      <c r="CC16" s="673"/>
      <c r="CD16" s="673"/>
      <c r="CE16" s="673"/>
      <c r="CF16" s="673"/>
      <c r="CG16" s="673"/>
      <c r="CH16" s="673"/>
      <c r="CI16" s="673"/>
      <c r="CJ16" s="673"/>
      <c r="CK16" s="673"/>
      <c r="CL16" s="673"/>
      <c r="CM16" s="673"/>
      <c r="CN16" s="673"/>
      <c r="CO16" s="673"/>
      <c r="CP16" s="673"/>
      <c r="CQ16" s="673"/>
      <c r="CR16" s="673"/>
      <c r="CS16" s="673"/>
      <c r="CT16" s="673"/>
      <c r="CU16" s="673"/>
      <c r="CV16" s="673"/>
      <c r="CW16" s="673"/>
      <c r="CX16" s="673"/>
      <c r="CY16" s="673"/>
      <c r="CZ16" s="673"/>
      <c r="DA16" s="673"/>
      <c r="DB16" s="673"/>
      <c r="DC16" s="673"/>
      <c r="DD16" s="673"/>
      <c r="DE16" s="673"/>
      <c r="DF16" s="673"/>
      <c r="DG16" s="673"/>
      <c r="DH16" s="673"/>
      <c r="DI16" s="673"/>
      <c r="DJ16" s="673"/>
      <c r="DK16" s="673"/>
      <c r="DL16" s="673"/>
      <c r="DM16" s="673"/>
      <c r="DN16" s="673"/>
      <c r="DO16" s="673"/>
      <c r="DP16" s="673"/>
      <c r="DQ16" s="673"/>
      <c r="DR16" s="673"/>
      <c r="DS16" s="673"/>
      <c r="DT16" s="673"/>
      <c r="DU16" s="673"/>
      <c r="DV16" s="673"/>
      <c r="DW16" s="673"/>
      <c r="DX16" s="673"/>
      <c r="DY16" s="673"/>
      <c r="DZ16" s="673"/>
      <c r="EA16" s="673"/>
      <c r="EB16" s="673"/>
      <c r="EC16" s="673"/>
      <c r="ED16" s="673"/>
      <c r="EE16" s="673"/>
      <c r="EF16" s="673"/>
      <c r="EG16" s="673"/>
      <c r="EH16" s="673"/>
      <c r="EI16" s="673"/>
      <c r="EJ16" s="673"/>
      <c r="EK16" s="673"/>
      <c r="EL16" s="673"/>
      <c r="EM16" s="673"/>
      <c r="EN16" s="673"/>
      <c r="EO16" s="673"/>
      <c r="EP16" s="673"/>
      <c r="EQ16" s="673"/>
      <c r="ER16" s="673"/>
      <c r="ES16" s="673"/>
      <c r="ET16" s="673"/>
      <c r="EU16" s="673"/>
      <c r="EV16" s="673"/>
      <c r="EW16" s="673"/>
      <c r="EX16" s="673"/>
      <c r="EY16" s="673"/>
      <c r="EZ16" s="673"/>
      <c r="FA16" s="673"/>
      <c r="FB16" s="673"/>
      <c r="FC16" s="673"/>
      <c r="FD16" s="673"/>
      <c r="FE16" s="673"/>
      <c r="FF16" s="673"/>
      <c r="FG16" s="673"/>
      <c r="FH16" s="673"/>
      <c r="FI16" s="673"/>
      <c r="FJ16" s="673"/>
      <c r="FK16" s="673"/>
      <c r="FL16" s="673"/>
      <c r="FM16" s="673"/>
      <c r="FN16" s="673"/>
      <c r="FO16" s="673"/>
      <c r="FP16" s="673"/>
      <c r="FQ16" s="673"/>
      <c r="FR16" s="673"/>
      <c r="FS16" s="673"/>
      <c r="FT16" s="673"/>
      <c r="FU16" s="673"/>
      <c r="FV16" s="673"/>
      <c r="FW16" s="673"/>
      <c r="FX16" s="673"/>
      <c r="FY16" s="673"/>
      <c r="FZ16" s="673"/>
      <c r="GA16" s="673"/>
      <c r="GB16" s="673"/>
      <c r="GC16" s="673"/>
      <c r="GD16" s="673"/>
      <c r="GE16" s="673"/>
      <c r="GF16" s="673"/>
      <c r="GG16" s="673"/>
      <c r="GH16" s="673"/>
      <c r="GI16" s="673"/>
      <c r="GJ16" s="673"/>
      <c r="GK16" s="673"/>
      <c r="GL16" s="673"/>
      <c r="GM16" s="673"/>
      <c r="GN16" s="673"/>
      <c r="GO16" s="673"/>
      <c r="GP16" s="673"/>
      <c r="GQ16" s="673"/>
      <c r="GR16" s="673"/>
      <c r="GS16" s="673"/>
      <c r="GT16" s="673"/>
      <c r="GU16" s="673"/>
      <c r="GV16" s="673"/>
      <c r="GW16" s="673"/>
      <c r="GX16" s="673"/>
      <c r="GY16" s="673"/>
      <c r="GZ16" s="673"/>
      <c r="HA16" s="673"/>
      <c r="HB16" s="673"/>
      <c r="HC16" s="673"/>
      <c r="HD16" s="673"/>
      <c r="HE16" s="673"/>
      <c r="HF16" s="673"/>
      <c r="HG16" s="673"/>
      <c r="HH16" s="673"/>
      <c r="HI16" s="673"/>
      <c r="HJ16" s="673"/>
      <c r="HK16" s="673"/>
      <c r="HL16" s="673"/>
      <c r="HM16" s="673"/>
      <c r="HN16" s="673"/>
      <c r="HO16" s="673"/>
      <c r="HP16" s="673"/>
      <c r="HQ16" s="673"/>
      <c r="HR16" s="673"/>
      <c r="HS16" s="673"/>
      <c r="HT16" s="673"/>
      <c r="HU16" s="673"/>
      <c r="HV16" s="673"/>
      <c r="HW16" s="673"/>
      <c r="HX16" s="673"/>
      <c r="HY16" s="673"/>
      <c r="HZ16" s="673"/>
      <c r="IA16" s="673"/>
      <c r="IB16" s="673"/>
      <c r="IC16" s="673"/>
      <c r="ID16" s="673"/>
      <c r="IE16" s="673"/>
      <c r="IF16" s="673"/>
      <c r="IG16" s="673"/>
      <c r="IH16" s="673"/>
      <c r="II16" s="673"/>
      <c r="IJ16" s="673"/>
      <c r="IK16" s="673"/>
      <c r="IL16" s="673"/>
      <c r="IM16" s="673"/>
      <c r="IN16" s="673"/>
      <c r="IO16" s="673"/>
      <c r="IP16" s="673"/>
      <c r="IQ16" s="673"/>
      <c r="IR16" s="673"/>
      <c r="IS16" s="673"/>
      <c r="IT16" s="673"/>
      <c r="IU16" s="673"/>
      <c r="IV16" s="673"/>
    </row>
    <row r="17" spans="1:256" s="404" customFormat="1" x14ac:dyDescent="0.2">
      <c r="A17" s="676" t="s">
        <v>944</v>
      </c>
      <c r="B17" s="675"/>
      <c r="C17" s="675"/>
      <c r="D17" s="673"/>
      <c r="E17" s="673"/>
      <c r="F17" s="673"/>
      <c r="G17" s="673"/>
      <c r="H17" s="673"/>
      <c r="I17" s="673"/>
      <c r="J17" s="673"/>
      <c r="K17" s="673"/>
      <c r="L17" s="673"/>
      <c r="M17" s="673"/>
      <c r="N17" s="673"/>
      <c r="O17" s="673"/>
      <c r="P17" s="673"/>
      <c r="Q17" s="673"/>
      <c r="R17" s="673"/>
      <c r="S17" s="673"/>
      <c r="T17" s="673"/>
      <c r="U17" s="673"/>
      <c r="V17" s="673"/>
      <c r="W17" s="673"/>
      <c r="X17" s="673"/>
      <c r="Y17" s="673"/>
      <c r="Z17" s="673"/>
      <c r="AA17" s="673"/>
      <c r="AB17" s="673"/>
      <c r="AC17" s="673"/>
      <c r="AD17" s="673"/>
      <c r="AE17" s="673"/>
      <c r="AF17" s="673"/>
      <c r="AG17" s="673"/>
      <c r="AH17" s="673"/>
      <c r="AI17" s="673"/>
      <c r="AJ17" s="673"/>
      <c r="AK17" s="673"/>
      <c r="AL17" s="673"/>
      <c r="AM17" s="673"/>
      <c r="AN17" s="673"/>
      <c r="AO17" s="673"/>
      <c r="AP17" s="673"/>
      <c r="AQ17" s="673"/>
      <c r="AR17" s="673"/>
      <c r="AS17" s="673"/>
      <c r="AT17" s="673"/>
      <c r="AU17" s="673"/>
      <c r="AV17" s="673"/>
      <c r="AW17" s="673"/>
      <c r="AX17" s="673"/>
      <c r="AY17" s="673"/>
      <c r="AZ17" s="673"/>
      <c r="BA17" s="673"/>
      <c r="BB17" s="673"/>
      <c r="BC17" s="673"/>
      <c r="BD17" s="673"/>
      <c r="BE17" s="673"/>
      <c r="BF17" s="673"/>
      <c r="BG17" s="673"/>
      <c r="BH17" s="673"/>
      <c r="BI17" s="673"/>
      <c r="BJ17" s="673"/>
      <c r="BK17" s="673"/>
      <c r="BL17" s="673"/>
      <c r="BM17" s="673"/>
      <c r="BN17" s="673"/>
      <c r="BO17" s="673"/>
      <c r="BP17" s="673"/>
      <c r="BQ17" s="673"/>
      <c r="BR17" s="673"/>
      <c r="BS17" s="673"/>
      <c r="BT17" s="673"/>
      <c r="BU17" s="673"/>
      <c r="BV17" s="673"/>
      <c r="BW17" s="673"/>
      <c r="BX17" s="673"/>
      <c r="BY17" s="673"/>
      <c r="BZ17" s="673"/>
      <c r="CA17" s="673"/>
      <c r="CB17" s="673"/>
      <c r="CC17" s="673"/>
      <c r="CD17" s="673"/>
      <c r="CE17" s="673"/>
      <c r="CF17" s="673"/>
      <c r="CG17" s="673"/>
      <c r="CH17" s="673"/>
      <c r="CI17" s="673"/>
      <c r="CJ17" s="673"/>
      <c r="CK17" s="673"/>
      <c r="CL17" s="673"/>
      <c r="CM17" s="673"/>
      <c r="CN17" s="673"/>
      <c r="CO17" s="673"/>
      <c r="CP17" s="673"/>
      <c r="CQ17" s="673"/>
      <c r="CR17" s="673"/>
      <c r="CS17" s="673"/>
      <c r="CT17" s="673"/>
      <c r="CU17" s="673"/>
      <c r="CV17" s="673"/>
      <c r="CW17" s="673"/>
      <c r="CX17" s="673"/>
      <c r="CY17" s="673"/>
      <c r="CZ17" s="673"/>
      <c r="DA17" s="673"/>
      <c r="DB17" s="673"/>
      <c r="DC17" s="673"/>
      <c r="DD17" s="673"/>
      <c r="DE17" s="673"/>
      <c r="DF17" s="673"/>
      <c r="DG17" s="673"/>
      <c r="DH17" s="673"/>
      <c r="DI17" s="673"/>
      <c r="DJ17" s="673"/>
      <c r="DK17" s="673"/>
      <c r="DL17" s="673"/>
      <c r="DM17" s="673"/>
      <c r="DN17" s="673"/>
      <c r="DO17" s="673"/>
      <c r="DP17" s="673"/>
      <c r="DQ17" s="673"/>
      <c r="DR17" s="673"/>
      <c r="DS17" s="673"/>
      <c r="DT17" s="673"/>
      <c r="DU17" s="673"/>
      <c r="DV17" s="673"/>
      <c r="DW17" s="673"/>
      <c r="DX17" s="673"/>
      <c r="DY17" s="673"/>
      <c r="DZ17" s="673"/>
      <c r="EA17" s="673"/>
      <c r="EB17" s="673"/>
      <c r="EC17" s="673"/>
      <c r="ED17" s="673"/>
      <c r="EE17" s="673"/>
      <c r="EF17" s="673"/>
      <c r="EG17" s="673"/>
      <c r="EH17" s="673"/>
      <c r="EI17" s="673"/>
      <c r="EJ17" s="673"/>
      <c r="EK17" s="673"/>
      <c r="EL17" s="673"/>
      <c r="EM17" s="673"/>
      <c r="EN17" s="673"/>
      <c r="EO17" s="673"/>
      <c r="EP17" s="673"/>
      <c r="EQ17" s="673"/>
      <c r="ER17" s="673"/>
      <c r="ES17" s="673"/>
      <c r="ET17" s="673"/>
      <c r="EU17" s="673"/>
      <c r="EV17" s="673"/>
      <c r="EW17" s="673"/>
      <c r="EX17" s="673"/>
      <c r="EY17" s="673"/>
      <c r="EZ17" s="673"/>
      <c r="FA17" s="673"/>
      <c r="FB17" s="673"/>
      <c r="FC17" s="673"/>
      <c r="FD17" s="673"/>
      <c r="FE17" s="673"/>
      <c r="FF17" s="673"/>
      <c r="FG17" s="673"/>
      <c r="FH17" s="673"/>
      <c r="FI17" s="673"/>
      <c r="FJ17" s="673"/>
      <c r="FK17" s="673"/>
      <c r="FL17" s="673"/>
      <c r="FM17" s="673"/>
      <c r="FN17" s="673"/>
      <c r="FO17" s="673"/>
      <c r="FP17" s="673"/>
      <c r="FQ17" s="673"/>
      <c r="FR17" s="673"/>
      <c r="FS17" s="673"/>
      <c r="FT17" s="673"/>
      <c r="FU17" s="673"/>
      <c r="FV17" s="673"/>
      <c r="FW17" s="673"/>
      <c r="FX17" s="673"/>
      <c r="FY17" s="673"/>
      <c r="FZ17" s="673"/>
      <c r="GA17" s="673"/>
      <c r="GB17" s="673"/>
      <c r="GC17" s="673"/>
      <c r="GD17" s="673"/>
      <c r="GE17" s="673"/>
      <c r="GF17" s="673"/>
      <c r="GG17" s="673"/>
      <c r="GH17" s="673"/>
      <c r="GI17" s="673"/>
      <c r="GJ17" s="673"/>
      <c r="GK17" s="673"/>
      <c r="GL17" s="673"/>
      <c r="GM17" s="673"/>
      <c r="GN17" s="673"/>
      <c r="GO17" s="673"/>
      <c r="GP17" s="673"/>
      <c r="GQ17" s="673"/>
      <c r="GR17" s="673"/>
      <c r="GS17" s="673"/>
      <c r="GT17" s="673"/>
      <c r="GU17" s="673"/>
      <c r="GV17" s="673"/>
      <c r="GW17" s="673"/>
      <c r="GX17" s="673"/>
      <c r="GY17" s="673"/>
      <c r="GZ17" s="673"/>
      <c r="HA17" s="673"/>
      <c r="HB17" s="673"/>
      <c r="HC17" s="673"/>
      <c r="HD17" s="673"/>
      <c r="HE17" s="673"/>
      <c r="HF17" s="673"/>
      <c r="HG17" s="673"/>
      <c r="HH17" s="673"/>
      <c r="HI17" s="673"/>
      <c r="HJ17" s="673"/>
      <c r="HK17" s="673"/>
      <c r="HL17" s="673"/>
      <c r="HM17" s="673"/>
      <c r="HN17" s="673"/>
      <c r="HO17" s="673"/>
      <c r="HP17" s="673"/>
      <c r="HQ17" s="673"/>
      <c r="HR17" s="673"/>
      <c r="HS17" s="673"/>
      <c r="HT17" s="673"/>
      <c r="HU17" s="673"/>
      <c r="HV17" s="673"/>
      <c r="HW17" s="673"/>
      <c r="HX17" s="673"/>
      <c r="HY17" s="673"/>
      <c r="HZ17" s="673"/>
      <c r="IA17" s="673"/>
      <c r="IB17" s="673"/>
      <c r="IC17" s="673"/>
      <c r="ID17" s="673"/>
      <c r="IE17" s="673"/>
      <c r="IF17" s="673"/>
      <c r="IG17" s="673"/>
      <c r="IH17" s="673"/>
      <c r="II17" s="673"/>
      <c r="IJ17" s="673"/>
      <c r="IK17" s="673"/>
      <c r="IL17" s="673"/>
      <c r="IM17" s="673"/>
      <c r="IN17" s="673"/>
      <c r="IO17" s="673"/>
      <c r="IP17" s="673"/>
      <c r="IQ17" s="673"/>
      <c r="IR17" s="673"/>
      <c r="IS17" s="673"/>
      <c r="IT17" s="673"/>
      <c r="IU17" s="673"/>
      <c r="IV17" s="673"/>
    </row>
    <row r="18" spans="1:256" ht="15" x14ac:dyDescent="0.25">
      <c r="A18" s="674" t="s">
        <v>791</v>
      </c>
      <c r="B18" s="675"/>
      <c r="C18" s="675"/>
      <c r="D18" s="675"/>
      <c r="E18" s="673"/>
      <c r="F18" s="673"/>
      <c r="G18" s="673"/>
      <c r="H18" s="673"/>
      <c r="I18" s="673"/>
      <c r="J18" s="673"/>
      <c r="K18" s="677"/>
      <c r="L18" s="677"/>
      <c r="M18" s="677"/>
      <c r="N18" s="677"/>
      <c r="O18" s="677"/>
      <c r="P18" s="677"/>
      <c r="Q18" s="673"/>
      <c r="R18" s="673"/>
      <c r="S18" s="673"/>
      <c r="T18" s="673"/>
      <c r="U18" s="673"/>
      <c r="V18" s="673"/>
      <c r="W18" s="673"/>
      <c r="X18" s="673"/>
      <c r="Y18" s="673"/>
      <c r="Z18" s="673"/>
      <c r="AA18" s="673"/>
      <c r="AB18" s="673"/>
      <c r="AC18" s="673"/>
      <c r="AD18" s="673"/>
      <c r="AE18" s="673"/>
      <c r="AF18" s="673"/>
      <c r="AG18" s="673"/>
      <c r="AH18" s="673"/>
      <c r="AI18" s="673"/>
      <c r="AJ18" s="673"/>
      <c r="AK18" s="673"/>
      <c r="AL18" s="673"/>
      <c r="AM18" s="673"/>
      <c r="AN18" s="673"/>
      <c r="AO18" s="673"/>
      <c r="AP18" s="673"/>
      <c r="AQ18" s="673"/>
      <c r="AR18" s="673"/>
      <c r="AS18" s="673"/>
      <c r="AT18" s="673"/>
      <c r="AU18" s="673"/>
      <c r="AV18" s="673"/>
      <c r="AW18" s="673"/>
      <c r="AX18" s="673"/>
      <c r="AY18" s="673"/>
      <c r="AZ18" s="673"/>
      <c r="BA18" s="673"/>
      <c r="BB18" s="673"/>
      <c r="BC18" s="673"/>
      <c r="BD18" s="673"/>
      <c r="BE18" s="673"/>
      <c r="BF18" s="673"/>
      <c r="BG18" s="673"/>
      <c r="BH18" s="673"/>
      <c r="BI18" s="673"/>
      <c r="BJ18" s="673"/>
      <c r="BK18" s="673"/>
      <c r="BL18" s="673"/>
      <c r="BM18" s="673"/>
      <c r="BN18" s="673"/>
      <c r="BO18" s="673"/>
      <c r="BP18" s="673"/>
      <c r="BQ18" s="673"/>
      <c r="BR18" s="673"/>
      <c r="BS18" s="673"/>
      <c r="BT18" s="673"/>
      <c r="BU18" s="673"/>
      <c r="BV18" s="673"/>
      <c r="BW18" s="673"/>
      <c r="BX18" s="673"/>
      <c r="BY18" s="673"/>
      <c r="BZ18" s="673"/>
      <c r="CA18" s="673"/>
      <c r="CB18" s="673"/>
      <c r="CC18" s="673"/>
      <c r="CD18" s="673"/>
      <c r="CE18" s="673"/>
      <c r="CF18" s="673"/>
      <c r="CG18" s="673"/>
      <c r="CH18" s="673"/>
      <c r="CI18" s="673"/>
      <c r="CJ18" s="673"/>
      <c r="CK18" s="673"/>
      <c r="CL18" s="673"/>
      <c r="CM18" s="673"/>
      <c r="CN18" s="673"/>
      <c r="CO18" s="673"/>
      <c r="CP18" s="673"/>
      <c r="CQ18" s="673"/>
      <c r="CR18" s="673"/>
      <c r="CS18" s="673"/>
      <c r="CT18" s="673"/>
      <c r="CU18" s="673"/>
      <c r="CV18" s="673"/>
      <c r="CW18" s="673"/>
      <c r="CX18" s="673"/>
      <c r="CY18" s="673"/>
      <c r="CZ18" s="673"/>
      <c r="DA18" s="673"/>
      <c r="DB18" s="673"/>
      <c r="DC18" s="673"/>
      <c r="DD18" s="673"/>
      <c r="DE18" s="673"/>
      <c r="DF18" s="673"/>
      <c r="DG18" s="673"/>
      <c r="DH18" s="673"/>
      <c r="DI18" s="673"/>
      <c r="DJ18" s="673"/>
      <c r="DK18" s="673"/>
      <c r="DL18" s="673"/>
      <c r="DM18" s="673"/>
      <c r="DN18" s="673"/>
      <c r="DO18" s="673"/>
      <c r="DP18" s="673"/>
      <c r="DQ18" s="673"/>
      <c r="DR18" s="673"/>
      <c r="DS18" s="673"/>
      <c r="DT18" s="673"/>
      <c r="DU18" s="673"/>
      <c r="DV18" s="673"/>
      <c r="DW18" s="673"/>
      <c r="DX18" s="673"/>
      <c r="DY18" s="673"/>
      <c r="DZ18" s="673"/>
      <c r="EA18" s="673"/>
      <c r="EB18" s="673"/>
      <c r="EC18" s="673"/>
      <c r="ED18" s="673"/>
      <c r="EE18" s="673"/>
      <c r="EF18" s="673"/>
      <c r="EG18" s="673"/>
      <c r="EH18" s="673"/>
      <c r="EI18" s="673"/>
      <c r="EJ18" s="673"/>
      <c r="EK18" s="673"/>
      <c r="EL18" s="673"/>
      <c r="EM18" s="673"/>
      <c r="EN18" s="673"/>
      <c r="EO18" s="673"/>
      <c r="EP18" s="673"/>
      <c r="EQ18" s="673"/>
      <c r="ER18" s="673"/>
      <c r="ES18" s="673"/>
      <c r="ET18" s="673"/>
      <c r="EU18" s="673"/>
      <c r="EV18" s="673"/>
      <c r="EW18" s="673"/>
      <c r="EX18" s="673"/>
      <c r="EY18" s="673"/>
      <c r="EZ18" s="673"/>
      <c r="FA18" s="673"/>
      <c r="FB18" s="673"/>
      <c r="FC18" s="673"/>
      <c r="FD18" s="673"/>
      <c r="FE18" s="673"/>
      <c r="FF18" s="673"/>
      <c r="FG18" s="673"/>
      <c r="FH18" s="673"/>
      <c r="FI18" s="673"/>
      <c r="FJ18" s="673"/>
      <c r="FK18" s="673"/>
      <c r="FL18" s="673"/>
      <c r="FM18" s="673"/>
      <c r="FN18" s="673"/>
      <c r="FO18" s="673"/>
      <c r="FP18" s="673"/>
      <c r="FQ18" s="673"/>
      <c r="FR18" s="673"/>
      <c r="FS18" s="673"/>
      <c r="FT18" s="673"/>
      <c r="FU18" s="673"/>
      <c r="FV18" s="673"/>
      <c r="FW18" s="673"/>
      <c r="FX18" s="673"/>
      <c r="FY18" s="673"/>
      <c r="FZ18" s="673"/>
      <c r="GA18" s="673"/>
      <c r="GB18" s="673"/>
      <c r="GC18" s="673"/>
      <c r="GD18" s="673"/>
      <c r="GE18" s="673"/>
      <c r="GF18" s="673"/>
      <c r="GG18" s="673"/>
      <c r="GH18" s="673"/>
      <c r="GI18" s="673"/>
      <c r="GJ18" s="673"/>
      <c r="GK18" s="673"/>
      <c r="GL18" s="673"/>
      <c r="GM18" s="673"/>
      <c r="GN18" s="673"/>
      <c r="GO18" s="673"/>
      <c r="GP18" s="673"/>
      <c r="GQ18" s="673"/>
      <c r="GR18" s="673"/>
      <c r="GS18" s="673"/>
      <c r="GT18" s="673"/>
      <c r="GU18" s="673"/>
      <c r="GV18" s="673"/>
      <c r="GW18" s="673"/>
      <c r="GX18" s="673"/>
      <c r="GY18" s="673"/>
      <c r="GZ18" s="673"/>
      <c r="HA18" s="673"/>
      <c r="HB18" s="673"/>
      <c r="HC18" s="673"/>
      <c r="HD18" s="673"/>
      <c r="HE18" s="673"/>
      <c r="HF18" s="673"/>
      <c r="HG18" s="673"/>
      <c r="HH18" s="673"/>
      <c r="HI18" s="673"/>
      <c r="HJ18" s="673"/>
      <c r="HK18" s="673"/>
      <c r="HL18" s="673"/>
      <c r="HM18" s="673"/>
      <c r="HN18" s="673"/>
      <c r="HO18" s="673"/>
      <c r="HP18" s="673"/>
      <c r="HQ18" s="673"/>
      <c r="HR18" s="673"/>
      <c r="HS18" s="673"/>
      <c r="HT18" s="673"/>
      <c r="HU18" s="673"/>
      <c r="HV18" s="673"/>
      <c r="HW18" s="673"/>
      <c r="HX18" s="673"/>
      <c r="HY18" s="673"/>
      <c r="HZ18" s="673"/>
      <c r="IA18" s="673"/>
      <c r="IB18" s="673"/>
      <c r="IC18" s="673"/>
      <c r="ID18" s="673"/>
      <c r="IE18" s="673"/>
      <c r="IF18" s="673"/>
      <c r="IG18" s="673"/>
      <c r="IH18" s="673"/>
      <c r="II18" s="673"/>
      <c r="IJ18" s="673"/>
      <c r="IK18" s="673"/>
      <c r="IL18" s="673"/>
      <c r="IM18" s="673"/>
      <c r="IN18" s="673"/>
      <c r="IO18" s="673"/>
      <c r="IP18" s="673"/>
      <c r="IQ18" s="673"/>
      <c r="IR18" s="673"/>
      <c r="IS18" s="673"/>
      <c r="IT18" s="673"/>
      <c r="IU18" s="673"/>
      <c r="IV18" s="673"/>
    </row>
    <row r="19" spans="1:256" ht="15" x14ac:dyDescent="0.25">
      <c r="A19" s="465" t="s">
        <v>852</v>
      </c>
      <c r="B19" s="465"/>
      <c r="C19" s="465"/>
      <c r="D19" s="465"/>
      <c r="E19" s="465"/>
      <c r="F19" s="465"/>
      <c r="G19" s="465"/>
      <c r="L19" s="226"/>
      <c r="M19" s="227"/>
      <c r="N19" s="227"/>
      <c r="O19" s="228"/>
    </row>
    <row r="20" spans="1:256" ht="15.75" x14ac:dyDescent="0.25">
      <c r="A20" s="678" t="s">
        <v>56</v>
      </c>
      <c r="B20" s="678"/>
      <c r="C20" s="678"/>
      <c r="D20" s="678"/>
      <c r="E20" s="678"/>
      <c r="F20" s="678"/>
      <c r="G20" s="678"/>
      <c r="H20" s="678"/>
      <c r="I20" s="678"/>
      <c r="L20" s="229"/>
      <c r="M20" s="230"/>
      <c r="N20" s="230"/>
      <c r="O20" s="230"/>
    </row>
    <row r="21" spans="1:256" ht="15.75" x14ac:dyDescent="0.25">
      <c r="L21" s="231"/>
      <c r="M21" s="232"/>
      <c r="N21" s="232"/>
      <c r="O21" s="1019"/>
    </row>
    <row r="22" spans="1:256" ht="15.75" x14ac:dyDescent="0.25">
      <c r="L22" s="233"/>
      <c r="M22" s="230"/>
      <c r="N22" s="230"/>
      <c r="O22" s="1019"/>
    </row>
    <row r="23" spans="1:256" ht="15.75" x14ac:dyDescent="0.25">
      <c r="L23" s="233"/>
      <c r="M23" s="230"/>
      <c r="N23" s="230"/>
      <c r="O23" s="1019"/>
    </row>
    <row r="24" spans="1:256" ht="15.75" x14ac:dyDescent="0.25">
      <c r="L24" s="233"/>
      <c r="M24" s="230"/>
      <c r="N24" s="230"/>
      <c r="O24" s="1019"/>
    </row>
    <row r="25" spans="1:256" ht="15.75" x14ac:dyDescent="0.25">
      <c r="L25" s="233"/>
      <c r="M25" s="230"/>
      <c r="N25" s="230"/>
      <c r="O25" s="1019"/>
    </row>
    <row r="26" spans="1:256" ht="15.75" x14ac:dyDescent="0.25">
      <c r="L26" s="233"/>
      <c r="M26" s="230"/>
      <c r="N26" s="230"/>
      <c r="O26" s="1019"/>
    </row>
    <row r="27" spans="1:256" ht="15.75" x14ac:dyDescent="0.25">
      <c r="L27" s="233"/>
      <c r="M27" s="230"/>
      <c r="N27" s="230"/>
      <c r="O27" s="1019"/>
    </row>
    <row r="28" spans="1:256" ht="15.75" x14ac:dyDescent="0.25">
      <c r="L28" s="233"/>
      <c r="M28" s="230"/>
      <c r="N28" s="230"/>
      <c r="O28" s="1019"/>
    </row>
    <row r="29" spans="1:256" ht="17.25" customHeight="1" x14ac:dyDescent="0.25">
      <c r="L29" s="234"/>
      <c r="M29" s="235"/>
      <c r="N29" s="235"/>
      <c r="O29" s="1019"/>
    </row>
    <row r="30" spans="1:256" ht="28.5" customHeight="1" x14ac:dyDescent="0.25">
      <c r="L30" s="234"/>
      <c r="M30" s="236"/>
      <c r="N30" s="236"/>
      <c r="O30" s="236"/>
    </row>
  </sheetData>
  <mergeCells count="2">
    <mergeCell ref="O21:O29"/>
    <mergeCell ref="A5:I5"/>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20"/>
  <sheetViews>
    <sheetView topLeftCell="G1" zoomScaleNormal="100" workbookViewId="0">
      <selection activeCell="A19" sqref="A19:L19"/>
    </sheetView>
  </sheetViews>
  <sheetFormatPr defaultRowHeight="12.75" x14ac:dyDescent="0.2"/>
  <cols>
    <col min="1" max="1" width="80.85546875" bestFit="1" customWidth="1"/>
    <col min="2" max="2" width="8.42578125" bestFit="1" customWidth="1"/>
    <col min="3" max="3" width="12.85546875" bestFit="1" customWidth="1"/>
    <col min="4" max="4" width="13.140625" bestFit="1" customWidth="1"/>
    <col min="5" max="7" width="12.28515625" bestFit="1" customWidth="1"/>
    <col min="8" max="8" width="10.140625" bestFit="1" customWidth="1"/>
    <col min="9" max="9" width="11" bestFit="1" customWidth="1"/>
    <col min="10" max="11" width="12.28515625" bestFit="1" customWidth="1"/>
    <col min="12" max="12" width="10" bestFit="1" customWidth="1"/>
    <col min="13" max="13" width="1.5703125" bestFit="1" customWidth="1"/>
    <col min="14" max="14" width="0.28515625" bestFit="1" customWidth="1"/>
    <col min="15" max="15" width="4.7109375" bestFit="1" customWidth="1"/>
  </cols>
  <sheetData>
    <row r="1" spans="1:14" ht="15.75" customHeight="1" x14ac:dyDescent="0.2">
      <c r="A1" s="679" t="s">
        <v>1023</v>
      </c>
    </row>
    <row r="2" spans="1:14" s="499" customFormat="1" ht="18.75" customHeight="1" x14ac:dyDescent="0.2">
      <c r="A2" s="1026" t="s">
        <v>462</v>
      </c>
      <c r="B2" s="1026" t="s">
        <v>463</v>
      </c>
      <c r="C2" s="861" t="s">
        <v>464</v>
      </c>
      <c r="D2" s="1018"/>
      <c r="E2" s="1018"/>
      <c r="F2" s="1018"/>
      <c r="G2" s="1018"/>
      <c r="H2" s="861" t="s">
        <v>465</v>
      </c>
      <c r="I2" s="1018"/>
      <c r="J2" s="1018"/>
      <c r="K2" s="1018"/>
      <c r="L2" s="1018"/>
      <c r="M2" s="862"/>
      <c r="N2" s="680"/>
    </row>
    <row r="3" spans="1:14" s="499" customFormat="1" ht="37.5" customHeight="1" x14ac:dyDescent="0.2">
      <c r="A3" s="1027"/>
      <c r="B3" s="1027"/>
      <c r="C3" s="528" t="s">
        <v>849</v>
      </c>
      <c r="D3" s="528" t="s">
        <v>74</v>
      </c>
      <c r="E3" s="528" t="s">
        <v>858</v>
      </c>
      <c r="F3" s="570" t="s">
        <v>466</v>
      </c>
      <c r="G3" s="570" t="s">
        <v>467</v>
      </c>
      <c r="H3" s="528" t="s">
        <v>849</v>
      </c>
      <c r="I3" s="528" t="s">
        <v>74</v>
      </c>
      <c r="J3" s="528" t="s">
        <v>858</v>
      </c>
      <c r="K3" s="570" t="s">
        <v>466</v>
      </c>
      <c r="L3" s="910" t="s">
        <v>467</v>
      </c>
      <c r="M3" s="912"/>
      <c r="N3" s="681"/>
    </row>
    <row r="4" spans="1:14" s="499" customFormat="1" ht="18" customHeight="1" x14ac:dyDescent="0.2">
      <c r="A4" s="682" t="s">
        <v>468</v>
      </c>
      <c r="B4" s="683" t="s">
        <v>469</v>
      </c>
      <c r="C4" s="532">
        <v>5618</v>
      </c>
      <c r="D4" s="532">
        <v>5642</v>
      </c>
      <c r="E4" s="532">
        <v>5653</v>
      </c>
      <c r="F4" s="684">
        <v>-0.61914027900000002</v>
      </c>
      <c r="G4" s="684">
        <v>-0.425381071</v>
      </c>
      <c r="H4" s="532">
        <v>5700</v>
      </c>
      <c r="I4" s="532">
        <v>5696</v>
      </c>
      <c r="J4" s="532">
        <v>5596</v>
      </c>
      <c r="K4" s="684">
        <v>1.86</v>
      </c>
      <c r="L4" s="1023">
        <v>7.0000000000000007E-2</v>
      </c>
      <c r="M4" s="1024"/>
      <c r="N4" s="685" t="s">
        <v>468</v>
      </c>
    </row>
    <row r="5" spans="1:14" s="499" customFormat="1" ht="18" customHeight="1" x14ac:dyDescent="0.2">
      <c r="A5" s="682" t="s">
        <v>470</v>
      </c>
      <c r="B5" s="683" t="s">
        <v>469</v>
      </c>
      <c r="C5" s="532">
        <v>278</v>
      </c>
      <c r="D5" s="532">
        <v>280</v>
      </c>
      <c r="E5" s="532">
        <v>278</v>
      </c>
      <c r="F5" s="684">
        <v>0</v>
      </c>
      <c r="G5" s="684">
        <v>-0.71428571399999996</v>
      </c>
      <c r="H5" s="532">
        <v>597</v>
      </c>
      <c r="I5" s="532">
        <v>596</v>
      </c>
      <c r="J5" s="532">
        <v>603</v>
      </c>
      <c r="K5" s="684">
        <v>-1</v>
      </c>
      <c r="L5" s="1023">
        <v>0.17</v>
      </c>
      <c r="M5" s="1024"/>
      <c r="N5" s="685" t="s">
        <v>470</v>
      </c>
    </row>
    <row r="6" spans="1:14" s="499" customFormat="1" ht="18" customHeight="1" x14ac:dyDescent="0.2">
      <c r="A6" s="682" t="s">
        <v>471</v>
      </c>
      <c r="B6" s="683" t="s">
        <v>469</v>
      </c>
      <c r="C6" s="532">
        <v>4</v>
      </c>
      <c r="D6" s="532">
        <v>4</v>
      </c>
      <c r="E6" s="532">
        <v>3</v>
      </c>
      <c r="F6" s="684">
        <v>33.333333332999999</v>
      </c>
      <c r="G6" s="684">
        <v>0</v>
      </c>
      <c r="H6" s="532">
        <v>3</v>
      </c>
      <c r="I6" s="532">
        <v>3</v>
      </c>
      <c r="J6" s="532">
        <v>3</v>
      </c>
      <c r="K6" s="684">
        <v>0</v>
      </c>
      <c r="L6" s="1023">
        <v>0</v>
      </c>
      <c r="M6" s="1024"/>
      <c r="N6" s="685" t="s">
        <v>471</v>
      </c>
    </row>
    <row r="7" spans="1:14" s="499" customFormat="1" ht="18" customHeight="1" x14ac:dyDescent="0.2">
      <c r="A7" s="682" t="s">
        <v>472</v>
      </c>
      <c r="B7" s="683" t="s">
        <v>1062</v>
      </c>
      <c r="C7" s="532">
        <v>200.09173999999999</v>
      </c>
      <c r="D7" s="532">
        <v>198.59836999999999</v>
      </c>
      <c r="E7" s="532">
        <v>187.40325000000001</v>
      </c>
      <c r="F7" s="684">
        <v>6.7706883419999997</v>
      </c>
      <c r="G7" s="684">
        <v>0.75195481200000003</v>
      </c>
      <c r="H7" s="532">
        <v>231.65</v>
      </c>
      <c r="I7" s="532">
        <v>223.34</v>
      </c>
      <c r="J7" s="532">
        <v>180.24</v>
      </c>
      <c r="K7" s="684">
        <v>28.52</v>
      </c>
      <c r="L7" s="1023">
        <v>3.72</v>
      </c>
      <c r="M7" s="1024"/>
      <c r="N7" s="685" t="s">
        <v>472</v>
      </c>
    </row>
    <row r="8" spans="1:14" s="499" customFormat="1" ht="18" customHeight="1" x14ac:dyDescent="0.2">
      <c r="A8" s="682" t="s">
        <v>473</v>
      </c>
      <c r="B8" s="683" t="s">
        <v>1065</v>
      </c>
      <c r="C8" s="532">
        <v>54512.261784900002</v>
      </c>
      <c r="D8" s="532">
        <v>55019.247773499999</v>
      </c>
      <c r="E8" s="532">
        <v>53197.252868900003</v>
      </c>
      <c r="F8" s="684">
        <v>2.4719489170000002</v>
      </c>
      <c r="G8" s="684">
        <v>-0.92147022899999997</v>
      </c>
      <c r="H8" s="532">
        <v>22498.28</v>
      </c>
      <c r="I8" s="532">
        <v>22372.22</v>
      </c>
      <c r="J8" s="532">
        <v>20735.939999999999</v>
      </c>
      <c r="K8" s="684">
        <v>8.5</v>
      </c>
      <c r="L8" s="1023">
        <v>0.56000000000000005</v>
      </c>
      <c r="M8" s="1024"/>
      <c r="N8" s="685" t="s">
        <v>473</v>
      </c>
    </row>
    <row r="9" spans="1:14" s="499" customFormat="1" ht="18" customHeight="1" x14ac:dyDescent="0.2">
      <c r="A9" s="682" t="s">
        <v>474</v>
      </c>
      <c r="B9" s="683" t="s">
        <v>1065</v>
      </c>
      <c r="C9" s="573">
        <v>12077327.555577001</v>
      </c>
      <c r="D9" s="573">
        <v>11034330.3866909</v>
      </c>
      <c r="E9" s="573">
        <v>13138511.757430701</v>
      </c>
      <c r="F9" s="684">
        <v>-8.076898065</v>
      </c>
      <c r="G9" s="684">
        <v>9.4522923670000001</v>
      </c>
      <c r="H9" s="572">
        <v>1685586.55</v>
      </c>
      <c r="I9" s="572">
        <v>1493343.78</v>
      </c>
      <c r="J9" s="572">
        <v>1811480.88</v>
      </c>
      <c r="K9" s="684">
        <v>-6.95</v>
      </c>
      <c r="L9" s="1023">
        <v>12.87</v>
      </c>
      <c r="M9" s="1024"/>
      <c r="N9" s="685" t="s">
        <v>474</v>
      </c>
    </row>
    <row r="10" spans="1:14" s="499" customFormat="1" ht="18" customHeight="1" x14ac:dyDescent="0.2">
      <c r="A10" s="682" t="s">
        <v>475</v>
      </c>
      <c r="B10" s="683" t="s">
        <v>1065</v>
      </c>
      <c r="C10" s="532">
        <v>58994.287107962002</v>
      </c>
      <c r="D10" s="532">
        <v>59468.114925561</v>
      </c>
      <c r="E10" s="532">
        <v>57232.139514034003</v>
      </c>
      <c r="F10" s="684">
        <v>3.0789476140000001</v>
      </c>
      <c r="G10" s="684">
        <v>-0.79677625299999999</v>
      </c>
      <c r="H10" s="532">
        <v>24688.74</v>
      </c>
      <c r="I10" s="532">
        <v>24531.79</v>
      </c>
      <c r="J10" s="532">
        <v>22356.35</v>
      </c>
      <c r="K10" s="684">
        <v>10.43</v>
      </c>
      <c r="L10" s="1023">
        <v>0.64</v>
      </c>
      <c r="M10" s="1024"/>
      <c r="N10" s="685" t="s">
        <v>475</v>
      </c>
    </row>
    <row r="11" spans="1:14" s="499" customFormat="1" ht="18" customHeight="1" x14ac:dyDescent="0.2">
      <c r="A11" s="682" t="s">
        <v>476</v>
      </c>
      <c r="B11" s="683" t="s">
        <v>1065</v>
      </c>
      <c r="C11" s="573">
        <v>15394540.8194656</v>
      </c>
      <c r="D11" s="573">
        <v>14307765.908880699</v>
      </c>
      <c r="E11" s="573">
        <v>15960329.8098781</v>
      </c>
      <c r="F11" s="684">
        <v>-3.5449705439999999</v>
      </c>
      <c r="G11" s="684">
        <v>7.5956995489999999</v>
      </c>
      <c r="H11" s="572">
        <v>1838776.66</v>
      </c>
      <c r="I11" s="572">
        <v>1641146.37</v>
      </c>
      <c r="J11" s="572">
        <v>1940223.52</v>
      </c>
      <c r="K11" s="684">
        <v>-5.23</v>
      </c>
      <c r="L11" s="1023">
        <v>12.04</v>
      </c>
      <c r="M11" s="1024"/>
      <c r="N11" s="685" t="s">
        <v>476</v>
      </c>
    </row>
    <row r="12" spans="1:14" s="499" customFormat="1" ht="18" customHeight="1" x14ac:dyDescent="0.2">
      <c r="A12" s="682" t="s">
        <v>477</v>
      </c>
      <c r="B12" s="683" t="s">
        <v>1065</v>
      </c>
      <c r="C12" s="532">
        <v>1848.5544824999999</v>
      </c>
      <c r="D12" s="532">
        <v>1099.8738733</v>
      </c>
      <c r="E12" s="532">
        <v>824.55622089999997</v>
      </c>
      <c r="F12" s="684">
        <v>124.187803772</v>
      </c>
      <c r="G12" s="684">
        <v>68.069678476000007</v>
      </c>
      <c r="H12" s="532">
        <v>2418.02</v>
      </c>
      <c r="I12" s="532">
        <v>1144.1500000000001</v>
      </c>
      <c r="J12" s="532">
        <v>462.87</v>
      </c>
      <c r="K12" s="684">
        <v>422.39</v>
      </c>
      <c r="L12" s="1023">
        <v>111.34</v>
      </c>
      <c r="M12" s="1024"/>
      <c r="N12" s="685" t="s">
        <v>477</v>
      </c>
    </row>
    <row r="13" spans="1:14" s="499" customFormat="1" ht="18" customHeight="1" x14ac:dyDescent="0.2">
      <c r="A13" s="682" t="s">
        <v>478</v>
      </c>
      <c r="B13" s="683" t="s">
        <v>1065</v>
      </c>
      <c r="C13" s="532">
        <v>84.025203750000003</v>
      </c>
      <c r="D13" s="532">
        <v>61.104104071999998</v>
      </c>
      <c r="E13" s="532">
        <v>43.397695837000001</v>
      </c>
      <c r="F13" s="684">
        <v>93.616739620999994</v>
      </c>
      <c r="G13" s="684">
        <v>37.511555117</v>
      </c>
      <c r="H13" s="532">
        <v>80.599999999999994</v>
      </c>
      <c r="I13" s="532">
        <v>36.909999999999997</v>
      </c>
      <c r="J13" s="532">
        <v>15.43</v>
      </c>
      <c r="K13" s="684">
        <v>422.39</v>
      </c>
      <c r="L13" s="1023">
        <v>118.38</v>
      </c>
      <c r="M13" s="1024"/>
      <c r="N13" s="685" t="s">
        <v>478</v>
      </c>
    </row>
    <row r="14" spans="1:14" s="499" customFormat="1" ht="18" customHeight="1" x14ac:dyDescent="0.2">
      <c r="A14" s="682" t="s">
        <v>479</v>
      </c>
      <c r="B14" s="683" t="s">
        <v>1065</v>
      </c>
      <c r="C14" s="572">
        <v>377489.02221831301</v>
      </c>
      <c r="D14" s="572">
        <v>284013.10615897999</v>
      </c>
      <c r="E14" s="572">
        <v>213410.908740199</v>
      </c>
      <c r="F14" s="684">
        <v>76.883658124999997</v>
      </c>
      <c r="G14" s="684">
        <v>32.912536088000003</v>
      </c>
      <c r="H14" s="572">
        <v>164957.62</v>
      </c>
      <c r="I14" s="532">
        <v>86224.28</v>
      </c>
      <c r="J14" s="532">
        <v>48524.59</v>
      </c>
      <c r="K14" s="684">
        <v>239.94</v>
      </c>
      <c r="L14" s="1023">
        <v>91.31</v>
      </c>
      <c r="M14" s="1024"/>
      <c r="N14" s="685" t="s">
        <v>479</v>
      </c>
    </row>
    <row r="15" spans="1:14" s="499" customFormat="1" ht="18" customHeight="1" x14ac:dyDescent="0.2">
      <c r="A15" s="682" t="s">
        <v>480</v>
      </c>
      <c r="B15" s="683" t="s">
        <v>1065</v>
      </c>
      <c r="C15" s="532">
        <v>17158.591919014001</v>
      </c>
      <c r="D15" s="532">
        <v>15778.505897720999</v>
      </c>
      <c r="E15" s="532">
        <v>11232.153091589</v>
      </c>
      <c r="F15" s="684">
        <v>52.763159289999997</v>
      </c>
      <c r="G15" s="684">
        <v>8.7466204360000006</v>
      </c>
      <c r="H15" s="532">
        <v>5498.59</v>
      </c>
      <c r="I15" s="532">
        <v>2781.43</v>
      </c>
      <c r="J15" s="532">
        <v>1617.49</v>
      </c>
      <c r="K15" s="684">
        <v>239.94</v>
      </c>
      <c r="L15" s="1023">
        <v>97.69</v>
      </c>
      <c r="M15" s="1024"/>
      <c r="N15" s="685" t="s">
        <v>480</v>
      </c>
    </row>
    <row r="16" spans="1:14" s="499" customFormat="1" ht="18" customHeight="1" x14ac:dyDescent="0.2">
      <c r="A16" s="682" t="s">
        <v>481</v>
      </c>
      <c r="B16" s="683" t="s">
        <v>469</v>
      </c>
      <c r="C16" s="532">
        <v>0</v>
      </c>
      <c r="D16" s="532">
        <v>0</v>
      </c>
      <c r="E16" s="532">
        <v>9</v>
      </c>
      <c r="F16" s="684">
        <v>-100</v>
      </c>
      <c r="G16" s="684">
        <v>0</v>
      </c>
      <c r="H16" s="532">
        <v>0</v>
      </c>
      <c r="I16" s="532">
        <v>0</v>
      </c>
      <c r="J16" s="532">
        <v>79</v>
      </c>
      <c r="K16" s="684">
        <v>-100</v>
      </c>
      <c r="L16" s="1023">
        <v>0</v>
      </c>
      <c r="M16" s="1024"/>
      <c r="N16" s="685" t="s">
        <v>481</v>
      </c>
    </row>
    <row r="17" spans="1:14" s="499" customFormat="1" ht="18" customHeight="1" x14ac:dyDescent="0.2">
      <c r="A17" s="682" t="s">
        <v>482</v>
      </c>
      <c r="B17" s="683" t="s">
        <v>952</v>
      </c>
      <c r="C17" s="532">
        <v>86.64</v>
      </c>
      <c r="D17" s="532">
        <v>86.678679912000007</v>
      </c>
      <c r="E17" s="532">
        <v>86.717415244999998</v>
      </c>
      <c r="F17" s="684">
        <v>-8.9273008000000001E-2</v>
      </c>
      <c r="G17" s="684">
        <v>-4.4624483E-2</v>
      </c>
      <c r="H17" s="532">
        <v>12.15</v>
      </c>
      <c r="I17" s="532">
        <v>11.78</v>
      </c>
      <c r="J17" s="532">
        <v>11.87</v>
      </c>
      <c r="K17" s="684">
        <v>2.36</v>
      </c>
      <c r="L17" s="1023">
        <v>3.14</v>
      </c>
      <c r="M17" s="1024"/>
      <c r="N17" s="686" t="s">
        <v>483</v>
      </c>
    </row>
    <row r="18" spans="1:14" s="499" customFormat="1" ht="24.75" customHeight="1" x14ac:dyDescent="0.2">
      <c r="A18" s="1025" t="s">
        <v>1097</v>
      </c>
      <c r="B18" s="1025"/>
      <c r="C18" s="1025"/>
      <c r="D18" s="1025"/>
      <c r="E18" s="1025"/>
      <c r="F18" s="1025"/>
      <c r="G18" s="1025"/>
      <c r="H18" s="1025"/>
      <c r="I18" s="1025"/>
      <c r="J18" s="1025"/>
      <c r="K18" s="1025"/>
      <c r="L18" s="1025"/>
    </row>
    <row r="19" spans="1:14" s="499" customFormat="1" ht="13.5" customHeight="1" x14ac:dyDescent="0.2">
      <c r="A19" s="860" t="s">
        <v>484</v>
      </c>
      <c r="B19" s="860"/>
      <c r="C19" s="860"/>
      <c r="D19" s="860"/>
      <c r="E19" s="860"/>
      <c r="F19" s="860"/>
      <c r="G19" s="860"/>
      <c r="H19" s="860"/>
      <c r="I19" s="860"/>
      <c r="J19" s="860"/>
      <c r="K19" s="860"/>
      <c r="L19" s="860"/>
    </row>
    <row r="20" spans="1:14" s="499" customFormat="1" ht="28.35" customHeight="1" x14ac:dyDescent="0.2"/>
  </sheetData>
  <mergeCells count="21">
    <mergeCell ref="L10:M10"/>
    <mergeCell ref="A2:A3"/>
    <mergeCell ref="B2:B3"/>
    <mergeCell ref="C2:G2"/>
    <mergeCell ref="H2:M2"/>
    <mergeCell ref="L3:M3"/>
    <mergeCell ref="L4:M4"/>
    <mergeCell ref="L5:M5"/>
    <mergeCell ref="L6:M6"/>
    <mergeCell ref="L7:M7"/>
    <mergeCell ref="L8:M8"/>
    <mergeCell ref="L9:M9"/>
    <mergeCell ref="L17:M17"/>
    <mergeCell ref="A18:L18"/>
    <mergeCell ref="A19:L19"/>
    <mergeCell ref="L11:M11"/>
    <mergeCell ref="L12:M12"/>
    <mergeCell ref="L13:M13"/>
    <mergeCell ref="L14:M14"/>
    <mergeCell ref="L15:M15"/>
    <mergeCell ref="L16:M16"/>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12"/>
  <sheetViews>
    <sheetView zoomScaleNormal="100" workbookViewId="0">
      <selection activeCell="H14" sqref="H14"/>
    </sheetView>
  </sheetViews>
  <sheetFormatPr defaultRowHeight="12.75" x14ac:dyDescent="0.2"/>
  <cols>
    <col min="1" max="5" width="14.7109375" bestFit="1" customWidth="1"/>
    <col min="6" max="6" width="14.140625" bestFit="1" customWidth="1"/>
    <col min="7" max="7" width="14.7109375" bestFit="1" customWidth="1"/>
    <col min="8" max="10" width="13.5703125" bestFit="1" customWidth="1"/>
    <col min="11" max="11" width="18.5703125" bestFit="1" customWidth="1"/>
    <col min="12" max="12" width="4.7109375" bestFit="1" customWidth="1"/>
  </cols>
  <sheetData>
    <row r="1" spans="1:11" ht="16.5" customHeight="1" x14ac:dyDescent="0.2">
      <c r="A1" s="891" t="s">
        <v>597</v>
      </c>
      <c r="B1" s="891"/>
      <c r="C1" s="891"/>
      <c r="D1" s="891"/>
      <c r="E1" s="891"/>
      <c r="F1" s="891"/>
      <c r="G1" s="891"/>
      <c r="H1" s="891"/>
      <c r="I1" s="891"/>
      <c r="J1" s="891"/>
    </row>
    <row r="2" spans="1:11" s="204" customFormat="1" ht="18" customHeight="1" x14ac:dyDescent="0.2">
      <c r="A2" s="923" t="s">
        <v>86</v>
      </c>
      <c r="B2" s="954" t="s">
        <v>464</v>
      </c>
      <c r="C2" s="955"/>
      <c r="D2" s="955"/>
      <c r="E2" s="955"/>
      <c r="F2" s="956"/>
      <c r="G2" s="954" t="s">
        <v>465</v>
      </c>
      <c r="H2" s="955"/>
      <c r="I2" s="955"/>
      <c r="J2" s="955"/>
      <c r="K2" s="956"/>
    </row>
    <row r="3" spans="1:11" s="204" customFormat="1" ht="51" customHeight="1" x14ac:dyDescent="0.2">
      <c r="A3" s="924"/>
      <c r="B3" s="205" t="s">
        <v>485</v>
      </c>
      <c r="C3" s="205" t="s">
        <v>486</v>
      </c>
      <c r="D3" s="248" t="s">
        <v>487</v>
      </c>
      <c r="E3" s="248" t="s">
        <v>488</v>
      </c>
      <c r="F3" s="206" t="s">
        <v>489</v>
      </c>
      <c r="G3" s="205" t="s">
        <v>485</v>
      </c>
      <c r="H3" s="205" t="s">
        <v>486</v>
      </c>
      <c r="I3" s="248" t="s">
        <v>487</v>
      </c>
      <c r="J3" s="248" t="s">
        <v>488</v>
      </c>
      <c r="K3" s="206" t="s">
        <v>490</v>
      </c>
    </row>
    <row r="4" spans="1:11" s="204" customFormat="1" ht="18" customHeight="1" x14ac:dyDescent="0.2">
      <c r="A4" s="207" t="s">
        <v>73</v>
      </c>
      <c r="B4" s="209">
        <v>30335</v>
      </c>
      <c r="C4" s="209">
        <v>279</v>
      </c>
      <c r="D4" s="209">
        <v>30874</v>
      </c>
      <c r="E4" s="221">
        <v>2351602.9900000002</v>
      </c>
      <c r="F4" s="244">
        <v>16032791.785</v>
      </c>
      <c r="G4" s="209">
        <v>14762</v>
      </c>
      <c r="H4" s="209">
        <v>599</v>
      </c>
      <c r="I4" s="209">
        <v>20352</v>
      </c>
      <c r="J4" s="221">
        <v>455726.55</v>
      </c>
      <c r="K4" s="221">
        <v>1671972.37</v>
      </c>
    </row>
    <row r="5" spans="1:11" s="204" customFormat="1" ht="18" customHeight="1" x14ac:dyDescent="0.2">
      <c r="A5" s="207" t="s">
        <v>76</v>
      </c>
      <c r="B5" s="209">
        <v>30594</v>
      </c>
      <c r="C5" s="209">
        <v>278</v>
      </c>
      <c r="D5" s="209">
        <v>30989</v>
      </c>
      <c r="E5" s="221">
        <v>2183559.2999999998</v>
      </c>
      <c r="F5" s="244">
        <v>18075718.438999999</v>
      </c>
      <c r="G5" s="209">
        <v>14891</v>
      </c>
      <c r="H5" s="209">
        <v>597</v>
      </c>
      <c r="I5" s="209">
        <v>20589</v>
      </c>
      <c r="J5" s="221">
        <v>439758.12</v>
      </c>
      <c r="K5" s="221">
        <v>2042069.83</v>
      </c>
    </row>
    <row r="6" spans="1:11" s="204" customFormat="1" ht="18" customHeight="1" x14ac:dyDescent="0.2">
      <c r="A6" s="207" t="s">
        <v>75</v>
      </c>
      <c r="B6" s="209">
        <v>30366</v>
      </c>
      <c r="C6" s="209">
        <v>280</v>
      </c>
      <c r="D6" s="209">
        <v>30948</v>
      </c>
      <c r="E6" s="221">
        <v>2354838.66</v>
      </c>
      <c r="F6" s="244">
        <v>18960841.862</v>
      </c>
      <c r="G6" s="209">
        <v>38546</v>
      </c>
      <c r="H6" s="238">
        <v>595</v>
      </c>
      <c r="I6" s="238">
        <v>20519</v>
      </c>
      <c r="J6" s="238">
        <v>438715.09</v>
      </c>
      <c r="K6" s="238">
        <v>1844619.85</v>
      </c>
    </row>
    <row r="7" spans="1:11" s="204" customFormat="1" ht="18" customHeight="1" x14ac:dyDescent="0.2">
      <c r="A7" s="207" t="s">
        <v>74</v>
      </c>
      <c r="B7" s="209">
        <v>30425</v>
      </c>
      <c r="C7" s="209">
        <v>280</v>
      </c>
      <c r="D7" s="209">
        <v>30971</v>
      </c>
      <c r="E7" s="221">
        <v>2175115.25</v>
      </c>
      <c r="F7" s="244">
        <v>17045667.539999999</v>
      </c>
      <c r="G7" s="209">
        <v>14818</v>
      </c>
      <c r="H7" s="209">
        <v>596</v>
      </c>
      <c r="I7" s="209">
        <v>20548</v>
      </c>
      <c r="J7" s="221">
        <v>437804.87</v>
      </c>
      <c r="K7" s="221">
        <v>1844324.8</v>
      </c>
    </row>
    <row r="8" spans="1:11" s="204" customFormat="1" ht="18" customHeight="1" x14ac:dyDescent="0.2">
      <c r="A8" s="207" t="s">
        <v>849</v>
      </c>
      <c r="B8" s="209">
        <v>30594</v>
      </c>
      <c r="C8" s="209">
        <v>278</v>
      </c>
      <c r="D8" s="209">
        <v>30989</v>
      </c>
      <c r="E8" s="221">
        <v>2183559.2999999998</v>
      </c>
      <c r="F8" s="244">
        <v>18075718.438999999</v>
      </c>
      <c r="G8" s="209">
        <v>14891</v>
      </c>
      <c r="H8" s="209">
        <v>597</v>
      </c>
      <c r="I8" s="209">
        <v>20589</v>
      </c>
      <c r="J8" s="221">
        <v>439758.12</v>
      </c>
      <c r="K8" s="221">
        <v>2042069.83</v>
      </c>
    </row>
    <row r="9" spans="1:11" s="204" customFormat="1" ht="42" customHeight="1" x14ac:dyDescent="0.2">
      <c r="A9" s="1028" t="s">
        <v>1098</v>
      </c>
      <c r="B9" s="1028"/>
      <c r="C9" s="1028"/>
      <c r="D9" s="1028"/>
      <c r="E9" s="1028"/>
      <c r="F9" s="1028"/>
      <c r="G9" s="1028"/>
      <c r="H9" s="1028"/>
    </row>
    <row r="10" spans="1:11" s="204" customFormat="1" ht="18" customHeight="1" x14ac:dyDescent="0.2">
      <c r="A10" s="888" t="s">
        <v>491</v>
      </c>
      <c r="B10" s="888"/>
      <c r="C10" s="888"/>
      <c r="D10" s="888"/>
      <c r="E10" s="888"/>
      <c r="F10" s="888"/>
      <c r="G10" s="888"/>
      <c r="H10" s="888"/>
    </row>
    <row r="11" spans="1:11" s="204" customFormat="1" ht="18" customHeight="1" x14ac:dyDescent="0.2">
      <c r="A11" s="887" t="s">
        <v>484</v>
      </c>
      <c r="B11" s="887"/>
      <c r="C11" s="887"/>
      <c r="D11" s="887"/>
      <c r="E11" s="887"/>
      <c r="F11" s="887"/>
      <c r="G11" s="887"/>
      <c r="H11" s="887"/>
    </row>
    <row r="12" spans="1:11" s="204" customFormat="1" ht="28.35" customHeight="1" x14ac:dyDescent="0.2"/>
  </sheetData>
  <mergeCells count="7">
    <mergeCell ref="A11:H11"/>
    <mergeCell ref="A10:H10"/>
    <mergeCell ref="A1:J1"/>
    <mergeCell ref="A2:A3"/>
    <mergeCell ref="B2:F2"/>
    <mergeCell ref="G2:K2"/>
    <mergeCell ref="A9:H9"/>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20"/>
  <sheetViews>
    <sheetView zoomScaleNormal="100" workbookViewId="0">
      <selection activeCell="F17" sqref="F17"/>
    </sheetView>
  </sheetViews>
  <sheetFormatPr defaultRowHeight="12.75" x14ac:dyDescent="0.2"/>
  <cols>
    <col min="1" max="1" width="27.85546875" bestFit="1" customWidth="1"/>
    <col min="2" max="2" width="14.7109375" bestFit="1" customWidth="1"/>
    <col min="3" max="10" width="13.5703125" bestFit="1" customWidth="1"/>
    <col min="11" max="11" width="4.7109375" bestFit="1" customWidth="1"/>
  </cols>
  <sheetData>
    <row r="1" spans="1:10" ht="15.75" customHeight="1" x14ac:dyDescent="0.2">
      <c r="A1" s="679" t="s">
        <v>1025</v>
      </c>
    </row>
    <row r="2" spans="1:10" s="499" customFormat="1" ht="18" customHeight="1" x14ac:dyDescent="0.2">
      <c r="A2" s="799" t="s">
        <v>454</v>
      </c>
      <c r="B2" s="799" t="s">
        <v>463</v>
      </c>
      <c r="C2" s="866" t="s">
        <v>82</v>
      </c>
      <c r="D2" s="867"/>
      <c r="E2" s="866" t="s">
        <v>449</v>
      </c>
      <c r="F2" s="867"/>
      <c r="G2" s="866" t="s">
        <v>185</v>
      </c>
      <c r="H2" s="867"/>
      <c r="I2" s="866" t="s">
        <v>67</v>
      </c>
      <c r="J2" s="867"/>
    </row>
    <row r="3" spans="1:10" s="499" customFormat="1" ht="16.5" customHeight="1" x14ac:dyDescent="0.2">
      <c r="A3" s="801"/>
      <c r="B3" s="801"/>
      <c r="C3" s="538" t="s">
        <v>80</v>
      </c>
      <c r="D3" s="538" t="s">
        <v>492</v>
      </c>
      <c r="E3" s="538" t="s">
        <v>80</v>
      </c>
      <c r="F3" s="538" t="s">
        <v>492</v>
      </c>
      <c r="G3" s="538" t="s">
        <v>80</v>
      </c>
      <c r="H3" s="538" t="s">
        <v>492</v>
      </c>
      <c r="I3" s="538" t="s">
        <v>80</v>
      </c>
      <c r="J3" s="538" t="s">
        <v>492</v>
      </c>
    </row>
    <row r="4" spans="1:10" s="499" customFormat="1" ht="18" customHeight="1" x14ac:dyDescent="0.2">
      <c r="A4" s="1029" t="s">
        <v>464</v>
      </c>
      <c r="B4" s="1030"/>
      <c r="C4" s="1030"/>
      <c r="D4" s="1030"/>
      <c r="E4" s="1030"/>
      <c r="F4" s="1030"/>
      <c r="G4" s="1030"/>
      <c r="H4" s="1030"/>
      <c r="I4" s="1030"/>
      <c r="J4" s="1031"/>
    </row>
    <row r="5" spans="1:10" s="499" customFormat="1" ht="27" customHeight="1" x14ac:dyDescent="0.2">
      <c r="A5" s="687" t="s">
        <v>493</v>
      </c>
      <c r="B5" s="528" t="s">
        <v>494</v>
      </c>
      <c r="C5" s="532">
        <v>803</v>
      </c>
      <c r="D5" s="532">
        <v>2013</v>
      </c>
      <c r="E5" s="532">
        <v>5618</v>
      </c>
      <c r="F5" s="532">
        <v>21432</v>
      </c>
      <c r="G5" s="532">
        <v>195</v>
      </c>
      <c r="H5" s="532">
        <v>4893</v>
      </c>
      <c r="I5" s="532">
        <v>6616</v>
      </c>
      <c r="J5" s="532">
        <v>28338</v>
      </c>
    </row>
    <row r="6" spans="1:10" s="499" customFormat="1" ht="15" customHeight="1" x14ac:dyDescent="0.2">
      <c r="A6" s="687" t="s">
        <v>495</v>
      </c>
      <c r="B6" s="528" t="s">
        <v>494</v>
      </c>
      <c r="C6" s="532">
        <v>8939</v>
      </c>
      <c r="D6" s="532">
        <v>7782</v>
      </c>
      <c r="E6" s="532">
        <v>11383</v>
      </c>
      <c r="F6" s="532">
        <v>23060</v>
      </c>
      <c r="G6" s="532">
        <v>5687</v>
      </c>
      <c r="H6" s="532">
        <v>26883</v>
      </c>
      <c r="I6" s="532">
        <v>26009</v>
      </c>
      <c r="J6" s="532">
        <v>57725</v>
      </c>
    </row>
    <row r="7" spans="1:10" s="499" customFormat="1" ht="15" customHeight="1" x14ac:dyDescent="0.2">
      <c r="A7" s="687" t="s">
        <v>496</v>
      </c>
      <c r="B7" s="528" t="s">
        <v>497</v>
      </c>
      <c r="C7" s="572">
        <v>114502.09666</v>
      </c>
      <c r="D7" s="572">
        <v>595402.61991000001</v>
      </c>
      <c r="E7" s="572">
        <v>5451226.1784899998</v>
      </c>
      <c r="F7" s="573">
        <v>10306960.05779</v>
      </c>
      <c r="G7" s="572">
        <v>333700.43564620998</v>
      </c>
      <c r="H7" s="572">
        <v>5033801.6704239398</v>
      </c>
      <c r="I7" s="572">
        <v>5899428.71079621</v>
      </c>
      <c r="J7" s="573">
        <v>15936164.348123901</v>
      </c>
    </row>
    <row r="8" spans="1:10" s="499" customFormat="1" ht="15" customHeight="1" x14ac:dyDescent="0.2">
      <c r="A8" s="687" t="s">
        <v>498</v>
      </c>
      <c r="B8" s="528" t="s">
        <v>504</v>
      </c>
      <c r="C8" s="572">
        <v>2826561.6085660802</v>
      </c>
      <c r="D8" s="572">
        <v>563136.21516105998</v>
      </c>
      <c r="E8" s="573">
        <v>12077327.555577001</v>
      </c>
      <c r="F8" s="572">
        <v>1024036.91062953</v>
      </c>
      <c r="G8" s="572">
        <v>490651.65532252099</v>
      </c>
      <c r="H8" s="572">
        <v>1094004.4943869901</v>
      </c>
      <c r="I8" s="573">
        <v>15394540.8194656</v>
      </c>
      <c r="J8" s="572">
        <v>2681177.62017758</v>
      </c>
    </row>
    <row r="9" spans="1:10" s="499" customFormat="1" ht="27" customHeight="1" x14ac:dyDescent="0.2">
      <c r="A9" s="687" t="s">
        <v>499</v>
      </c>
      <c r="B9" s="528" t="s">
        <v>503</v>
      </c>
      <c r="C9" s="532">
        <v>1137.4110599999999</v>
      </c>
      <c r="D9" s="532">
        <v>338.00738999999999</v>
      </c>
      <c r="E9" s="572">
        <v>184855.44824999999</v>
      </c>
      <c r="F9" s="532">
        <v>2.6700000000000002E-2</v>
      </c>
      <c r="G9" s="532">
        <v>2841.38555159</v>
      </c>
      <c r="H9" s="532">
        <v>1645.80875625</v>
      </c>
      <c r="I9" s="572">
        <v>188834.24486159001</v>
      </c>
      <c r="J9" s="532">
        <v>1983.8428462500001</v>
      </c>
    </row>
    <row r="10" spans="1:10" s="499" customFormat="1" ht="15" customHeight="1" x14ac:dyDescent="0.2">
      <c r="A10" s="687" t="s">
        <v>500</v>
      </c>
      <c r="B10" s="528" t="s">
        <v>504</v>
      </c>
      <c r="C10" s="572">
        <v>173336.8229388</v>
      </c>
      <c r="D10" s="532">
        <v>11461.247653</v>
      </c>
      <c r="E10" s="572">
        <v>377489.02221831301</v>
      </c>
      <c r="F10" s="532">
        <v>4.7951999999999999E-4</v>
      </c>
      <c r="G10" s="532">
        <v>5349.3783936330001</v>
      </c>
      <c r="H10" s="532">
        <v>443.24476203</v>
      </c>
      <c r="I10" s="572">
        <v>556175.22355074598</v>
      </c>
      <c r="J10" s="532">
        <v>11904.49289455</v>
      </c>
    </row>
    <row r="11" spans="1:10" s="499" customFormat="1" ht="18" customHeight="1" x14ac:dyDescent="0.2">
      <c r="A11" s="1029" t="s">
        <v>465</v>
      </c>
      <c r="B11" s="1030"/>
      <c r="C11" s="1030"/>
      <c r="D11" s="1030"/>
      <c r="E11" s="1030"/>
      <c r="F11" s="1030"/>
      <c r="G11" s="1030"/>
      <c r="H11" s="1030"/>
      <c r="I11" s="1030"/>
      <c r="J11" s="1031"/>
    </row>
    <row r="12" spans="1:10" s="499" customFormat="1" ht="27" customHeight="1" x14ac:dyDescent="0.2">
      <c r="A12" s="687" t="s">
        <v>501</v>
      </c>
      <c r="B12" s="528" t="s">
        <v>494</v>
      </c>
      <c r="C12" s="504">
        <v>571</v>
      </c>
      <c r="D12" s="504">
        <v>446</v>
      </c>
      <c r="E12" s="504">
        <v>5700</v>
      </c>
      <c r="F12" s="504">
        <v>7994</v>
      </c>
      <c r="G12" s="504">
        <v>2539</v>
      </c>
      <c r="H12" s="504">
        <v>691</v>
      </c>
      <c r="I12" s="504">
        <v>8810</v>
      </c>
      <c r="J12" s="504">
        <v>9131</v>
      </c>
    </row>
    <row r="13" spans="1:10" s="499" customFormat="1" ht="15" customHeight="1" x14ac:dyDescent="0.2">
      <c r="A13" s="687" t="s">
        <v>502</v>
      </c>
      <c r="B13" s="528" t="s">
        <v>494</v>
      </c>
      <c r="C13" s="504">
        <v>7260</v>
      </c>
      <c r="D13" s="504">
        <v>3475</v>
      </c>
      <c r="E13" s="504">
        <v>5835</v>
      </c>
      <c r="F13" s="504">
        <v>8287</v>
      </c>
      <c r="G13" s="504">
        <v>20549</v>
      </c>
      <c r="H13" s="504">
        <v>2277</v>
      </c>
      <c r="I13" s="504">
        <v>33644</v>
      </c>
      <c r="J13" s="504">
        <v>14039</v>
      </c>
    </row>
    <row r="14" spans="1:10" s="499" customFormat="1" ht="15" customHeight="1" x14ac:dyDescent="0.2">
      <c r="A14" s="687" t="s">
        <v>496</v>
      </c>
      <c r="B14" s="528" t="s">
        <v>503</v>
      </c>
      <c r="C14" s="504">
        <v>3505.69</v>
      </c>
      <c r="D14" s="504">
        <v>112455.22</v>
      </c>
      <c r="E14" s="549">
        <v>2249827.94</v>
      </c>
      <c r="F14" s="549">
        <v>1674407.72</v>
      </c>
      <c r="G14" s="549">
        <v>215540.55</v>
      </c>
      <c r="H14" s="549">
        <v>141844.04</v>
      </c>
      <c r="I14" s="549">
        <v>2468874.1800000002</v>
      </c>
      <c r="J14" s="549">
        <v>1928706.98</v>
      </c>
    </row>
    <row r="15" spans="1:10" s="499" customFormat="1" ht="15" customHeight="1" x14ac:dyDescent="0.2">
      <c r="A15" s="687" t="s">
        <v>498</v>
      </c>
      <c r="B15" s="528" t="s">
        <v>504</v>
      </c>
      <c r="C15" s="504">
        <v>70028.679999999993</v>
      </c>
      <c r="D15" s="504">
        <v>42251.35</v>
      </c>
      <c r="E15" s="549">
        <v>1685586.55</v>
      </c>
      <c r="F15" s="549">
        <v>132927.06</v>
      </c>
      <c r="G15" s="504">
        <v>83161.429999999993</v>
      </c>
      <c r="H15" s="504">
        <v>28114.76</v>
      </c>
      <c r="I15" s="549">
        <v>1838776.66</v>
      </c>
      <c r="J15" s="549">
        <v>203293.17</v>
      </c>
    </row>
    <row r="16" spans="1:10" s="499" customFormat="1" ht="27" customHeight="1" x14ac:dyDescent="0.2">
      <c r="A16" s="687" t="s">
        <v>499</v>
      </c>
      <c r="B16" s="528" t="s">
        <v>503</v>
      </c>
      <c r="C16" s="504">
        <v>36.04</v>
      </c>
      <c r="D16" s="504">
        <v>0</v>
      </c>
      <c r="E16" s="549">
        <v>241802.12</v>
      </c>
      <c r="F16" s="504">
        <v>0</v>
      </c>
      <c r="G16" s="504">
        <v>17445.47</v>
      </c>
      <c r="H16" s="504">
        <v>0</v>
      </c>
      <c r="I16" s="549">
        <v>259283.63</v>
      </c>
      <c r="J16" s="504">
        <v>0</v>
      </c>
    </row>
    <row r="17" spans="1:10" s="499" customFormat="1" ht="15" customHeight="1" x14ac:dyDescent="0.2">
      <c r="A17" s="687" t="s">
        <v>500</v>
      </c>
      <c r="B17" s="528" t="s">
        <v>504</v>
      </c>
      <c r="C17" s="504">
        <v>541.14</v>
      </c>
      <c r="D17" s="504">
        <v>0</v>
      </c>
      <c r="E17" s="549">
        <v>164957.62</v>
      </c>
      <c r="F17" s="504">
        <v>0</v>
      </c>
      <c r="G17" s="504">
        <v>13068.71</v>
      </c>
      <c r="H17" s="504">
        <v>0</v>
      </c>
      <c r="I17" s="549">
        <v>178567.47</v>
      </c>
      <c r="J17" s="504">
        <v>0</v>
      </c>
    </row>
    <row r="18" spans="1:10" s="499" customFormat="1" ht="14.25" customHeight="1" x14ac:dyDescent="0.2">
      <c r="A18" s="1008" t="s">
        <v>1099</v>
      </c>
      <c r="B18" s="860"/>
      <c r="C18" s="860"/>
      <c r="D18" s="860"/>
      <c r="E18" s="860"/>
      <c r="F18" s="860"/>
      <c r="G18" s="860"/>
      <c r="H18" s="860"/>
      <c r="I18" s="860"/>
      <c r="J18" s="860"/>
    </row>
    <row r="19" spans="1:10" s="499" customFormat="1" ht="13.5" customHeight="1" x14ac:dyDescent="0.2">
      <c r="A19" s="860" t="s">
        <v>484</v>
      </c>
      <c r="B19" s="860"/>
      <c r="C19" s="860"/>
      <c r="D19" s="860"/>
      <c r="E19" s="860"/>
      <c r="F19" s="860"/>
      <c r="G19" s="860"/>
      <c r="H19" s="860"/>
      <c r="I19" s="860"/>
      <c r="J19" s="860"/>
    </row>
    <row r="20" spans="1:10" s="499" customFormat="1" ht="27.6" customHeight="1" x14ac:dyDescent="0.2"/>
  </sheetData>
  <mergeCells count="10">
    <mergeCell ref="A4:J4"/>
    <mergeCell ref="A11:J11"/>
    <mergeCell ref="A18:J18"/>
    <mergeCell ref="A19:J19"/>
    <mergeCell ref="A2:A3"/>
    <mergeCell ref="B2:B3"/>
    <mergeCell ref="C2:D2"/>
    <mergeCell ref="E2:F2"/>
    <mergeCell ref="G2:H2"/>
    <mergeCell ref="I2:J2"/>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29"/>
  <sheetViews>
    <sheetView zoomScaleNormal="100" workbookViewId="0">
      <selection activeCell="N22" sqref="N22"/>
    </sheetView>
  </sheetViews>
  <sheetFormatPr defaultRowHeight="12.75" x14ac:dyDescent="0.2"/>
  <cols>
    <col min="1" max="1" width="9.140625" style="7" customWidth="1"/>
    <col min="2" max="2" width="18.5703125" style="7" customWidth="1"/>
    <col min="3" max="3" width="10.140625" style="7" bestFit="1" customWidth="1"/>
    <col min="4" max="4" width="11.42578125" style="7" customWidth="1"/>
    <col min="5" max="5" width="7.42578125" style="7" bestFit="1" customWidth="1"/>
    <col min="6" max="6" width="7.140625" style="7" bestFit="1" customWidth="1"/>
    <col min="7" max="7" width="8.7109375" style="7" bestFit="1" customWidth="1"/>
    <col min="8" max="8" width="10.42578125" style="7" customWidth="1"/>
    <col min="9" max="9" width="8.7109375" style="7" customWidth="1"/>
    <col min="10" max="10" width="6.7109375" style="7" bestFit="1" customWidth="1"/>
    <col min="11" max="11" width="10.140625" style="7" bestFit="1" customWidth="1"/>
    <col min="12" max="16384" width="9.140625" style="7"/>
  </cols>
  <sheetData>
    <row r="1" spans="1:16" ht="15.75" thickBot="1" x14ac:dyDescent="0.25">
      <c r="A1" s="6" t="s">
        <v>1027</v>
      </c>
      <c r="B1" s="6"/>
      <c r="C1" s="6"/>
      <c r="D1" s="6"/>
      <c r="E1" s="6"/>
      <c r="F1" s="6"/>
      <c r="G1" s="6"/>
      <c r="H1" s="6"/>
      <c r="I1" s="6"/>
      <c r="J1" s="6"/>
    </row>
    <row r="2" spans="1:16" ht="15" x14ac:dyDescent="0.2">
      <c r="A2" s="1034" t="s">
        <v>505</v>
      </c>
      <c r="B2" s="1036" t="s">
        <v>454</v>
      </c>
      <c r="C2" s="1038" t="s">
        <v>506</v>
      </c>
      <c r="D2" s="1038"/>
      <c r="E2" s="1038"/>
      <c r="F2" s="1038"/>
      <c r="G2" s="1038"/>
      <c r="H2" s="1038" t="s">
        <v>507</v>
      </c>
      <c r="I2" s="1038"/>
      <c r="J2" s="1038"/>
      <c r="K2" s="1039"/>
    </row>
    <row r="3" spans="1:16" ht="51.75" customHeight="1" x14ac:dyDescent="0.2">
      <c r="A3" s="1035"/>
      <c r="B3" s="1037"/>
      <c r="C3" s="470" t="s">
        <v>508</v>
      </c>
      <c r="D3" s="8" t="s">
        <v>509</v>
      </c>
      <c r="E3" s="470" t="s">
        <v>510</v>
      </c>
      <c r="F3" s="470" t="s">
        <v>598</v>
      </c>
      <c r="G3" s="8" t="s">
        <v>512</v>
      </c>
      <c r="H3" s="470" t="s">
        <v>508</v>
      </c>
      <c r="I3" s="8" t="s">
        <v>509</v>
      </c>
      <c r="J3" s="470" t="s">
        <v>510</v>
      </c>
      <c r="K3" s="9" t="s">
        <v>598</v>
      </c>
    </row>
    <row r="4" spans="1:16" x14ac:dyDescent="0.2">
      <c r="A4" s="1032" t="s">
        <v>514</v>
      </c>
      <c r="B4" s="10" t="s">
        <v>515</v>
      </c>
      <c r="C4" s="11">
        <v>22</v>
      </c>
      <c r="D4" s="11">
        <v>0</v>
      </c>
      <c r="E4" s="11">
        <v>0</v>
      </c>
      <c r="F4" s="11">
        <v>0</v>
      </c>
      <c r="G4" s="11">
        <v>0</v>
      </c>
      <c r="H4" s="11">
        <v>5</v>
      </c>
      <c r="I4" s="11">
        <v>0</v>
      </c>
      <c r="J4" s="11">
        <v>0</v>
      </c>
      <c r="K4" s="12">
        <v>0</v>
      </c>
      <c r="L4" s="13"/>
    </row>
    <row r="5" spans="1:16" x14ac:dyDescent="0.2">
      <c r="A5" s="1032"/>
      <c r="B5" s="10" t="s">
        <v>599</v>
      </c>
      <c r="C5" s="11">
        <v>20</v>
      </c>
      <c r="D5" s="11">
        <v>0</v>
      </c>
      <c r="E5" s="11">
        <v>0</v>
      </c>
      <c r="F5" s="11">
        <v>0</v>
      </c>
      <c r="G5" s="11">
        <v>0</v>
      </c>
      <c r="H5" s="11">
        <v>5</v>
      </c>
      <c r="I5" s="11">
        <v>0</v>
      </c>
      <c r="J5" s="11">
        <v>0</v>
      </c>
      <c r="K5" s="12">
        <v>0</v>
      </c>
      <c r="L5" s="13"/>
    </row>
    <row r="6" spans="1:16" x14ac:dyDescent="0.2">
      <c r="A6" s="1032"/>
      <c r="B6" s="10" t="s">
        <v>516</v>
      </c>
      <c r="C6" s="11">
        <v>15</v>
      </c>
      <c r="D6" s="11">
        <v>0</v>
      </c>
      <c r="E6" s="11">
        <v>0</v>
      </c>
      <c r="F6" s="11">
        <v>0</v>
      </c>
      <c r="G6" s="11">
        <v>0</v>
      </c>
      <c r="H6" s="11">
        <v>2</v>
      </c>
      <c r="I6" s="11">
        <v>0</v>
      </c>
      <c r="J6" s="11">
        <v>0</v>
      </c>
      <c r="K6" s="12">
        <v>0</v>
      </c>
      <c r="L6" s="13"/>
    </row>
    <row r="7" spans="1:16" x14ac:dyDescent="0.2">
      <c r="A7" s="1032" t="s">
        <v>517</v>
      </c>
      <c r="B7" s="10" t="s">
        <v>515</v>
      </c>
      <c r="C7" s="14">
        <v>9</v>
      </c>
      <c r="D7" s="14">
        <v>5</v>
      </c>
      <c r="E7" s="14">
        <v>3</v>
      </c>
      <c r="F7" s="14">
        <v>2</v>
      </c>
      <c r="G7" s="14">
        <v>0</v>
      </c>
      <c r="H7" s="14">
        <v>0</v>
      </c>
      <c r="I7" s="14">
        <v>2</v>
      </c>
      <c r="J7" s="14">
        <v>4</v>
      </c>
      <c r="K7" s="12">
        <v>1</v>
      </c>
    </row>
    <row r="8" spans="1:16" x14ac:dyDescent="0.2">
      <c r="A8" s="1032"/>
      <c r="B8" s="10" t="s">
        <v>599</v>
      </c>
      <c r="C8" s="14">
        <v>8</v>
      </c>
      <c r="D8" s="14">
        <v>5</v>
      </c>
      <c r="E8" s="14">
        <v>2</v>
      </c>
      <c r="F8" s="14">
        <v>2</v>
      </c>
      <c r="G8" s="14">
        <v>0</v>
      </c>
      <c r="H8" s="14">
        <v>0</v>
      </c>
      <c r="I8" s="14">
        <v>2</v>
      </c>
      <c r="J8" s="14">
        <v>2</v>
      </c>
      <c r="K8" s="12">
        <v>1</v>
      </c>
    </row>
    <row r="9" spans="1:16" x14ac:dyDescent="0.2">
      <c r="A9" s="1032"/>
      <c r="B9" s="10" t="s">
        <v>516</v>
      </c>
      <c r="C9" s="14">
        <v>5</v>
      </c>
      <c r="D9" s="14">
        <v>5</v>
      </c>
      <c r="E9" s="14">
        <v>2</v>
      </c>
      <c r="F9" s="14">
        <v>2</v>
      </c>
      <c r="G9" s="14">
        <v>0</v>
      </c>
      <c r="H9" s="14">
        <v>0</v>
      </c>
      <c r="I9" s="14">
        <v>2</v>
      </c>
      <c r="J9" s="14">
        <v>2</v>
      </c>
      <c r="K9" s="12">
        <v>1</v>
      </c>
    </row>
    <row r="10" spans="1:16" x14ac:dyDescent="0.2">
      <c r="A10" s="1032" t="s">
        <v>600</v>
      </c>
      <c r="B10" s="10" t="s">
        <v>515</v>
      </c>
      <c r="C10" s="14">
        <v>10</v>
      </c>
      <c r="D10" s="14">
        <v>1</v>
      </c>
      <c r="E10" s="14">
        <v>0</v>
      </c>
      <c r="F10" s="14">
        <v>0</v>
      </c>
      <c r="G10" s="11">
        <v>1</v>
      </c>
      <c r="H10" s="14">
        <v>0</v>
      </c>
      <c r="I10" s="14">
        <v>0</v>
      </c>
      <c r="J10" s="14">
        <v>0</v>
      </c>
      <c r="K10" s="15">
        <v>0</v>
      </c>
      <c r="M10" s="7" t="s">
        <v>601</v>
      </c>
    </row>
    <row r="11" spans="1:16" x14ac:dyDescent="0.2">
      <c r="A11" s="1032"/>
      <c r="B11" s="10" t="s">
        <v>599</v>
      </c>
      <c r="C11" s="14">
        <v>10</v>
      </c>
      <c r="D11" s="14">
        <v>1</v>
      </c>
      <c r="E11" s="14">
        <v>0</v>
      </c>
      <c r="F11" s="14">
        <v>0</v>
      </c>
      <c r="G11" s="11">
        <v>1</v>
      </c>
      <c r="H11" s="14">
        <v>0</v>
      </c>
      <c r="I11" s="14">
        <v>0</v>
      </c>
      <c r="J11" s="14">
        <v>0</v>
      </c>
      <c r="K11" s="15">
        <v>0</v>
      </c>
    </row>
    <row r="12" spans="1:16" x14ac:dyDescent="0.2">
      <c r="A12" s="1032"/>
      <c r="B12" s="10" t="s">
        <v>516</v>
      </c>
      <c r="C12" s="14">
        <v>1</v>
      </c>
      <c r="D12" s="14">
        <v>1</v>
      </c>
      <c r="E12" s="14">
        <v>0</v>
      </c>
      <c r="F12" s="14">
        <v>0</v>
      </c>
      <c r="G12" s="14">
        <v>1</v>
      </c>
      <c r="H12" s="14">
        <v>0</v>
      </c>
      <c r="I12" s="14">
        <v>0</v>
      </c>
      <c r="J12" s="14">
        <v>0</v>
      </c>
      <c r="K12" s="12">
        <v>0</v>
      </c>
    </row>
    <row r="13" spans="1:16" x14ac:dyDescent="0.2">
      <c r="A13" s="1032" t="s">
        <v>116</v>
      </c>
      <c r="B13" s="10" t="s">
        <v>515</v>
      </c>
      <c r="C13" s="14">
        <v>8</v>
      </c>
      <c r="D13" s="14">
        <v>3</v>
      </c>
      <c r="E13" s="14">
        <v>2</v>
      </c>
      <c r="F13" s="14">
        <v>2</v>
      </c>
      <c r="G13" s="14">
        <v>0</v>
      </c>
      <c r="H13" s="14">
        <v>0</v>
      </c>
      <c r="I13" s="14">
        <v>0</v>
      </c>
      <c r="J13" s="14">
        <v>2</v>
      </c>
      <c r="K13" s="12">
        <v>0</v>
      </c>
      <c r="P13" s="7" t="s">
        <v>601</v>
      </c>
    </row>
    <row r="14" spans="1:16" ht="15" customHeight="1" x14ac:dyDescent="0.2">
      <c r="A14" s="1032"/>
      <c r="B14" s="10" t="s">
        <v>599</v>
      </c>
      <c r="C14" s="14">
        <v>8</v>
      </c>
      <c r="D14" s="14">
        <v>3</v>
      </c>
      <c r="E14" s="14">
        <v>2</v>
      </c>
      <c r="F14" s="14">
        <v>2</v>
      </c>
      <c r="G14" s="14">
        <v>0</v>
      </c>
      <c r="H14" s="14">
        <v>0</v>
      </c>
      <c r="I14" s="14">
        <v>0</v>
      </c>
      <c r="J14" s="14">
        <v>2</v>
      </c>
      <c r="K14" s="12">
        <v>0</v>
      </c>
    </row>
    <row r="15" spans="1:16" ht="15.75" customHeight="1" x14ac:dyDescent="0.2">
      <c r="A15" s="1032"/>
      <c r="B15" s="10" t="s">
        <v>516</v>
      </c>
      <c r="C15" s="14">
        <v>4</v>
      </c>
      <c r="D15" s="14">
        <v>0</v>
      </c>
      <c r="E15" s="14">
        <v>2</v>
      </c>
      <c r="F15" s="14">
        <v>0</v>
      </c>
      <c r="G15" s="14">
        <v>0</v>
      </c>
      <c r="H15" s="14">
        <v>0</v>
      </c>
      <c r="I15" s="14">
        <v>0</v>
      </c>
      <c r="J15" s="14">
        <v>2</v>
      </c>
      <c r="K15" s="12">
        <v>0</v>
      </c>
      <c r="N15" s="7" t="s">
        <v>601</v>
      </c>
    </row>
    <row r="16" spans="1:16" ht="15.75" customHeight="1" x14ac:dyDescent="0.2">
      <c r="A16" s="1032" t="s">
        <v>117</v>
      </c>
      <c r="B16" s="10" t="s">
        <v>515</v>
      </c>
      <c r="C16" s="14">
        <v>1</v>
      </c>
      <c r="D16" s="14">
        <v>1</v>
      </c>
      <c r="E16" s="14" t="s">
        <v>602</v>
      </c>
      <c r="F16" s="14">
        <v>1</v>
      </c>
      <c r="G16" s="14">
        <v>0</v>
      </c>
      <c r="H16" s="14">
        <v>0</v>
      </c>
      <c r="I16" s="688">
        <v>1</v>
      </c>
      <c r="J16" s="14">
        <v>2</v>
      </c>
      <c r="K16" s="14">
        <v>0</v>
      </c>
    </row>
    <row r="17" spans="1:13" ht="15.75" customHeight="1" x14ac:dyDescent="0.2">
      <c r="A17" s="1032"/>
      <c r="B17" s="10" t="s">
        <v>599</v>
      </c>
      <c r="C17" s="14">
        <v>0</v>
      </c>
      <c r="D17" s="14">
        <v>0</v>
      </c>
      <c r="E17" s="14" t="s">
        <v>602</v>
      </c>
      <c r="F17" s="14">
        <v>1</v>
      </c>
      <c r="G17" s="14">
        <v>0</v>
      </c>
      <c r="H17" s="14">
        <v>0</v>
      </c>
      <c r="I17" s="688">
        <v>0</v>
      </c>
      <c r="J17" s="14">
        <v>1</v>
      </c>
      <c r="K17" s="14">
        <v>0</v>
      </c>
    </row>
    <row r="18" spans="1:13" ht="15.75" customHeight="1" thickBot="1" x14ac:dyDescent="0.25">
      <c r="A18" s="1033"/>
      <c r="B18" s="689" t="s">
        <v>516</v>
      </c>
      <c r="C18" s="16">
        <v>0</v>
      </c>
      <c r="D18" s="16">
        <v>0</v>
      </c>
      <c r="E18" s="16">
        <v>1</v>
      </c>
      <c r="F18" s="16">
        <v>0</v>
      </c>
      <c r="G18" s="16">
        <v>0</v>
      </c>
      <c r="H18" s="16">
        <v>0</v>
      </c>
      <c r="I18" s="690">
        <v>0</v>
      </c>
      <c r="J18" s="16">
        <v>1</v>
      </c>
      <c r="K18" s="16">
        <v>0</v>
      </c>
    </row>
    <row r="19" spans="1:13" ht="15" customHeight="1" x14ac:dyDescent="0.2">
      <c r="A19" s="17" t="s">
        <v>603</v>
      </c>
      <c r="B19" s="18"/>
      <c r="C19" s="18"/>
      <c r="D19" s="18"/>
      <c r="E19" s="19"/>
      <c r="F19" s="19"/>
      <c r="G19" s="19"/>
      <c r="H19" s="19"/>
      <c r="I19" s="19"/>
      <c r="J19" s="19"/>
      <c r="M19" s="7" t="s">
        <v>601</v>
      </c>
    </row>
    <row r="20" spans="1:13" ht="15" customHeight="1" x14ac:dyDescent="0.2">
      <c r="B20" s="19"/>
      <c r="C20" s="19"/>
      <c r="D20" s="19"/>
      <c r="E20" s="19"/>
      <c r="F20" s="19"/>
      <c r="G20" s="19"/>
      <c r="H20" s="19"/>
      <c r="I20" s="19"/>
      <c r="J20" s="19"/>
    </row>
    <row r="29" spans="1:13" x14ac:dyDescent="0.2">
      <c r="E29" s="7" t="s">
        <v>601</v>
      </c>
    </row>
  </sheetData>
  <mergeCells count="9">
    <mergeCell ref="A16:A18"/>
    <mergeCell ref="A2:A3"/>
    <mergeCell ref="B2:B3"/>
    <mergeCell ref="C2:G2"/>
    <mergeCell ref="H2:K2"/>
    <mergeCell ref="A4:A6"/>
    <mergeCell ref="A7:A9"/>
    <mergeCell ref="A10:A12"/>
    <mergeCell ref="A13:A15"/>
  </mergeCells>
  <pageMargins left="0.78431372549019618" right="0.78431372549019618" top="0.98039215686274517" bottom="0.98039215686274517" header="0.50980392156862753" footer="0.50980392156862753"/>
  <pageSetup paperSize="9" orientation="portrait" useFirstPageNumber="1" r:id="rId1"/>
  <headerFooter alignWithMargins="0"/>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20"/>
  <sheetViews>
    <sheetView zoomScaleNormal="100" workbookViewId="0">
      <selection activeCell="M14" sqref="M14"/>
    </sheetView>
  </sheetViews>
  <sheetFormatPr defaultRowHeight="12.75" x14ac:dyDescent="0.2"/>
  <cols>
    <col min="1" max="1" width="15.7109375" style="7" customWidth="1"/>
    <col min="2" max="2" width="9" style="7" customWidth="1"/>
    <col min="3" max="5" width="10" style="7" customWidth="1"/>
    <col min="6" max="16384" width="9.140625" style="7"/>
  </cols>
  <sheetData>
    <row r="1" spans="1:11" s="691" customFormat="1" ht="15" customHeight="1" thickBot="1" x14ac:dyDescent="0.3">
      <c r="A1" s="1046" t="s">
        <v>949</v>
      </c>
      <c r="B1" s="1046"/>
      <c r="C1" s="1046"/>
      <c r="D1" s="1046"/>
      <c r="E1" s="1046"/>
      <c r="F1" s="1046"/>
      <c r="G1" s="1046"/>
      <c r="H1" s="1046"/>
      <c r="I1" s="1046"/>
    </row>
    <row r="2" spans="1:11" ht="16.5" customHeight="1" x14ac:dyDescent="0.2">
      <c r="A2" s="1041" t="s">
        <v>448</v>
      </c>
      <c r="B2" s="1043" t="s">
        <v>604</v>
      </c>
      <c r="C2" s="1044"/>
      <c r="D2" s="1044"/>
      <c r="E2" s="1045"/>
      <c r="F2" s="1043" t="s">
        <v>605</v>
      </c>
      <c r="G2" s="1044"/>
      <c r="H2" s="1044"/>
      <c r="I2" s="1045"/>
    </row>
    <row r="3" spans="1:11" ht="15.75" customHeight="1" x14ac:dyDescent="0.2">
      <c r="A3" s="1042"/>
      <c r="B3" s="692" t="s">
        <v>447</v>
      </c>
      <c r="C3" s="693" t="s">
        <v>149</v>
      </c>
      <c r="D3" s="693" t="s">
        <v>150</v>
      </c>
      <c r="E3" s="694" t="s">
        <v>151</v>
      </c>
      <c r="F3" s="692" t="s">
        <v>447</v>
      </c>
      <c r="G3" s="693" t="s">
        <v>149</v>
      </c>
      <c r="H3" s="693" t="s">
        <v>150</v>
      </c>
      <c r="I3" s="694" t="s">
        <v>151</v>
      </c>
    </row>
    <row r="4" spans="1:11" s="19" customFormat="1" ht="28.5" customHeight="1" x14ac:dyDescent="0.2">
      <c r="A4" s="695" t="s">
        <v>606</v>
      </c>
      <c r="B4" s="20">
        <v>3742.4</v>
      </c>
      <c r="C4" s="20">
        <v>4094.95</v>
      </c>
      <c r="D4" s="20">
        <v>3508.49</v>
      </c>
      <c r="E4" s="20">
        <v>3758.4</v>
      </c>
      <c r="F4" s="20">
        <v>3450.3</v>
      </c>
      <c r="G4" s="20">
        <v>3674</v>
      </c>
      <c r="H4" s="20">
        <v>2841.01</v>
      </c>
      <c r="I4" s="20">
        <v>3179.85</v>
      </c>
      <c r="J4" s="696"/>
      <c r="K4" s="697"/>
    </row>
    <row r="5" spans="1:11" s="19" customFormat="1" ht="24" customHeight="1" x14ac:dyDescent="0.2">
      <c r="A5" s="695" t="s">
        <v>607</v>
      </c>
      <c r="B5" s="21">
        <v>10576</v>
      </c>
      <c r="C5" s="21">
        <v>10951</v>
      </c>
      <c r="D5" s="21">
        <v>7662.5</v>
      </c>
      <c r="E5" s="21">
        <v>8255.52</v>
      </c>
      <c r="F5" s="698"/>
      <c r="G5" s="698"/>
      <c r="H5" s="698"/>
      <c r="I5" s="698"/>
    </row>
    <row r="6" spans="1:11" s="19" customFormat="1" ht="17.25" customHeight="1" x14ac:dyDescent="0.2">
      <c r="A6" s="695" t="s">
        <v>608</v>
      </c>
      <c r="B6" s="21">
        <v>8252.44</v>
      </c>
      <c r="C6" s="21">
        <v>9102.58</v>
      </c>
      <c r="D6" s="21">
        <v>7866.92</v>
      </c>
      <c r="E6" s="21">
        <f>E9</f>
        <v>9089.06</v>
      </c>
      <c r="F6" s="21">
        <v>3176.19</v>
      </c>
      <c r="G6" s="21">
        <v>3343.94</v>
      </c>
      <c r="H6" s="21">
        <v>3027.91</v>
      </c>
      <c r="I6" s="21">
        <f>I9</f>
        <v>3238.66</v>
      </c>
    </row>
    <row r="7" spans="1:11" x14ac:dyDescent="0.2">
      <c r="A7" s="30">
        <v>43922</v>
      </c>
      <c r="B7" s="23">
        <v>8252.44</v>
      </c>
      <c r="C7" s="23">
        <v>8848.23</v>
      </c>
      <c r="D7" s="23">
        <v>7866.92</v>
      </c>
      <c r="E7" s="23">
        <v>8007.17</v>
      </c>
      <c r="F7" s="23">
        <v>3176.19</v>
      </c>
      <c r="G7" s="23">
        <v>3266.84</v>
      </c>
      <c r="H7" s="23">
        <v>3027.91</v>
      </c>
      <c r="I7" s="23">
        <v>3173.55</v>
      </c>
    </row>
    <row r="8" spans="1:11" x14ac:dyDescent="0.2">
      <c r="A8" s="30">
        <v>43953</v>
      </c>
      <c r="B8" s="23">
        <v>8008.34</v>
      </c>
      <c r="C8" s="23">
        <v>8720.91</v>
      </c>
      <c r="D8" s="23">
        <v>7994.73</v>
      </c>
      <c r="E8" s="23">
        <v>8705.89</v>
      </c>
      <c r="F8" s="23">
        <v>3173.55</v>
      </c>
      <c r="G8" s="23">
        <v>3233.2</v>
      </c>
      <c r="H8" s="23">
        <v>3121.31</v>
      </c>
      <c r="I8" s="23">
        <v>3188.11</v>
      </c>
    </row>
    <row r="9" spans="1:11" x14ac:dyDescent="0.2">
      <c r="A9" s="30">
        <v>43985</v>
      </c>
      <c r="B9" s="23">
        <v>8707.2099999999991</v>
      </c>
      <c r="C9" s="23">
        <v>9102.58</v>
      </c>
      <c r="D9" s="23">
        <v>8664.18</v>
      </c>
      <c r="E9" s="23">
        <v>9089.06</v>
      </c>
      <c r="F9" s="23">
        <v>3188.11</v>
      </c>
      <c r="G9" s="23">
        <v>3343.94</v>
      </c>
      <c r="H9" s="23">
        <v>3187.68</v>
      </c>
      <c r="I9" s="23">
        <v>3238.66</v>
      </c>
    </row>
    <row r="10" spans="1:11" x14ac:dyDescent="0.2">
      <c r="B10" s="19"/>
      <c r="C10" s="19"/>
      <c r="D10" s="699"/>
      <c r="E10" s="699"/>
      <c r="F10" s="24"/>
      <c r="G10" s="24"/>
      <c r="H10" s="24"/>
      <c r="I10" s="24"/>
    </row>
    <row r="11" spans="1:11" ht="29.25" customHeight="1" x14ac:dyDescent="0.2">
      <c r="A11" s="1040" t="s">
        <v>1100</v>
      </c>
      <c r="B11" s="1040"/>
      <c r="C11" s="1040"/>
      <c r="D11" s="1040"/>
      <c r="E11" s="1040"/>
      <c r="F11" s="1040"/>
      <c r="G11" s="1040"/>
      <c r="H11" s="1040"/>
      <c r="I11" s="1040"/>
    </row>
    <row r="12" spans="1:11" ht="12.75" hidden="1" customHeight="1" x14ac:dyDescent="0.2">
      <c r="A12" s="1040"/>
      <c r="B12" s="1040"/>
      <c r="C12" s="1040"/>
      <c r="D12" s="1040"/>
      <c r="E12" s="1040"/>
      <c r="F12" s="1040"/>
      <c r="G12" s="1040"/>
      <c r="H12" s="1040"/>
      <c r="I12" s="1040"/>
    </row>
    <row r="13" spans="1:11" x14ac:dyDescent="0.2">
      <c r="A13" s="1040" t="s">
        <v>609</v>
      </c>
      <c r="B13" s="1040"/>
      <c r="C13" s="1040"/>
      <c r="D13" s="1040"/>
      <c r="E13" s="1040"/>
      <c r="F13" s="1040"/>
      <c r="G13" s="1040"/>
      <c r="H13" s="1040"/>
      <c r="I13" s="1040"/>
    </row>
    <row r="14" spans="1:11" x14ac:dyDescent="0.2">
      <c r="A14" s="1040"/>
      <c r="B14" s="1040"/>
      <c r="C14" s="1040"/>
      <c r="D14" s="1040"/>
      <c r="E14" s="1040"/>
      <c r="F14" s="1040"/>
      <c r="G14" s="1040"/>
      <c r="H14" s="1040"/>
      <c r="I14" s="1040"/>
    </row>
    <row r="15" spans="1:11" x14ac:dyDescent="0.2">
      <c r="A15" s="7" t="str">
        <f>'[1]1'!A8</f>
        <v>$ indicates as on June 30, 2020</v>
      </c>
      <c r="B15" s="477"/>
      <c r="C15" s="477"/>
      <c r="D15" s="477"/>
      <c r="E15" s="477"/>
      <c r="F15" s="477"/>
      <c r="G15" s="477"/>
      <c r="H15" s="477"/>
      <c r="I15" s="477"/>
    </row>
    <row r="16" spans="1:11" s="19" customFormat="1" ht="15.75" customHeight="1" x14ac:dyDescent="0.2">
      <c r="A16" s="18" t="s">
        <v>518</v>
      </c>
      <c r="B16" s="700"/>
      <c r="C16" s="700"/>
      <c r="D16" s="24"/>
      <c r="E16" s="24" t="s">
        <v>601</v>
      </c>
      <c r="F16" s="24"/>
      <c r="G16" s="24"/>
      <c r="H16" s="24" t="s">
        <v>601</v>
      </c>
      <c r="I16" s="24"/>
    </row>
    <row r="17" spans="1:9" s="19" customFormat="1" x14ac:dyDescent="0.2">
      <c r="A17" s="24"/>
      <c r="B17" s="26"/>
      <c r="C17" s="24"/>
      <c r="D17" s="24"/>
      <c r="E17" s="24"/>
      <c r="F17" s="24"/>
      <c r="G17" s="24"/>
      <c r="H17" s="24"/>
      <c r="I17" s="24"/>
    </row>
    <row r="20" spans="1:9" x14ac:dyDescent="0.2">
      <c r="G20" s="7" t="s">
        <v>601</v>
      </c>
    </row>
  </sheetData>
  <mergeCells count="6">
    <mergeCell ref="A13:I14"/>
    <mergeCell ref="A2:A3"/>
    <mergeCell ref="B2:E2"/>
    <mergeCell ref="F2:I2"/>
    <mergeCell ref="A1:I1"/>
    <mergeCell ref="A11:I12"/>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44"/>
  <sheetViews>
    <sheetView zoomScaleNormal="100" workbookViewId="0">
      <selection activeCell="Q22" sqref="Q22"/>
    </sheetView>
  </sheetViews>
  <sheetFormatPr defaultRowHeight="12.75" x14ac:dyDescent="0.2"/>
  <cols>
    <col min="1" max="1" width="9.140625" style="7" customWidth="1"/>
    <col min="2" max="2" width="7.140625" style="7" customWidth="1"/>
    <col min="3" max="3" width="11.28515625" style="7" bestFit="1" customWidth="1"/>
    <col min="4" max="5" width="10" style="7" customWidth="1"/>
    <col min="6" max="6" width="9.5703125" style="7" customWidth="1"/>
    <col min="7" max="7" width="11.140625" style="7" customWidth="1"/>
    <col min="8" max="8" width="10.7109375" style="7" customWidth="1"/>
    <col min="9" max="9" width="9.5703125" style="7" customWidth="1"/>
    <col min="10" max="10" width="12.5703125" style="7" customWidth="1"/>
    <col min="11" max="11" width="8.85546875" style="7" customWidth="1"/>
    <col min="12" max="12" width="11.140625" style="7" customWidth="1"/>
    <col min="13" max="13" width="10.140625" style="7" customWidth="1"/>
    <col min="14" max="14" width="10.42578125" style="7" customWidth="1"/>
    <col min="15" max="15" width="10.42578125" style="709" customWidth="1"/>
    <col min="16" max="16" width="12.42578125" style="7" bestFit="1" customWidth="1"/>
    <col min="17" max="17" width="8.5703125" style="7" customWidth="1"/>
    <col min="18" max="18" width="9.140625" style="7"/>
    <col min="19" max="19" width="8.140625" style="7" bestFit="1" customWidth="1"/>
    <col min="20" max="16384" width="9.140625" style="7"/>
  </cols>
  <sheetData>
    <row r="1" spans="1:18" s="691" customFormat="1" ht="15" x14ac:dyDescent="0.25">
      <c r="A1" s="1056" t="s">
        <v>1030</v>
      </c>
      <c r="B1" s="1056"/>
      <c r="C1" s="1056"/>
      <c r="D1" s="1056"/>
      <c r="E1" s="1056"/>
      <c r="F1" s="1056"/>
      <c r="G1" s="1056"/>
      <c r="H1" s="1056"/>
      <c r="I1" s="1056"/>
      <c r="J1" s="1056"/>
      <c r="K1" s="1056"/>
      <c r="L1" s="1056"/>
      <c r="M1" s="1056"/>
      <c r="N1" s="1056"/>
      <c r="O1" s="1056"/>
      <c r="P1" s="1056"/>
      <c r="Q1" s="1056"/>
      <c r="R1" s="7"/>
    </row>
    <row r="2" spans="1:18" s="691" customFormat="1" ht="15" x14ac:dyDescent="0.25">
      <c r="A2" s="1057" t="s">
        <v>506</v>
      </c>
      <c r="B2" s="1057"/>
      <c r="C2" s="1057"/>
      <c r="D2" s="1057"/>
      <c r="E2" s="1057"/>
      <c r="F2" s="1057"/>
      <c r="G2" s="1057"/>
      <c r="H2" s="1057"/>
      <c r="I2" s="1057"/>
      <c r="J2" s="1057"/>
      <c r="K2" s="1057"/>
      <c r="L2" s="1057"/>
      <c r="M2" s="1057"/>
      <c r="N2" s="1057"/>
      <c r="O2" s="1057"/>
      <c r="P2" s="1057"/>
      <c r="Q2" s="1057"/>
      <c r="R2" s="1057"/>
    </row>
    <row r="3" spans="1:18" s="701" customFormat="1" ht="27.75" customHeight="1" x14ac:dyDescent="0.2">
      <c r="A3" s="1050" t="s">
        <v>448</v>
      </c>
      <c r="B3" s="1050" t="s">
        <v>523</v>
      </c>
      <c r="C3" s="1060" t="s">
        <v>508</v>
      </c>
      <c r="D3" s="1061"/>
      <c r="E3" s="1062"/>
      <c r="F3" s="1049" t="s">
        <v>519</v>
      </c>
      <c r="G3" s="1049"/>
      <c r="H3" s="1049"/>
      <c r="I3" s="1049" t="s">
        <v>513</v>
      </c>
      <c r="J3" s="1049"/>
      <c r="K3" s="1049"/>
      <c r="L3" s="1049" t="s">
        <v>511</v>
      </c>
      <c r="M3" s="1049"/>
      <c r="N3" s="1049"/>
      <c r="O3" s="1058" t="s">
        <v>67</v>
      </c>
      <c r="P3" s="1059"/>
      <c r="Q3" s="1049" t="s">
        <v>526</v>
      </c>
      <c r="R3" s="1049"/>
    </row>
    <row r="4" spans="1:18" s="701" customFormat="1" ht="38.25" customHeight="1" x14ac:dyDescent="0.2">
      <c r="A4" s="1051"/>
      <c r="B4" s="1051"/>
      <c r="C4" s="702" t="s">
        <v>520</v>
      </c>
      <c r="D4" s="702" t="s">
        <v>525</v>
      </c>
      <c r="E4" s="703" t="s">
        <v>1066</v>
      </c>
      <c r="F4" s="702" t="s">
        <v>520</v>
      </c>
      <c r="G4" s="702" t="s">
        <v>525</v>
      </c>
      <c r="H4" s="702" t="s">
        <v>1066</v>
      </c>
      <c r="I4" s="702" t="s">
        <v>520</v>
      </c>
      <c r="J4" s="702" t="s">
        <v>525</v>
      </c>
      <c r="K4" s="702" t="s">
        <v>1066</v>
      </c>
      <c r="L4" s="702" t="s">
        <v>610</v>
      </c>
      <c r="M4" s="702" t="s">
        <v>525</v>
      </c>
      <c r="N4" s="702" t="s">
        <v>1066</v>
      </c>
      <c r="O4" s="702" t="s">
        <v>525</v>
      </c>
      <c r="P4" s="702" t="s">
        <v>1066</v>
      </c>
      <c r="Q4" s="702" t="s">
        <v>525</v>
      </c>
      <c r="R4" s="8" t="s">
        <v>1067</v>
      </c>
    </row>
    <row r="5" spans="1:18" s="19" customFormat="1" x14ac:dyDescent="0.2">
      <c r="A5" s="28" t="s">
        <v>73</v>
      </c>
      <c r="B5" s="29">
        <v>259</v>
      </c>
      <c r="C5" s="29">
        <v>11353.453030000001</v>
      </c>
      <c r="D5" s="29">
        <v>1789350</v>
      </c>
      <c r="E5" s="29">
        <v>100919.4925252</v>
      </c>
      <c r="F5" s="29">
        <v>54812.698150000004</v>
      </c>
      <c r="G5" s="29">
        <v>37596650</v>
      </c>
      <c r="H5" s="29">
        <v>1568294.4711345003</v>
      </c>
      <c r="I5" s="29">
        <v>267.94053898599998</v>
      </c>
      <c r="J5" s="29">
        <v>50829084</v>
      </c>
      <c r="K5" s="29">
        <v>2915533.5630957996</v>
      </c>
      <c r="L5" s="29">
        <v>1188816.1945911769</v>
      </c>
      <c r="M5" s="29">
        <v>205480778</v>
      </c>
      <c r="N5" s="29">
        <v>3813027.4302929998</v>
      </c>
      <c r="O5" s="29">
        <v>295695862</v>
      </c>
      <c r="P5" s="29">
        <v>8397774.9570485</v>
      </c>
      <c r="Q5" s="29">
        <v>148505</v>
      </c>
      <c r="R5" s="29">
        <v>11002.5757954</v>
      </c>
    </row>
    <row r="6" spans="1:18" s="19" customFormat="1" x14ac:dyDescent="0.2">
      <c r="A6" s="28" t="s">
        <v>76</v>
      </c>
      <c r="B6" s="29">
        <f>SUM(B7:B9)</f>
        <v>61</v>
      </c>
      <c r="C6" s="29">
        <f t="shared" ref="C6:O6" si="0">SUM(C7:C9)</f>
        <v>2013.3477400000002</v>
      </c>
      <c r="D6" s="29">
        <f t="shared" si="0"/>
        <v>247871</v>
      </c>
      <c r="E6" s="29">
        <f t="shared" si="0"/>
        <v>14145.832338200002</v>
      </c>
      <c r="F6" s="29">
        <f t="shared" si="0"/>
        <v>6934.0995000000003</v>
      </c>
      <c r="G6" s="29">
        <f t="shared" si="0"/>
        <v>3662337</v>
      </c>
      <c r="H6" s="29">
        <f t="shared" si="0"/>
        <v>237781.79430249997</v>
      </c>
      <c r="I6" s="29">
        <f t="shared" si="0"/>
        <v>77.219064269</v>
      </c>
      <c r="J6" s="29">
        <f t="shared" si="0"/>
        <v>19918092</v>
      </c>
      <c r="K6" s="29">
        <f t="shared" si="0"/>
        <v>804760.34056579997</v>
      </c>
      <c r="L6" s="29">
        <f t="shared" si="0"/>
        <v>132625.9227962</v>
      </c>
      <c r="M6" s="29">
        <f t="shared" si="0"/>
        <v>18656962</v>
      </c>
      <c r="N6" s="29">
        <f t="shared" si="0"/>
        <v>354151.48054000002</v>
      </c>
      <c r="O6" s="29">
        <f t="shared" si="0"/>
        <v>42485262</v>
      </c>
      <c r="P6" s="29">
        <f>SUM(P7:P9)</f>
        <v>1410839.4477464999</v>
      </c>
      <c r="Q6" s="29">
        <f>Q9</f>
        <v>152305</v>
      </c>
      <c r="R6" s="29">
        <f>R9</f>
        <v>14749.869857399999</v>
      </c>
    </row>
    <row r="7" spans="1:18" s="19" customFormat="1" x14ac:dyDescent="0.2">
      <c r="A7" s="30">
        <v>43922</v>
      </c>
      <c r="B7" s="40">
        <v>18</v>
      </c>
      <c r="C7" s="40">
        <v>517.98455999999999</v>
      </c>
      <c r="D7" s="40">
        <v>66294</v>
      </c>
      <c r="E7" s="282">
        <v>3671.8557304000001</v>
      </c>
      <c r="F7" s="40">
        <v>1396.8564999999999</v>
      </c>
      <c r="G7" s="40">
        <v>1107524</v>
      </c>
      <c r="H7" s="40">
        <v>43536.21014749998</v>
      </c>
      <c r="I7" s="40">
        <v>12.250992582999997</v>
      </c>
      <c r="J7" s="40">
        <v>3589671</v>
      </c>
      <c r="K7" s="40">
        <v>143017.30427060003</v>
      </c>
      <c r="L7" s="40">
        <v>54865.717030205</v>
      </c>
      <c r="M7" s="40">
        <v>5858278</v>
      </c>
      <c r="N7" s="40">
        <v>91621.074682499981</v>
      </c>
      <c r="O7" s="40">
        <v>10621767</v>
      </c>
      <c r="P7" s="40">
        <v>281846.444831</v>
      </c>
      <c r="Q7" s="40">
        <v>122686</v>
      </c>
      <c r="R7" s="40">
        <v>11614.037363900001</v>
      </c>
    </row>
    <row r="8" spans="1:18" s="19" customFormat="1" x14ac:dyDescent="0.2">
      <c r="A8" s="30">
        <v>43953</v>
      </c>
      <c r="B8" s="40">
        <v>21</v>
      </c>
      <c r="C8" s="40">
        <v>617.41380000000015</v>
      </c>
      <c r="D8" s="40">
        <v>76863</v>
      </c>
      <c r="E8" s="282">
        <v>4106.3184176000004</v>
      </c>
      <c r="F8" s="40">
        <v>2275.9254999999998</v>
      </c>
      <c r="G8" s="40">
        <v>1497418</v>
      </c>
      <c r="H8" s="40">
        <v>79117.77099249998</v>
      </c>
      <c r="I8" s="40">
        <v>27.946811002000004</v>
      </c>
      <c r="J8" s="40">
        <v>7175006</v>
      </c>
      <c r="K8" s="40">
        <v>296836.62684469996</v>
      </c>
      <c r="L8" s="40">
        <v>37857.340248795001</v>
      </c>
      <c r="M8" s="40">
        <v>6228088</v>
      </c>
      <c r="N8" s="40">
        <v>118996.56378499998</v>
      </c>
      <c r="O8" s="40">
        <v>14977375</v>
      </c>
      <c r="P8" s="40">
        <v>499057.28003979998</v>
      </c>
      <c r="Q8" s="40">
        <v>135281</v>
      </c>
      <c r="R8" s="40">
        <v>14295.7603913</v>
      </c>
    </row>
    <row r="9" spans="1:18" s="704" customFormat="1" x14ac:dyDescent="0.2">
      <c r="A9" s="30">
        <v>43985</v>
      </c>
      <c r="B9" s="40">
        <v>22</v>
      </c>
      <c r="C9" s="40">
        <v>877.94938000000013</v>
      </c>
      <c r="D9" s="40">
        <v>104714</v>
      </c>
      <c r="E9" s="282">
        <v>6367.6581902000007</v>
      </c>
      <c r="F9" s="40">
        <v>3261.317500000001</v>
      </c>
      <c r="G9" s="40">
        <v>1057395</v>
      </c>
      <c r="H9" s="40">
        <v>115127.8131625</v>
      </c>
      <c r="I9" s="40">
        <v>37.021260684000005</v>
      </c>
      <c r="J9" s="40">
        <v>9153415</v>
      </c>
      <c r="K9" s="40">
        <v>364906.40945049998</v>
      </c>
      <c r="L9" s="40">
        <v>39902.8655172</v>
      </c>
      <c r="M9" s="40">
        <v>6570596</v>
      </c>
      <c r="N9" s="40">
        <v>143533.84207250003</v>
      </c>
      <c r="O9" s="40">
        <v>16886120</v>
      </c>
      <c r="P9" s="40">
        <v>629935.72287569998</v>
      </c>
      <c r="Q9" s="40">
        <v>152305</v>
      </c>
      <c r="R9" s="40">
        <v>14749.869857399999</v>
      </c>
    </row>
    <row r="10" spans="1:18" s="704" customFormat="1" x14ac:dyDescent="0.2">
      <c r="A10" s="32"/>
      <c r="B10" s="33"/>
      <c r="C10" s="33"/>
      <c r="D10" s="33"/>
      <c r="E10" s="33"/>
      <c r="F10" s="33"/>
      <c r="G10" s="33"/>
      <c r="H10" s="33"/>
      <c r="I10" s="33"/>
      <c r="J10" s="33"/>
      <c r="K10" s="33"/>
      <c r="L10" s="33"/>
      <c r="M10" s="33"/>
      <c r="N10" s="33"/>
      <c r="O10" s="33"/>
      <c r="P10" s="33"/>
      <c r="Q10" s="33"/>
      <c r="R10" s="33"/>
    </row>
    <row r="11" spans="1:18" x14ac:dyDescent="0.2">
      <c r="A11" s="1055" t="s">
        <v>507</v>
      </c>
      <c r="B11" s="1055"/>
      <c r="C11" s="1055"/>
      <c r="D11" s="1055"/>
      <c r="E11" s="1055"/>
      <c r="F11" s="1055"/>
      <c r="G11" s="1055"/>
      <c r="H11" s="1055"/>
      <c r="I11" s="1055"/>
      <c r="J11" s="1055"/>
      <c r="K11" s="1055"/>
      <c r="L11" s="1055"/>
      <c r="M11" s="1055"/>
      <c r="N11" s="1055"/>
      <c r="O11" s="1055"/>
      <c r="P11" s="1055"/>
      <c r="Q11" s="1055"/>
      <c r="R11" s="1055"/>
    </row>
    <row r="12" spans="1:18" ht="24" customHeight="1" x14ac:dyDescent="0.2">
      <c r="A12" s="1052" t="s">
        <v>611</v>
      </c>
      <c r="B12" s="1052" t="s">
        <v>523</v>
      </c>
      <c r="C12" s="1053" t="s">
        <v>519</v>
      </c>
      <c r="D12" s="1053"/>
      <c r="E12" s="1053"/>
      <c r="F12" s="1053"/>
      <c r="G12" s="1053" t="s">
        <v>513</v>
      </c>
      <c r="H12" s="1053"/>
      <c r="I12" s="1053"/>
      <c r="J12" s="1053"/>
      <c r="K12" s="1053" t="s">
        <v>511</v>
      </c>
      <c r="L12" s="1053"/>
      <c r="M12" s="1053"/>
      <c r="N12" s="1053"/>
      <c r="O12" s="1053" t="s">
        <v>67</v>
      </c>
      <c r="P12" s="1053"/>
      <c r="Q12" s="1053" t="s">
        <v>526</v>
      </c>
      <c r="R12" s="1053"/>
    </row>
    <row r="13" spans="1:18" x14ac:dyDescent="0.2">
      <c r="A13" s="1052"/>
      <c r="B13" s="1052"/>
      <c r="C13" s="1054" t="s">
        <v>936</v>
      </c>
      <c r="D13" s="1054"/>
      <c r="E13" s="1054" t="s">
        <v>937</v>
      </c>
      <c r="F13" s="1054"/>
      <c r="G13" s="1054" t="s">
        <v>936</v>
      </c>
      <c r="H13" s="1054"/>
      <c r="I13" s="1054" t="s">
        <v>937</v>
      </c>
      <c r="J13" s="1054"/>
      <c r="K13" s="1054" t="s">
        <v>936</v>
      </c>
      <c r="L13" s="1054"/>
      <c r="M13" s="1054" t="s">
        <v>937</v>
      </c>
      <c r="N13" s="1054"/>
      <c r="O13" s="1047" t="s">
        <v>525</v>
      </c>
      <c r="P13" s="1050" t="s">
        <v>1066</v>
      </c>
      <c r="Q13" s="1047" t="s">
        <v>525</v>
      </c>
      <c r="R13" s="1047" t="s">
        <v>1068</v>
      </c>
    </row>
    <row r="14" spans="1:18" ht="38.25" x14ac:dyDescent="0.2">
      <c r="A14" s="1052"/>
      <c r="B14" s="1052"/>
      <c r="C14" s="705" t="s">
        <v>525</v>
      </c>
      <c r="D14" s="703" t="s">
        <v>1066</v>
      </c>
      <c r="E14" s="705" t="s">
        <v>525</v>
      </c>
      <c r="F14" s="703" t="s">
        <v>1066</v>
      </c>
      <c r="G14" s="705" t="s">
        <v>525</v>
      </c>
      <c r="H14" s="703" t="s">
        <v>1066</v>
      </c>
      <c r="I14" s="705" t="s">
        <v>525</v>
      </c>
      <c r="J14" s="703" t="s">
        <v>1066</v>
      </c>
      <c r="K14" s="705" t="s">
        <v>525</v>
      </c>
      <c r="L14" s="703" t="s">
        <v>1066</v>
      </c>
      <c r="M14" s="705" t="s">
        <v>525</v>
      </c>
      <c r="N14" s="703" t="s">
        <v>1066</v>
      </c>
      <c r="O14" s="1048"/>
      <c r="P14" s="1051"/>
      <c r="Q14" s="1048"/>
      <c r="R14" s="1048"/>
    </row>
    <row r="15" spans="1:18" x14ac:dyDescent="0.2">
      <c r="A15" s="28" t="s">
        <v>73</v>
      </c>
      <c r="B15" s="29">
        <v>259</v>
      </c>
      <c r="C15" s="29">
        <v>18146</v>
      </c>
      <c r="D15" s="29">
        <v>1293.2336039999998</v>
      </c>
      <c r="E15" s="29">
        <v>12977</v>
      </c>
      <c r="F15" s="29">
        <v>969.92868200000009</v>
      </c>
      <c r="G15" s="29">
        <v>251533</v>
      </c>
      <c r="H15" s="29">
        <v>74410.1388935</v>
      </c>
      <c r="I15" s="29">
        <v>278935</v>
      </c>
      <c r="J15" s="29">
        <v>90244.629649500013</v>
      </c>
      <c r="K15" s="29">
        <v>1729784</v>
      </c>
      <c r="L15" s="29">
        <v>69961.987244000004</v>
      </c>
      <c r="M15" s="29">
        <v>1393470</v>
      </c>
      <c r="N15" s="29">
        <v>54862.742491999998</v>
      </c>
      <c r="O15" s="29">
        <v>3684845</v>
      </c>
      <c r="P15" s="29">
        <v>291742.67056500004</v>
      </c>
      <c r="Q15" s="29">
        <v>11844</v>
      </c>
      <c r="R15" s="29">
        <v>698.07970150000006</v>
      </c>
    </row>
    <row r="16" spans="1:18" x14ac:dyDescent="0.2">
      <c r="A16" s="28" t="s">
        <v>76</v>
      </c>
      <c r="B16" s="29">
        <f>SUM(B17:B19)</f>
        <v>61</v>
      </c>
      <c r="C16" s="29">
        <f t="shared" ref="C16:O16" si="1">SUM(C17:C19)</f>
        <v>45</v>
      </c>
      <c r="D16" s="29">
        <f t="shared" si="1"/>
        <v>4.7950619999999997</v>
      </c>
      <c r="E16" s="29">
        <f t="shared" si="1"/>
        <v>144</v>
      </c>
      <c r="F16" s="29">
        <f t="shared" si="1"/>
        <v>13.753804500000001</v>
      </c>
      <c r="G16" s="29">
        <f t="shared" si="1"/>
        <v>32561</v>
      </c>
      <c r="H16" s="29">
        <f t="shared" si="1"/>
        <v>10471.625367000001</v>
      </c>
      <c r="I16" s="29">
        <f t="shared" si="1"/>
        <v>53719</v>
      </c>
      <c r="J16" s="29">
        <f t="shared" si="1"/>
        <v>19079.558525</v>
      </c>
      <c r="K16" s="29">
        <f t="shared" si="1"/>
        <v>231305</v>
      </c>
      <c r="L16" s="29">
        <f t="shared" si="1"/>
        <v>5762.9619590000002</v>
      </c>
      <c r="M16" s="29">
        <f t="shared" si="1"/>
        <v>195404</v>
      </c>
      <c r="N16" s="29">
        <f t="shared" si="1"/>
        <v>4352.8913659999998</v>
      </c>
      <c r="O16" s="29">
        <f t="shared" si="1"/>
        <v>513178</v>
      </c>
      <c r="P16" s="29">
        <f>SUM(P17:P19)</f>
        <v>39685.586083499998</v>
      </c>
      <c r="Q16" s="29">
        <f>Q19</f>
        <v>7860</v>
      </c>
      <c r="R16" s="29">
        <f>R19</f>
        <v>1559.11</v>
      </c>
    </row>
    <row r="17" spans="1:18" x14ac:dyDescent="0.2">
      <c r="A17" s="30">
        <v>43922</v>
      </c>
      <c r="B17" s="40">
        <v>18</v>
      </c>
      <c r="C17" s="40">
        <v>3</v>
      </c>
      <c r="D17" s="40">
        <v>0.32998</v>
      </c>
      <c r="E17" s="40">
        <v>9</v>
      </c>
      <c r="F17" s="40">
        <v>0.89101249999999999</v>
      </c>
      <c r="G17" s="40">
        <v>6999</v>
      </c>
      <c r="H17" s="40">
        <v>1968.6774660000001</v>
      </c>
      <c r="I17" s="40">
        <v>10944</v>
      </c>
      <c r="J17" s="40">
        <v>3679.8237015</v>
      </c>
      <c r="K17" s="40">
        <v>90838</v>
      </c>
      <c r="L17" s="40">
        <v>1914.003608</v>
      </c>
      <c r="M17" s="40">
        <v>55438</v>
      </c>
      <c r="N17" s="40">
        <v>933.48083799999995</v>
      </c>
      <c r="O17" s="40">
        <v>164231</v>
      </c>
      <c r="P17" s="40">
        <v>8497.2066059999997</v>
      </c>
      <c r="Q17" s="40">
        <v>11690</v>
      </c>
      <c r="R17" s="40">
        <v>1651.0206595</v>
      </c>
    </row>
    <row r="18" spans="1:18" x14ac:dyDescent="0.2">
      <c r="A18" s="30">
        <v>43953</v>
      </c>
      <c r="B18" s="40">
        <v>21</v>
      </c>
      <c r="C18" s="40">
        <v>31</v>
      </c>
      <c r="D18" s="40">
        <v>3.2268599999999998</v>
      </c>
      <c r="E18" s="40">
        <v>120</v>
      </c>
      <c r="F18" s="40">
        <v>11.252795000000001</v>
      </c>
      <c r="G18" s="40">
        <v>11114</v>
      </c>
      <c r="H18" s="40">
        <v>4286.8298429999995</v>
      </c>
      <c r="I18" s="40">
        <v>22893</v>
      </c>
      <c r="J18" s="40">
        <v>8974.6587314999997</v>
      </c>
      <c r="K18" s="40">
        <v>62769</v>
      </c>
      <c r="L18" s="40">
        <v>1473.6085619999999</v>
      </c>
      <c r="M18" s="40">
        <v>65421</v>
      </c>
      <c r="N18" s="40">
        <v>1300.1379899999999</v>
      </c>
      <c r="O18" s="40">
        <v>162348</v>
      </c>
      <c r="P18" s="40">
        <v>16049.714781499999</v>
      </c>
      <c r="Q18" s="40">
        <v>7927</v>
      </c>
      <c r="R18" s="40">
        <v>816.22000949999995</v>
      </c>
    </row>
    <row r="19" spans="1:18" x14ac:dyDescent="0.2">
      <c r="A19" s="30">
        <v>43985</v>
      </c>
      <c r="B19" s="40">
        <v>22</v>
      </c>
      <c r="C19" s="40">
        <v>11</v>
      </c>
      <c r="D19" s="40">
        <v>1.2382219999999999</v>
      </c>
      <c r="E19" s="40">
        <v>15</v>
      </c>
      <c r="F19" s="40">
        <v>1.6099969999999999</v>
      </c>
      <c r="G19" s="40">
        <v>14448</v>
      </c>
      <c r="H19" s="40">
        <v>4216.118058</v>
      </c>
      <c r="I19" s="40">
        <v>19882</v>
      </c>
      <c r="J19" s="40">
        <v>6425.0760920000002</v>
      </c>
      <c r="K19" s="40">
        <v>77698</v>
      </c>
      <c r="L19" s="40">
        <v>2375.3497889999999</v>
      </c>
      <c r="M19" s="40">
        <v>74545</v>
      </c>
      <c r="N19" s="40">
        <v>2119.2725380000002</v>
      </c>
      <c r="O19" s="40">
        <v>186599</v>
      </c>
      <c r="P19" s="40">
        <v>15138.664696</v>
      </c>
      <c r="Q19" s="40">
        <v>7860</v>
      </c>
      <c r="R19" s="40">
        <v>1559.11</v>
      </c>
    </row>
    <row r="20" spans="1:18" x14ac:dyDescent="0.2">
      <c r="C20" s="706"/>
      <c r="D20" s="706"/>
      <c r="E20" s="706"/>
      <c r="F20" s="706"/>
      <c r="G20" s="706"/>
      <c r="H20" s="706"/>
      <c r="I20" s="706"/>
      <c r="J20" s="706"/>
      <c r="K20" s="706"/>
      <c r="L20" s="706"/>
      <c r="M20" s="706"/>
      <c r="N20" s="706"/>
      <c r="O20" s="706"/>
      <c r="P20" s="706"/>
    </row>
    <row r="21" spans="1:18" x14ac:dyDescent="0.2">
      <c r="A21" s="7" t="s">
        <v>1101</v>
      </c>
      <c r="I21" s="707"/>
      <c r="J21" s="706"/>
      <c r="K21" s="706"/>
      <c r="L21" s="706"/>
      <c r="M21" s="706"/>
      <c r="N21" s="706"/>
      <c r="O21" s="708"/>
      <c r="P21" s="706"/>
      <c r="Q21" s="706"/>
    </row>
    <row r="22" spans="1:18" x14ac:dyDescent="0.2">
      <c r="A22" s="7" t="str">
        <f>'[1]1'!A8</f>
        <v>$ indicates as on June 30, 2020</v>
      </c>
      <c r="I22" s="707"/>
      <c r="J22" s="706"/>
      <c r="K22" s="706"/>
      <c r="L22" s="706"/>
      <c r="M22" s="706"/>
      <c r="N22" s="706"/>
      <c r="O22" s="708"/>
      <c r="P22" s="706"/>
      <c r="Q22" s="706"/>
    </row>
    <row r="23" spans="1:18" x14ac:dyDescent="0.2">
      <c r="A23" s="1063" t="s">
        <v>521</v>
      </c>
      <c r="B23" s="1063"/>
      <c r="C23" s="1063"/>
      <c r="D23" s="1063"/>
      <c r="E23" s="1063"/>
      <c r="F23" s="1063"/>
      <c r="G23" s="1063"/>
      <c r="H23" s="1063"/>
      <c r="I23" s="1063"/>
      <c r="J23" s="1063"/>
      <c r="K23" s="706"/>
      <c r="L23" s="706"/>
      <c r="N23" s="13"/>
      <c r="O23" s="13"/>
      <c r="P23" s="13"/>
    </row>
    <row r="28" spans="1:18" x14ac:dyDescent="0.2">
      <c r="B28" s="19"/>
    </row>
    <row r="30" spans="1:18" x14ac:dyDescent="0.2">
      <c r="D30" s="706"/>
    </row>
    <row r="31" spans="1:18" x14ac:dyDescent="0.2">
      <c r="C31" s="710"/>
      <c r="D31" s="710"/>
      <c r="E31" s="706"/>
      <c r="F31" s="711"/>
      <c r="H31" s="706"/>
      <c r="I31" s="706"/>
      <c r="J31" s="712"/>
      <c r="K31" s="710"/>
      <c r="M31" s="402"/>
    </row>
    <row r="32" spans="1:18" x14ac:dyDescent="0.2">
      <c r="C32" s="710"/>
      <c r="D32" s="710"/>
      <c r="E32" s="706"/>
      <c r="F32" s="710"/>
      <c r="H32" s="706"/>
      <c r="I32" s="706"/>
      <c r="J32" s="706"/>
      <c r="K32" s="710"/>
    </row>
    <row r="33" spans="3:15" x14ac:dyDescent="0.2">
      <c r="C33" s="710"/>
      <c r="D33" s="710"/>
      <c r="E33" s="706"/>
      <c r="F33" s="710"/>
      <c r="H33" s="706"/>
      <c r="I33" s="706"/>
      <c r="J33" s="706"/>
      <c r="K33" s="710"/>
      <c r="O33" s="7"/>
    </row>
    <row r="34" spans="3:15" x14ac:dyDescent="0.2">
      <c r="C34" s="710"/>
      <c r="D34" s="710"/>
      <c r="E34" s="706"/>
      <c r="F34" s="710"/>
      <c r="H34" s="706"/>
      <c r="I34" s="706"/>
      <c r="J34" s="706"/>
      <c r="K34" s="710"/>
      <c r="O34" s="7"/>
    </row>
    <row r="35" spans="3:15" x14ac:dyDescent="0.2">
      <c r="C35" s="710"/>
      <c r="D35" s="710"/>
      <c r="E35" s="706"/>
      <c r="F35" s="710"/>
      <c r="H35" s="706"/>
      <c r="I35" s="706"/>
      <c r="J35" s="706"/>
      <c r="K35" s="710"/>
      <c r="O35" s="7"/>
    </row>
    <row r="36" spans="3:15" x14ac:dyDescent="0.2">
      <c r="C36" s="710"/>
      <c r="D36" s="710"/>
      <c r="E36" s="706"/>
      <c r="F36" s="710"/>
      <c r="H36" s="706"/>
      <c r="I36" s="706"/>
      <c r="J36" s="706"/>
      <c r="K36" s="710"/>
      <c r="O36" s="7"/>
    </row>
    <row r="37" spans="3:15" x14ac:dyDescent="0.2">
      <c r="C37" s="710"/>
      <c r="D37" s="710"/>
      <c r="E37" s="706"/>
      <c r="F37" s="710"/>
      <c r="H37" s="706"/>
      <c r="I37" s="706"/>
      <c r="J37" s="706"/>
      <c r="K37" s="710"/>
      <c r="O37" s="7"/>
    </row>
    <row r="38" spans="3:15" x14ac:dyDescent="0.2">
      <c r="C38" s="710"/>
      <c r="D38" s="710"/>
      <c r="E38" s="706"/>
      <c r="F38" s="710"/>
      <c r="H38" s="706"/>
      <c r="I38" s="706"/>
      <c r="J38" s="706"/>
      <c r="K38" s="710"/>
      <c r="O38" s="7"/>
    </row>
    <row r="39" spans="3:15" x14ac:dyDescent="0.2">
      <c r="C39" s="710"/>
      <c r="D39" s="710"/>
      <c r="E39" s="706"/>
      <c r="F39" s="710"/>
      <c r="H39" s="706"/>
      <c r="I39" s="706"/>
      <c r="J39" s="706"/>
      <c r="K39" s="710"/>
      <c r="O39" s="7"/>
    </row>
    <row r="40" spans="3:15" x14ac:dyDescent="0.2">
      <c r="H40" s="706"/>
      <c r="I40" s="706"/>
      <c r="J40" s="706"/>
      <c r="O40" s="7"/>
    </row>
    <row r="42" spans="3:15" x14ac:dyDescent="0.2">
      <c r="D42" s="706"/>
      <c r="O42" s="7"/>
    </row>
    <row r="44" spans="3:15" x14ac:dyDescent="0.2">
      <c r="D44" s="713"/>
      <c r="O44" s="7"/>
    </row>
  </sheetData>
  <mergeCells count="31">
    <mergeCell ref="M13:N13"/>
    <mergeCell ref="C3:E3"/>
    <mergeCell ref="A23:J23"/>
    <mergeCell ref="C12:F12"/>
    <mergeCell ref="G13:H13"/>
    <mergeCell ref="I13:J13"/>
    <mergeCell ref="K13:L13"/>
    <mergeCell ref="A12:A14"/>
    <mergeCell ref="A1:H1"/>
    <mergeCell ref="I1:O1"/>
    <mergeCell ref="P1:Q1"/>
    <mergeCell ref="A2:R2"/>
    <mergeCell ref="A3:A4"/>
    <mergeCell ref="O3:P3"/>
    <mergeCell ref="Q3:R3"/>
    <mergeCell ref="Q13:Q14"/>
    <mergeCell ref="R13:R14"/>
    <mergeCell ref="I3:K3"/>
    <mergeCell ref="B3:B4"/>
    <mergeCell ref="B12:B14"/>
    <mergeCell ref="F3:H3"/>
    <mergeCell ref="K12:N12"/>
    <mergeCell ref="L3:N3"/>
    <mergeCell ref="O12:P12"/>
    <mergeCell ref="P13:P14"/>
    <mergeCell ref="C13:D13"/>
    <mergeCell ref="E13:F13"/>
    <mergeCell ref="G12:J12"/>
    <mergeCell ref="Q12:R12"/>
    <mergeCell ref="O13:O14"/>
    <mergeCell ref="A11:R11"/>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T14"/>
  <sheetViews>
    <sheetView zoomScaleNormal="100" workbookViewId="0">
      <selection activeCell="S21" sqref="S21"/>
    </sheetView>
  </sheetViews>
  <sheetFormatPr defaultRowHeight="12.75" x14ac:dyDescent="0.2"/>
  <cols>
    <col min="1" max="1" width="9.140625" style="7" customWidth="1"/>
    <col min="2" max="2" width="7.140625" style="7" customWidth="1"/>
    <col min="3" max="3" width="11.42578125" style="7" customWidth="1"/>
    <col min="4" max="4" width="14.140625" style="7" bestFit="1" customWidth="1"/>
    <col min="5" max="5" width="10.28515625" style="7" customWidth="1"/>
    <col min="6" max="6" width="8.7109375" style="7" customWidth="1"/>
    <col min="7" max="11" width="9.140625" style="7"/>
    <col min="12" max="12" width="12.7109375" style="7" customWidth="1"/>
    <col min="13" max="13" width="9.140625" style="7"/>
    <col min="14" max="14" width="9.5703125" style="7" bestFit="1" customWidth="1"/>
    <col min="15" max="19" width="9.140625" style="7"/>
    <col min="20" max="20" width="8.140625" style="7" customWidth="1"/>
    <col min="21" max="16384" width="9.140625" style="7"/>
  </cols>
  <sheetData>
    <row r="1" spans="1:20" ht="15" x14ac:dyDescent="0.2">
      <c r="A1" s="1046" t="s">
        <v>1032</v>
      </c>
      <c r="B1" s="1046"/>
      <c r="C1" s="1064"/>
      <c r="D1" s="1064"/>
      <c r="E1" s="1064"/>
      <c r="F1" s="1064"/>
      <c r="G1" s="1064"/>
      <c r="H1" s="714"/>
      <c r="I1" s="714"/>
      <c r="J1" s="714"/>
      <c r="K1" s="714"/>
      <c r="L1" s="714"/>
    </row>
    <row r="2" spans="1:20" x14ac:dyDescent="0.2">
      <c r="A2" s="1061" t="s">
        <v>448</v>
      </c>
      <c r="B2" s="1049" t="s">
        <v>523</v>
      </c>
      <c r="C2" s="1067" t="s">
        <v>506</v>
      </c>
      <c r="D2" s="1068"/>
      <c r="E2" s="1068"/>
      <c r="F2" s="1068"/>
      <c r="G2" s="1068"/>
      <c r="H2" s="1068"/>
      <c r="I2" s="1068"/>
      <c r="J2" s="1068"/>
      <c r="K2" s="1068"/>
      <c r="L2" s="1069"/>
      <c r="M2" s="1067" t="s">
        <v>507</v>
      </c>
      <c r="N2" s="1068"/>
      <c r="O2" s="1068"/>
      <c r="P2" s="1068"/>
      <c r="Q2" s="1068"/>
      <c r="R2" s="1068"/>
      <c r="S2" s="1068"/>
      <c r="T2" s="1069"/>
    </row>
    <row r="3" spans="1:20" ht="39.75" customHeight="1" x14ac:dyDescent="0.2">
      <c r="A3" s="1065"/>
      <c r="B3" s="1049"/>
      <c r="C3" s="1070" t="s">
        <v>622</v>
      </c>
      <c r="D3" s="1071"/>
      <c r="E3" s="1072"/>
      <c r="F3" s="1070" t="s">
        <v>859</v>
      </c>
      <c r="G3" s="1071"/>
      <c r="H3" s="1072"/>
      <c r="I3" s="1058" t="s">
        <v>617</v>
      </c>
      <c r="J3" s="1059"/>
      <c r="K3" s="1058" t="s">
        <v>526</v>
      </c>
      <c r="L3" s="1059"/>
      <c r="M3" s="1073" t="s">
        <v>357</v>
      </c>
      <c r="N3" s="1074"/>
      <c r="O3" s="1073" t="s">
        <v>937</v>
      </c>
      <c r="P3" s="1074"/>
      <c r="Q3" s="1073" t="s">
        <v>617</v>
      </c>
      <c r="R3" s="1074"/>
      <c r="S3" s="1075" t="s">
        <v>613</v>
      </c>
      <c r="T3" s="1076"/>
    </row>
    <row r="4" spans="1:20" s="701" customFormat="1" ht="34.5" customHeight="1" x14ac:dyDescent="0.2">
      <c r="A4" s="1065"/>
      <c r="B4" s="1049"/>
      <c r="C4" s="1049" t="s">
        <v>612</v>
      </c>
      <c r="D4" s="1049" t="s">
        <v>525</v>
      </c>
      <c r="E4" s="1049" t="s">
        <v>1066</v>
      </c>
      <c r="F4" s="1049" t="s">
        <v>612</v>
      </c>
      <c r="G4" s="1049" t="s">
        <v>525</v>
      </c>
      <c r="H4" s="1049" t="s">
        <v>1066</v>
      </c>
      <c r="I4" s="1050" t="s">
        <v>525</v>
      </c>
      <c r="J4" s="1050" t="s">
        <v>1066</v>
      </c>
      <c r="K4" s="1047" t="s">
        <v>525</v>
      </c>
      <c r="L4" s="1050" t="s">
        <v>1067</v>
      </c>
      <c r="M4" s="1047" t="s">
        <v>525</v>
      </c>
      <c r="N4" s="1050" t="s">
        <v>1066</v>
      </c>
      <c r="O4" s="1047" t="s">
        <v>525</v>
      </c>
      <c r="P4" s="1050" t="s">
        <v>1066</v>
      </c>
      <c r="Q4" s="1047" t="s">
        <v>525</v>
      </c>
      <c r="R4" s="1050" t="s">
        <v>1066</v>
      </c>
      <c r="S4" s="1047" t="s">
        <v>525</v>
      </c>
      <c r="T4" s="1047" t="s">
        <v>1067</v>
      </c>
    </row>
    <row r="5" spans="1:20" s="701" customFormat="1" ht="41.25" customHeight="1" x14ac:dyDescent="0.2">
      <c r="A5" s="1066"/>
      <c r="B5" s="1049"/>
      <c r="C5" s="1049"/>
      <c r="D5" s="1049"/>
      <c r="E5" s="1049"/>
      <c r="F5" s="1049"/>
      <c r="G5" s="1049"/>
      <c r="H5" s="1049"/>
      <c r="I5" s="1051"/>
      <c r="J5" s="1051"/>
      <c r="K5" s="1048"/>
      <c r="L5" s="1051"/>
      <c r="M5" s="1048"/>
      <c r="N5" s="1051"/>
      <c r="O5" s="1048"/>
      <c r="P5" s="1051"/>
      <c r="Q5" s="1048"/>
      <c r="R5" s="1051"/>
      <c r="S5" s="1048"/>
      <c r="T5" s="1048"/>
    </row>
    <row r="6" spans="1:20" s="19" customFormat="1" x14ac:dyDescent="0.2">
      <c r="A6" s="702" t="s">
        <v>73</v>
      </c>
      <c r="B6" s="287">
        <v>247</v>
      </c>
      <c r="C6" s="287">
        <v>95258.745999999999</v>
      </c>
      <c r="D6" s="287">
        <v>13080142</v>
      </c>
      <c r="E6" s="287">
        <v>441966.96943999996</v>
      </c>
      <c r="F6" s="38" t="s">
        <v>286</v>
      </c>
      <c r="G6" s="38" t="s">
        <v>286</v>
      </c>
      <c r="H6" s="38" t="s">
        <v>286</v>
      </c>
      <c r="I6" s="38" t="s">
        <v>286</v>
      </c>
      <c r="J6" s="38" t="s">
        <v>286</v>
      </c>
      <c r="K6" s="29">
        <v>93073</v>
      </c>
      <c r="L6" s="29">
        <v>2262.96</v>
      </c>
      <c r="M6" s="29">
        <v>1518</v>
      </c>
      <c r="N6" s="37">
        <v>41.410000000000004</v>
      </c>
      <c r="O6" s="37">
        <v>22</v>
      </c>
      <c r="P6" s="37">
        <v>0.74</v>
      </c>
      <c r="Q6" s="36">
        <f t="shared" ref="Q6:R10" si="0">M6+O6</f>
        <v>1540</v>
      </c>
      <c r="R6" s="36">
        <f t="shared" si="0"/>
        <v>42.150000000000006</v>
      </c>
      <c r="S6" s="38">
        <v>0</v>
      </c>
      <c r="T6" s="38">
        <v>0</v>
      </c>
    </row>
    <row r="7" spans="1:20" s="19" customFormat="1" x14ac:dyDescent="0.2">
      <c r="A7" s="702" t="s">
        <v>76</v>
      </c>
      <c r="B7" s="287">
        <f t="shared" ref="B7:H7" si="1">SUM(B8:B10)</f>
        <v>59</v>
      </c>
      <c r="C7" s="287">
        <f t="shared" si="1"/>
        <v>10271.121999999999</v>
      </c>
      <c r="D7" s="287">
        <f t="shared" si="1"/>
        <v>1572830</v>
      </c>
      <c r="E7" s="287">
        <f t="shared" si="1"/>
        <v>42474.230505</v>
      </c>
      <c r="F7" s="287">
        <f t="shared" si="1"/>
        <v>3.3780000000000001</v>
      </c>
      <c r="G7" s="287">
        <f t="shared" si="1"/>
        <v>3378</v>
      </c>
      <c r="H7" s="287">
        <f t="shared" si="1"/>
        <v>174.19675000000001</v>
      </c>
      <c r="I7" s="287">
        <f t="shared" ref="I7:J10" si="2">SUM(D7,G7)</f>
        <v>1576208</v>
      </c>
      <c r="J7" s="287">
        <f t="shared" si="2"/>
        <v>42648.427255000002</v>
      </c>
      <c r="K7" s="29">
        <v>65440</v>
      </c>
      <c r="L7" s="29">
        <v>1778.5999999999997</v>
      </c>
      <c r="M7" s="29">
        <f>SUM(M8:M10)</f>
        <v>150</v>
      </c>
      <c r="N7" s="38">
        <f>SUM(N8:N10)</f>
        <v>4.8599999999999994</v>
      </c>
      <c r="O7" s="38">
        <f>SUM(O8:O10)</f>
        <v>1</v>
      </c>
      <c r="P7" s="39">
        <f>SUM(P8:P10)</f>
        <v>0.02</v>
      </c>
      <c r="Q7" s="36">
        <f t="shared" si="0"/>
        <v>151</v>
      </c>
      <c r="R7" s="36">
        <f t="shared" si="0"/>
        <v>4.879999999999999</v>
      </c>
      <c r="S7" s="29">
        <f>S10</f>
        <v>80</v>
      </c>
      <c r="T7" s="255">
        <f>T10</f>
        <v>0.26</v>
      </c>
    </row>
    <row r="8" spans="1:20" x14ac:dyDescent="0.2">
      <c r="A8" s="30">
        <v>43922</v>
      </c>
      <c r="B8" s="282">
        <v>18</v>
      </c>
      <c r="C8" s="282">
        <v>3043.8969999999999</v>
      </c>
      <c r="D8" s="282">
        <v>491426</v>
      </c>
      <c r="E8" s="282">
        <v>12560.803809999999</v>
      </c>
      <c r="F8" s="256" t="s">
        <v>286</v>
      </c>
      <c r="G8" s="256" t="s">
        <v>286</v>
      </c>
      <c r="H8" s="256" t="s">
        <v>286</v>
      </c>
      <c r="I8" s="40">
        <f t="shared" si="2"/>
        <v>491426</v>
      </c>
      <c r="J8" s="282">
        <f t="shared" si="2"/>
        <v>12560.803809999999</v>
      </c>
      <c r="K8" s="40">
        <v>69860</v>
      </c>
      <c r="L8" s="40">
        <v>1730.2965362499999</v>
      </c>
      <c r="M8" s="40">
        <v>20</v>
      </c>
      <c r="N8" s="257">
        <v>0.68</v>
      </c>
      <c r="O8" s="41">
        <v>1</v>
      </c>
      <c r="P8" s="258">
        <v>0.02</v>
      </c>
      <c r="Q8" s="259">
        <f t="shared" si="0"/>
        <v>21</v>
      </c>
      <c r="R8" s="259">
        <f t="shared" si="0"/>
        <v>0.70000000000000007</v>
      </c>
      <c r="S8" s="256">
        <v>1</v>
      </c>
      <c r="T8" s="260">
        <v>0.02</v>
      </c>
    </row>
    <row r="9" spans="1:20" x14ac:dyDescent="0.2">
      <c r="A9" s="30">
        <v>43953</v>
      </c>
      <c r="B9" s="282">
        <v>19</v>
      </c>
      <c r="C9" s="282">
        <v>2738.5650000000019</v>
      </c>
      <c r="D9" s="282">
        <v>417099</v>
      </c>
      <c r="E9" s="282">
        <v>11098.384330000001</v>
      </c>
      <c r="F9" s="40">
        <v>1.357</v>
      </c>
      <c r="G9" s="40">
        <v>1357</v>
      </c>
      <c r="H9" s="40">
        <v>69.074012499999995</v>
      </c>
      <c r="I9" s="40">
        <f t="shared" si="2"/>
        <v>418456</v>
      </c>
      <c r="J9" s="282">
        <f t="shared" si="2"/>
        <v>11167.4583425</v>
      </c>
      <c r="K9" s="40">
        <v>63805</v>
      </c>
      <c r="L9" s="40">
        <v>1656.4984999999999</v>
      </c>
      <c r="M9" s="40">
        <v>50</v>
      </c>
      <c r="N9" s="257">
        <v>1.53</v>
      </c>
      <c r="O9" s="41">
        <v>0</v>
      </c>
      <c r="P9" s="258">
        <v>0</v>
      </c>
      <c r="Q9" s="259">
        <f t="shared" si="0"/>
        <v>50</v>
      </c>
      <c r="R9" s="259">
        <f t="shared" si="0"/>
        <v>1.53</v>
      </c>
      <c r="S9" s="40">
        <v>50</v>
      </c>
      <c r="T9" s="261">
        <v>0.13</v>
      </c>
    </row>
    <row r="10" spans="1:20" x14ac:dyDescent="0.2">
      <c r="A10" s="30">
        <v>43985</v>
      </c>
      <c r="B10" s="282">
        <v>22</v>
      </c>
      <c r="C10" s="282">
        <v>4488.6599999999971</v>
      </c>
      <c r="D10" s="282">
        <v>664305</v>
      </c>
      <c r="E10" s="282">
        <v>18815.042364999998</v>
      </c>
      <c r="F10" s="40">
        <v>2.0209999999999999</v>
      </c>
      <c r="G10" s="40">
        <v>2021</v>
      </c>
      <c r="H10" s="40">
        <v>105.1227375</v>
      </c>
      <c r="I10" s="40">
        <f t="shared" si="2"/>
        <v>666326</v>
      </c>
      <c r="J10" s="282">
        <f t="shared" si="2"/>
        <v>18920.165102499999</v>
      </c>
      <c r="K10" s="40">
        <v>65440</v>
      </c>
      <c r="L10" s="40">
        <v>1778.5999999999997</v>
      </c>
      <c r="M10" s="40">
        <v>80</v>
      </c>
      <c r="N10" s="257">
        <v>2.65</v>
      </c>
      <c r="O10" s="41">
        <v>0</v>
      </c>
      <c r="P10" s="258">
        <v>0</v>
      </c>
      <c r="Q10" s="259">
        <f t="shared" si="0"/>
        <v>80</v>
      </c>
      <c r="R10" s="259">
        <f t="shared" si="0"/>
        <v>2.65</v>
      </c>
      <c r="S10" s="40">
        <v>80</v>
      </c>
      <c r="T10" s="261">
        <v>0.26</v>
      </c>
    </row>
    <row r="11" spans="1:20" x14ac:dyDescent="0.2">
      <c r="A11" s="453" t="s">
        <v>1083</v>
      </c>
      <c r="B11" s="715"/>
      <c r="C11" s="715"/>
      <c r="D11" s="715"/>
      <c r="E11" s="715"/>
      <c r="F11" s="263"/>
      <c r="G11" s="263"/>
      <c r="H11" s="263"/>
      <c r="I11" s="263"/>
      <c r="J11" s="715"/>
      <c r="K11" s="263"/>
      <c r="L11" s="263"/>
      <c r="M11" s="263"/>
      <c r="N11" s="448"/>
      <c r="O11" s="449"/>
      <c r="P11" s="450"/>
      <c r="Q11" s="451"/>
      <c r="R11" s="451"/>
      <c r="S11" s="263"/>
      <c r="T11" s="452"/>
    </row>
    <row r="12" spans="1:20" x14ac:dyDescent="0.2">
      <c r="A12" s="7" t="str">
        <f>'[1]1'!A8</f>
        <v>$ indicates as on June 30, 2020</v>
      </c>
      <c r="B12" s="716"/>
      <c r="C12" s="716"/>
      <c r="D12" s="716"/>
      <c r="E12" s="716"/>
      <c r="F12" s="716"/>
      <c r="G12" s="716"/>
      <c r="H12" s="716"/>
      <c r="I12" s="716"/>
      <c r="J12" s="716"/>
      <c r="K12" s="717"/>
      <c r="L12" s="717"/>
      <c r="M12" s="706"/>
      <c r="N12" s="706"/>
      <c r="O12" s="706"/>
      <c r="P12" s="706"/>
      <c r="Q12" s="706"/>
      <c r="R12" s="706"/>
    </row>
    <row r="13" spans="1:20" x14ac:dyDescent="0.2">
      <c r="A13" s="136" t="s">
        <v>522</v>
      </c>
      <c r="C13" s="700"/>
      <c r="D13" s="7" t="s">
        <v>601</v>
      </c>
      <c r="F13" s="718"/>
      <c r="G13" s="706"/>
      <c r="H13" s="706" t="s">
        <v>601</v>
      </c>
      <c r="I13" s="706" t="s">
        <v>601</v>
      </c>
      <c r="J13" s="706"/>
      <c r="K13" s="706"/>
      <c r="L13" s="706"/>
      <c r="M13" s="719"/>
      <c r="N13" s="720"/>
      <c r="O13" s="709"/>
      <c r="S13" s="7" t="s">
        <v>601</v>
      </c>
    </row>
    <row r="14" spans="1:20" x14ac:dyDescent="0.2">
      <c r="A14" s="136"/>
      <c r="B14" s="136"/>
      <c r="C14" s="136"/>
      <c r="D14" s="673"/>
      <c r="E14" s="673"/>
      <c r="F14" s="673"/>
      <c r="G14" s="673"/>
      <c r="H14" s="673"/>
      <c r="I14" s="673"/>
      <c r="J14" s="673"/>
      <c r="K14" s="673"/>
      <c r="L14" s="673"/>
      <c r="M14" s="673"/>
      <c r="N14" s="673"/>
      <c r="O14" s="673"/>
    </row>
  </sheetData>
  <mergeCells count="32">
    <mergeCell ref="S4:S5"/>
    <mergeCell ref="T4:T5"/>
    <mergeCell ref="M4:M5"/>
    <mergeCell ref="N4:N5"/>
    <mergeCell ref="O4:O5"/>
    <mergeCell ref="P4:P5"/>
    <mergeCell ref="Q4:Q5"/>
    <mergeCell ref="R4:R5"/>
    <mergeCell ref="M2:T2"/>
    <mergeCell ref="C3:E3"/>
    <mergeCell ref="F3:H3"/>
    <mergeCell ref="I3:J3"/>
    <mergeCell ref="K3:L3"/>
    <mergeCell ref="M3:N3"/>
    <mergeCell ref="O3:P3"/>
    <mergeCell ref="Q3:R3"/>
    <mergeCell ref="S3:T3"/>
    <mergeCell ref="F1:G1"/>
    <mergeCell ref="A2:A5"/>
    <mergeCell ref="B2:B5"/>
    <mergeCell ref="C2:L2"/>
    <mergeCell ref="A1:E1"/>
    <mergeCell ref="C4:C5"/>
    <mergeCell ref="D4:D5"/>
    <mergeCell ref="E4:E5"/>
    <mergeCell ref="F4:F5"/>
    <mergeCell ref="G4:G5"/>
    <mergeCell ref="H4:H5"/>
    <mergeCell ref="I4:I5"/>
    <mergeCell ref="J4:J5"/>
    <mergeCell ref="K4:K5"/>
    <mergeCell ref="L4:L5"/>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2"/>
  <sheetViews>
    <sheetView zoomScaleNormal="100" workbookViewId="0">
      <selection activeCell="O21" sqref="O21"/>
    </sheetView>
  </sheetViews>
  <sheetFormatPr defaultRowHeight="12.75" x14ac:dyDescent="0.2"/>
  <cols>
    <col min="1" max="2" width="9.140625" style="43"/>
    <col min="3" max="3" width="10.5703125" style="43" bestFit="1" customWidth="1"/>
    <col min="4" max="4" width="9.28515625" style="43" bestFit="1" customWidth="1"/>
    <col min="5" max="5" width="9.140625" style="43"/>
    <col min="6" max="6" width="9.85546875" style="43" customWidth="1"/>
    <col min="7" max="7" width="9.85546875" style="43" bestFit="1" customWidth="1"/>
    <col min="8" max="8" width="9.28515625" style="43" bestFit="1" customWidth="1"/>
    <col min="9" max="9" width="13.28515625" style="43" customWidth="1"/>
    <col min="10" max="10" width="9.42578125" style="43" customWidth="1"/>
    <col min="11" max="11" width="9.140625" style="43"/>
    <col min="12" max="12" width="11.7109375" style="43" bestFit="1" customWidth="1"/>
    <col min="13" max="13" width="11.85546875" style="43" bestFit="1" customWidth="1"/>
    <col min="14" max="16384" width="9.140625" style="43"/>
  </cols>
  <sheetData>
    <row r="1" spans="1:15" ht="15" customHeight="1" x14ac:dyDescent="0.2">
      <c r="A1" s="44" t="s">
        <v>1033</v>
      </c>
      <c r="B1" s="44"/>
      <c r="F1" s="42"/>
      <c r="G1" s="42"/>
      <c r="I1" s="44"/>
      <c r="J1" s="45"/>
      <c r="K1" s="6"/>
    </row>
    <row r="2" spans="1:15" ht="41.25" customHeight="1" x14ac:dyDescent="0.2">
      <c r="A2" s="1080" t="s">
        <v>448</v>
      </c>
      <c r="B2" s="1080" t="s">
        <v>523</v>
      </c>
      <c r="C2" s="1078" t="s">
        <v>614</v>
      </c>
      <c r="D2" s="1082"/>
      <c r="E2" s="1079"/>
      <c r="F2" s="1077" t="s">
        <v>615</v>
      </c>
      <c r="G2" s="1077"/>
      <c r="H2" s="1077"/>
      <c r="I2" s="1077" t="s">
        <v>616</v>
      </c>
      <c r="J2" s="1077"/>
      <c r="K2" s="1077"/>
      <c r="L2" s="1078" t="s">
        <v>617</v>
      </c>
      <c r="M2" s="1079"/>
      <c r="N2" s="1078" t="s">
        <v>526</v>
      </c>
      <c r="O2" s="1079"/>
    </row>
    <row r="3" spans="1:15" ht="41.25" customHeight="1" x14ac:dyDescent="0.2">
      <c r="A3" s="1081"/>
      <c r="B3" s="1081"/>
      <c r="C3" s="183" t="s">
        <v>618</v>
      </c>
      <c r="D3" s="183" t="s">
        <v>525</v>
      </c>
      <c r="E3" s="183" t="s">
        <v>1066</v>
      </c>
      <c r="F3" s="183" t="s">
        <v>612</v>
      </c>
      <c r="G3" s="183" t="s">
        <v>525</v>
      </c>
      <c r="H3" s="183" t="s">
        <v>1066</v>
      </c>
      <c r="I3" s="183" t="s">
        <v>524</v>
      </c>
      <c r="J3" s="183" t="s">
        <v>525</v>
      </c>
      <c r="K3" s="182" t="s">
        <v>1066</v>
      </c>
      <c r="L3" s="183" t="s">
        <v>525</v>
      </c>
      <c r="M3" s="183" t="s">
        <v>1066</v>
      </c>
      <c r="N3" s="27" t="s">
        <v>525</v>
      </c>
      <c r="O3" s="183" t="s">
        <v>1067</v>
      </c>
    </row>
    <row r="4" spans="1:15" x14ac:dyDescent="0.2">
      <c r="A4" s="35" t="s">
        <v>73</v>
      </c>
      <c r="B4" s="34">
        <v>259</v>
      </c>
      <c r="C4" s="29">
        <v>821.73900000000015</v>
      </c>
      <c r="D4" s="34">
        <v>268376</v>
      </c>
      <c r="E4" s="34">
        <v>5353.5233730000009</v>
      </c>
      <c r="F4" s="34">
        <v>2450.7099999999996</v>
      </c>
      <c r="G4" s="34">
        <v>245071</v>
      </c>
      <c r="H4" s="34">
        <v>7437.7322999999997</v>
      </c>
      <c r="I4" s="34">
        <v>78395209</v>
      </c>
      <c r="J4" s="34">
        <v>78395209</v>
      </c>
      <c r="K4" s="34">
        <v>27720.037507274999</v>
      </c>
      <c r="L4" s="34">
        <v>78908656</v>
      </c>
      <c r="M4" s="34">
        <v>40511.292178220006</v>
      </c>
      <c r="N4" s="34">
        <v>8290</v>
      </c>
      <c r="O4" s="34">
        <v>19.32</v>
      </c>
    </row>
    <row r="5" spans="1:15" x14ac:dyDescent="0.2">
      <c r="A5" s="35" t="s">
        <v>76</v>
      </c>
      <c r="B5" s="34">
        <f>SUM(B6:B8)</f>
        <v>61</v>
      </c>
      <c r="C5" s="34">
        <f t="shared" ref="C5:M5" si="0">SUM(C6:C8)</f>
        <v>62.948699999999995</v>
      </c>
      <c r="D5" s="34">
        <f t="shared" si="0"/>
        <v>13950</v>
      </c>
      <c r="E5" s="34">
        <f t="shared" si="0"/>
        <v>282.83190000000002</v>
      </c>
      <c r="F5" s="34">
        <f t="shared" si="0"/>
        <v>250.92000000000002</v>
      </c>
      <c r="G5" s="34">
        <f t="shared" si="0"/>
        <v>25092</v>
      </c>
      <c r="H5" s="34">
        <f t="shared" si="0"/>
        <v>745.28930000000003</v>
      </c>
      <c r="I5" s="29">
        <f t="shared" si="0"/>
        <v>1450845</v>
      </c>
      <c r="J5" s="29">
        <f t="shared" si="0"/>
        <v>1450845</v>
      </c>
      <c r="K5" s="34">
        <f t="shared" si="0"/>
        <v>551.59299999999996</v>
      </c>
      <c r="L5" s="34">
        <f>SUM(L6:L8)</f>
        <v>1489887</v>
      </c>
      <c r="M5" s="34">
        <f t="shared" si="0"/>
        <v>1579.7147500000001</v>
      </c>
      <c r="N5" s="34">
        <f>N8</f>
        <v>6912</v>
      </c>
      <c r="O5" s="34">
        <f>O8</f>
        <v>7.45</v>
      </c>
    </row>
    <row r="6" spans="1:15" x14ac:dyDescent="0.2">
      <c r="A6" s="22">
        <v>43922</v>
      </c>
      <c r="B6" s="31">
        <v>18</v>
      </c>
      <c r="C6" s="31">
        <v>50.837699999999998</v>
      </c>
      <c r="D6" s="31">
        <v>9581</v>
      </c>
      <c r="E6" s="31">
        <v>213.02189999999999</v>
      </c>
      <c r="F6" s="31">
        <v>159.34</v>
      </c>
      <c r="G6" s="31">
        <v>15934</v>
      </c>
      <c r="H6" s="31">
        <v>472.86930000000001</v>
      </c>
      <c r="I6" s="31">
        <v>655886</v>
      </c>
      <c r="J6" s="31">
        <v>655886</v>
      </c>
      <c r="K6" s="46">
        <v>250.5</v>
      </c>
      <c r="L6" s="254">
        <v>681401</v>
      </c>
      <c r="M6" s="254">
        <v>936.39175</v>
      </c>
      <c r="N6" s="31">
        <v>14307</v>
      </c>
      <c r="O6" s="46">
        <v>19.649999999999999</v>
      </c>
    </row>
    <row r="7" spans="1:15" x14ac:dyDescent="0.2">
      <c r="A7" s="22">
        <v>43953</v>
      </c>
      <c r="B7" s="31">
        <v>21</v>
      </c>
      <c r="C7" s="31">
        <v>10.79</v>
      </c>
      <c r="D7" s="31">
        <v>3048</v>
      </c>
      <c r="E7" s="31">
        <v>53.65</v>
      </c>
      <c r="F7" s="31">
        <v>83.18</v>
      </c>
      <c r="G7" s="31">
        <v>8318</v>
      </c>
      <c r="H7" s="31">
        <v>246.82</v>
      </c>
      <c r="I7" s="31">
        <v>641368</v>
      </c>
      <c r="J7" s="31">
        <v>641368</v>
      </c>
      <c r="K7" s="46">
        <v>242.99</v>
      </c>
      <c r="L7" s="254">
        <v>652734</v>
      </c>
      <c r="M7" s="254">
        <v>543.46</v>
      </c>
      <c r="N7" s="31">
        <v>10497</v>
      </c>
      <c r="O7" s="46">
        <v>15.64</v>
      </c>
    </row>
    <row r="8" spans="1:15" x14ac:dyDescent="0.2">
      <c r="A8" s="22">
        <v>43985</v>
      </c>
      <c r="B8" s="31">
        <v>22</v>
      </c>
      <c r="C8" s="31">
        <v>1.321</v>
      </c>
      <c r="D8" s="31">
        <v>1321</v>
      </c>
      <c r="E8" s="31">
        <v>16.16</v>
      </c>
      <c r="F8" s="31">
        <v>8.4</v>
      </c>
      <c r="G8" s="31">
        <v>840</v>
      </c>
      <c r="H8" s="31">
        <v>25.6</v>
      </c>
      <c r="I8" s="31">
        <v>153591</v>
      </c>
      <c r="J8" s="31">
        <v>153591</v>
      </c>
      <c r="K8" s="46">
        <v>58.103000000000002</v>
      </c>
      <c r="L8" s="254">
        <v>155752</v>
      </c>
      <c r="M8" s="254">
        <v>99.863</v>
      </c>
      <c r="N8" s="40">
        <v>6912</v>
      </c>
      <c r="O8" s="49">
        <v>7.45</v>
      </c>
    </row>
    <row r="9" spans="1:15" x14ac:dyDescent="0.2">
      <c r="B9" s="262"/>
      <c r="C9" s="262"/>
      <c r="D9" s="262"/>
      <c r="E9" s="262"/>
      <c r="F9" s="262"/>
      <c r="G9" s="262"/>
      <c r="H9" s="262"/>
      <c r="I9" s="262"/>
      <c r="J9" s="262"/>
      <c r="K9" s="262"/>
      <c r="L9" s="262"/>
      <c r="M9" s="262"/>
    </row>
    <row r="10" spans="1:15" x14ac:dyDescent="0.2">
      <c r="A10" s="47" t="s">
        <v>1102</v>
      </c>
      <c r="B10" s="48"/>
      <c r="I10" s="48"/>
      <c r="J10" s="48"/>
      <c r="K10" s="48"/>
      <c r="L10" s="48"/>
    </row>
    <row r="11" spans="1:15" x14ac:dyDescent="0.2">
      <c r="A11" s="47" t="str">
        <f>'[1]65'!A11</f>
        <v>$ indicates as on June 30, 2020</v>
      </c>
      <c r="B11" s="48"/>
      <c r="I11" s="48"/>
      <c r="J11" s="48"/>
      <c r="K11" s="48"/>
      <c r="L11" s="48"/>
    </row>
    <row r="12" spans="1:15" ht="13.5" customHeight="1" x14ac:dyDescent="0.2">
      <c r="A12" s="25" t="s">
        <v>619</v>
      </c>
      <c r="G12" s="43" t="s">
        <v>601</v>
      </c>
    </row>
  </sheetData>
  <mergeCells count="7">
    <mergeCell ref="I2:K2"/>
    <mergeCell ref="L2:M2"/>
    <mergeCell ref="N2:O2"/>
    <mergeCell ref="A2:A3"/>
    <mergeCell ref="B2:B3"/>
    <mergeCell ref="C2:E2"/>
    <mergeCell ref="F2:H2"/>
  </mergeCells>
  <pageMargins left="0.78431372549019618" right="0.78431372549019618" top="0.98039215686274517" bottom="0.98039215686274517" header="0.50980392156862753" footer="0.50980392156862753"/>
  <pageSetup paperSize="9" orientation="portrait" useFirstPageNumber="1" r:id="rId1"/>
  <headerFooter alignWithMargins="0"/>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28"/>
  <sheetViews>
    <sheetView zoomScaleNormal="100" workbookViewId="0">
      <selection activeCell="O16" sqref="O16"/>
    </sheetView>
  </sheetViews>
  <sheetFormatPr defaultRowHeight="12.75" x14ac:dyDescent="0.2"/>
  <cols>
    <col min="1" max="2" width="9.140625" style="673"/>
    <col min="3" max="3" width="10.5703125" style="673" bestFit="1" customWidth="1"/>
    <col min="4" max="4" width="9.28515625" style="673" bestFit="1" customWidth="1"/>
    <col min="5" max="5" width="10.5703125" style="673" bestFit="1" customWidth="1"/>
    <col min="6" max="6" width="9.28515625" style="673" bestFit="1" customWidth="1"/>
    <col min="7" max="7" width="10.5703125" style="673" bestFit="1" customWidth="1"/>
    <col min="8" max="8" width="13.7109375" style="673" customWidth="1"/>
    <col min="9" max="9" width="10.42578125" style="673" customWidth="1"/>
    <col min="10" max="15" width="9.140625" style="673"/>
    <col min="16" max="16" width="10.85546875" style="673" bestFit="1" customWidth="1"/>
    <col min="17" max="17" width="11.28515625" style="673" customWidth="1"/>
    <col min="18" max="18" width="9.140625" style="673" customWidth="1"/>
    <col min="19" max="16384" width="9.140625" style="673"/>
  </cols>
  <sheetData>
    <row r="1" spans="1:18" ht="15" x14ac:dyDescent="0.2">
      <c r="A1" s="1083" t="s">
        <v>1037</v>
      </c>
      <c r="B1" s="1083"/>
      <c r="C1" s="1083"/>
      <c r="D1" s="1083"/>
      <c r="E1" s="1083"/>
      <c r="F1" s="1083"/>
      <c r="G1" s="1083"/>
      <c r="H1" s="1083"/>
      <c r="I1" s="1083"/>
      <c r="J1" s="1083"/>
      <c r="K1" s="1083"/>
      <c r="L1" s="1083"/>
      <c r="M1" s="1083"/>
      <c r="N1" s="1083"/>
      <c r="O1" s="1083"/>
      <c r="P1" s="1083"/>
      <c r="Q1" s="1083"/>
      <c r="R1" s="1083"/>
    </row>
    <row r="2" spans="1:18" ht="15" x14ac:dyDescent="0.2">
      <c r="A2" s="1085" t="s">
        <v>506</v>
      </c>
      <c r="B2" s="1085"/>
      <c r="C2" s="1085"/>
      <c r="D2" s="1085"/>
      <c r="E2" s="1085"/>
      <c r="F2" s="1085"/>
      <c r="G2" s="1085"/>
      <c r="H2" s="1085"/>
      <c r="I2" s="1085"/>
      <c r="J2" s="1085"/>
      <c r="K2" s="1085"/>
      <c r="L2" s="1085"/>
      <c r="M2" s="1085"/>
      <c r="N2" s="1085"/>
      <c r="O2" s="1085"/>
      <c r="P2" s="1085"/>
      <c r="Q2" s="1085"/>
      <c r="R2" s="1085"/>
    </row>
    <row r="3" spans="1:18" ht="30" customHeight="1" x14ac:dyDescent="0.2">
      <c r="A3" s="1049" t="s">
        <v>448</v>
      </c>
      <c r="B3" s="1049" t="s">
        <v>523</v>
      </c>
      <c r="C3" s="1049" t="s">
        <v>860</v>
      </c>
      <c r="D3" s="1049"/>
      <c r="E3" s="1049"/>
      <c r="F3" s="1058" t="s">
        <v>510</v>
      </c>
      <c r="G3" s="1086"/>
      <c r="H3" s="1059"/>
      <c r="I3" s="1058" t="s">
        <v>598</v>
      </c>
      <c r="J3" s="1086"/>
      <c r="K3" s="1059"/>
      <c r="L3" s="1058" t="s">
        <v>508</v>
      </c>
      <c r="M3" s="1086"/>
      <c r="N3" s="1059"/>
      <c r="O3" s="1058" t="s">
        <v>67</v>
      </c>
      <c r="P3" s="1059"/>
      <c r="Q3" s="1049" t="s">
        <v>526</v>
      </c>
      <c r="R3" s="1049"/>
    </row>
    <row r="4" spans="1:18" ht="38.25" x14ac:dyDescent="0.2">
      <c r="A4" s="1049"/>
      <c r="B4" s="1049"/>
      <c r="C4" s="8" t="s">
        <v>620</v>
      </c>
      <c r="D4" s="8" t="s">
        <v>525</v>
      </c>
      <c r="E4" s="8" t="s">
        <v>1066</v>
      </c>
      <c r="F4" s="8" t="s">
        <v>620</v>
      </c>
      <c r="G4" s="8" t="s">
        <v>525</v>
      </c>
      <c r="H4" s="8" t="s">
        <v>1066</v>
      </c>
      <c r="I4" s="8" t="s">
        <v>620</v>
      </c>
      <c r="J4" s="8" t="s">
        <v>525</v>
      </c>
      <c r="K4" s="8" t="s">
        <v>1066</v>
      </c>
      <c r="L4" s="8" t="s">
        <v>620</v>
      </c>
      <c r="M4" s="8" t="s">
        <v>525</v>
      </c>
      <c r="N4" s="8" t="s">
        <v>1066</v>
      </c>
      <c r="O4" s="8" t="s">
        <v>525</v>
      </c>
      <c r="P4" s="8" t="s">
        <v>1066</v>
      </c>
      <c r="Q4" s="702" t="s">
        <v>525</v>
      </c>
      <c r="R4" s="8" t="s">
        <v>1067</v>
      </c>
    </row>
    <row r="5" spans="1:18" x14ac:dyDescent="0.2">
      <c r="A5" s="702" t="s">
        <v>73</v>
      </c>
      <c r="B5" s="29">
        <v>259</v>
      </c>
      <c r="C5" s="38">
        <v>0.874</v>
      </c>
      <c r="D5" s="29">
        <v>874</v>
      </c>
      <c r="E5" s="29">
        <v>39.275199999999998</v>
      </c>
      <c r="F5" s="38">
        <v>0.49412000000000017</v>
      </c>
      <c r="G5" s="29">
        <v>41682</v>
      </c>
      <c r="H5" s="29">
        <v>8836.5611850000005</v>
      </c>
      <c r="I5" s="29">
        <v>422.85129336971352</v>
      </c>
      <c r="J5" s="29">
        <v>30995</v>
      </c>
      <c r="K5" s="29">
        <v>1246.95</v>
      </c>
      <c r="L5" s="29">
        <v>6825.5123999999996</v>
      </c>
      <c r="M5" s="29">
        <v>834466</v>
      </c>
      <c r="N5" s="29">
        <v>36315.928845000002</v>
      </c>
      <c r="O5" s="29">
        <v>908017</v>
      </c>
      <c r="P5" s="29">
        <v>46438.715230000002</v>
      </c>
      <c r="Q5" s="29">
        <v>1</v>
      </c>
      <c r="R5" s="39">
        <v>0.03</v>
      </c>
    </row>
    <row r="6" spans="1:18" x14ac:dyDescent="0.2">
      <c r="A6" s="702" t="s">
        <v>76</v>
      </c>
      <c r="B6" s="29">
        <f>SUM(B7:B9)</f>
        <v>60</v>
      </c>
      <c r="C6" s="39">
        <f>SUM(C7:C9)</f>
        <v>0</v>
      </c>
      <c r="D6" s="39">
        <f t="shared" ref="D6:P6" si="0">SUM(D7:D9)</f>
        <v>0</v>
      </c>
      <c r="E6" s="39">
        <f t="shared" si="0"/>
        <v>0</v>
      </c>
      <c r="F6" s="721">
        <f t="shared" si="0"/>
        <v>6.3370000000000006E-4</v>
      </c>
      <c r="G6" s="29">
        <f t="shared" si="0"/>
        <v>123</v>
      </c>
      <c r="H6" s="37">
        <f t="shared" si="0"/>
        <v>18.64</v>
      </c>
      <c r="I6" s="38">
        <f t="shared" si="0"/>
        <v>0.35470668499999997</v>
      </c>
      <c r="J6" s="29">
        <f t="shared" si="0"/>
        <v>26</v>
      </c>
      <c r="K6" s="38">
        <f t="shared" si="0"/>
        <v>0.57201000000000002</v>
      </c>
      <c r="L6" s="29">
        <f t="shared" si="0"/>
        <v>680.94624999999996</v>
      </c>
      <c r="M6" s="29">
        <f t="shared" si="0"/>
        <v>87051</v>
      </c>
      <c r="N6" s="29">
        <f t="shared" si="0"/>
        <v>3414.5131299999998</v>
      </c>
      <c r="O6" s="29">
        <f>SUM(O7:O9)</f>
        <v>87200</v>
      </c>
      <c r="P6" s="29">
        <f t="shared" si="0"/>
        <v>3433.72514</v>
      </c>
      <c r="Q6" s="29">
        <f>Q9</f>
        <v>86</v>
      </c>
      <c r="R6" s="37">
        <f>R9</f>
        <v>4.5199999999999996</v>
      </c>
    </row>
    <row r="7" spans="1:18" x14ac:dyDescent="0.2">
      <c r="A7" s="30">
        <v>43922</v>
      </c>
      <c r="B7" s="40">
        <v>18</v>
      </c>
      <c r="C7" s="722">
        <v>0</v>
      </c>
      <c r="D7" s="40">
        <v>0</v>
      </c>
      <c r="E7" s="49">
        <v>0</v>
      </c>
      <c r="F7" s="723">
        <v>0</v>
      </c>
      <c r="G7" s="40">
        <v>0</v>
      </c>
      <c r="H7" s="49">
        <v>0</v>
      </c>
      <c r="I7" s="40">
        <v>0</v>
      </c>
      <c r="J7" s="40">
        <v>0</v>
      </c>
      <c r="K7" s="49">
        <v>0</v>
      </c>
      <c r="L7" s="40">
        <v>200.38050000000001</v>
      </c>
      <c r="M7" s="49">
        <v>25734</v>
      </c>
      <c r="N7" s="49">
        <v>1001.73313</v>
      </c>
      <c r="O7" s="40">
        <v>25734</v>
      </c>
      <c r="P7" s="40">
        <v>1001.73313</v>
      </c>
      <c r="Q7" s="40">
        <v>0</v>
      </c>
      <c r="R7" s="40">
        <v>0</v>
      </c>
    </row>
    <row r="8" spans="1:18" x14ac:dyDescent="0.2">
      <c r="A8" s="30">
        <v>43953</v>
      </c>
      <c r="B8" s="40">
        <v>20</v>
      </c>
      <c r="C8" s="722">
        <v>0</v>
      </c>
      <c r="D8" s="40">
        <v>0</v>
      </c>
      <c r="E8" s="49">
        <v>0</v>
      </c>
      <c r="F8" s="723">
        <v>0</v>
      </c>
      <c r="G8" s="40">
        <v>0</v>
      </c>
      <c r="H8" s="49">
        <v>0</v>
      </c>
      <c r="I8" s="256">
        <v>0.35470668499999997</v>
      </c>
      <c r="J8" s="40">
        <v>26</v>
      </c>
      <c r="K8" s="41">
        <v>0.57201000000000002</v>
      </c>
      <c r="L8" s="40">
        <v>165.684</v>
      </c>
      <c r="M8" s="49">
        <v>21380</v>
      </c>
      <c r="N8" s="49">
        <v>847.49</v>
      </c>
      <c r="O8" s="40">
        <v>21406</v>
      </c>
      <c r="P8" s="40">
        <v>848.06200999999999</v>
      </c>
      <c r="Q8" s="40">
        <v>50</v>
      </c>
      <c r="R8" s="40">
        <v>2.64</v>
      </c>
    </row>
    <row r="9" spans="1:18" x14ac:dyDescent="0.2">
      <c r="A9" s="30">
        <v>43985</v>
      </c>
      <c r="B9" s="40">
        <v>22</v>
      </c>
      <c r="C9" s="722">
        <v>0</v>
      </c>
      <c r="D9" s="40">
        <v>0</v>
      </c>
      <c r="E9" s="49">
        <v>0</v>
      </c>
      <c r="F9" s="724">
        <v>6.3370000000000006E-4</v>
      </c>
      <c r="G9" s="40">
        <v>123</v>
      </c>
      <c r="H9" s="49">
        <v>18.64</v>
      </c>
      <c r="I9" s="256">
        <v>0</v>
      </c>
      <c r="J9" s="40">
        <v>0</v>
      </c>
      <c r="K9" s="41">
        <v>0</v>
      </c>
      <c r="L9" s="40">
        <v>314.88175000000001</v>
      </c>
      <c r="M9" s="49">
        <v>39937</v>
      </c>
      <c r="N9" s="49">
        <v>1565.29</v>
      </c>
      <c r="O9" s="40">
        <v>40060</v>
      </c>
      <c r="P9" s="40">
        <v>1583.93</v>
      </c>
      <c r="Q9" s="40">
        <v>86</v>
      </c>
      <c r="R9" s="40">
        <v>4.5199999999999996</v>
      </c>
    </row>
    <row r="10" spans="1:18" x14ac:dyDescent="0.2">
      <c r="A10" s="263"/>
      <c r="B10" s="263"/>
      <c r="C10" s="263"/>
      <c r="D10" s="263"/>
      <c r="E10" s="263"/>
      <c r="F10" s="263"/>
      <c r="G10" s="263"/>
      <c r="H10" s="263"/>
      <c r="I10" s="263"/>
      <c r="J10" s="263"/>
      <c r="K10" s="263"/>
      <c r="L10" s="263"/>
      <c r="M10" s="263"/>
      <c r="N10" s="263"/>
      <c r="O10" s="263"/>
      <c r="P10" s="263"/>
      <c r="Q10" s="263"/>
      <c r="R10" s="263"/>
    </row>
    <row r="11" spans="1:18" x14ac:dyDescent="0.2">
      <c r="A11" s="263"/>
      <c r="B11" s="263"/>
      <c r="C11" s="263"/>
      <c r="D11" s="263"/>
      <c r="E11" s="263"/>
      <c r="F11" s="263"/>
      <c r="G11" s="263"/>
      <c r="H11" s="263"/>
      <c r="I11" s="263"/>
      <c r="J11" s="263"/>
      <c r="K11" s="263"/>
      <c r="L11" s="263"/>
      <c r="M11" s="263"/>
      <c r="N11" s="263"/>
      <c r="O11" s="263"/>
      <c r="P11" s="263"/>
      <c r="Q11" s="263"/>
      <c r="R11" s="263"/>
    </row>
    <row r="12" spans="1:18" x14ac:dyDescent="0.2">
      <c r="A12" s="1088" t="s">
        <v>507</v>
      </c>
      <c r="B12" s="1088"/>
      <c r="C12" s="1088"/>
      <c r="D12" s="1088"/>
      <c r="E12" s="1088"/>
      <c r="F12" s="1088"/>
      <c r="G12" s="1088"/>
      <c r="H12" s="1088"/>
      <c r="I12" s="1088"/>
      <c r="J12" s="1088"/>
      <c r="K12" s="725"/>
      <c r="L12" s="725"/>
      <c r="M12" s="725"/>
      <c r="N12" s="725"/>
      <c r="O12" s="725"/>
      <c r="P12" s="725"/>
      <c r="Q12" s="725"/>
      <c r="R12" s="725"/>
    </row>
    <row r="13" spans="1:18" ht="25.15" customHeight="1" x14ac:dyDescent="0.2">
      <c r="A13" s="1052" t="s">
        <v>611</v>
      </c>
      <c r="B13" s="1052" t="s">
        <v>523</v>
      </c>
      <c r="C13" s="1053" t="s">
        <v>513</v>
      </c>
      <c r="D13" s="1053"/>
      <c r="E13" s="1053"/>
      <c r="F13" s="1053"/>
      <c r="G13" s="1053" t="s">
        <v>67</v>
      </c>
      <c r="H13" s="1089"/>
      <c r="I13" s="1053" t="s">
        <v>526</v>
      </c>
      <c r="J13" s="1053"/>
      <c r="K13" s="725"/>
      <c r="L13" s="725"/>
      <c r="M13" s="725"/>
      <c r="N13" s="725"/>
      <c r="O13" s="725"/>
      <c r="P13" s="725"/>
      <c r="Q13" s="725"/>
      <c r="R13" s="725"/>
    </row>
    <row r="14" spans="1:18" x14ac:dyDescent="0.2">
      <c r="A14" s="1052"/>
      <c r="B14" s="1052"/>
      <c r="C14" s="1054" t="s">
        <v>936</v>
      </c>
      <c r="D14" s="1054"/>
      <c r="E14" s="1054" t="s">
        <v>937</v>
      </c>
      <c r="F14" s="1054"/>
      <c r="G14" s="1047" t="s">
        <v>525</v>
      </c>
      <c r="H14" s="1060" t="s">
        <v>1066</v>
      </c>
      <c r="I14" s="1052" t="s">
        <v>525</v>
      </c>
      <c r="J14" s="1052" t="s">
        <v>1068</v>
      </c>
      <c r="K14" s="725"/>
      <c r="L14" s="725" t="s">
        <v>601</v>
      </c>
      <c r="M14" s="725"/>
      <c r="N14" s="725"/>
      <c r="O14" s="725"/>
      <c r="P14" s="725"/>
      <c r="Q14" s="725"/>
      <c r="R14" s="725"/>
    </row>
    <row r="15" spans="1:18" ht="37.5" customHeight="1" x14ac:dyDescent="0.2">
      <c r="A15" s="1052"/>
      <c r="B15" s="1052"/>
      <c r="C15" s="705" t="s">
        <v>525</v>
      </c>
      <c r="D15" s="702" t="s">
        <v>1066</v>
      </c>
      <c r="E15" s="705" t="s">
        <v>525</v>
      </c>
      <c r="F15" s="702" t="s">
        <v>1066</v>
      </c>
      <c r="G15" s="1048"/>
      <c r="H15" s="1084"/>
      <c r="I15" s="1052"/>
      <c r="J15" s="1052"/>
      <c r="K15" s="725"/>
      <c r="L15" s="725"/>
      <c r="M15" s="725"/>
      <c r="N15" s="725"/>
      <c r="O15" s="725"/>
      <c r="P15" s="725"/>
      <c r="Q15" s="725"/>
      <c r="R15" s="725"/>
    </row>
    <row r="16" spans="1:18" x14ac:dyDescent="0.2">
      <c r="A16" s="264" t="s">
        <v>76</v>
      </c>
      <c r="B16" s="726">
        <v>22</v>
      </c>
      <c r="C16" s="727">
        <v>298958</v>
      </c>
      <c r="D16" s="727">
        <v>13332.21</v>
      </c>
      <c r="E16" s="727">
        <v>294684</v>
      </c>
      <c r="F16" s="727">
        <v>13484.56</v>
      </c>
      <c r="G16" s="728">
        <v>593642</v>
      </c>
      <c r="H16" s="729">
        <v>26816.769999999997</v>
      </c>
      <c r="I16" s="730">
        <f>I17</f>
        <v>389</v>
      </c>
      <c r="J16" s="730">
        <f>J17</f>
        <v>0.11</v>
      </c>
      <c r="K16" s="725"/>
      <c r="L16" s="731"/>
      <c r="M16" s="732"/>
      <c r="N16" s="725"/>
      <c r="O16" s="725"/>
      <c r="P16" s="725"/>
      <c r="Q16" s="725"/>
      <c r="R16" s="725"/>
    </row>
    <row r="17" spans="1:18" x14ac:dyDescent="0.2">
      <c r="A17" s="733">
        <v>43983</v>
      </c>
      <c r="B17" s="40">
        <v>22</v>
      </c>
      <c r="C17" s="734">
        <v>298958</v>
      </c>
      <c r="D17" s="734">
        <v>13332.21</v>
      </c>
      <c r="E17" s="734">
        <v>294684</v>
      </c>
      <c r="F17" s="734">
        <v>13484.56</v>
      </c>
      <c r="G17" s="734">
        <v>593642</v>
      </c>
      <c r="H17" s="734">
        <v>26816.769999999997</v>
      </c>
      <c r="I17" s="735">
        <v>389</v>
      </c>
      <c r="J17" s="735">
        <v>0.11</v>
      </c>
      <c r="K17" s="725"/>
      <c r="L17" s="725"/>
      <c r="M17" s="725"/>
      <c r="N17" s="725"/>
      <c r="O17" s="725"/>
      <c r="P17" s="725"/>
      <c r="Q17" s="725"/>
      <c r="R17" s="725"/>
    </row>
    <row r="18" spans="1:18" x14ac:dyDescent="0.2">
      <c r="A18" s="736" t="s">
        <v>1103</v>
      </c>
      <c r="B18" s="263"/>
      <c r="C18" s="737"/>
      <c r="D18" s="737"/>
      <c r="E18" s="737"/>
      <c r="F18" s="737"/>
      <c r="G18" s="737"/>
      <c r="H18" s="737"/>
      <c r="I18" s="738"/>
      <c r="J18" s="738"/>
      <c r="K18" s="725"/>
      <c r="L18" s="725"/>
      <c r="M18" s="725"/>
      <c r="N18" s="725"/>
      <c r="O18" s="725"/>
      <c r="P18" s="725"/>
      <c r="Q18" s="725"/>
      <c r="R18" s="725"/>
    </row>
    <row r="19" spans="1:18" x14ac:dyDescent="0.2">
      <c r="A19" s="7" t="str">
        <f>'[1]1'!A8</f>
        <v>$ indicates as on June 30, 2020</v>
      </c>
      <c r="B19" s="33"/>
      <c r="C19" s="33"/>
      <c r="D19" s="33"/>
      <c r="E19" s="33"/>
      <c r="F19" s="33"/>
      <c r="G19" s="33"/>
      <c r="H19" s="707"/>
      <c r="I19" s="707"/>
      <c r="J19" s="707"/>
      <c r="K19" s="707"/>
      <c r="L19" s="707"/>
      <c r="M19" s="707"/>
      <c r="N19" s="707"/>
      <c r="O19" s="707"/>
      <c r="P19" s="707"/>
      <c r="Q19" s="263"/>
      <c r="R19" s="449"/>
    </row>
    <row r="20" spans="1:18" x14ac:dyDescent="0.2">
      <c r="A20" s="1087" t="s">
        <v>861</v>
      </c>
      <c r="B20" s="1087"/>
      <c r="C20" s="1087"/>
      <c r="D20" s="1087"/>
      <c r="E20" s="1087"/>
      <c r="F20" s="1087"/>
      <c r="G20" s="1087"/>
      <c r="H20" s="1087"/>
      <c r="I20" s="1087"/>
      <c r="J20" s="33"/>
      <c r="K20" s="33"/>
      <c r="L20" s="33"/>
      <c r="M20" s="33"/>
      <c r="N20" s="33"/>
      <c r="O20" s="33"/>
      <c r="P20" s="33"/>
      <c r="Q20" s="263"/>
      <c r="R20" s="449"/>
    </row>
    <row r="21" spans="1:18" x14ac:dyDescent="0.2">
      <c r="A21" s="18" t="s">
        <v>383</v>
      </c>
      <c r="B21" s="7"/>
      <c r="C21" s="7"/>
      <c r="D21" s="7"/>
      <c r="E21" s="7"/>
      <c r="F21" s="7"/>
      <c r="G21" s="706"/>
      <c r="H21" s="707" t="s">
        <v>601</v>
      </c>
      <c r="I21" s="13"/>
      <c r="J21" s="706"/>
      <c r="K21" s="706"/>
      <c r="L21" s="739"/>
      <c r="M21" s="706"/>
      <c r="N21" s="707"/>
      <c r="O21" s="7"/>
      <c r="P21" s="7"/>
      <c r="Q21" s="7"/>
      <c r="R21" s="7"/>
    </row>
    <row r="22" spans="1:18" x14ac:dyDescent="0.2">
      <c r="A22" s="18"/>
      <c r="B22" s="7"/>
      <c r="C22" s="7"/>
      <c r="D22" s="7"/>
      <c r="E22" s="7"/>
      <c r="F22" s="7"/>
      <c r="G22" s="7"/>
      <c r="H22" s="7"/>
      <c r="I22" s="706"/>
      <c r="J22" s="7" t="s">
        <v>601</v>
      </c>
      <c r="K22" s="7"/>
      <c r="L22" s="7"/>
      <c r="M22" s="7"/>
      <c r="N22" s="7"/>
      <c r="O22" s="7"/>
      <c r="P22" s="7"/>
      <c r="Q22" s="7"/>
      <c r="R22" s="7"/>
    </row>
    <row r="24" spans="1:18" x14ac:dyDescent="0.2">
      <c r="P24" s="740"/>
    </row>
    <row r="25" spans="1:18" x14ac:dyDescent="0.2">
      <c r="H25" s="740"/>
      <c r="P25" s="740"/>
      <c r="Q25" s="740"/>
    </row>
    <row r="26" spans="1:18" x14ac:dyDescent="0.2">
      <c r="H26" s="740"/>
      <c r="P26" s="740"/>
    </row>
    <row r="27" spans="1:18" x14ac:dyDescent="0.2">
      <c r="P27" s="740"/>
    </row>
    <row r="28" spans="1:18" x14ac:dyDescent="0.2">
      <c r="H28" s="740"/>
      <c r="P28" s="740"/>
    </row>
  </sheetData>
  <mergeCells count="23">
    <mergeCell ref="A20:I20"/>
    <mergeCell ref="A12:J12"/>
    <mergeCell ref="A13:A15"/>
    <mergeCell ref="B13:B15"/>
    <mergeCell ref="C13:F13"/>
    <mergeCell ref="G13:H13"/>
    <mergeCell ref="I13:J13"/>
    <mergeCell ref="C14:D14"/>
    <mergeCell ref="I14:I15"/>
    <mergeCell ref="J14:J15"/>
    <mergeCell ref="Q3:R3"/>
    <mergeCell ref="A1:R1"/>
    <mergeCell ref="E14:F14"/>
    <mergeCell ref="G14:G15"/>
    <mergeCell ref="H14:H15"/>
    <mergeCell ref="A2:R2"/>
    <mergeCell ref="A3:A4"/>
    <mergeCell ref="B3:B4"/>
    <mergeCell ref="C3:E3"/>
    <mergeCell ref="O3:P3"/>
    <mergeCell ref="F3:H3"/>
    <mergeCell ref="I3:K3"/>
    <mergeCell ref="L3:N3"/>
  </mergeCells>
  <pageMargins left="0.78431372549019618" right="0.78431372549019618" top="0.98039215686274517" bottom="0.98039215686274517" header="0.50980392156862753" footer="0.50980392156862753"/>
  <pageSetup paperSize="9" orientation="portrait" useFirstPageNumber="1" r:id="rId1"/>
  <headerFooter alignWithMargins="0"/>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31"/>
  <sheetViews>
    <sheetView zoomScaleNormal="100" workbookViewId="0">
      <selection activeCell="M21" sqref="M21"/>
    </sheetView>
  </sheetViews>
  <sheetFormatPr defaultRowHeight="15.75" x14ac:dyDescent="0.25"/>
  <cols>
    <col min="1" max="1" width="9.140625" style="51"/>
    <col min="2" max="2" width="9.5703125" style="51" bestFit="1" customWidth="1"/>
    <col min="3" max="4" width="9.140625" style="51"/>
    <col min="5" max="5" width="11.7109375" style="51" customWidth="1"/>
    <col min="6" max="7" width="9.140625" style="51"/>
    <col min="8" max="8" width="9.7109375" style="51" bestFit="1" customWidth="1"/>
    <col min="9" max="9" width="10.7109375" style="51" customWidth="1"/>
    <col min="10" max="10" width="10.42578125" style="51" customWidth="1"/>
    <col min="11" max="11" width="15.28515625" style="51" customWidth="1"/>
    <col min="12" max="12" width="9.140625" style="51"/>
    <col min="13" max="13" width="9.42578125" style="51" bestFit="1" customWidth="1"/>
    <col min="14" max="16384" width="9.140625" style="51"/>
  </cols>
  <sheetData>
    <row r="1" spans="1:12" x14ac:dyDescent="0.25">
      <c r="A1" s="50" t="s">
        <v>1038</v>
      </c>
    </row>
    <row r="2" spans="1:12" x14ac:dyDescent="0.25">
      <c r="A2" s="1090" t="s">
        <v>506</v>
      </c>
      <c r="B2" s="1090"/>
      <c r="C2" s="1090"/>
      <c r="D2" s="1090"/>
      <c r="E2" s="1090"/>
      <c r="F2" s="1090"/>
      <c r="G2" s="1090"/>
      <c r="H2" s="1090"/>
      <c r="I2" s="1090"/>
      <c r="J2" s="1090"/>
      <c r="K2" s="1090"/>
      <c r="L2" s="1090"/>
    </row>
    <row r="3" spans="1:12" ht="45.6" customHeight="1" x14ac:dyDescent="0.25">
      <c r="A3" s="1091" t="s">
        <v>448</v>
      </c>
      <c r="B3" s="1091" t="s">
        <v>523</v>
      </c>
      <c r="C3" s="1091" t="s">
        <v>510</v>
      </c>
      <c r="D3" s="1091"/>
      <c r="E3" s="1091"/>
      <c r="F3" s="1092" t="s">
        <v>511</v>
      </c>
      <c r="G3" s="1093"/>
      <c r="H3" s="1094"/>
      <c r="I3" s="1092" t="s">
        <v>67</v>
      </c>
      <c r="J3" s="1094"/>
      <c r="K3" s="1092" t="s">
        <v>526</v>
      </c>
      <c r="L3" s="1094"/>
    </row>
    <row r="4" spans="1:12" ht="47.25" x14ac:dyDescent="0.25">
      <c r="A4" s="1091"/>
      <c r="B4" s="1091"/>
      <c r="C4" s="184" t="s">
        <v>621</v>
      </c>
      <c r="D4" s="184" t="s">
        <v>525</v>
      </c>
      <c r="E4" s="184" t="s">
        <v>1066</v>
      </c>
      <c r="F4" s="184" t="s">
        <v>621</v>
      </c>
      <c r="G4" s="52" t="s">
        <v>525</v>
      </c>
      <c r="H4" s="52" t="s">
        <v>1066</v>
      </c>
      <c r="I4" s="52" t="s">
        <v>525</v>
      </c>
      <c r="J4" s="52" t="s">
        <v>1066</v>
      </c>
      <c r="K4" s="27" t="s">
        <v>525</v>
      </c>
      <c r="L4" s="184" t="s">
        <v>1067</v>
      </c>
    </row>
    <row r="5" spans="1:12" x14ac:dyDescent="0.25">
      <c r="A5" s="53" t="s">
        <v>73</v>
      </c>
      <c r="B5" s="54">
        <v>259</v>
      </c>
      <c r="C5" s="55">
        <v>2.1864300000000003E-2</v>
      </c>
      <c r="D5" s="54">
        <v>65928</v>
      </c>
      <c r="E5" s="54">
        <v>5773.6021940000001</v>
      </c>
      <c r="F5" s="56">
        <v>0.01</v>
      </c>
      <c r="G5" s="54">
        <v>79626</v>
      </c>
      <c r="H5" s="54">
        <v>588.69708099999991</v>
      </c>
      <c r="I5" s="54">
        <v>145554</v>
      </c>
      <c r="J5" s="54">
        <v>6362.0044560000006</v>
      </c>
      <c r="K5" s="54">
        <v>8</v>
      </c>
      <c r="L5" s="57">
        <v>0.33</v>
      </c>
    </row>
    <row r="6" spans="1:12" ht="15.75" customHeight="1" x14ac:dyDescent="0.25">
      <c r="A6" s="53" t="s">
        <v>76</v>
      </c>
      <c r="B6" s="54">
        <f>SUM(B7:B9)</f>
        <v>61</v>
      </c>
      <c r="C6" s="58">
        <f t="shared" ref="C6:J6" si="0">SUM(C7:C9)</f>
        <v>7.3810000000000021E-4</v>
      </c>
      <c r="D6" s="54">
        <f>SUM(D7:D9)</f>
        <v>7381</v>
      </c>
      <c r="E6" s="54">
        <f t="shared" si="0"/>
        <v>343.05717800000002</v>
      </c>
      <c r="F6" s="54">
        <f t="shared" si="0"/>
        <v>0</v>
      </c>
      <c r="G6" s="54">
        <f t="shared" si="0"/>
        <v>0</v>
      </c>
      <c r="H6" s="54">
        <f t="shared" si="0"/>
        <v>0</v>
      </c>
      <c r="I6" s="54">
        <f t="shared" si="0"/>
        <v>7381</v>
      </c>
      <c r="J6" s="54">
        <f t="shared" si="0"/>
        <v>343.05717800000002</v>
      </c>
      <c r="K6" s="54">
        <f>K9</f>
        <v>18</v>
      </c>
      <c r="L6" s="265">
        <f>L9</f>
        <v>0.87</v>
      </c>
    </row>
    <row r="7" spans="1:12" x14ac:dyDescent="0.25">
      <c r="A7" s="59">
        <v>43922</v>
      </c>
      <c r="B7" s="60">
        <v>18</v>
      </c>
      <c r="C7" s="61">
        <v>1.2560000000000002E-4</v>
      </c>
      <c r="D7" s="60">
        <v>1256</v>
      </c>
      <c r="E7" s="60">
        <v>57.360366999999997</v>
      </c>
      <c r="F7" s="62">
        <v>0</v>
      </c>
      <c r="G7" s="60">
        <v>0</v>
      </c>
      <c r="H7" s="60">
        <v>0</v>
      </c>
      <c r="I7" s="60">
        <v>1256</v>
      </c>
      <c r="J7" s="60">
        <v>57.360366999999997</v>
      </c>
      <c r="K7" s="60">
        <v>17</v>
      </c>
      <c r="L7" s="60">
        <v>0.76</v>
      </c>
    </row>
    <row r="8" spans="1:12" x14ac:dyDescent="0.25">
      <c r="A8" s="59">
        <v>43953</v>
      </c>
      <c r="B8" s="60">
        <v>21</v>
      </c>
      <c r="C8" s="61">
        <v>1.6510000000000006E-4</v>
      </c>
      <c r="D8" s="60">
        <v>1651</v>
      </c>
      <c r="E8" s="60">
        <v>76.517431000000016</v>
      </c>
      <c r="F8" s="62">
        <v>0</v>
      </c>
      <c r="G8" s="60">
        <v>0</v>
      </c>
      <c r="H8" s="60">
        <v>0</v>
      </c>
      <c r="I8" s="60">
        <v>1651</v>
      </c>
      <c r="J8" s="60">
        <v>76.517431000000016</v>
      </c>
      <c r="K8" s="60">
        <v>3</v>
      </c>
      <c r="L8" s="63">
        <v>0.14000000000000001</v>
      </c>
    </row>
    <row r="9" spans="1:12" x14ac:dyDescent="0.25">
      <c r="A9" s="59">
        <v>43985</v>
      </c>
      <c r="B9" s="60">
        <v>22</v>
      </c>
      <c r="C9" s="61">
        <v>4.4740000000000009E-4</v>
      </c>
      <c r="D9" s="60">
        <v>4474</v>
      </c>
      <c r="E9" s="60">
        <v>209.17937999999998</v>
      </c>
      <c r="F9" s="62">
        <v>0</v>
      </c>
      <c r="G9" s="60">
        <v>0</v>
      </c>
      <c r="H9" s="60">
        <v>0</v>
      </c>
      <c r="I9" s="60">
        <f>SUM(D9,G9)</f>
        <v>4474</v>
      </c>
      <c r="J9" s="60">
        <f>SUM(E9,H9)</f>
        <v>209.17937999999998</v>
      </c>
      <c r="K9" s="60">
        <v>18</v>
      </c>
      <c r="L9" s="266">
        <v>0.87</v>
      </c>
    </row>
    <row r="10" spans="1:12" x14ac:dyDescent="0.25">
      <c r="B10" s="67"/>
      <c r="C10" s="67"/>
      <c r="D10" s="67"/>
      <c r="E10" s="67"/>
      <c r="F10" s="67"/>
      <c r="G10" s="67"/>
      <c r="H10" s="67"/>
      <c r="I10" s="67"/>
      <c r="J10" s="65"/>
    </row>
    <row r="12" spans="1:12" x14ac:dyDescent="0.25">
      <c r="A12" s="1098" t="s">
        <v>507</v>
      </c>
      <c r="B12" s="1098"/>
      <c r="C12" s="1098"/>
      <c r="D12" s="1098"/>
      <c r="E12" s="1098"/>
      <c r="F12" s="1098"/>
      <c r="G12" s="1098"/>
      <c r="H12" s="1098"/>
      <c r="I12" s="1098"/>
      <c r="J12" s="1098"/>
    </row>
    <row r="13" spans="1:12" ht="27" customHeight="1" x14ac:dyDescent="0.25">
      <c r="A13" s="1097" t="s">
        <v>611</v>
      </c>
      <c r="B13" s="1097" t="s">
        <v>523</v>
      </c>
      <c r="C13" s="1099" t="s">
        <v>513</v>
      </c>
      <c r="D13" s="1099"/>
      <c r="E13" s="1099"/>
      <c r="F13" s="1099"/>
      <c r="G13" s="1099" t="s">
        <v>67</v>
      </c>
      <c r="H13" s="1100"/>
      <c r="I13" s="1099" t="s">
        <v>526</v>
      </c>
      <c r="J13" s="1099"/>
    </row>
    <row r="14" spans="1:12" ht="21" customHeight="1" x14ac:dyDescent="0.25">
      <c r="A14" s="1097"/>
      <c r="B14" s="1097"/>
      <c r="C14" s="1101" t="s">
        <v>936</v>
      </c>
      <c r="D14" s="1101"/>
      <c r="E14" s="1101" t="s">
        <v>937</v>
      </c>
      <c r="F14" s="1101"/>
      <c r="G14" s="1102" t="s">
        <v>525</v>
      </c>
      <c r="H14" s="1095" t="s">
        <v>1066</v>
      </c>
      <c r="I14" s="1097" t="s">
        <v>525</v>
      </c>
      <c r="J14" s="1097" t="s">
        <v>1068</v>
      </c>
    </row>
    <row r="15" spans="1:12" ht="38.25" customHeight="1" x14ac:dyDescent="0.25">
      <c r="A15" s="1097"/>
      <c r="B15" s="1097"/>
      <c r="C15" s="267" t="s">
        <v>525</v>
      </c>
      <c r="D15" s="52" t="s">
        <v>1066</v>
      </c>
      <c r="E15" s="267" t="s">
        <v>525</v>
      </c>
      <c r="F15" s="52" t="s">
        <v>1066</v>
      </c>
      <c r="G15" s="1103"/>
      <c r="H15" s="1096"/>
      <c r="I15" s="1097"/>
      <c r="J15" s="1097"/>
    </row>
    <row r="16" spans="1:12" x14ac:dyDescent="0.25">
      <c r="A16" s="268" t="s">
        <v>76</v>
      </c>
      <c r="B16" s="269">
        <v>22</v>
      </c>
      <c r="C16" s="270">
        <v>21403</v>
      </c>
      <c r="D16" s="270">
        <v>1028.3461460000001</v>
      </c>
      <c r="E16" s="270">
        <v>15232</v>
      </c>
      <c r="F16" s="270">
        <v>723.52905750000025</v>
      </c>
      <c r="G16" s="271">
        <v>36635</v>
      </c>
      <c r="H16" s="272">
        <v>1751.8752035000002</v>
      </c>
      <c r="I16" s="270">
        <v>1181</v>
      </c>
      <c r="J16" s="273">
        <v>56.33</v>
      </c>
    </row>
    <row r="17" spans="1:16" x14ac:dyDescent="0.25">
      <c r="A17" s="274">
        <v>43983</v>
      </c>
      <c r="B17" s="60">
        <v>22</v>
      </c>
      <c r="C17" s="275">
        <v>21403</v>
      </c>
      <c r="D17" s="275">
        <v>1028.3461460000001</v>
      </c>
      <c r="E17" s="275">
        <v>15232</v>
      </c>
      <c r="F17" s="275">
        <v>723.52905750000025</v>
      </c>
      <c r="G17" s="275">
        <f>SUM(C17,E17)</f>
        <v>36635</v>
      </c>
      <c r="H17" s="275">
        <f>SUM(D17,F17)</f>
        <v>1751.8752035000002</v>
      </c>
      <c r="I17" s="275">
        <v>1181</v>
      </c>
      <c r="J17" s="276">
        <v>56.33</v>
      </c>
    </row>
    <row r="18" spans="1:16" x14ac:dyDescent="0.25">
      <c r="A18" s="454" t="s">
        <v>1083</v>
      </c>
      <c r="B18" s="455"/>
      <c r="C18" s="456"/>
      <c r="D18" s="456"/>
      <c r="E18" s="456"/>
      <c r="F18" s="456"/>
      <c r="G18" s="456"/>
      <c r="H18" s="456"/>
      <c r="I18" s="456"/>
      <c r="J18" s="457"/>
    </row>
    <row r="19" spans="1:16" x14ac:dyDescent="0.25">
      <c r="A19" s="64" t="str">
        <f>'[1]1'!A8</f>
        <v>$ indicates as on June 30, 2020</v>
      </c>
    </row>
    <row r="20" spans="1:16" x14ac:dyDescent="0.25">
      <c r="A20" s="66" t="s">
        <v>156</v>
      </c>
      <c r="I20" s="67"/>
      <c r="J20" s="67"/>
    </row>
    <row r="23" spans="1:16" x14ac:dyDescent="0.25">
      <c r="M23" s="67"/>
      <c r="N23" s="67"/>
      <c r="O23" s="67"/>
    </row>
    <row r="24" spans="1:16" x14ac:dyDescent="0.25">
      <c r="M24" s="67"/>
      <c r="N24" s="67"/>
      <c r="O24" s="67"/>
    </row>
    <row r="25" spans="1:16" x14ac:dyDescent="0.25">
      <c r="M25" s="67"/>
      <c r="N25" s="67"/>
      <c r="O25" s="67"/>
    </row>
    <row r="26" spans="1:16" x14ac:dyDescent="0.25">
      <c r="M26" s="67"/>
      <c r="N26" s="67"/>
      <c r="O26" s="67"/>
    </row>
    <row r="27" spans="1:16" x14ac:dyDescent="0.25">
      <c r="M27" s="67"/>
      <c r="N27" s="67"/>
      <c r="O27" s="67"/>
    </row>
    <row r="31" spans="1:16" x14ac:dyDescent="0.25">
      <c r="P31" s="67"/>
    </row>
  </sheetData>
  <mergeCells count="19">
    <mergeCell ref="H14:H15"/>
    <mergeCell ref="I14:I15"/>
    <mergeCell ref="J14:J15"/>
    <mergeCell ref="A12:J12"/>
    <mergeCell ref="A13:A15"/>
    <mergeCell ref="B13:B15"/>
    <mergeCell ref="C13:F13"/>
    <mergeCell ref="G13:H13"/>
    <mergeCell ref="I13:J13"/>
    <mergeCell ref="C14:D14"/>
    <mergeCell ref="E14:F14"/>
    <mergeCell ref="G14:G15"/>
    <mergeCell ref="A2:L2"/>
    <mergeCell ref="A3:A4"/>
    <mergeCell ref="B3:B4"/>
    <mergeCell ref="C3:E3"/>
    <mergeCell ref="F3:H3"/>
    <mergeCell ref="I3:J3"/>
    <mergeCell ref="K3:L3"/>
  </mergeCells>
  <pageMargins left="0.78431372549019618" right="0.78431372549019618" top="0.98039215686274517" bottom="0.98039215686274517" header="0.50980392156862753" footer="0.50980392156862753"/>
  <pageSetup paperSize="9" orientation="portrait" useFirstPageNumber="1" r:id="rId1"/>
  <headerFooter alignWithMargins="0"/>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T13"/>
  <sheetViews>
    <sheetView zoomScaleNormal="100" workbookViewId="0">
      <selection activeCell="P30" sqref="P30"/>
    </sheetView>
  </sheetViews>
  <sheetFormatPr defaultRowHeight="12.75" x14ac:dyDescent="0.2"/>
  <cols>
    <col min="1" max="1" width="9.140625" style="7" customWidth="1"/>
    <col min="2" max="2" width="9.7109375" style="7" customWidth="1"/>
    <col min="3" max="3" width="7.85546875" style="7" customWidth="1"/>
    <col min="4" max="5" width="9.140625" style="7"/>
    <col min="6" max="6" width="10.7109375" style="7" customWidth="1"/>
    <col min="7" max="7" width="10.28515625" style="7" customWidth="1"/>
    <col min="8" max="19" width="9.140625" style="7"/>
    <col min="20" max="20" width="9" style="7" customWidth="1"/>
    <col min="21" max="16384" width="9.140625" style="7"/>
  </cols>
  <sheetData>
    <row r="1" spans="1:20" s="68" customFormat="1" ht="18" customHeight="1" x14ac:dyDescent="0.25">
      <c r="A1" s="1046" t="s">
        <v>1039</v>
      </c>
      <c r="B1" s="1046"/>
      <c r="C1" s="1046"/>
      <c r="D1" s="1046"/>
      <c r="E1" s="1046"/>
      <c r="F1" s="1046"/>
      <c r="G1" s="1046"/>
      <c r="H1" s="1046"/>
      <c r="I1" s="1046"/>
      <c r="J1" s="1046"/>
      <c r="K1" s="1046"/>
      <c r="L1" s="1046"/>
      <c r="M1" s="1046"/>
      <c r="N1" s="1046"/>
      <c r="O1" s="1046"/>
      <c r="P1" s="1046"/>
    </row>
    <row r="2" spans="1:20" ht="17.25" customHeight="1" x14ac:dyDescent="0.2">
      <c r="A2" s="1107" t="s">
        <v>86</v>
      </c>
      <c r="B2" s="1067" t="s">
        <v>517</v>
      </c>
      <c r="C2" s="1068"/>
      <c r="D2" s="1068"/>
      <c r="E2" s="1069"/>
      <c r="F2" s="1067" t="s">
        <v>514</v>
      </c>
      <c r="G2" s="1068"/>
      <c r="H2" s="1068"/>
      <c r="I2" s="1068"/>
      <c r="J2" s="1069"/>
      <c r="K2" s="1067" t="s">
        <v>600</v>
      </c>
      <c r="L2" s="1068"/>
      <c r="M2" s="1068"/>
      <c r="N2" s="1069"/>
      <c r="O2" s="1067" t="s">
        <v>116</v>
      </c>
      <c r="P2" s="1068"/>
      <c r="Q2" s="1068"/>
      <c r="R2" s="1069"/>
      <c r="S2" s="1067" t="s">
        <v>117</v>
      </c>
      <c r="T2" s="1068"/>
    </row>
    <row r="3" spans="1:20" ht="25.5" customHeight="1" x14ac:dyDescent="0.2">
      <c r="A3" s="1108"/>
      <c r="B3" s="1104" t="s">
        <v>862</v>
      </c>
      <c r="C3" s="1106"/>
      <c r="D3" s="1058" t="s">
        <v>863</v>
      </c>
      <c r="E3" s="1059"/>
      <c r="F3" s="1104" t="s">
        <v>862</v>
      </c>
      <c r="G3" s="1105"/>
      <c r="H3" s="1106"/>
      <c r="I3" s="1104" t="s">
        <v>864</v>
      </c>
      <c r="J3" s="1106"/>
      <c r="K3" s="1104" t="s">
        <v>862</v>
      </c>
      <c r="L3" s="1106"/>
      <c r="M3" s="1058" t="s">
        <v>863</v>
      </c>
      <c r="N3" s="1059"/>
      <c r="O3" s="1104" t="s">
        <v>862</v>
      </c>
      <c r="P3" s="1106"/>
      <c r="Q3" s="1058" t="s">
        <v>863</v>
      </c>
      <c r="R3" s="1059"/>
      <c r="S3" s="1058" t="s">
        <v>863</v>
      </c>
      <c r="T3" s="1059"/>
    </row>
    <row r="4" spans="1:20" x14ac:dyDescent="0.2">
      <c r="A4" s="1109"/>
      <c r="B4" s="741" t="s">
        <v>187</v>
      </c>
      <c r="C4" s="741" t="s">
        <v>623</v>
      </c>
      <c r="D4" s="741" t="s">
        <v>187</v>
      </c>
      <c r="E4" s="741" t="s">
        <v>623</v>
      </c>
      <c r="F4" s="741" t="s">
        <v>187</v>
      </c>
      <c r="G4" s="741" t="s">
        <v>623</v>
      </c>
      <c r="H4" s="741" t="s">
        <v>527</v>
      </c>
      <c r="I4" s="741" t="s">
        <v>187</v>
      </c>
      <c r="J4" s="741" t="s">
        <v>623</v>
      </c>
      <c r="K4" s="741" t="s">
        <v>187</v>
      </c>
      <c r="L4" s="741" t="s">
        <v>623</v>
      </c>
      <c r="M4" s="741" t="s">
        <v>187</v>
      </c>
      <c r="N4" s="741" t="s">
        <v>623</v>
      </c>
      <c r="O4" s="741" t="s">
        <v>187</v>
      </c>
      <c r="P4" s="741" t="s">
        <v>623</v>
      </c>
      <c r="Q4" s="741" t="s">
        <v>187</v>
      </c>
      <c r="R4" s="741" t="s">
        <v>623</v>
      </c>
      <c r="S4" s="741" t="s">
        <v>187</v>
      </c>
      <c r="T4" s="741" t="s">
        <v>623</v>
      </c>
    </row>
    <row r="5" spans="1:20" s="19" customFormat="1" x14ac:dyDescent="0.2">
      <c r="A5" s="28" t="s">
        <v>89</v>
      </c>
      <c r="B5" s="69">
        <v>38.24843636704783</v>
      </c>
      <c r="C5" s="69">
        <v>61.75156363295217</v>
      </c>
      <c r="D5" s="69">
        <v>27.622798014852613</v>
      </c>
      <c r="E5" s="69">
        <v>72.377201985147394</v>
      </c>
      <c r="F5" s="70">
        <v>44.124684505659182</v>
      </c>
      <c r="G5" s="70">
        <v>55.463657380271655</v>
      </c>
      <c r="H5" s="742">
        <v>0.41165811406914354</v>
      </c>
      <c r="I5" s="38" t="s">
        <v>286</v>
      </c>
      <c r="J5" s="38" t="s">
        <v>286</v>
      </c>
      <c r="K5" s="70">
        <v>7.19</v>
      </c>
      <c r="L5" s="70">
        <v>92.81</v>
      </c>
      <c r="M5" s="70">
        <v>45.46</v>
      </c>
      <c r="N5" s="70">
        <v>54.54</v>
      </c>
      <c r="O5" s="70" t="s">
        <v>624</v>
      </c>
      <c r="P5" s="70" t="s">
        <v>624</v>
      </c>
      <c r="Q5" s="70">
        <v>92.954601508123332</v>
      </c>
      <c r="R5" s="70">
        <v>7.0453984918766688</v>
      </c>
      <c r="S5" s="70">
        <v>83.932336774617426</v>
      </c>
      <c r="T5" s="70">
        <v>16.067663225382567</v>
      </c>
    </row>
    <row r="6" spans="1:20" s="19" customFormat="1" x14ac:dyDescent="0.2">
      <c r="A6" s="28" t="s">
        <v>73</v>
      </c>
      <c r="B6" s="69">
        <v>38.263375195290081</v>
      </c>
      <c r="C6" s="69">
        <v>61.736624804709926</v>
      </c>
      <c r="D6" s="69">
        <v>36.876706656365037</v>
      </c>
      <c r="E6" s="69">
        <v>63.12329334363497</v>
      </c>
      <c r="F6" s="70">
        <v>47.191851662479657</v>
      </c>
      <c r="G6" s="70">
        <v>52.042840539860727</v>
      </c>
      <c r="H6" s="742">
        <v>0.76530779765961998</v>
      </c>
      <c r="I6" s="38" t="s">
        <v>286</v>
      </c>
      <c r="J6" s="38" t="s">
        <v>286</v>
      </c>
      <c r="K6" s="70">
        <v>56.340391944940201</v>
      </c>
      <c r="L6" s="70">
        <v>43.65960805505977</v>
      </c>
      <c r="M6" s="70">
        <v>70.48881550130254</v>
      </c>
      <c r="N6" s="70">
        <v>29.427851165364132</v>
      </c>
      <c r="O6" s="70">
        <v>51.222352305710281</v>
      </c>
      <c r="P6" s="70">
        <v>26.979500179821841</v>
      </c>
      <c r="Q6" s="70">
        <v>17.88576117747526</v>
      </c>
      <c r="R6" s="70">
        <v>3.9123863369926166</v>
      </c>
      <c r="S6" s="70">
        <v>45.265392816655925</v>
      </c>
      <c r="T6" s="70">
        <v>54.734607183344067</v>
      </c>
    </row>
    <row r="7" spans="1:20" s="19" customFormat="1" x14ac:dyDescent="0.2">
      <c r="A7" s="28" t="s">
        <v>76</v>
      </c>
      <c r="B7" s="69">
        <v>38.232719615197908</v>
      </c>
      <c r="C7" s="69">
        <v>61.767280384802092</v>
      </c>
      <c r="D7" s="69">
        <v>36.838868889630874</v>
      </c>
      <c r="E7" s="69">
        <v>63.161131110369126</v>
      </c>
      <c r="F7" s="70">
        <v>42.482001219537423</v>
      </c>
      <c r="G7" s="70">
        <v>55.908302588985713</v>
      </c>
      <c r="H7" s="742">
        <v>1.6096961914768566</v>
      </c>
      <c r="I7" s="37">
        <v>39.256035201575223</v>
      </c>
      <c r="J7" s="37">
        <v>60.743964798424777</v>
      </c>
      <c r="K7" s="70">
        <v>68.09</v>
      </c>
      <c r="L7" s="70">
        <v>31.91</v>
      </c>
      <c r="M7" s="70">
        <v>69.08</v>
      </c>
      <c r="N7" s="70">
        <v>30.91</v>
      </c>
      <c r="O7" s="70">
        <v>52.948211800148556</v>
      </c>
      <c r="P7" s="70">
        <v>42.027553877878709</v>
      </c>
      <c r="Q7" s="70">
        <v>4.1016408696515629</v>
      </c>
      <c r="R7" s="70">
        <v>0.92259345232117496</v>
      </c>
      <c r="S7" s="70">
        <v>74.260892152809561</v>
      </c>
      <c r="T7" s="70">
        <v>25.739107847190429</v>
      </c>
    </row>
    <row r="8" spans="1:20" x14ac:dyDescent="0.2">
      <c r="A8" s="71">
        <v>43922</v>
      </c>
      <c r="B8" s="11">
        <v>41.228984003003951</v>
      </c>
      <c r="C8" s="11">
        <v>58.771015996996049</v>
      </c>
      <c r="D8" s="11">
        <v>36.838343802546476</v>
      </c>
      <c r="E8" s="11">
        <v>63.161656197453532</v>
      </c>
      <c r="F8" s="72">
        <v>42.834718314098083</v>
      </c>
      <c r="G8" s="72">
        <v>55.823640975250612</v>
      </c>
      <c r="H8" s="743">
        <v>1.3416407106513035</v>
      </c>
      <c r="I8" s="256" t="s">
        <v>286</v>
      </c>
      <c r="J8" s="256" t="s">
        <v>286</v>
      </c>
      <c r="K8" s="11">
        <v>77.480720944400218</v>
      </c>
      <c r="L8" s="11">
        <v>22.519279055599782</v>
      </c>
      <c r="M8" s="11">
        <v>80.365906794024994</v>
      </c>
      <c r="N8" s="11">
        <v>19.634093205974999</v>
      </c>
      <c r="O8" s="72">
        <v>50.01482181187319</v>
      </c>
      <c r="P8" s="72">
        <v>49.98517818812681</v>
      </c>
      <c r="Q8" s="72">
        <v>0</v>
      </c>
      <c r="R8" s="72">
        <v>0</v>
      </c>
      <c r="S8" s="72">
        <v>76.107388748053168</v>
      </c>
      <c r="T8" s="72">
        <v>23.892611251946835</v>
      </c>
    </row>
    <row r="9" spans="1:20" x14ac:dyDescent="0.2">
      <c r="A9" s="71">
        <v>43953</v>
      </c>
      <c r="B9" s="11">
        <v>41.821318486638738</v>
      </c>
      <c r="C9" s="11">
        <v>58.178681513361262</v>
      </c>
      <c r="D9" s="11">
        <v>36.500108639509506</v>
      </c>
      <c r="E9" s="11">
        <v>63.499891360490487</v>
      </c>
      <c r="F9" s="72">
        <v>44.723323322684053</v>
      </c>
      <c r="G9" s="72">
        <v>53.650266114905719</v>
      </c>
      <c r="H9" s="743">
        <v>1.6264105624102139</v>
      </c>
      <c r="I9" s="72">
        <v>42.524685025355978</v>
      </c>
      <c r="J9" s="72">
        <v>57.475314974644029</v>
      </c>
      <c r="K9" s="11">
        <v>58.69</v>
      </c>
      <c r="L9" s="11">
        <v>41.3</v>
      </c>
      <c r="M9" s="11">
        <v>57.8</v>
      </c>
      <c r="N9" s="11">
        <v>42.19</v>
      </c>
      <c r="O9" s="72">
        <v>59.479613878105461</v>
      </c>
      <c r="P9" s="72">
        <v>40.45293722799785</v>
      </c>
      <c r="Q9" s="73">
        <v>3.6347479141366774E-2</v>
      </c>
      <c r="R9" s="73">
        <v>3.1101414755318409E-2</v>
      </c>
      <c r="S9" s="72">
        <v>66.819481302240789</v>
      </c>
      <c r="T9" s="72">
        <v>33.180518697759211</v>
      </c>
    </row>
    <row r="10" spans="1:20" x14ac:dyDescent="0.2">
      <c r="A10" s="71">
        <v>43985</v>
      </c>
      <c r="B10" s="11">
        <v>34.190765817968924</v>
      </c>
      <c r="C10" s="11">
        <v>65.809234182031091</v>
      </c>
      <c r="D10" s="11">
        <v>36.838868889630874</v>
      </c>
      <c r="E10" s="11">
        <v>63.161131110369126</v>
      </c>
      <c r="F10" s="72">
        <v>40.512302721036029</v>
      </c>
      <c r="G10" s="72">
        <v>57.699914565140674</v>
      </c>
      <c r="H10" s="743">
        <v>1.787782713823292</v>
      </c>
      <c r="I10" s="72">
        <v>37.108271890274899</v>
      </c>
      <c r="J10" s="72">
        <v>62.891728109725101</v>
      </c>
      <c r="K10" s="11">
        <v>97.924304233316093</v>
      </c>
      <c r="L10" s="11">
        <v>2.0756957666838551</v>
      </c>
      <c r="M10" s="11">
        <v>62.845088074144307</v>
      </c>
      <c r="N10" s="11">
        <v>37.154911925855693</v>
      </c>
      <c r="O10" s="72">
        <v>51.458204704071711</v>
      </c>
      <c r="P10" s="72">
        <v>38.225415540006445</v>
      </c>
      <c r="Q10" s="72">
        <v>8.4310907466361549</v>
      </c>
      <c r="R10" s="72">
        <v>1.8852890092856875</v>
      </c>
      <c r="S10" s="72">
        <v>74.497235354489561</v>
      </c>
      <c r="T10" s="72">
        <v>25.502764645510439</v>
      </c>
    </row>
    <row r="11" spans="1:20" x14ac:dyDescent="0.2">
      <c r="A11" s="460" t="s">
        <v>1083</v>
      </c>
      <c r="B11" s="458"/>
      <c r="C11" s="458"/>
      <c r="D11" s="458"/>
      <c r="E11" s="458"/>
      <c r="F11" s="459"/>
      <c r="G11" s="459"/>
      <c r="H11" s="744"/>
      <c r="I11" s="459"/>
      <c r="J11" s="459"/>
      <c r="K11" s="458"/>
      <c r="L11" s="458"/>
      <c r="M11" s="458"/>
      <c r="N11" s="458"/>
      <c r="O11" s="459"/>
      <c r="P11" s="459"/>
      <c r="Q11" s="459"/>
      <c r="R11" s="459"/>
      <c r="S11" s="459"/>
      <c r="T11" s="459"/>
    </row>
    <row r="12" spans="1:20" x14ac:dyDescent="0.2">
      <c r="A12" s="745" t="str">
        <f>'[1]65'!A11</f>
        <v>$ indicates as on June 30, 2020</v>
      </c>
      <c r="B12" s="745"/>
      <c r="C12" s="745"/>
      <c r="D12" s="745"/>
      <c r="E12" s="745"/>
    </row>
    <row r="13" spans="1:20" x14ac:dyDescent="0.2">
      <c r="A13" s="18" t="s">
        <v>625</v>
      </c>
      <c r="E13" s="745"/>
      <c r="G13" s="7" t="s">
        <v>601</v>
      </c>
    </row>
  </sheetData>
  <mergeCells count="16">
    <mergeCell ref="A1:P1"/>
    <mergeCell ref="S2:T2"/>
    <mergeCell ref="S3:T3"/>
    <mergeCell ref="F3:H3"/>
    <mergeCell ref="I3:J3"/>
    <mergeCell ref="K3:L3"/>
    <mergeCell ref="M3:N3"/>
    <mergeCell ref="O3:P3"/>
    <mergeCell ref="Q3:R3"/>
    <mergeCell ref="F2:J2"/>
    <mergeCell ref="K2:N2"/>
    <mergeCell ref="O2:R2"/>
    <mergeCell ref="A2:A4"/>
    <mergeCell ref="B2:E2"/>
    <mergeCell ref="B3:C3"/>
    <mergeCell ref="D3:E3"/>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59"/>
  <sheetViews>
    <sheetView zoomScaleNormal="100" workbookViewId="0">
      <selection activeCell="K14" sqref="K14"/>
    </sheetView>
  </sheetViews>
  <sheetFormatPr defaultRowHeight="12.75" x14ac:dyDescent="0.2"/>
  <cols>
    <col min="1" max="1" width="9.42578125" style="84" bestFit="1" customWidth="1"/>
    <col min="2" max="2" width="17.7109375" style="84" customWidth="1"/>
    <col min="3" max="3" width="12.42578125" style="84" customWidth="1"/>
    <col min="4" max="4" width="13" style="84" customWidth="1"/>
    <col min="5" max="5" width="11" style="84" customWidth="1"/>
    <col min="6" max="6" width="11.28515625" style="84" customWidth="1"/>
    <col min="7" max="7" width="12" style="84" customWidth="1"/>
    <col min="8" max="8" width="12.5703125" style="84" customWidth="1"/>
    <col min="9" max="9" width="13" style="84" bestFit="1" customWidth="1"/>
    <col min="10" max="10" width="12" style="84" bestFit="1" customWidth="1"/>
    <col min="11" max="11" width="9.42578125" style="84" bestFit="1" customWidth="1"/>
    <col min="12" max="16384" width="9.140625" style="84"/>
  </cols>
  <sheetData>
    <row r="1" spans="1:14" ht="15" x14ac:dyDescent="0.2">
      <c r="A1" s="1064" t="s">
        <v>950</v>
      </c>
      <c r="B1" s="1064"/>
      <c r="C1" s="1064"/>
      <c r="D1" s="1064"/>
      <c r="E1" s="1064"/>
      <c r="F1" s="1064"/>
      <c r="G1" s="1064"/>
      <c r="H1" s="1064"/>
      <c r="I1" s="1064"/>
      <c r="J1" s="1064"/>
    </row>
    <row r="2" spans="1:14" x14ac:dyDescent="0.2">
      <c r="A2" s="1053" t="s">
        <v>626</v>
      </c>
      <c r="B2" s="1117" t="s">
        <v>528</v>
      </c>
      <c r="C2" s="1118" t="s">
        <v>76</v>
      </c>
      <c r="D2" s="1119"/>
      <c r="E2" s="1118">
        <v>43617</v>
      </c>
      <c r="F2" s="1119"/>
      <c r="G2" s="1118">
        <v>43952</v>
      </c>
      <c r="H2" s="1119"/>
      <c r="I2" s="1118">
        <v>43983</v>
      </c>
      <c r="J2" s="1119"/>
    </row>
    <row r="3" spans="1:14" ht="38.25" x14ac:dyDescent="0.2">
      <c r="A3" s="1053"/>
      <c r="B3" s="1117"/>
      <c r="C3" s="746" t="s">
        <v>612</v>
      </c>
      <c r="D3" s="96" t="s">
        <v>1067</v>
      </c>
      <c r="E3" s="746" t="s">
        <v>612</v>
      </c>
      <c r="F3" s="96" t="s">
        <v>1067</v>
      </c>
      <c r="G3" s="746" t="s">
        <v>612</v>
      </c>
      <c r="H3" s="96" t="s">
        <v>1067</v>
      </c>
      <c r="I3" s="746" t="s">
        <v>612</v>
      </c>
      <c r="J3" s="96" t="s">
        <v>1067</v>
      </c>
    </row>
    <row r="4" spans="1:14" ht="15.75" x14ac:dyDescent="0.2">
      <c r="A4" s="1123" t="s">
        <v>506</v>
      </c>
      <c r="B4" s="1123"/>
      <c r="C4" s="1123"/>
      <c r="D4" s="1123"/>
      <c r="E4" s="1123"/>
      <c r="F4" s="1123"/>
      <c r="G4" s="1123"/>
      <c r="H4" s="1123"/>
      <c r="I4" s="1123"/>
      <c r="J4" s="1123"/>
    </row>
    <row r="5" spans="1:14" x14ac:dyDescent="0.2">
      <c r="A5" s="474" t="s">
        <v>627</v>
      </c>
      <c r="B5" s="1110" t="s">
        <v>513</v>
      </c>
      <c r="C5" s="1111"/>
      <c r="D5" s="1111"/>
      <c r="E5" s="1111"/>
      <c r="F5" s="1111"/>
      <c r="G5" s="1111"/>
      <c r="H5" s="1111"/>
      <c r="I5" s="1111"/>
      <c r="J5" s="1112"/>
      <c r="K5" s="747"/>
      <c r="L5" s="747"/>
    </row>
    <row r="6" spans="1:14" x14ac:dyDescent="0.2">
      <c r="A6" s="74">
        <v>1</v>
      </c>
      <c r="B6" s="75" t="s">
        <v>529</v>
      </c>
      <c r="C6" s="277">
        <v>0.96029026899999992</v>
      </c>
      <c r="D6" s="278">
        <v>447872.55059770017</v>
      </c>
      <c r="E6" s="277">
        <v>0.34288674100000005</v>
      </c>
      <c r="F6" s="278">
        <v>114949.94317809996</v>
      </c>
      <c r="G6" s="279">
        <v>0.36509500199999995</v>
      </c>
      <c r="H6" s="280">
        <v>169436.13760229998</v>
      </c>
      <c r="I6" s="281">
        <v>0.39480768399999988</v>
      </c>
      <c r="J6" s="280">
        <v>186606.39638899991</v>
      </c>
      <c r="K6" s="748"/>
      <c r="L6" s="748"/>
      <c r="M6" s="748"/>
    </row>
    <row r="7" spans="1:14" x14ac:dyDescent="0.2">
      <c r="A7" s="74">
        <v>2</v>
      </c>
      <c r="B7" s="75" t="s">
        <v>530</v>
      </c>
      <c r="C7" s="278">
        <v>76.258774000000017</v>
      </c>
      <c r="D7" s="278">
        <v>356887.78996809991</v>
      </c>
      <c r="E7" s="278">
        <v>17.592300999999996</v>
      </c>
      <c r="F7" s="278">
        <v>65909.9665847</v>
      </c>
      <c r="G7" s="280">
        <v>27.581716000000004</v>
      </c>
      <c r="H7" s="280">
        <v>127400.48924240004</v>
      </c>
      <c r="I7" s="282">
        <v>36.626453000000012</v>
      </c>
      <c r="J7" s="280">
        <v>178300.01306150001</v>
      </c>
      <c r="K7" s="748"/>
      <c r="L7" s="748"/>
      <c r="M7" s="748"/>
    </row>
    <row r="8" spans="1:14" x14ac:dyDescent="0.2">
      <c r="A8" s="74"/>
      <c r="B8" s="473" t="s">
        <v>628</v>
      </c>
      <c r="C8" s="283">
        <f>SUM(C6:C7)</f>
        <v>77.219064269000015</v>
      </c>
      <c r="D8" s="283">
        <f t="shared" ref="D8:J8" si="0">SUM(D6:D7)</f>
        <v>804760.34056580008</v>
      </c>
      <c r="E8" s="283">
        <f t="shared" si="0"/>
        <v>17.935187740999996</v>
      </c>
      <c r="F8" s="283">
        <f t="shared" si="0"/>
        <v>180859.90976279997</v>
      </c>
      <c r="G8" s="283">
        <f t="shared" si="0"/>
        <v>27.946811002000004</v>
      </c>
      <c r="H8" s="283">
        <f t="shared" si="0"/>
        <v>296836.62684470002</v>
      </c>
      <c r="I8" s="283">
        <f t="shared" si="0"/>
        <v>37.021260684000012</v>
      </c>
      <c r="J8" s="283">
        <f t="shared" si="0"/>
        <v>364906.40945049992</v>
      </c>
      <c r="K8" s="749"/>
      <c r="L8" s="749"/>
      <c r="M8" s="748"/>
    </row>
    <row r="9" spans="1:14" ht="12.75" customHeight="1" x14ac:dyDescent="0.2">
      <c r="A9" s="76" t="s">
        <v>629</v>
      </c>
      <c r="B9" s="1120" t="s">
        <v>630</v>
      </c>
      <c r="C9" s="1121"/>
      <c r="D9" s="1121"/>
      <c r="E9" s="1121"/>
      <c r="F9" s="1121"/>
      <c r="G9" s="1121"/>
      <c r="H9" s="1121"/>
      <c r="I9" s="1121"/>
      <c r="J9" s="1122"/>
      <c r="K9" s="748"/>
      <c r="L9" s="748"/>
      <c r="M9" s="748"/>
    </row>
    <row r="10" spans="1:14" x14ac:dyDescent="0.2">
      <c r="A10" s="74">
        <v>1</v>
      </c>
      <c r="B10" s="75" t="s">
        <v>531</v>
      </c>
      <c r="C10" s="282">
        <v>445.77899999999994</v>
      </c>
      <c r="D10" s="282">
        <v>5955.5878050000001</v>
      </c>
      <c r="E10" s="278">
        <v>558.23799999999994</v>
      </c>
      <c r="F10" s="278">
        <v>7994.423495</v>
      </c>
      <c r="G10" s="282">
        <v>140.72499999999999</v>
      </c>
      <c r="H10" s="282">
        <v>1841.0090499999997</v>
      </c>
      <c r="I10" s="282">
        <v>209.69</v>
      </c>
      <c r="J10" s="278">
        <v>2847.6226499999993</v>
      </c>
      <c r="K10" s="748"/>
      <c r="L10" s="748"/>
      <c r="M10" s="748"/>
      <c r="N10" s="748"/>
    </row>
    <row r="11" spans="1:14" x14ac:dyDescent="0.2">
      <c r="A11" s="74">
        <v>2</v>
      </c>
      <c r="B11" s="75" t="s">
        <v>532</v>
      </c>
      <c r="C11" s="282">
        <v>1962.0525000000002</v>
      </c>
      <c r="D11" s="282">
        <v>82893.012512500005</v>
      </c>
      <c r="E11" s="278">
        <v>1048.5364999999999</v>
      </c>
      <c r="F11" s="278">
        <v>43294.67755125001</v>
      </c>
      <c r="G11" s="282">
        <v>626.13000000000011</v>
      </c>
      <c r="H11" s="282">
        <v>25491.475937499999</v>
      </c>
      <c r="I11" s="282">
        <v>954.6400000000001</v>
      </c>
      <c r="J11" s="278">
        <v>42264.056787499998</v>
      </c>
      <c r="K11" s="748"/>
      <c r="L11" s="748"/>
      <c r="M11" s="748"/>
      <c r="N11" s="748"/>
    </row>
    <row r="12" spans="1:14" x14ac:dyDescent="0.2">
      <c r="A12" s="74">
        <v>3</v>
      </c>
      <c r="B12" s="75" t="s">
        <v>533</v>
      </c>
      <c r="C12" s="282">
        <v>917.01400000000012</v>
      </c>
      <c r="D12" s="282">
        <v>12533.873185000004</v>
      </c>
      <c r="E12" s="278">
        <v>1366.6220000000001</v>
      </c>
      <c r="F12" s="278">
        <v>21013.547839999999</v>
      </c>
      <c r="G12" s="282">
        <v>276.5</v>
      </c>
      <c r="H12" s="282">
        <v>3644.8147300000001</v>
      </c>
      <c r="I12" s="282">
        <v>469.52500000000009</v>
      </c>
      <c r="J12" s="278">
        <v>6603.7232249999997</v>
      </c>
      <c r="K12" s="748"/>
      <c r="L12" s="101"/>
      <c r="M12" s="101"/>
      <c r="N12" s="101"/>
    </row>
    <row r="13" spans="1:14" x14ac:dyDescent="0.2">
      <c r="A13" s="74">
        <v>4</v>
      </c>
      <c r="B13" s="75" t="s">
        <v>534</v>
      </c>
      <c r="C13" s="282">
        <v>1010.721</v>
      </c>
      <c r="D13" s="282">
        <v>95642.159865000038</v>
      </c>
      <c r="E13" s="278">
        <v>174.27350000000001</v>
      </c>
      <c r="F13" s="278">
        <v>15299.694502499999</v>
      </c>
      <c r="G13" s="282">
        <v>374.7525</v>
      </c>
      <c r="H13" s="282">
        <v>34852.653059999997</v>
      </c>
      <c r="I13" s="282">
        <v>459.00750000000005</v>
      </c>
      <c r="J13" s="278">
        <v>44496.360900000014</v>
      </c>
      <c r="K13" s="748"/>
      <c r="L13" s="748"/>
      <c r="M13" s="748"/>
      <c r="N13" s="748"/>
    </row>
    <row r="14" spans="1:14" x14ac:dyDescent="0.2">
      <c r="A14" s="74">
        <v>5</v>
      </c>
      <c r="B14" s="75" t="s">
        <v>535</v>
      </c>
      <c r="C14" s="282">
        <v>2598.5330000000004</v>
      </c>
      <c r="D14" s="282">
        <v>40757.160935000007</v>
      </c>
      <c r="E14" s="278">
        <v>2497.4610000000007</v>
      </c>
      <c r="F14" s="278">
        <v>50872.886514999991</v>
      </c>
      <c r="G14" s="282">
        <v>857.81799999999998</v>
      </c>
      <c r="H14" s="282">
        <v>13287.818214999998</v>
      </c>
      <c r="I14" s="282">
        <v>1168.4549999999999</v>
      </c>
      <c r="J14" s="278">
        <v>18916.049599999998</v>
      </c>
      <c r="K14" s="748"/>
      <c r="L14" s="748"/>
      <c r="M14" s="101"/>
      <c r="N14" s="101"/>
    </row>
    <row r="15" spans="1:14" x14ac:dyDescent="0.2">
      <c r="A15" s="74"/>
      <c r="B15" s="473" t="s">
        <v>631</v>
      </c>
      <c r="C15" s="283">
        <f>SUM(C10:C14)</f>
        <v>6934.0995000000012</v>
      </c>
      <c r="D15" s="283">
        <f t="shared" ref="D15:J15" si="1">SUM(D10:D14)</f>
        <v>237781.79430250003</v>
      </c>
      <c r="E15" s="283">
        <f t="shared" si="1"/>
        <v>5645.1310000000012</v>
      </c>
      <c r="F15" s="283">
        <f t="shared" si="1"/>
        <v>138475.22990375001</v>
      </c>
      <c r="G15" s="283">
        <f t="shared" si="1"/>
        <v>2275.9255000000003</v>
      </c>
      <c r="H15" s="283">
        <f t="shared" si="1"/>
        <v>79117.770992499994</v>
      </c>
      <c r="I15" s="283">
        <f t="shared" si="1"/>
        <v>3261.3175000000001</v>
      </c>
      <c r="J15" s="283">
        <f t="shared" si="1"/>
        <v>115127.81316250001</v>
      </c>
      <c r="K15" s="749"/>
      <c r="L15" s="749"/>
      <c r="M15" s="748"/>
    </row>
    <row r="16" spans="1:14" ht="15" customHeight="1" x14ac:dyDescent="0.2">
      <c r="A16" s="76" t="s">
        <v>632</v>
      </c>
      <c r="B16" s="1120" t="s">
        <v>633</v>
      </c>
      <c r="C16" s="1121"/>
      <c r="D16" s="1121"/>
      <c r="E16" s="1121"/>
      <c r="F16" s="1121"/>
      <c r="G16" s="1121"/>
      <c r="H16" s="1121"/>
      <c r="I16" s="1121"/>
      <c r="J16" s="1122"/>
      <c r="K16" s="748"/>
      <c r="L16" s="748"/>
      <c r="M16" s="748"/>
    </row>
    <row r="17" spans="1:13" x14ac:dyDescent="0.2">
      <c r="A17" s="74">
        <v>1</v>
      </c>
      <c r="B17" s="75" t="s">
        <v>536</v>
      </c>
      <c r="C17" s="750">
        <v>2.1699999999999997E-2</v>
      </c>
      <c r="D17" s="282">
        <v>3.7079970000000015</v>
      </c>
      <c r="E17" s="277">
        <v>0.11609999999999998</v>
      </c>
      <c r="F17" s="278">
        <v>27.248036999999997</v>
      </c>
      <c r="G17" s="284">
        <v>4.8999999999999998E-3</v>
      </c>
      <c r="H17" s="282">
        <v>0.79126799999999986</v>
      </c>
      <c r="I17" s="284">
        <v>3.9000000000000003E-3</v>
      </c>
      <c r="J17" s="278">
        <v>0.55409900000000001</v>
      </c>
      <c r="K17" s="748"/>
      <c r="L17" s="748"/>
      <c r="M17" s="748"/>
    </row>
    <row r="18" spans="1:13" x14ac:dyDescent="0.2">
      <c r="A18" s="74">
        <v>2</v>
      </c>
      <c r="B18" s="75" t="s">
        <v>537</v>
      </c>
      <c r="C18" s="282">
        <v>309.45099999999996</v>
      </c>
      <c r="D18" s="282">
        <v>2925.9783999999995</v>
      </c>
      <c r="E18" s="278">
        <v>331.92924999999997</v>
      </c>
      <c r="F18" s="278">
        <v>4237.8157750000009</v>
      </c>
      <c r="G18" s="282">
        <v>106.58149999999999</v>
      </c>
      <c r="H18" s="282">
        <v>986.10845000000006</v>
      </c>
      <c r="I18" s="282">
        <v>109.64999999999998</v>
      </c>
      <c r="J18" s="278">
        <v>1041.0143499999999</v>
      </c>
      <c r="K18" s="748"/>
      <c r="L18" s="748"/>
      <c r="M18" s="748"/>
    </row>
    <row r="19" spans="1:13" x14ac:dyDescent="0.2">
      <c r="A19" s="74">
        <v>3</v>
      </c>
      <c r="B19" s="75" t="s">
        <v>538</v>
      </c>
      <c r="C19" s="282">
        <v>1692.2499999999998</v>
      </c>
      <c r="D19" s="282">
        <v>10927.804489999999</v>
      </c>
      <c r="E19" s="278">
        <v>438.38000000000005</v>
      </c>
      <c r="F19" s="278">
        <v>2233.9545700000003</v>
      </c>
      <c r="G19" s="282">
        <v>508.99</v>
      </c>
      <c r="H19" s="282">
        <v>3085.4639100000004</v>
      </c>
      <c r="I19" s="282">
        <v>761.38000000000011</v>
      </c>
      <c r="J19" s="278">
        <v>5147.37068</v>
      </c>
      <c r="K19" s="748"/>
      <c r="L19" s="748"/>
      <c r="M19" s="748"/>
    </row>
    <row r="20" spans="1:13" ht="12" customHeight="1" x14ac:dyDescent="0.2">
      <c r="A20" s="74">
        <v>4</v>
      </c>
      <c r="B20" s="75" t="s">
        <v>539</v>
      </c>
      <c r="C20" s="282">
        <v>2.1650400000000003</v>
      </c>
      <c r="D20" s="282">
        <v>241.13526119999995</v>
      </c>
      <c r="E20" s="278">
        <v>8.9136000000000006</v>
      </c>
      <c r="F20" s="278">
        <v>1163.3791139999998</v>
      </c>
      <c r="G20" s="751">
        <v>0.14940000000000001</v>
      </c>
      <c r="H20" s="282">
        <v>25.635189599999997</v>
      </c>
      <c r="I20" s="282">
        <v>1.4914800000000001</v>
      </c>
      <c r="J20" s="278">
        <v>151.12050120000001</v>
      </c>
      <c r="K20" s="748"/>
      <c r="L20" s="748"/>
      <c r="M20" s="748"/>
    </row>
    <row r="21" spans="1:13" ht="15" customHeight="1" x14ac:dyDescent="0.2">
      <c r="A21" s="74">
        <v>5</v>
      </c>
      <c r="B21" s="75" t="s">
        <v>552</v>
      </c>
      <c r="C21" s="282">
        <v>9.4600000000000009</v>
      </c>
      <c r="D21" s="282">
        <v>47.206189999999999</v>
      </c>
      <c r="E21" s="282" t="s">
        <v>286</v>
      </c>
      <c r="F21" s="282" t="s">
        <v>286</v>
      </c>
      <c r="G21" s="282">
        <v>1.6880000000000002</v>
      </c>
      <c r="H21" s="282">
        <v>8.3196000000000012</v>
      </c>
      <c r="I21" s="282">
        <v>5.4240000000000004</v>
      </c>
      <c r="J21" s="278">
        <v>27.598559999999999</v>
      </c>
      <c r="K21" s="748"/>
      <c r="L21" s="748"/>
      <c r="M21" s="748"/>
    </row>
    <row r="22" spans="1:13" ht="13.5" customHeight="1" x14ac:dyDescent="0.2">
      <c r="A22" s="74"/>
      <c r="B22" s="473" t="s">
        <v>634</v>
      </c>
      <c r="C22" s="283">
        <f>SUM(C17:C21)</f>
        <v>2013.3477399999999</v>
      </c>
      <c r="D22" s="283">
        <f t="shared" ref="D22:J22" si="2">SUM(D17:D21)</f>
        <v>14145.832338199998</v>
      </c>
      <c r="E22" s="283">
        <f t="shared" si="2"/>
        <v>779.33894999999995</v>
      </c>
      <c r="F22" s="283">
        <f t="shared" si="2"/>
        <v>7662.3974960000014</v>
      </c>
      <c r="G22" s="283">
        <f t="shared" si="2"/>
        <v>617.41380000000004</v>
      </c>
      <c r="H22" s="283">
        <f t="shared" si="2"/>
        <v>4106.3184176000004</v>
      </c>
      <c r="I22" s="283">
        <f t="shared" si="2"/>
        <v>877.94938000000013</v>
      </c>
      <c r="J22" s="283">
        <f t="shared" si="2"/>
        <v>6367.6581902000007</v>
      </c>
      <c r="K22" s="749"/>
      <c r="L22" s="749"/>
      <c r="M22" s="748"/>
    </row>
    <row r="23" spans="1:13" x14ac:dyDescent="0.2">
      <c r="A23" s="76" t="s">
        <v>635</v>
      </c>
      <c r="B23" s="1120" t="s">
        <v>511</v>
      </c>
      <c r="C23" s="1121"/>
      <c r="D23" s="1121"/>
      <c r="E23" s="1121"/>
      <c r="F23" s="1121"/>
      <c r="G23" s="1121"/>
      <c r="H23" s="1121"/>
      <c r="I23" s="1121"/>
      <c r="J23" s="1122"/>
      <c r="K23" s="748"/>
      <c r="L23" s="748"/>
      <c r="M23" s="748"/>
    </row>
    <row r="24" spans="1:13" x14ac:dyDescent="0.2">
      <c r="A24" s="74">
        <v>1</v>
      </c>
      <c r="B24" s="75" t="s">
        <v>540</v>
      </c>
      <c r="C24" s="282">
        <v>132625.92279620006</v>
      </c>
      <c r="D24" s="282">
        <v>202339.13334</v>
      </c>
      <c r="E24" s="278">
        <v>83860.372293737979</v>
      </c>
      <c r="F24" s="278">
        <v>232765.80081299992</v>
      </c>
      <c r="G24" s="282">
        <v>37857.340248795001</v>
      </c>
      <c r="H24" s="282">
        <v>58546.441010000002</v>
      </c>
      <c r="I24" s="282">
        <v>39902.8655172</v>
      </c>
      <c r="J24" s="278">
        <v>84166.680060000013</v>
      </c>
      <c r="K24" s="748"/>
      <c r="L24" s="748"/>
      <c r="M24" s="748"/>
    </row>
    <row r="25" spans="1:13" ht="13.5" customHeight="1" x14ac:dyDescent="0.2">
      <c r="A25" s="74">
        <v>2</v>
      </c>
      <c r="B25" s="75" t="s">
        <v>541</v>
      </c>
      <c r="C25" s="285">
        <v>11169.352500000001</v>
      </c>
      <c r="D25" s="285">
        <v>151812.34719999996</v>
      </c>
      <c r="E25" s="286">
        <v>1056.03</v>
      </c>
      <c r="F25" s="286">
        <v>17139.993162499999</v>
      </c>
      <c r="G25" s="285">
        <v>4316.4312499999996</v>
      </c>
      <c r="H25" s="285">
        <v>60450.122774999996</v>
      </c>
      <c r="I25" s="285">
        <v>4557.1450000000004</v>
      </c>
      <c r="J25" s="286">
        <v>59367.162012500004</v>
      </c>
      <c r="K25" s="748"/>
      <c r="L25" s="748"/>
      <c r="M25" s="748"/>
    </row>
    <row r="26" spans="1:13" x14ac:dyDescent="0.2">
      <c r="A26" s="76"/>
      <c r="B26" s="473" t="s">
        <v>636</v>
      </c>
      <c r="C26" s="287">
        <f>C24</f>
        <v>132625.92279620006</v>
      </c>
      <c r="D26" s="287">
        <f>SUM(D24:D25)</f>
        <v>354151.48053999996</v>
      </c>
      <c r="E26" s="287">
        <f>E24</f>
        <v>83860.372293737979</v>
      </c>
      <c r="F26" s="287">
        <f>SUM(F24:F25)</f>
        <v>249905.79397549992</v>
      </c>
      <c r="G26" s="287">
        <f>G24</f>
        <v>37857.340248795001</v>
      </c>
      <c r="H26" s="287">
        <f>SUM(H24:H25)</f>
        <v>118996.56378500001</v>
      </c>
      <c r="I26" s="287">
        <f>I24</f>
        <v>39902.8655172</v>
      </c>
      <c r="J26" s="287">
        <f>SUM(J24:J25)</f>
        <v>143533.84207250003</v>
      </c>
      <c r="K26" s="749"/>
      <c r="L26" s="749"/>
      <c r="M26" s="748"/>
    </row>
    <row r="27" spans="1:13" ht="15" customHeight="1" x14ac:dyDescent="0.2">
      <c r="A27" s="1124" t="s">
        <v>542</v>
      </c>
      <c r="B27" s="1124"/>
      <c r="C27" s="287">
        <f>C26+C22+C15+C8</f>
        <v>141650.58910046908</v>
      </c>
      <c r="D27" s="287">
        <f>SUM(D8,D15,D22,D26)</f>
        <v>1410839.4477464999</v>
      </c>
      <c r="E27" s="287">
        <f t="shared" ref="E27:J27" si="3">E26+E22+E15+E8</f>
        <v>90302.777431478971</v>
      </c>
      <c r="F27" s="287">
        <f t="shared" si="3"/>
        <v>576903.33113804995</v>
      </c>
      <c r="G27" s="287">
        <f t="shared" si="3"/>
        <v>40778.626359797003</v>
      </c>
      <c r="H27" s="287">
        <f t="shared" si="3"/>
        <v>499057.28003980004</v>
      </c>
      <c r="I27" s="287">
        <f>I26+I22+I15+I8</f>
        <v>44079.153657883995</v>
      </c>
      <c r="J27" s="287">
        <f t="shared" si="3"/>
        <v>629935.72287569998</v>
      </c>
      <c r="K27" s="748"/>
      <c r="L27" s="749"/>
    </row>
    <row r="28" spans="1:13" ht="15" customHeight="1" x14ac:dyDescent="0.2">
      <c r="A28" s="1123" t="s">
        <v>507</v>
      </c>
      <c r="B28" s="1123"/>
      <c r="C28" s="1123"/>
      <c r="D28" s="1123"/>
      <c r="E28" s="1123"/>
      <c r="F28" s="1123"/>
      <c r="G28" s="1123"/>
      <c r="H28" s="1123"/>
      <c r="I28" s="1123"/>
      <c r="J28" s="1123"/>
    </row>
    <row r="29" spans="1:13" ht="15" customHeight="1" x14ac:dyDescent="0.2">
      <c r="A29" s="77" t="s">
        <v>556</v>
      </c>
      <c r="B29" s="1110" t="s">
        <v>513</v>
      </c>
      <c r="C29" s="1111"/>
      <c r="D29" s="1111"/>
      <c r="E29" s="1111"/>
      <c r="F29" s="1111"/>
      <c r="G29" s="1111"/>
      <c r="H29" s="1111"/>
      <c r="I29" s="1111"/>
      <c r="J29" s="1112"/>
    </row>
    <row r="30" spans="1:13" ht="15" customHeight="1" x14ac:dyDescent="0.2">
      <c r="A30" s="74">
        <v>1</v>
      </c>
      <c r="B30" s="78" t="s">
        <v>529</v>
      </c>
      <c r="C30" s="750">
        <v>5.4945000000000001E-2</v>
      </c>
      <c r="D30" s="282">
        <v>25131.391554999995</v>
      </c>
      <c r="E30" s="288">
        <v>2.0441999999999998E-2</v>
      </c>
      <c r="F30" s="289">
        <v>6884.6212499999992</v>
      </c>
      <c r="G30" s="750">
        <v>2.6929999999999996E-2</v>
      </c>
      <c r="H30" s="282">
        <v>12269.342235000002</v>
      </c>
      <c r="I30" s="750">
        <v>1.7449000000000003E-2</v>
      </c>
      <c r="J30" s="282">
        <v>8181.2267950000005</v>
      </c>
      <c r="K30" s="748"/>
      <c r="M30" s="84" t="s">
        <v>601</v>
      </c>
    </row>
    <row r="31" spans="1:13" ht="15" customHeight="1" x14ac:dyDescent="0.2">
      <c r="A31" s="74">
        <v>2</v>
      </c>
      <c r="B31" s="78" t="s">
        <v>530</v>
      </c>
      <c r="C31" s="751">
        <v>0.94004999999999983</v>
      </c>
      <c r="D31" s="282">
        <v>4419.7921965000023</v>
      </c>
      <c r="E31" s="290">
        <v>0.37784999999999996</v>
      </c>
      <c r="F31" s="278">
        <v>1437.5684414999998</v>
      </c>
      <c r="G31" s="290">
        <v>0.21231</v>
      </c>
      <c r="H31" s="289">
        <v>992.14633949999984</v>
      </c>
      <c r="I31" s="751">
        <v>0.50642999999999994</v>
      </c>
      <c r="J31" s="282">
        <v>2459.9672145000004</v>
      </c>
      <c r="K31" s="748"/>
    </row>
    <row r="32" spans="1:13" ht="15" customHeight="1" x14ac:dyDescent="0.2">
      <c r="A32" s="79"/>
      <c r="B32" s="472" t="s">
        <v>637</v>
      </c>
      <c r="C32" s="385">
        <f>SUM(C30:C31)</f>
        <v>0.99499499999999985</v>
      </c>
      <c r="D32" s="287">
        <f t="shared" ref="D32:J32" si="4">SUM(D30:D31)</f>
        <v>29551.183751499997</v>
      </c>
      <c r="E32" s="385">
        <f t="shared" si="4"/>
        <v>0.39829199999999998</v>
      </c>
      <c r="F32" s="287">
        <f t="shared" si="4"/>
        <v>8322.1896914999998</v>
      </c>
      <c r="G32" s="385">
        <f t="shared" si="4"/>
        <v>0.23924000000000001</v>
      </c>
      <c r="H32" s="287">
        <f t="shared" si="4"/>
        <v>13261.488574500001</v>
      </c>
      <c r="I32" s="385">
        <f t="shared" si="4"/>
        <v>0.52387899999999998</v>
      </c>
      <c r="J32" s="287">
        <f t="shared" si="4"/>
        <v>10641.194009500001</v>
      </c>
      <c r="K32" s="752"/>
    </row>
    <row r="33" spans="1:11" ht="15" customHeight="1" x14ac:dyDescent="0.2">
      <c r="A33" s="79" t="s">
        <v>638</v>
      </c>
      <c r="B33" s="1113" t="s">
        <v>639</v>
      </c>
      <c r="C33" s="1114"/>
      <c r="D33" s="1114"/>
      <c r="E33" s="1114"/>
      <c r="F33" s="1114"/>
      <c r="G33" s="1114"/>
      <c r="H33" s="1114"/>
      <c r="I33" s="1114"/>
      <c r="J33" s="1115"/>
      <c r="K33" s="748"/>
    </row>
    <row r="34" spans="1:11" ht="15" customHeight="1" x14ac:dyDescent="0.2">
      <c r="A34" s="74">
        <v>1</v>
      </c>
      <c r="B34" s="80" t="s">
        <v>532</v>
      </c>
      <c r="C34" s="750">
        <v>0.47250000000000003</v>
      </c>
      <c r="D34" s="282">
        <v>18.548860000000001</v>
      </c>
      <c r="E34" s="291">
        <v>5.0510000000000002</v>
      </c>
      <c r="F34" s="291">
        <v>213.468594</v>
      </c>
      <c r="G34" s="288">
        <v>0.37750000000000006</v>
      </c>
      <c r="H34" s="289">
        <v>14.479655000000001</v>
      </c>
      <c r="I34" s="750">
        <v>6.5000000000000002E-2</v>
      </c>
      <c r="J34" s="282">
        <v>2.8482125000000003</v>
      </c>
      <c r="K34" s="748"/>
    </row>
    <row r="35" spans="1:11" ht="15" customHeight="1" x14ac:dyDescent="0.2">
      <c r="A35" s="74">
        <v>2</v>
      </c>
      <c r="B35" s="80" t="s">
        <v>535</v>
      </c>
      <c r="C35" s="282" t="s">
        <v>286</v>
      </c>
      <c r="D35" s="282" t="s">
        <v>286</v>
      </c>
      <c r="E35" s="291">
        <v>3.5849999999999995</v>
      </c>
      <c r="F35" s="291">
        <v>73.718939999999989</v>
      </c>
      <c r="G35" s="282" t="s">
        <v>286</v>
      </c>
      <c r="H35" s="282" t="s">
        <v>286</v>
      </c>
      <c r="I35" s="282" t="s">
        <v>286</v>
      </c>
      <c r="J35" s="282" t="s">
        <v>286</v>
      </c>
      <c r="K35" s="748"/>
    </row>
    <row r="36" spans="1:11" ht="15" customHeight="1" x14ac:dyDescent="0.2">
      <c r="A36" s="81"/>
      <c r="B36" s="472" t="s">
        <v>640</v>
      </c>
      <c r="C36" s="385">
        <f t="shared" ref="C36:J36" si="5">SUM(C34:C35)</f>
        <v>0.47250000000000003</v>
      </c>
      <c r="D36" s="287">
        <f t="shared" si="5"/>
        <v>18.548860000000001</v>
      </c>
      <c r="E36" s="292">
        <f t="shared" si="5"/>
        <v>8.6359999999999992</v>
      </c>
      <c r="F36" s="292">
        <f t="shared" si="5"/>
        <v>287.18753399999997</v>
      </c>
      <c r="G36" s="293">
        <f t="shared" si="5"/>
        <v>0.37750000000000006</v>
      </c>
      <c r="H36" s="294">
        <f t="shared" si="5"/>
        <v>14.479655000000001</v>
      </c>
      <c r="I36" s="753">
        <f t="shared" si="5"/>
        <v>6.5000000000000002E-2</v>
      </c>
      <c r="J36" s="287">
        <f t="shared" si="5"/>
        <v>2.8482125000000003</v>
      </c>
      <c r="K36" s="752"/>
    </row>
    <row r="37" spans="1:11" ht="15" customHeight="1" x14ac:dyDescent="0.2">
      <c r="A37" s="79" t="s">
        <v>641</v>
      </c>
      <c r="B37" s="1113" t="s">
        <v>511</v>
      </c>
      <c r="C37" s="1114"/>
      <c r="D37" s="1114"/>
      <c r="E37" s="1114"/>
      <c r="F37" s="1114"/>
      <c r="G37" s="1114"/>
      <c r="H37" s="1114"/>
      <c r="I37" s="1114"/>
      <c r="J37" s="1115"/>
      <c r="K37" s="748"/>
    </row>
    <row r="38" spans="1:11" ht="15" customHeight="1" x14ac:dyDescent="0.2">
      <c r="A38" s="74">
        <v>1</v>
      </c>
      <c r="B38" s="80" t="s">
        <v>540</v>
      </c>
      <c r="C38" s="282">
        <v>5821.4052685849992</v>
      </c>
      <c r="D38" s="282">
        <v>10115.853325000002</v>
      </c>
      <c r="E38" s="278">
        <v>2118.9359106700003</v>
      </c>
      <c r="F38" s="278">
        <v>6007.3723090000003</v>
      </c>
      <c r="G38" s="289">
        <v>1748.8404073500001</v>
      </c>
      <c r="H38" s="289">
        <v>2773.7465519999996</v>
      </c>
      <c r="I38" s="282">
        <v>2076.9850232949998</v>
      </c>
      <c r="J38" s="282">
        <v>4494.622327</v>
      </c>
      <c r="K38" s="752"/>
    </row>
    <row r="39" spans="1:11" ht="15" customHeight="1" x14ac:dyDescent="0.2">
      <c r="A39" s="1116" t="s">
        <v>642</v>
      </c>
      <c r="B39" s="1116"/>
      <c r="C39" s="287">
        <f t="shared" ref="C39:J39" si="6">SUM(C32+C36+C38)</f>
        <v>5822.8727635849991</v>
      </c>
      <c r="D39" s="287">
        <f>SUM(D32+D36+D38)</f>
        <v>39685.5859365</v>
      </c>
      <c r="E39" s="287">
        <f>SUM(E32+E36+E38)</f>
        <v>2127.9702026700002</v>
      </c>
      <c r="F39" s="287">
        <f>SUM(F32+F36+F38)</f>
        <v>14616.749534500001</v>
      </c>
      <c r="G39" s="287">
        <f t="shared" si="6"/>
        <v>1749.45714735</v>
      </c>
      <c r="H39" s="287">
        <f t="shared" si="6"/>
        <v>16049.714781499999</v>
      </c>
      <c r="I39" s="287">
        <f t="shared" si="6"/>
        <v>2077.5739022949997</v>
      </c>
      <c r="J39" s="287">
        <f t="shared" si="6"/>
        <v>15138.664549000001</v>
      </c>
      <c r="K39" s="748"/>
    </row>
    <row r="40" spans="1:11" x14ac:dyDescent="0.2">
      <c r="A40" s="82" t="s">
        <v>1104</v>
      </c>
      <c r="B40" s="83"/>
      <c r="J40" s="295"/>
    </row>
    <row r="41" spans="1:11" x14ac:dyDescent="0.2">
      <c r="A41" s="82" t="s">
        <v>643</v>
      </c>
      <c r="B41" s="82"/>
      <c r="C41" s="82"/>
      <c r="D41" s="82"/>
      <c r="E41" s="82"/>
      <c r="F41" s="82"/>
      <c r="G41" s="82"/>
      <c r="H41" s="82" t="s">
        <v>601</v>
      </c>
      <c r="I41" s="82"/>
    </row>
    <row r="42" spans="1:11" x14ac:dyDescent="0.2">
      <c r="A42" s="471" t="s">
        <v>644</v>
      </c>
      <c r="B42" s="82"/>
      <c r="C42" s="82"/>
      <c r="D42" s="82"/>
      <c r="E42" s="82"/>
      <c r="F42" s="82" t="s">
        <v>601</v>
      </c>
      <c r="G42" s="82"/>
      <c r="H42" s="82" t="s">
        <v>601</v>
      </c>
      <c r="I42" s="82"/>
      <c r="J42" s="82"/>
    </row>
    <row r="43" spans="1:11" x14ac:dyDescent="0.2">
      <c r="A43" s="82" t="str">
        <f>'[1]65'!A11</f>
        <v>$ indicates as on June 30, 2020</v>
      </c>
      <c r="B43" s="471"/>
      <c r="C43" s="471"/>
      <c r="D43" s="471"/>
      <c r="E43" s="471"/>
      <c r="F43" s="471"/>
      <c r="G43" s="471"/>
      <c r="H43" s="471"/>
      <c r="I43" s="471"/>
    </row>
    <row r="44" spans="1:11" x14ac:dyDescent="0.2">
      <c r="A44" s="136" t="s">
        <v>543</v>
      </c>
      <c r="I44" s="748"/>
    </row>
    <row r="45" spans="1:11" x14ac:dyDescent="0.2">
      <c r="C45" s="754"/>
      <c r="D45" s="754"/>
      <c r="E45" s="754"/>
      <c r="G45" s="754"/>
      <c r="H45" s="754"/>
      <c r="I45" s="754"/>
      <c r="J45" s="754"/>
    </row>
    <row r="49" spans="8:9" x14ac:dyDescent="0.2">
      <c r="H49" s="755"/>
    </row>
    <row r="52" spans="8:9" x14ac:dyDescent="0.2">
      <c r="I52" s="85"/>
    </row>
    <row r="53" spans="8:9" x14ac:dyDescent="0.2">
      <c r="I53" s="85"/>
    </row>
    <row r="54" spans="8:9" x14ac:dyDescent="0.2">
      <c r="I54" s="85"/>
    </row>
    <row r="55" spans="8:9" x14ac:dyDescent="0.2">
      <c r="I55" s="85"/>
    </row>
    <row r="56" spans="8:9" x14ac:dyDescent="0.2">
      <c r="I56" s="85"/>
    </row>
    <row r="57" spans="8:9" x14ac:dyDescent="0.2">
      <c r="I57" s="85"/>
    </row>
    <row r="58" spans="8:9" x14ac:dyDescent="0.2">
      <c r="I58" s="85"/>
    </row>
    <row r="59" spans="8:9" x14ac:dyDescent="0.2">
      <c r="I59" s="85"/>
    </row>
  </sheetData>
  <mergeCells count="18">
    <mergeCell ref="A27:B27"/>
    <mergeCell ref="A28:J28"/>
    <mergeCell ref="B29:J29"/>
    <mergeCell ref="B33:J33"/>
    <mergeCell ref="A39:B39"/>
    <mergeCell ref="A1:J1"/>
    <mergeCell ref="A2:A3"/>
    <mergeCell ref="B2:B3"/>
    <mergeCell ref="C2:D2"/>
    <mergeCell ref="E2:F2"/>
    <mergeCell ref="G2:H2"/>
    <mergeCell ref="I2:J2"/>
    <mergeCell ref="B23:J23"/>
    <mergeCell ref="B37:J37"/>
    <mergeCell ref="A4:J4"/>
    <mergeCell ref="B5:J5"/>
    <mergeCell ref="B9:J9"/>
    <mergeCell ref="B16:J16"/>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32"/>
  <sheetViews>
    <sheetView zoomScaleNormal="100" workbookViewId="0">
      <selection activeCell="Q23" sqref="Q23"/>
    </sheetView>
  </sheetViews>
  <sheetFormatPr defaultRowHeight="12.75" x14ac:dyDescent="0.2"/>
  <cols>
    <col min="1" max="1" width="7.85546875" style="84" customWidth="1"/>
    <col min="2" max="2" width="24.28515625" style="84" customWidth="1"/>
    <col min="3" max="3" width="11.140625" style="84" bestFit="1" customWidth="1"/>
    <col min="4" max="5" width="12.85546875" style="84" customWidth="1"/>
    <col min="6" max="6" width="9.85546875" style="84" customWidth="1"/>
    <col min="7" max="7" width="8.85546875" style="84" bestFit="1" customWidth="1"/>
    <col min="8" max="8" width="9.42578125" style="84" bestFit="1" customWidth="1"/>
    <col min="9" max="9" width="10.7109375" style="84" customWidth="1"/>
    <col min="10" max="10" width="9.42578125" style="84" bestFit="1" customWidth="1"/>
    <col min="11" max="16384" width="9.140625" style="84"/>
  </cols>
  <sheetData>
    <row r="1" spans="1:12" ht="15" customHeight="1" x14ac:dyDescent="0.25">
      <c r="A1" s="1127" t="s">
        <v>1042</v>
      </c>
      <c r="B1" s="1127"/>
      <c r="C1" s="1127"/>
      <c r="D1" s="1127"/>
      <c r="E1" s="1127"/>
      <c r="F1" s="1127"/>
      <c r="G1" s="1127"/>
      <c r="H1" s="1127"/>
      <c r="I1" s="1127"/>
      <c r="J1" s="1127"/>
    </row>
    <row r="2" spans="1:12" ht="15" customHeight="1" x14ac:dyDescent="0.2">
      <c r="A2" s="1053" t="s">
        <v>626</v>
      </c>
      <c r="B2" s="1130" t="s">
        <v>865</v>
      </c>
      <c r="C2" s="1118" t="s">
        <v>76</v>
      </c>
      <c r="D2" s="1119"/>
      <c r="E2" s="1118">
        <v>43633</v>
      </c>
      <c r="F2" s="1119"/>
      <c r="G2" s="1118">
        <v>43969</v>
      </c>
      <c r="H2" s="1119"/>
      <c r="I2" s="1118">
        <v>44000</v>
      </c>
      <c r="J2" s="1119"/>
    </row>
    <row r="3" spans="1:12" ht="38.25" x14ac:dyDescent="0.2">
      <c r="A3" s="1053"/>
      <c r="B3" s="1131"/>
      <c r="C3" s="746" t="s">
        <v>618</v>
      </c>
      <c r="D3" s="8" t="s">
        <v>1067</v>
      </c>
      <c r="E3" s="746" t="s">
        <v>618</v>
      </c>
      <c r="F3" s="8" t="s">
        <v>1067</v>
      </c>
      <c r="G3" s="746" t="s">
        <v>618</v>
      </c>
      <c r="H3" s="746" t="s">
        <v>645</v>
      </c>
      <c r="I3" s="746" t="s">
        <v>520</v>
      </c>
      <c r="J3" s="8" t="s">
        <v>1067</v>
      </c>
    </row>
    <row r="4" spans="1:12" ht="15" customHeight="1" x14ac:dyDescent="0.2">
      <c r="A4" s="1128" t="s">
        <v>506</v>
      </c>
      <c r="B4" s="1129"/>
      <c r="C4" s="1129"/>
      <c r="D4" s="1129"/>
      <c r="E4" s="1129"/>
      <c r="F4" s="1129"/>
      <c r="G4" s="1129"/>
      <c r="H4" s="1129"/>
      <c r="I4" s="1129"/>
      <c r="J4" s="1129"/>
      <c r="K4" s="400"/>
      <c r="L4" s="91"/>
    </row>
    <row r="5" spans="1:12" ht="15" customHeight="1" x14ac:dyDescent="0.2">
      <c r="A5" s="86">
        <v>1</v>
      </c>
      <c r="B5" s="296" t="s">
        <v>866</v>
      </c>
      <c r="C5" s="278">
        <v>3.3780000000000001</v>
      </c>
      <c r="D5" s="278">
        <v>174.19675000000001</v>
      </c>
      <c r="E5" s="297">
        <v>0</v>
      </c>
      <c r="F5" s="297">
        <v>0</v>
      </c>
      <c r="G5" s="297">
        <v>1.357</v>
      </c>
      <c r="H5" s="291">
        <v>69.074012499999995</v>
      </c>
      <c r="I5" s="278">
        <v>2.0209999999999999</v>
      </c>
      <c r="J5" s="396">
        <v>105.1227375</v>
      </c>
      <c r="K5" s="401"/>
      <c r="L5" s="92"/>
    </row>
    <row r="6" spans="1:12" x14ac:dyDescent="0.2">
      <c r="A6" s="86">
        <v>2</v>
      </c>
      <c r="B6" s="75" t="s">
        <v>544</v>
      </c>
      <c r="C6" s="278">
        <v>20.310000000000002</v>
      </c>
      <c r="D6" s="278">
        <v>31.025295000000003</v>
      </c>
      <c r="E6" s="278">
        <v>11.789999999999997</v>
      </c>
      <c r="F6" s="278">
        <v>21.367944999999995</v>
      </c>
      <c r="G6" s="278">
        <v>5.97</v>
      </c>
      <c r="H6" s="278">
        <v>9.0992300000000004</v>
      </c>
      <c r="I6" s="278">
        <v>6.42</v>
      </c>
      <c r="J6" s="396">
        <v>9.4205700000000014</v>
      </c>
      <c r="K6" s="401"/>
      <c r="L6" s="92"/>
    </row>
    <row r="7" spans="1:12" x14ac:dyDescent="0.2">
      <c r="A7" s="86">
        <v>3</v>
      </c>
      <c r="B7" s="75" t="s">
        <v>545</v>
      </c>
      <c r="C7" s="278">
        <v>412.46</v>
      </c>
      <c r="D7" s="278">
        <v>1561.03549</v>
      </c>
      <c r="E7" s="278">
        <v>1579.4600000000003</v>
      </c>
      <c r="F7" s="278">
        <v>8632.6745699999992</v>
      </c>
      <c r="G7" s="278">
        <v>115.82</v>
      </c>
      <c r="H7" s="278">
        <v>420.36754000000002</v>
      </c>
      <c r="I7" s="278">
        <v>188.69499999999999</v>
      </c>
      <c r="J7" s="396">
        <v>720.02471999999989</v>
      </c>
      <c r="K7" s="401"/>
      <c r="L7" s="92"/>
    </row>
    <row r="8" spans="1:12" x14ac:dyDescent="0.2">
      <c r="A8" s="86">
        <v>4</v>
      </c>
      <c r="B8" s="75" t="s">
        <v>546</v>
      </c>
      <c r="C8" s="278">
        <v>1327.1200000000001</v>
      </c>
      <c r="D8" s="278">
        <v>5547.1102199999996</v>
      </c>
      <c r="E8" s="278">
        <v>1346.7299999999998</v>
      </c>
      <c r="F8" s="278">
        <v>5906.8637700000008</v>
      </c>
      <c r="G8" s="278">
        <v>301.41000000000003</v>
      </c>
      <c r="H8" s="278">
        <v>1247.10997</v>
      </c>
      <c r="I8" s="278">
        <v>727.66000000000008</v>
      </c>
      <c r="J8" s="396">
        <v>3059.4726999999993</v>
      </c>
      <c r="K8" s="401"/>
      <c r="L8" s="92"/>
    </row>
    <row r="9" spans="1:12" x14ac:dyDescent="0.2">
      <c r="A9" s="86">
        <v>5</v>
      </c>
      <c r="B9" s="75" t="s">
        <v>547</v>
      </c>
      <c r="C9" s="278">
        <v>2432.41</v>
      </c>
      <c r="D9" s="278">
        <v>4936.1414000000004</v>
      </c>
      <c r="E9" s="278">
        <v>1665.6999999999998</v>
      </c>
      <c r="F9" s="278">
        <v>4602.0925849999994</v>
      </c>
      <c r="G9" s="278">
        <v>719.68</v>
      </c>
      <c r="H9" s="278">
        <v>1418.8826899999999</v>
      </c>
      <c r="I9" s="278">
        <v>1071.6399999999999</v>
      </c>
      <c r="J9" s="396">
        <v>2270.8066500000004</v>
      </c>
      <c r="K9" s="401"/>
      <c r="L9" s="93"/>
    </row>
    <row r="10" spans="1:12" x14ac:dyDescent="0.2">
      <c r="A10" s="86">
        <v>6</v>
      </c>
      <c r="B10" s="75" t="s">
        <v>548</v>
      </c>
      <c r="C10" s="278">
        <v>108.05</v>
      </c>
      <c r="D10" s="278">
        <v>632.54187000000002</v>
      </c>
      <c r="E10" s="278">
        <v>218.41</v>
      </c>
      <c r="F10" s="278">
        <v>1530.9243800000002</v>
      </c>
      <c r="G10" s="278">
        <v>34.520000000000003</v>
      </c>
      <c r="H10" s="278">
        <v>197.75845000000001</v>
      </c>
      <c r="I10" s="278">
        <v>46.419999999999995</v>
      </c>
      <c r="J10" s="396">
        <v>271.18552999999997</v>
      </c>
      <c r="K10" s="401"/>
      <c r="L10" s="93"/>
    </row>
    <row r="11" spans="1:12" x14ac:dyDescent="0.2">
      <c r="A11" s="86">
        <v>7</v>
      </c>
      <c r="B11" s="75" t="s">
        <v>549</v>
      </c>
      <c r="C11" s="278">
        <v>1114.6949999999999</v>
      </c>
      <c r="D11" s="278">
        <v>3922.6371100000006</v>
      </c>
      <c r="E11" s="278">
        <v>1400.8799999999999</v>
      </c>
      <c r="F11" s="278">
        <v>5947.5959299999995</v>
      </c>
      <c r="G11" s="278">
        <v>265.60500000000002</v>
      </c>
      <c r="H11" s="278">
        <v>936.03710000000001</v>
      </c>
      <c r="I11" s="278">
        <v>392.2</v>
      </c>
      <c r="J11" s="396">
        <v>1410.0000900000005</v>
      </c>
      <c r="K11" s="401"/>
      <c r="L11" s="93"/>
    </row>
    <row r="12" spans="1:12" x14ac:dyDescent="0.2">
      <c r="A12" s="86">
        <v>8</v>
      </c>
      <c r="B12" s="75" t="s">
        <v>550</v>
      </c>
      <c r="C12" s="278">
        <v>707.74</v>
      </c>
      <c r="D12" s="278">
        <v>3781.09238</v>
      </c>
      <c r="E12" s="278">
        <v>350.16</v>
      </c>
      <c r="F12" s="278">
        <v>2987.6357949999992</v>
      </c>
      <c r="G12" s="278">
        <v>197.45500000000001</v>
      </c>
      <c r="H12" s="278">
        <v>1039.7394300000001</v>
      </c>
      <c r="I12" s="278">
        <v>262.71999999999997</v>
      </c>
      <c r="J12" s="396">
        <v>1448.8169850000002</v>
      </c>
      <c r="K12" s="401"/>
      <c r="L12" s="93"/>
    </row>
    <row r="13" spans="1:12" x14ac:dyDescent="0.2">
      <c r="A13" s="86">
        <v>9</v>
      </c>
      <c r="B13" s="75" t="s">
        <v>551</v>
      </c>
      <c r="C13" s="278">
        <v>46.194000000000003</v>
      </c>
      <c r="D13" s="278">
        <v>635.80600500000003</v>
      </c>
      <c r="E13" s="278">
        <v>73.299000000000021</v>
      </c>
      <c r="F13" s="278">
        <v>1281.6082200000001</v>
      </c>
      <c r="G13" s="278">
        <v>14.919</v>
      </c>
      <c r="H13" s="278">
        <v>202.00872000000001</v>
      </c>
      <c r="I13" s="278">
        <v>16.521000000000001</v>
      </c>
      <c r="J13" s="396">
        <v>227.83831500000002</v>
      </c>
      <c r="K13" s="401"/>
      <c r="L13" s="92"/>
    </row>
    <row r="14" spans="1:12" x14ac:dyDescent="0.2">
      <c r="A14" s="86">
        <v>10</v>
      </c>
      <c r="B14" s="75" t="s">
        <v>552</v>
      </c>
      <c r="C14" s="278">
        <v>36.450000000000003</v>
      </c>
      <c r="D14" s="278">
        <v>180.05276000000001</v>
      </c>
      <c r="E14" s="278">
        <v>53.76</v>
      </c>
      <c r="F14" s="278">
        <v>303.33490999999998</v>
      </c>
      <c r="G14" s="278">
        <v>3.21</v>
      </c>
      <c r="H14" s="278">
        <v>15.84474</v>
      </c>
      <c r="I14" s="278">
        <v>15.16</v>
      </c>
      <c r="J14" s="396">
        <v>76.9876</v>
      </c>
      <c r="K14" s="401"/>
      <c r="L14" s="93"/>
    </row>
    <row r="15" spans="1:12" x14ac:dyDescent="0.2">
      <c r="A15" s="86">
        <v>11</v>
      </c>
      <c r="B15" s="75" t="s">
        <v>553</v>
      </c>
      <c r="C15" s="277">
        <v>6.6400000000000006</v>
      </c>
      <c r="D15" s="277">
        <v>8.3903700000000008</v>
      </c>
      <c r="E15" s="277">
        <v>21.250000000000004</v>
      </c>
      <c r="F15" s="277">
        <v>41.007000000000005</v>
      </c>
      <c r="G15" s="278">
        <v>1.1100000000000001</v>
      </c>
      <c r="H15" s="278">
        <v>1.3476699999999999</v>
      </c>
      <c r="I15" s="756">
        <v>5.23</v>
      </c>
      <c r="J15" s="757">
        <v>6.65123</v>
      </c>
      <c r="K15" s="401"/>
      <c r="L15" s="92"/>
    </row>
    <row r="16" spans="1:12" x14ac:dyDescent="0.2">
      <c r="A16" s="86">
        <v>12</v>
      </c>
      <c r="B16" s="75" t="s">
        <v>646</v>
      </c>
      <c r="C16" s="278">
        <v>1018.5400000000001</v>
      </c>
      <c r="D16" s="278">
        <v>4509.5506700000005</v>
      </c>
      <c r="E16" s="278">
        <v>577.54000000000008</v>
      </c>
      <c r="F16" s="278">
        <v>2270.5921000000008</v>
      </c>
      <c r="G16" s="278">
        <v>264.95</v>
      </c>
      <c r="H16" s="278">
        <v>1136.12228</v>
      </c>
      <c r="I16" s="278">
        <v>525.82000000000005</v>
      </c>
      <c r="J16" s="396">
        <v>2444.8843500000003</v>
      </c>
      <c r="K16" s="401"/>
      <c r="L16" s="93"/>
    </row>
    <row r="17" spans="1:13" x14ac:dyDescent="0.2">
      <c r="A17" s="86">
        <v>13</v>
      </c>
      <c r="B17" s="75" t="s">
        <v>647</v>
      </c>
      <c r="C17" s="278">
        <v>1726.905</v>
      </c>
      <c r="D17" s="278">
        <v>6572.99449</v>
      </c>
      <c r="E17" s="278">
        <v>785.63999999999987</v>
      </c>
      <c r="F17" s="278">
        <v>2869.97453</v>
      </c>
      <c r="G17" s="278">
        <v>439.72</v>
      </c>
      <c r="H17" s="278">
        <v>1673.8932400000001</v>
      </c>
      <c r="I17" s="278">
        <v>698.09500000000003</v>
      </c>
      <c r="J17" s="396">
        <v>2667.3243000000002</v>
      </c>
      <c r="K17" s="401"/>
      <c r="L17" s="93"/>
    </row>
    <row r="18" spans="1:13" x14ac:dyDescent="0.2">
      <c r="A18" s="86">
        <v>14</v>
      </c>
      <c r="B18" s="75" t="s">
        <v>648</v>
      </c>
      <c r="C18" s="278">
        <v>1192.45</v>
      </c>
      <c r="D18" s="278">
        <v>9488.4935549999991</v>
      </c>
      <c r="E18" s="278">
        <v>379.6</v>
      </c>
      <c r="F18" s="278">
        <v>2799.2189399999997</v>
      </c>
      <c r="G18" s="278">
        <v>336.16</v>
      </c>
      <c r="H18" s="278">
        <v>2596.9642699999999</v>
      </c>
      <c r="I18" s="278">
        <v>482</v>
      </c>
      <c r="J18" s="396">
        <v>3922.0753049999998</v>
      </c>
      <c r="K18" s="401"/>
      <c r="L18" s="93"/>
    </row>
    <row r="19" spans="1:13" x14ac:dyDescent="0.2">
      <c r="A19" s="86">
        <v>15</v>
      </c>
      <c r="B19" s="75" t="s">
        <v>554</v>
      </c>
      <c r="C19" s="278">
        <v>120.68</v>
      </c>
      <c r="D19" s="278">
        <v>667.34088999999994</v>
      </c>
      <c r="E19" s="278">
        <v>126.07499999999997</v>
      </c>
      <c r="F19" s="278">
        <v>843.52458999999999</v>
      </c>
      <c r="G19" s="278">
        <v>38.03</v>
      </c>
      <c r="H19" s="278">
        <v>203.209</v>
      </c>
      <c r="I19" s="278">
        <v>50.27</v>
      </c>
      <c r="J19" s="396">
        <v>279.55401999999998</v>
      </c>
      <c r="K19" s="401"/>
      <c r="L19" s="93"/>
    </row>
    <row r="20" spans="1:13" x14ac:dyDescent="0.2">
      <c r="A20" s="86">
        <v>16</v>
      </c>
      <c r="B20" s="75" t="s">
        <v>555</v>
      </c>
      <c r="C20" s="298">
        <v>0.01</v>
      </c>
      <c r="D20" s="298">
        <v>1.7999999999999999E-2</v>
      </c>
      <c r="E20" s="278">
        <v>29.62</v>
      </c>
      <c r="F20" s="278">
        <v>58.197100000000006</v>
      </c>
      <c r="G20" s="758">
        <v>0</v>
      </c>
      <c r="H20" s="758">
        <v>0</v>
      </c>
      <c r="I20" s="758">
        <v>0</v>
      </c>
      <c r="J20" s="759">
        <v>0</v>
      </c>
      <c r="K20" s="401"/>
      <c r="L20" s="93"/>
    </row>
    <row r="21" spans="1:13" x14ac:dyDescent="0.2">
      <c r="A21" s="87" t="s">
        <v>601</v>
      </c>
      <c r="B21" s="473" t="s">
        <v>67</v>
      </c>
      <c r="C21" s="283">
        <f t="shared" ref="C21:J21" si="0">SUM(C5:C20)</f>
        <v>10274.032000000001</v>
      </c>
      <c r="D21" s="283">
        <f t="shared" si="0"/>
        <v>42648.427254999995</v>
      </c>
      <c r="E21" s="283">
        <f t="shared" si="0"/>
        <v>8619.9140000000025</v>
      </c>
      <c r="F21" s="283">
        <f t="shared" si="0"/>
        <v>40096.612365000001</v>
      </c>
      <c r="G21" s="283">
        <f t="shared" si="0"/>
        <v>2739.9160000000002</v>
      </c>
      <c r="H21" s="283">
        <f t="shared" si="0"/>
        <v>11167.4583425</v>
      </c>
      <c r="I21" s="283">
        <f>SUM(I5:I20)</f>
        <v>4490.8720000000003</v>
      </c>
      <c r="J21" s="397">
        <f t="shared" si="0"/>
        <v>18920.165102499999</v>
      </c>
      <c r="K21" s="401"/>
      <c r="L21" s="93"/>
    </row>
    <row r="22" spans="1:13" x14ac:dyDescent="0.2">
      <c r="A22" s="1125" t="s">
        <v>507</v>
      </c>
      <c r="B22" s="1125"/>
      <c r="C22" s="1125"/>
      <c r="D22" s="1125"/>
      <c r="E22" s="1125"/>
      <c r="F22" s="1125"/>
      <c r="G22" s="1125"/>
      <c r="H22" s="1125"/>
      <c r="I22" s="1125"/>
      <c r="J22" s="1126"/>
      <c r="K22" s="400"/>
      <c r="L22" s="91"/>
    </row>
    <row r="23" spans="1:13" x14ac:dyDescent="0.2">
      <c r="A23" s="88">
        <v>1</v>
      </c>
      <c r="B23" s="75" t="s">
        <v>546</v>
      </c>
      <c r="C23" s="298">
        <v>0.01</v>
      </c>
      <c r="D23" s="277">
        <v>0.45</v>
      </c>
      <c r="E23" s="278" t="s">
        <v>286</v>
      </c>
      <c r="F23" s="278" t="s">
        <v>286</v>
      </c>
      <c r="G23" s="299" t="s">
        <v>286</v>
      </c>
      <c r="H23" s="299" t="s">
        <v>286</v>
      </c>
      <c r="I23" s="297">
        <v>0.01</v>
      </c>
      <c r="J23" s="398">
        <v>0.45</v>
      </c>
      <c r="K23" s="401"/>
      <c r="L23" s="91"/>
    </row>
    <row r="24" spans="1:13" x14ac:dyDescent="0.2">
      <c r="A24" s="88">
        <v>2</v>
      </c>
      <c r="B24" s="75" t="s">
        <v>550</v>
      </c>
      <c r="C24" s="299">
        <v>0.7</v>
      </c>
      <c r="D24" s="299">
        <v>4.4100599999999996</v>
      </c>
      <c r="E24" s="278" t="s">
        <v>286</v>
      </c>
      <c r="F24" s="278" t="s">
        <v>286</v>
      </c>
      <c r="G24" s="299">
        <v>0.25</v>
      </c>
      <c r="H24" s="299">
        <v>1.53</v>
      </c>
      <c r="I24" s="299">
        <v>0.35</v>
      </c>
      <c r="J24" s="398">
        <v>2.2000000000000002</v>
      </c>
      <c r="K24" s="401"/>
      <c r="L24" s="91"/>
      <c r="M24" s="84" t="s">
        <v>601</v>
      </c>
    </row>
    <row r="25" spans="1:13" x14ac:dyDescent="0.2">
      <c r="A25" s="88">
        <v>3</v>
      </c>
      <c r="B25" s="75" t="s">
        <v>649</v>
      </c>
      <c r="C25" s="297">
        <v>0.01</v>
      </c>
      <c r="D25" s="297">
        <v>1.7325E-2</v>
      </c>
      <c r="E25" s="299">
        <v>0.16</v>
      </c>
      <c r="F25" s="299">
        <v>0.69</v>
      </c>
      <c r="G25" s="299" t="s">
        <v>286</v>
      </c>
      <c r="H25" s="299" t="s">
        <v>286</v>
      </c>
      <c r="I25" s="299" t="s">
        <v>286</v>
      </c>
      <c r="J25" s="398" t="s">
        <v>286</v>
      </c>
      <c r="K25" s="401"/>
      <c r="L25" s="91"/>
      <c r="M25" s="84" t="s">
        <v>601</v>
      </c>
    </row>
    <row r="26" spans="1:13" x14ac:dyDescent="0.2">
      <c r="A26" s="88">
        <v>4</v>
      </c>
      <c r="B26" s="75" t="s">
        <v>650</v>
      </c>
      <c r="C26" s="299" t="s">
        <v>286</v>
      </c>
      <c r="D26" s="299" t="s">
        <v>286</v>
      </c>
      <c r="E26" s="278" t="s">
        <v>286</v>
      </c>
      <c r="F26" s="278" t="s">
        <v>286</v>
      </c>
      <c r="G26" s="299" t="s">
        <v>286</v>
      </c>
      <c r="H26" s="299" t="s">
        <v>286</v>
      </c>
      <c r="I26" s="299" t="s">
        <v>286</v>
      </c>
      <c r="J26" s="398" t="s">
        <v>286</v>
      </c>
      <c r="K26" s="401"/>
      <c r="L26" s="91"/>
    </row>
    <row r="27" spans="1:13" x14ac:dyDescent="0.2">
      <c r="A27" s="88">
        <v>5</v>
      </c>
      <c r="B27" s="75" t="s">
        <v>651</v>
      </c>
      <c r="C27" s="299" t="s">
        <v>286</v>
      </c>
      <c r="D27" s="299" t="s">
        <v>286</v>
      </c>
      <c r="E27" s="278" t="s">
        <v>286</v>
      </c>
      <c r="F27" s="278" t="s">
        <v>286</v>
      </c>
      <c r="G27" s="299" t="s">
        <v>286</v>
      </c>
      <c r="H27" s="299" t="s">
        <v>286</v>
      </c>
      <c r="I27" s="299" t="s">
        <v>286</v>
      </c>
      <c r="J27" s="398" t="s">
        <v>286</v>
      </c>
      <c r="K27" s="401"/>
      <c r="L27" s="91"/>
    </row>
    <row r="28" spans="1:13" x14ac:dyDescent="0.2">
      <c r="A28" s="75"/>
      <c r="B28" s="473" t="s">
        <v>67</v>
      </c>
      <c r="C28" s="300">
        <f>SUM(C23:C27)</f>
        <v>0.72</v>
      </c>
      <c r="D28" s="300">
        <f>SUM(D23:D27)</f>
        <v>4.8773849999999994</v>
      </c>
      <c r="E28" s="300">
        <f t="shared" ref="E28:J28" si="1">SUM(E23:E27)</f>
        <v>0.16</v>
      </c>
      <c r="F28" s="300">
        <f>SUM(F23:F27)</f>
        <v>0.69</v>
      </c>
      <c r="G28" s="300">
        <f t="shared" si="1"/>
        <v>0.25</v>
      </c>
      <c r="H28" s="300">
        <f t="shared" si="1"/>
        <v>1.53</v>
      </c>
      <c r="I28" s="300">
        <f t="shared" si="1"/>
        <v>0.36</v>
      </c>
      <c r="J28" s="399">
        <f t="shared" si="1"/>
        <v>2.6500000000000004</v>
      </c>
      <c r="K28" s="401"/>
      <c r="L28" s="91"/>
    </row>
    <row r="29" spans="1:13" x14ac:dyDescent="0.2">
      <c r="A29" s="461" t="s">
        <v>1105</v>
      </c>
      <c r="B29" s="461"/>
      <c r="C29" s="462"/>
      <c r="D29" s="462"/>
      <c r="E29" s="462"/>
      <c r="F29" s="462"/>
      <c r="G29" s="462"/>
      <c r="H29" s="462"/>
      <c r="I29" s="462"/>
      <c r="J29" s="462"/>
      <c r="K29" s="463"/>
      <c r="L29" s="91"/>
    </row>
    <row r="30" spans="1:13" x14ac:dyDescent="0.2">
      <c r="A30" s="82" t="str">
        <f>'[1]65'!A11</f>
        <v>$ indicates as on June 30, 2020</v>
      </c>
      <c r="B30" s="89"/>
      <c r="G30" s="84" t="s">
        <v>601</v>
      </c>
      <c r="H30" s="84" t="s">
        <v>601</v>
      </c>
      <c r="J30" s="84" t="s">
        <v>601</v>
      </c>
    </row>
    <row r="31" spans="1:13" x14ac:dyDescent="0.2">
      <c r="A31" s="90" t="s">
        <v>652</v>
      </c>
      <c r="B31" s="89"/>
      <c r="D31" s="84" t="s">
        <v>601</v>
      </c>
      <c r="E31" s="84" t="s">
        <v>601</v>
      </c>
      <c r="G31" s="84" t="s">
        <v>601</v>
      </c>
    </row>
    <row r="32" spans="1:13" x14ac:dyDescent="0.2">
      <c r="A32" s="89" t="s">
        <v>522</v>
      </c>
      <c r="E32" s="84" t="s">
        <v>601</v>
      </c>
      <c r="I32" s="84" t="s">
        <v>601</v>
      </c>
    </row>
  </sheetData>
  <mergeCells count="9">
    <mergeCell ref="A22:J22"/>
    <mergeCell ref="A1:J1"/>
    <mergeCell ref="G2:H2"/>
    <mergeCell ref="I2:J2"/>
    <mergeCell ref="A4:J4"/>
    <mergeCell ref="A2:A3"/>
    <mergeCell ref="B2:B3"/>
    <mergeCell ref="C2:D2"/>
    <mergeCell ref="E2:F2"/>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81"/>
  <sheetViews>
    <sheetView topLeftCell="A7" zoomScaleNormal="100" workbookViewId="0">
      <selection activeCell="S22" sqref="S22"/>
    </sheetView>
  </sheetViews>
  <sheetFormatPr defaultRowHeight="12.75" x14ac:dyDescent="0.2"/>
  <cols>
    <col min="1" max="1" width="7.28515625" style="84" bestFit="1" customWidth="1"/>
    <col min="2" max="2" width="28.140625" style="84" customWidth="1"/>
    <col min="3" max="3" width="11.42578125" style="84" customWidth="1"/>
    <col min="4" max="4" width="13.85546875" style="84" customWidth="1"/>
    <col min="5" max="5" width="16.85546875" style="84" customWidth="1"/>
    <col min="6" max="6" width="13.28515625" style="84" customWidth="1"/>
    <col min="7" max="7" width="11.140625" style="84" customWidth="1"/>
    <col min="8" max="8" width="12.85546875" style="84" customWidth="1"/>
    <col min="9" max="9" width="11.140625" style="84" customWidth="1"/>
    <col min="10" max="10" width="15.42578125" style="84" customWidth="1"/>
    <col min="11" max="11" width="11.28515625" style="84" bestFit="1" customWidth="1"/>
    <col min="12" max="12" width="9.42578125" style="84" bestFit="1" customWidth="1"/>
    <col min="13" max="16384" width="9.140625" style="84"/>
  </cols>
  <sheetData>
    <row r="1" spans="1:10" ht="15" x14ac:dyDescent="0.2">
      <c r="A1" s="94" t="s">
        <v>951</v>
      </c>
      <c r="B1" s="94"/>
      <c r="C1" s="94"/>
      <c r="D1" s="94"/>
      <c r="E1" s="94"/>
      <c r="F1" s="94"/>
      <c r="G1" s="94" t="s">
        <v>601</v>
      </c>
      <c r="H1" s="94" t="s">
        <v>601</v>
      </c>
      <c r="I1" s="94"/>
      <c r="J1" s="94"/>
    </row>
    <row r="2" spans="1:10" x14ac:dyDescent="0.2">
      <c r="A2" s="1053" t="s">
        <v>626</v>
      </c>
      <c r="B2" s="1053" t="s">
        <v>528</v>
      </c>
      <c r="C2" s="1118" t="s">
        <v>76</v>
      </c>
      <c r="D2" s="1119"/>
      <c r="E2" s="1118">
        <v>43617</v>
      </c>
      <c r="F2" s="1119"/>
      <c r="G2" s="1118">
        <v>43952</v>
      </c>
      <c r="H2" s="1119"/>
      <c r="I2" s="1118">
        <v>43983</v>
      </c>
      <c r="J2" s="1119"/>
    </row>
    <row r="3" spans="1:10" ht="25.5" x14ac:dyDescent="0.2">
      <c r="A3" s="1132"/>
      <c r="B3" s="1132"/>
      <c r="C3" s="95" t="s">
        <v>612</v>
      </c>
      <c r="D3" s="96" t="s">
        <v>1067</v>
      </c>
      <c r="E3" s="95" t="s">
        <v>612</v>
      </c>
      <c r="F3" s="96" t="s">
        <v>1067</v>
      </c>
      <c r="G3" s="95" t="s">
        <v>612</v>
      </c>
      <c r="H3" s="96" t="s">
        <v>1067</v>
      </c>
      <c r="I3" s="95" t="s">
        <v>612</v>
      </c>
      <c r="J3" s="96" t="s">
        <v>1067</v>
      </c>
    </row>
    <row r="4" spans="1:10" ht="15.75" x14ac:dyDescent="0.2">
      <c r="A4" s="97" t="s">
        <v>713</v>
      </c>
      <c r="B4" s="301" t="s">
        <v>867</v>
      </c>
      <c r="C4" s="302"/>
      <c r="D4" s="302"/>
      <c r="E4" s="302" t="s">
        <v>600</v>
      </c>
      <c r="F4" s="302"/>
      <c r="G4" s="302"/>
      <c r="H4" s="302"/>
      <c r="I4" s="302"/>
      <c r="J4" s="303"/>
    </row>
    <row r="5" spans="1:10" ht="15.75" x14ac:dyDescent="0.2">
      <c r="A5" s="97" t="s">
        <v>627</v>
      </c>
      <c r="B5" s="304" t="s">
        <v>868</v>
      </c>
      <c r="C5" s="305"/>
      <c r="D5" s="305"/>
      <c r="E5" s="305"/>
      <c r="F5" s="305"/>
      <c r="G5" s="305"/>
      <c r="H5" s="305"/>
      <c r="I5" s="305"/>
      <c r="J5" s="305"/>
    </row>
    <row r="6" spans="1:10" x14ac:dyDescent="0.2">
      <c r="A6" s="88">
        <v>1</v>
      </c>
      <c r="B6" s="306" t="s">
        <v>656</v>
      </c>
      <c r="C6" s="307">
        <v>14508.36</v>
      </c>
      <c r="D6" s="307">
        <v>551.59</v>
      </c>
      <c r="E6" s="307">
        <v>43535.62</v>
      </c>
      <c r="F6" s="307">
        <v>1513.87</v>
      </c>
      <c r="G6" s="308">
        <v>6413.65</v>
      </c>
      <c r="H6" s="308">
        <v>243</v>
      </c>
      <c r="I6" s="309">
        <v>1535.87</v>
      </c>
      <c r="J6" s="309">
        <v>58.1</v>
      </c>
    </row>
    <row r="7" spans="1:10" x14ac:dyDescent="0.2">
      <c r="A7" s="88">
        <v>2</v>
      </c>
      <c r="B7" s="306" t="s">
        <v>657</v>
      </c>
      <c r="C7" s="310">
        <v>0.09</v>
      </c>
      <c r="D7" s="311">
        <v>8.9999999999999998E-4</v>
      </c>
      <c r="E7" s="307">
        <v>1016.72</v>
      </c>
      <c r="F7" s="307">
        <v>16.344200000000001</v>
      </c>
      <c r="G7" s="312">
        <v>0.03</v>
      </c>
      <c r="H7" s="103">
        <v>0</v>
      </c>
      <c r="I7" s="313">
        <v>0.04</v>
      </c>
      <c r="J7" s="313">
        <v>0</v>
      </c>
    </row>
    <row r="8" spans="1:10" x14ac:dyDescent="0.2">
      <c r="A8" s="88">
        <v>3</v>
      </c>
      <c r="B8" s="306" t="s">
        <v>658</v>
      </c>
      <c r="C8" s="98" t="s">
        <v>286</v>
      </c>
      <c r="D8" s="98" t="s">
        <v>286</v>
      </c>
      <c r="E8" s="313" t="s">
        <v>286</v>
      </c>
      <c r="F8" s="314" t="s">
        <v>286</v>
      </c>
      <c r="G8" s="308" t="s">
        <v>286</v>
      </c>
      <c r="H8" s="308" t="s">
        <v>286</v>
      </c>
      <c r="I8" s="309" t="s">
        <v>286</v>
      </c>
      <c r="J8" s="309" t="s">
        <v>286</v>
      </c>
    </row>
    <row r="9" spans="1:10" x14ac:dyDescent="0.2">
      <c r="A9" s="97"/>
      <c r="B9" s="315" t="s">
        <v>628</v>
      </c>
      <c r="C9" s="186"/>
      <c r="D9" s="316">
        <f>SUM(D6:D8)</f>
        <v>551.59090000000003</v>
      </c>
      <c r="E9" s="186"/>
      <c r="F9" s="316">
        <f>SUM(F6:F8)</f>
        <v>1530.2141999999999</v>
      </c>
      <c r="G9" s="186"/>
      <c r="H9" s="316">
        <f>SUM(H6:H8)</f>
        <v>243</v>
      </c>
      <c r="I9" s="186"/>
      <c r="J9" s="316">
        <f>SUM(J6:J8)</f>
        <v>58.1</v>
      </c>
    </row>
    <row r="10" spans="1:10" x14ac:dyDescent="0.2">
      <c r="A10" s="97" t="s">
        <v>629</v>
      </c>
      <c r="B10" s="317" t="s">
        <v>869</v>
      </c>
      <c r="C10" s="318"/>
      <c r="D10" s="318"/>
      <c r="E10" s="318"/>
      <c r="F10" s="318"/>
      <c r="G10" s="318"/>
      <c r="H10" s="318"/>
      <c r="I10" s="318"/>
      <c r="J10" s="318"/>
    </row>
    <row r="11" spans="1:10" x14ac:dyDescent="0.2">
      <c r="A11" s="97"/>
      <c r="B11" s="306" t="s">
        <v>659</v>
      </c>
      <c r="C11" s="307">
        <v>250.92</v>
      </c>
      <c r="D11" s="307">
        <v>745.28</v>
      </c>
      <c r="E11" s="309">
        <v>177.92</v>
      </c>
      <c r="F11" s="309">
        <v>645.58000000000004</v>
      </c>
      <c r="G11" s="309">
        <v>83.18</v>
      </c>
      <c r="H11" s="309">
        <v>246.82</v>
      </c>
      <c r="I11" s="309">
        <v>8.4</v>
      </c>
      <c r="J11" s="309">
        <v>25.6</v>
      </c>
    </row>
    <row r="12" spans="1:10" x14ac:dyDescent="0.2">
      <c r="A12" s="97"/>
      <c r="B12" s="315" t="s">
        <v>870</v>
      </c>
      <c r="C12" s="319">
        <f t="shared" ref="C12:J12" si="0">SUM(C11)</f>
        <v>250.92</v>
      </c>
      <c r="D12" s="319">
        <f t="shared" si="0"/>
        <v>745.28</v>
      </c>
      <c r="E12" s="319">
        <f t="shared" si="0"/>
        <v>177.92</v>
      </c>
      <c r="F12" s="319">
        <f t="shared" si="0"/>
        <v>645.58000000000004</v>
      </c>
      <c r="G12" s="319">
        <f t="shared" si="0"/>
        <v>83.18</v>
      </c>
      <c r="H12" s="319">
        <f t="shared" si="0"/>
        <v>246.82</v>
      </c>
      <c r="I12" s="319">
        <f t="shared" si="0"/>
        <v>8.4</v>
      </c>
      <c r="J12" s="319">
        <f t="shared" si="0"/>
        <v>25.6</v>
      </c>
    </row>
    <row r="13" spans="1:10" x14ac:dyDescent="0.2">
      <c r="A13" s="97" t="s">
        <v>632</v>
      </c>
      <c r="B13" s="320" t="s">
        <v>871</v>
      </c>
      <c r="C13" s="318"/>
      <c r="D13" s="318"/>
      <c r="E13" s="318"/>
      <c r="F13" s="318"/>
      <c r="G13" s="318"/>
      <c r="H13" s="318"/>
      <c r="I13" s="318"/>
      <c r="J13" s="318"/>
    </row>
    <row r="14" spans="1:10" x14ac:dyDescent="0.2">
      <c r="A14" s="88">
        <v>1</v>
      </c>
      <c r="B14" s="321" t="s">
        <v>653</v>
      </c>
      <c r="C14" s="313" t="s">
        <v>286</v>
      </c>
      <c r="D14" s="313" t="s">
        <v>286</v>
      </c>
      <c r="E14" s="322">
        <v>51.84</v>
      </c>
      <c r="F14" s="322">
        <v>51.28</v>
      </c>
      <c r="G14" s="313" t="s">
        <v>286</v>
      </c>
      <c r="H14" s="313" t="s">
        <v>286</v>
      </c>
      <c r="I14" s="98" t="s">
        <v>286</v>
      </c>
      <c r="J14" s="98" t="s">
        <v>286</v>
      </c>
    </row>
    <row r="15" spans="1:10" x14ac:dyDescent="0.2">
      <c r="A15" s="88">
        <v>2</v>
      </c>
      <c r="B15" s="321" t="s">
        <v>654</v>
      </c>
      <c r="C15" s="313" t="s">
        <v>286</v>
      </c>
      <c r="D15" s="313" t="s">
        <v>286</v>
      </c>
      <c r="E15" s="322">
        <v>5.2</v>
      </c>
      <c r="F15" s="322">
        <v>188.39</v>
      </c>
      <c r="G15" s="313" t="s">
        <v>286</v>
      </c>
      <c r="H15" s="313" t="s">
        <v>286</v>
      </c>
      <c r="I15" s="98" t="s">
        <v>286</v>
      </c>
      <c r="J15" s="98" t="s">
        <v>286</v>
      </c>
    </row>
    <row r="16" spans="1:10" x14ac:dyDescent="0.2">
      <c r="A16" s="88">
        <v>3</v>
      </c>
      <c r="B16" s="321" t="s">
        <v>655</v>
      </c>
      <c r="C16" s="309">
        <v>8.5060000000000002</v>
      </c>
      <c r="D16" s="309">
        <v>97.77</v>
      </c>
      <c r="E16" s="322">
        <v>19.126999999999999</v>
      </c>
      <c r="F16" s="322">
        <v>288.85000000000002</v>
      </c>
      <c r="G16" s="309">
        <v>2.1880000000000002</v>
      </c>
      <c r="H16" s="309">
        <v>24.72</v>
      </c>
      <c r="I16" s="282">
        <v>1.32</v>
      </c>
      <c r="J16" s="282">
        <v>16.16</v>
      </c>
    </row>
    <row r="17" spans="1:12" x14ac:dyDescent="0.2">
      <c r="A17" s="88">
        <v>4</v>
      </c>
      <c r="B17" s="306" t="s">
        <v>660</v>
      </c>
      <c r="C17" s="309">
        <v>54.44</v>
      </c>
      <c r="D17" s="309">
        <v>185.04286000000008</v>
      </c>
      <c r="E17" s="98" t="s">
        <v>286</v>
      </c>
      <c r="F17" s="98" t="s">
        <v>286</v>
      </c>
      <c r="G17" s="309">
        <v>8.6</v>
      </c>
      <c r="H17" s="309">
        <v>28.91</v>
      </c>
      <c r="I17" s="98" t="s">
        <v>286</v>
      </c>
      <c r="J17" s="98" t="s">
        <v>286</v>
      </c>
    </row>
    <row r="18" spans="1:12" x14ac:dyDescent="0.2">
      <c r="A18" s="124"/>
      <c r="B18" s="315" t="s">
        <v>634</v>
      </c>
      <c r="C18" s="323">
        <f t="shared" ref="C18:J18" si="1">SUM(C14:C17)</f>
        <v>62.945999999999998</v>
      </c>
      <c r="D18" s="323">
        <f t="shared" si="1"/>
        <v>282.81286000000006</v>
      </c>
      <c r="E18" s="323">
        <f t="shared" si="1"/>
        <v>76.167000000000002</v>
      </c>
      <c r="F18" s="323">
        <f t="shared" si="1"/>
        <v>528.52</v>
      </c>
      <c r="G18" s="323">
        <f t="shared" si="1"/>
        <v>10.788</v>
      </c>
      <c r="H18" s="323">
        <f t="shared" si="1"/>
        <v>53.629999999999995</v>
      </c>
      <c r="I18" s="323">
        <f t="shared" si="1"/>
        <v>1.32</v>
      </c>
      <c r="J18" s="323">
        <f t="shared" si="1"/>
        <v>16.16</v>
      </c>
    </row>
    <row r="19" spans="1:12" ht="13.5" thickBot="1" x14ac:dyDescent="0.25">
      <c r="A19" s="324"/>
      <c r="B19" s="325" t="s">
        <v>872</v>
      </c>
      <c r="C19" s="394">
        <f>SUM(C12,C18)</f>
        <v>313.86599999999999</v>
      </c>
      <c r="D19" s="395">
        <f>SUM(D9,D12,D18)</f>
        <v>1579.6837599999999</v>
      </c>
      <c r="E19" s="394">
        <f>SUM(E12,E18)</f>
        <v>254.08699999999999</v>
      </c>
      <c r="F19" s="394">
        <f>SUM(F9,F12,F18)</f>
        <v>2704.3141999999998</v>
      </c>
      <c r="G19" s="394">
        <f>SUM(G12,G18)</f>
        <v>93.968000000000004</v>
      </c>
      <c r="H19" s="394">
        <f>SUM(H9,H12,H18)</f>
        <v>543.45000000000005</v>
      </c>
      <c r="I19" s="394">
        <f>SUM(I12,I18)</f>
        <v>9.7200000000000006</v>
      </c>
      <c r="J19" s="394">
        <f>SUM(J12,J18)</f>
        <v>41.760000000000005</v>
      </c>
    </row>
    <row r="20" spans="1:12" ht="15.75" x14ac:dyDescent="0.2">
      <c r="A20" s="104" t="s">
        <v>732</v>
      </c>
      <c r="B20" s="1133" t="s">
        <v>117</v>
      </c>
      <c r="C20" s="1134"/>
      <c r="D20" s="1134"/>
      <c r="E20" s="1134"/>
      <c r="F20" s="1134"/>
      <c r="G20" s="1134"/>
      <c r="H20" s="1134"/>
      <c r="I20" s="1134"/>
      <c r="J20" s="1134"/>
      <c r="L20" s="84" t="s">
        <v>601</v>
      </c>
    </row>
    <row r="21" spans="1:12" ht="15.75" x14ac:dyDescent="0.2">
      <c r="A21" s="326"/>
      <c r="B21" s="327" t="s">
        <v>873</v>
      </c>
      <c r="C21" s="476"/>
      <c r="D21" s="476"/>
      <c r="E21" s="475"/>
      <c r="F21" s="475"/>
      <c r="G21" s="476"/>
      <c r="H21" s="476"/>
      <c r="I21" s="476"/>
      <c r="J21" s="476"/>
    </row>
    <row r="22" spans="1:12" ht="15.75" x14ac:dyDescent="0.2">
      <c r="A22" s="326" t="s">
        <v>627</v>
      </c>
      <c r="B22" s="320" t="s">
        <v>513</v>
      </c>
      <c r="C22" s="476"/>
      <c r="D22" s="476"/>
      <c r="E22" s="475"/>
      <c r="F22" s="475"/>
      <c r="G22" s="476"/>
      <c r="H22" s="476"/>
      <c r="I22" s="476"/>
      <c r="J22" s="476"/>
    </row>
    <row r="23" spans="1:12" x14ac:dyDescent="0.2">
      <c r="A23" s="88">
        <v>1</v>
      </c>
      <c r="B23" s="321" t="s">
        <v>529</v>
      </c>
      <c r="C23" s="328">
        <v>0</v>
      </c>
      <c r="D23" s="328">
        <v>0</v>
      </c>
      <c r="E23" s="329">
        <v>4.4999999999999996E-5</v>
      </c>
      <c r="F23" s="108">
        <v>15.024379999999997</v>
      </c>
      <c r="G23" s="328">
        <v>0</v>
      </c>
      <c r="H23" s="328">
        <v>0</v>
      </c>
      <c r="I23" s="328">
        <v>0</v>
      </c>
      <c r="J23" s="328">
        <v>0</v>
      </c>
    </row>
    <row r="24" spans="1:12" x14ac:dyDescent="0.2">
      <c r="A24" s="88">
        <v>2</v>
      </c>
      <c r="B24" s="321" t="s">
        <v>667</v>
      </c>
      <c r="C24" s="330">
        <v>7.3810000000000021E-4</v>
      </c>
      <c r="D24" s="108">
        <v>343.05717800000002</v>
      </c>
      <c r="E24" s="115">
        <v>1.1364000000000001E-3</v>
      </c>
      <c r="F24" s="108">
        <v>377.24090999999999</v>
      </c>
      <c r="G24" s="109">
        <v>1.6510000000000006E-4</v>
      </c>
      <c r="H24" s="108">
        <v>76.517431000000016</v>
      </c>
      <c r="I24" s="109">
        <v>4.4740000000000009E-4</v>
      </c>
      <c r="J24" s="108">
        <v>209.17937999999998</v>
      </c>
    </row>
    <row r="25" spans="1:12" x14ac:dyDescent="0.2">
      <c r="A25" s="88">
        <v>3</v>
      </c>
      <c r="B25" s="321" t="s">
        <v>530</v>
      </c>
      <c r="C25" s="328">
        <v>0</v>
      </c>
      <c r="D25" s="328">
        <v>0</v>
      </c>
      <c r="E25" s="115">
        <v>4.2000000000000002E-4</v>
      </c>
      <c r="F25" s="108">
        <v>1.5757409999999998</v>
      </c>
      <c r="G25" s="328">
        <v>0</v>
      </c>
      <c r="H25" s="328">
        <v>0</v>
      </c>
      <c r="I25" s="328">
        <v>0</v>
      </c>
      <c r="J25" s="328">
        <v>0</v>
      </c>
    </row>
    <row r="26" spans="1:12" x14ac:dyDescent="0.2">
      <c r="A26" s="88"/>
      <c r="B26" s="331" t="s">
        <v>628</v>
      </c>
      <c r="C26" s="332">
        <f t="shared" ref="C26:J26" si="2">SUM(C23:C25)</f>
        <v>7.3810000000000021E-4</v>
      </c>
      <c r="D26" s="333">
        <f t="shared" si="2"/>
        <v>343.05717800000002</v>
      </c>
      <c r="E26" s="334">
        <f t="shared" si="2"/>
        <v>1.6014E-3</v>
      </c>
      <c r="F26" s="333">
        <f t="shared" si="2"/>
        <v>393.84103099999999</v>
      </c>
      <c r="G26" s="335">
        <f t="shared" si="2"/>
        <v>1.6510000000000006E-4</v>
      </c>
      <c r="H26" s="333">
        <f t="shared" si="2"/>
        <v>76.517431000000016</v>
      </c>
      <c r="I26" s="332">
        <f t="shared" si="2"/>
        <v>4.4740000000000009E-4</v>
      </c>
      <c r="J26" s="333">
        <f t="shared" si="2"/>
        <v>209.17937999999998</v>
      </c>
    </row>
    <row r="27" spans="1:12" x14ac:dyDescent="0.2">
      <c r="A27" s="336" t="s">
        <v>629</v>
      </c>
      <c r="B27" s="331" t="s">
        <v>511</v>
      </c>
      <c r="C27" s="328"/>
      <c r="D27" s="328"/>
      <c r="E27" s="337"/>
      <c r="F27" s="338"/>
      <c r="G27" s="328"/>
      <c r="H27" s="328"/>
      <c r="I27" s="328"/>
      <c r="J27" s="328"/>
    </row>
    <row r="28" spans="1:12" x14ac:dyDescent="0.2">
      <c r="A28" s="88">
        <v>1</v>
      </c>
      <c r="B28" s="113" t="s">
        <v>668</v>
      </c>
      <c r="C28" s="328">
        <v>0</v>
      </c>
      <c r="D28" s="328">
        <v>0</v>
      </c>
      <c r="E28" s="339">
        <v>4.5429740791268756E-5</v>
      </c>
      <c r="F28" s="102">
        <v>14.784700000000001</v>
      </c>
      <c r="G28" s="328">
        <v>0</v>
      </c>
      <c r="H28" s="328">
        <v>0</v>
      </c>
      <c r="I28" s="328">
        <v>0</v>
      </c>
      <c r="J28" s="328">
        <v>0</v>
      </c>
    </row>
    <row r="29" spans="1:12" x14ac:dyDescent="0.2">
      <c r="A29" s="88">
        <v>2</v>
      </c>
      <c r="B29" s="113" t="s">
        <v>669</v>
      </c>
      <c r="C29" s="328">
        <v>0</v>
      </c>
      <c r="D29" s="328">
        <v>0</v>
      </c>
      <c r="E29" s="340">
        <v>7.8635743519781735E-4</v>
      </c>
      <c r="F29" s="102">
        <v>25.089021999999996</v>
      </c>
      <c r="G29" s="328">
        <v>0</v>
      </c>
      <c r="H29" s="328">
        <v>0</v>
      </c>
      <c r="I29" s="328">
        <v>0</v>
      </c>
      <c r="J29" s="328">
        <v>0</v>
      </c>
    </row>
    <row r="30" spans="1:12" x14ac:dyDescent="0.2">
      <c r="A30" s="88"/>
      <c r="B30" s="341" t="s">
        <v>870</v>
      </c>
      <c r="C30" s="342">
        <f>SUM(C28:C29)</f>
        <v>0</v>
      </c>
      <c r="D30" s="342">
        <f>SUM(D28:D29)</f>
        <v>0</v>
      </c>
      <c r="E30" s="343">
        <f t="shared" ref="E30:J30" si="3">SUM(E28:E29)</f>
        <v>8.3178717598908611E-4</v>
      </c>
      <c r="F30" s="344">
        <f t="shared" si="3"/>
        <v>39.873722000000001</v>
      </c>
      <c r="G30" s="342">
        <f t="shared" si="3"/>
        <v>0</v>
      </c>
      <c r="H30" s="342">
        <f t="shared" si="3"/>
        <v>0</v>
      </c>
      <c r="I30" s="342">
        <f t="shared" si="3"/>
        <v>0</v>
      </c>
      <c r="J30" s="342">
        <f t="shared" si="3"/>
        <v>0</v>
      </c>
    </row>
    <row r="31" spans="1:12" x14ac:dyDescent="0.2">
      <c r="A31" s="88"/>
      <c r="B31" s="345" t="s">
        <v>874</v>
      </c>
      <c r="C31" s="116">
        <f t="shared" ref="C31:J31" si="4">SUM(C26,C30)</f>
        <v>7.3810000000000021E-4</v>
      </c>
      <c r="D31" s="112">
        <f t="shared" si="4"/>
        <v>343.05717800000002</v>
      </c>
      <c r="E31" s="117">
        <f t="shared" si="4"/>
        <v>2.433187175989086E-3</v>
      </c>
      <c r="F31" s="112">
        <f t="shared" si="4"/>
        <v>433.71475299999997</v>
      </c>
      <c r="G31" s="116">
        <f t="shared" si="4"/>
        <v>1.6510000000000006E-4</v>
      </c>
      <c r="H31" s="112">
        <f t="shared" si="4"/>
        <v>76.517431000000016</v>
      </c>
      <c r="I31" s="116">
        <f t="shared" si="4"/>
        <v>4.4740000000000009E-4</v>
      </c>
      <c r="J31" s="112">
        <f t="shared" si="4"/>
        <v>209.17937999999998</v>
      </c>
    </row>
    <row r="32" spans="1:12" ht="15.75" x14ac:dyDescent="0.2">
      <c r="A32" s="346"/>
      <c r="B32" s="347" t="s">
        <v>875</v>
      </c>
      <c r="C32" s="348"/>
      <c r="D32" s="348"/>
      <c r="E32" s="348"/>
      <c r="F32" s="348"/>
      <c r="G32" s="348"/>
      <c r="H32" s="348"/>
      <c r="I32" s="348"/>
      <c r="J32" s="348"/>
    </row>
    <row r="33" spans="1:13" x14ac:dyDescent="0.2">
      <c r="A33" s="336" t="s">
        <v>632</v>
      </c>
      <c r="B33" s="349" t="s">
        <v>513</v>
      </c>
      <c r="C33" s="350"/>
      <c r="D33" s="350"/>
      <c r="E33" s="351"/>
      <c r="F33" s="351"/>
      <c r="G33" s="351"/>
      <c r="H33" s="351"/>
      <c r="I33" s="351"/>
      <c r="J33" s="351"/>
    </row>
    <row r="34" spans="1:13" x14ac:dyDescent="0.2">
      <c r="A34" s="350"/>
      <c r="B34" s="760" t="s">
        <v>667</v>
      </c>
      <c r="C34" s="352">
        <v>3.6635000000000001E-3</v>
      </c>
      <c r="D34" s="353">
        <v>1751.8752034999993</v>
      </c>
      <c r="E34" s="761">
        <v>0</v>
      </c>
      <c r="F34" s="761">
        <v>0</v>
      </c>
      <c r="G34" s="761">
        <v>0</v>
      </c>
      <c r="H34" s="761">
        <v>0</v>
      </c>
      <c r="I34" s="762">
        <v>3.6635000000000001E-3</v>
      </c>
      <c r="J34" s="763">
        <v>1751.8752034999993</v>
      </c>
    </row>
    <row r="35" spans="1:13" ht="13.5" thickBot="1" x14ac:dyDescent="0.25">
      <c r="A35" s="354"/>
      <c r="B35" s="325" t="s">
        <v>876</v>
      </c>
      <c r="C35" s="355">
        <f t="shared" ref="C35:J35" si="5">SUM(C34)</f>
        <v>3.6635000000000001E-3</v>
      </c>
      <c r="D35" s="356">
        <f t="shared" si="5"/>
        <v>1751.8752034999993</v>
      </c>
      <c r="E35" s="764">
        <f t="shared" si="5"/>
        <v>0</v>
      </c>
      <c r="F35" s="764">
        <f t="shared" si="5"/>
        <v>0</v>
      </c>
      <c r="G35" s="764">
        <f t="shared" si="5"/>
        <v>0</v>
      </c>
      <c r="H35" s="764">
        <f t="shared" si="5"/>
        <v>0</v>
      </c>
      <c r="I35" s="765">
        <f t="shared" si="5"/>
        <v>3.6635000000000001E-3</v>
      </c>
      <c r="J35" s="766">
        <f t="shared" si="5"/>
        <v>1751.8752034999993</v>
      </c>
    </row>
    <row r="36" spans="1:13" x14ac:dyDescent="0.2">
      <c r="A36" s="357"/>
      <c r="B36" s="331"/>
      <c r="C36" s="358"/>
      <c r="D36" s="359"/>
      <c r="E36" s="360"/>
      <c r="F36" s="359"/>
      <c r="G36" s="358"/>
      <c r="H36" s="359"/>
      <c r="I36" s="358"/>
      <c r="J36" s="359"/>
    </row>
    <row r="37" spans="1:13" ht="15.75" x14ac:dyDescent="0.2">
      <c r="A37" s="326" t="s">
        <v>745</v>
      </c>
      <c r="B37" s="1135" t="s">
        <v>116</v>
      </c>
      <c r="C37" s="1136"/>
      <c r="D37" s="1136"/>
      <c r="E37" s="1136"/>
      <c r="F37" s="1136"/>
      <c r="G37" s="1136"/>
      <c r="H37" s="1136"/>
      <c r="I37" s="1136"/>
      <c r="J37" s="1136"/>
    </row>
    <row r="38" spans="1:13" ht="15.75" x14ac:dyDescent="0.2">
      <c r="A38" s="326"/>
      <c r="B38" s="327" t="s">
        <v>877</v>
      </c>
      <c r="C38" s="476"/>
      <c r="D38" s="476"/>
      <c r="E38" s="475"/>
      <c r="F38" s="475"/>
      <c r="G38" s="476"/>
      <c r="H38" s="476"/>
      <c r="I38" s="476"/>
      <c r="J38" s="476"/>
    </row>
    <row r="39" spans="1:13" x14ac:dyDescent="0.2">
      <c r="A39" s="326" t="s">
        <v>627</v>
      </c>
      <c r="B39" s="361" t="s">
        <v>513</v>
      </c>
      <c r="C39" s="185"/>
      <c r="D39" s="185"/>
      <c r="E39" s="350"/>
      <c r="F39" s="350"/>
      <c r="G39" s="185"/>
      <c r="H39" s="185"/>
      <c r="I39" s="185"/>
      <c r="J39" s="185"/>
    </row>
    <row r="40" spans="1:13" x14ac:dyDescent="0.2">
      <c r="A40" s="88">
        <v>1</v>
      </c>
      <c r="B40" s="105" t="s">
        <v>529</v>
      </c>
      <c r="C40" s="362">
        <v>3.0000000000000001E-5</v>
      </c>
      <c r="D40" s="363">
        <v>12.07</v>
      </c>
      <c r="E40" s="115">
        <v>4.7099999999999998E-3</v>
      </c>
      <c r="F40" s="108">
        <v>1553.5669600000001</v>
      </c>
      <c r="G40" s="106">
        <v>0</v>
      </c>
      <c r="H40" s="106">
        <v>0</v>
      </c>
      <c r="I40" s="362">
        <v>3.0000000000000001E-5</v>
      </c>
      <c r="J40" s="363">
        <v>12.07</v>
      </c>
      <c r="K40" s="84" t="s">
        <v>601</v>
      </c>
      <c r="L40" s="101"/>
      <c r="M40" s="84" t="s">
        <v>601</v>
      </c>
    </row>
    <row r="41" spans="1:13" x14ac:dyDescent="0.2">
      <c r="A41" s="88">
        <v>2</v>
      </c>
      <c r="B41" s="105" t="s">
        <v>530</v>
      </c>
      <c r="C41" s="364">
        <v>5.9999999999999995E-4</v>
      </c>
      <c r="D41" s="363">
        <v>2.91</v>
      </c>
      <c r="E41" s="107">
        <v>2.6969999999999997E-2</v>
      </c>
      <c r="F41" s="108">
        <v>100.99460999999999</v>
      </c>
      <c r="G41" s="106">
        <v>0</v>
      </c>
      <c r="H41" s="106">
        <v>0</v>
      </c>
      <c r="I41" s="365">
        <v>5.9999999999999995E-4</v>
      </c>
      <c r="J41" s="366">
        <v>2.91</v>
      </c>
      <c r="L41" s="101"/>
    </row>
    <row r="42" spans="1:13" x14ac:dyDescent="0.2">
      <c r="A42" s="88">
        <v>3</v>
      </c>
      <c r="B42" s="105" t="s">
        <v>878</v>
      </c>
      <c r="C42" s="106">
        <v>0</v>
      </c>
      <c r="D42" s="106">
        <v>0</v>
      </c>
      <c r="E42" s="106">
        <v>0</v>
      </c>
      <c r="F42" s="107">
        <v>1.8585000000000001E-2</v>
      </c>
      <c r="G42" s="106">
        <v>0</v>
      </c>
      <c r="H42" s="106">
        <v>0</v>
      </c>
      <c r="I42" s="106">
        <v>0</v>
      </c>
      <c r="J42" s="106">
        <v>0</v>
      </c>
      <c r="L42" s="101"/>
    </row>
    <row r="43" spans="1:13" x14ac:dyDescent="0.2">
      <c r="A43" s="88">
        <v>4</v>
      </c>
      <c r="B43" s="105" t="s">
        <v>879</v>
      </c>
      <c r="C43" s="106">
        <v>0</v>
      </c>
      <c r="D43" s="106">
        <v>0</v>
      </c>
      <c r="E43" s="106">
        <v>0</v>
      </c>
      <c r="F43" s="107">
        <v>1.8575000000000001E-2</v>
      </c>
      <c r="G43" s="106">
        <v>0</v>
      </c>
      <c r="H43" s="106">
        <v>0</v>
      </c>
      <c r="I43" s="106">
        <v>0</v>
      </c>
      <c r="J43" s="106">
        <v>0</v>
      </c>
      <c r="L43" s="101"/>
    </row>
    <row r="44" spans="1:13" x14ac:dyDescent="0.2">
      <c r="A44" s="88"/>
      <c r="B44" s="105" t="s">
        <v>661</v>
      </c>
      <c r="C44" s="362">
        <v>7.7000000000000008E-6</v>
      </c>
      <c r="D44" s="363">
        <v>3.671821</v>
      </c>
      <c r="E44" s="109">
        <v>2.7560000000000003E-4</v>
      </c>
      <c r="F44" s="108">
        <v>90.455340000000007</v>
      </c>
      <c r="G44" s="106">
        <v>0</v>
      </c>
      <c r="H44" s="106">
        <v>0</v>
      </c>
      <c r="I44" s="367">
        <v>7.7000000000000008E-6</v>
      </c>
      <c r="J44" s="368">
        <v>3.671821</v>
      </c>
      <c r="L44" s="101"/>
    </row>
    <row r="45" spans="1:13" x14ac:dyDescent="0.2">
      <c r="A45" s="88"/>
      <c r="B45" s="315" t="s">
        <v>628</v>
      </c>
      <c r="C45" s="369">
        <f t="shared" ref="C45:J45" si="6">SUM(C40:C44)</f>
        <v>6.3769999999999994E-4</v>
      </c>
      <c r="D45" s="370">
        <f t="shared" si="6"/>
        <v>18.651821000000002</v>
      </c>
      <c r="E45" s="371">
        <f t="shared" si="6"/>
        <v>3.1955600000000001E-2</v>
      </c>
      <c r="F45" s="112">
        <f t="shared" si="6"/>
        <v>1745.0540700000001</v>
      </c>
      <c r="G45" s="372">
        <f t="shared" si="6"/>
        <v>0</v>
      </c>
      <c r="H45" s="372">
        <f t="shared" si="6"/>
        <v>0</v>
      </c>
      <c r="I45" s="369">
        <f t="shared" si="6"/>
        <v>6.3769999999999994E-4</v>
      </c>
      <c r="J45" s="370">
        <f t="shared" si="6"/>
        <v>18.651821000000002</v>
      </c>
      <c r="L45" s="101"/>
    </row>
    <row r="46" spans="1:13" ht="17.45" customHeight="1" x14ac:dyDescent="0.2">
      <c r="A46" s="336" t="s">
        <v>629</v>
      </c>
      <c r="B46" s="320" t="s">
        <v>630</v>
      </c>
      <c r="C46" s="106"/>
      <c r="D46" s="106"/>
      <c r="E46" s="107"/>
      <c r="F46" s="108"/>
      <c r="G46" s="106"/>
      <c r="H46" s="106"/>
      <c r="I46" s="328"/>
      <c r="J46" s="368"/>
      <c r="L46" s="101"/>
    </row>
    <row r="47" spans="1:13" x14ac:dyDescent="0.2">
      <c r="A47" s="88"/>
      <c r="B47" s="105" t="s">
        <v>532</v>
      </c>
      <c r="C47" s="106">
        <v>0</v>
      </c>
      <c r="D47" s="106">
        <v>0</v>
      </c>
      <c r="E47" s="110">
        <v>0.26800000000000002</v>
      </c>
      <c r="F47" s="108">
        <v>11.775024999999999</v>
      </c>
      <c r="G47" s="106">
        <v>0</v>
      </c>
      <c r="H47" s="106">
        <v>0</v>
      </c>
      <c r="I47" s="106">
        <v>0</v>
      </c>
      <c r="J47" s="106">
        <v>0</v>
      </c>
      <c r="L47" s="101"/>
    </row>
    <row r="48" spans="1:13" x14ac:dyDescent="0.2">
      <c r="A48" s="88"/>
      <c r="B48" s="315" t="s">
        <v>870</v>
      </c>
      <c r="C48" s="372">
        <f t="shared" ref="C48:J48" si="7">SUM(C47)</f>
        <v>0</v>
      </c>
      <c r="D48" s="372">
        <f t="shared" si="7"/>
        <v>0</v>
      </c>
      <c r="E48" s="373">
        <f t="shared" si="7"/>
        <v>0.26800000000000002</v>
      </c>
      <c r="F48" s="370">
        <f t="shared" si="7"/>
        <v>11.775024999999999</v>
      </c>
      <c r="G48" s="372">
        <f t="shared" si="7"/>
        <v>0</v>
      </c>
      <c r="H48" s="372">
        <f t="shared" si="7"/>
        <v>0</v>
      </c>
      <c r="I48" s="372">
        <f t="shared" si="7"/>
        <v>0</v>
      </c>
      <c r="J48" s="372">
        <f t="shared" si="7"/>
        <v>0</v>
      </c>
    </row>
    <row r="49" spans="1:12" ht="16.899999999999999" customHeight="1" x14ac:dyDescent="0.2">
      <c r="A49" s="336" t="s">
        <v>632</v>
      </c>
      <c r="B49" s="320" t="s">
        <v>880</v>
      </c>
      <c r="C49" s="106"/>
      <c r="D49" s="106"/>
      <c r="E49" s="109"/>
      <c r="F49" s="108"/>
      <c r="G49" s="106"/>
      <c r="H49" s="106"/>
      <c r="I49" s="328"/>
      <c r="J49" s="374"/>
    </row>
    <row r="50" spans="1:12" x14ac:dyDescent="0.2">
      <c r="A50" s="88">
        <v>1</v>
      </c>
      <c r="B50" s="105" t="s">
        <v>662</v>
      </c>
      <c r="C50" s="106">
        <v>0</v>
      </c>
      <c r="D50" s="106">
        <v>0</v>
      </c>
      <c r="E50" s="110">
        <v>0.13</v>
      </c>
      <c r="F50" s="108">
        <v>1.1529799999999999</v>
      </c>
      <c r="G50" s="106">
        <v>0</v>
      </c>
      <c r="H50" s="106">
        <v>0</v>
      </c>
      <c r="I50" s="328">
        <v>0</v>
      </c>
      <c r="J50" s="375">
        <v>0</v>
      </c>
    </row>
    <row r="51" spans="1:12" x14ac:dyDescent="0.2">
      <c r="A51" s="88">
        <v>2</v>
      </c>
      <c r="B51" s="105" t="s">
        <v>663</v>
      </c>
      <c r="C51" s="376">
        <v>446.94999999999993</v>
      </c>
      <c r="D51" s="377">
        <v>1572.5319999999999</v>
      </c>
      <c r="E51" s="108">
        <v>437.97</v>
      </c>
      <c r="F51" s="108">
        <v>1867.2426599999999</v>
      </c>
      <c r="G51" s="99">
        <v>97.3</v>
      </c>
      <c r="H51" s="378">
        <v>342.97264999999999</v>
      </c>
      <c r="I51" s="108">
        <v>218.42</v>
      </c>
      <c r="J51" s="378">
        <v>781.98537999999996</v>
      </c>
    </row>
    <row r="52" spans="1:12" x14ac:dyDescent="0.2">
      <c r="A52" s="88">
        <v>3</v>
      </c>
      <c r="B52" s="111" t="s">
        <v>537</v>
      </c>
      <c r="C52" s="106">
        <v>0</v>
      </c>
      <c r="D52" s="106">
        <v>0</v>
      </c>
      <c r="E52" s="108">
        <v>56.095750000000002</v>
      </c>
      <c r="F52" s="108">
        <v>726.41602499999999</v>
      </c>
      <c r="G52" s="106">
        <v>0</v>
      </c>
      <c r="H52" s="106">
        <v>0</v>
      </c>
      <c r="I52" s="328">
        <v>0</v>
      </c>
      <c r="J52" s="368">
        <v>0</v>
      </c>
    </row>
    <row r="53" spans="1:12" x14ac:dyDescent="0.2">
      <c r="A53" s="88">
        <v>4</v>
      </c>
      <c r="B53" s="111" t="s">
        <v>554</v>
      </c>
      <c r="C53" s="376">
        <v>96.19</v>
      </c>
      <c r="D53" s="379">
        <v>528.89277000000004</v>
      </c>
      <c r="E53" s="106">
        <v>5.45</v>
      </c>
      <c r="F53" s="106">
        <v>36.422080000000001</v>
      </c>
      <c r="G53" s="99">
        <v>32.82</v>
      </c>
      <c r="H53" s="99">
        <v>175.21968000000001</v>
      </c>
      <c r="I53" s="108">
        <v>36.32</v>
      </c>
      <c r="J53" s="378">
        <v>201.53003000000001</v>
      </c>
      <c r="K53" s="380"/>
    </row>
    <row r="54" spans="1:12" x14ac:dyDescent="0.2">
      <c r="A54" s="88">
        <v>5</v>
      </c>
      <c r="B54" s="306" t="s">
        <v>664</v>
      </c>
      <c r="C54" s="376">
        <v>137.39825000000002</v>
      </c>
      <c r="D54" s="289">
        <v>1300.2356</v>
      </c>
      <c r="E54" s="106">
        <v>0</v>
      </c>
      <c r="F54" s="106">
        <v>0</v>
      </c>
      <c r="G54" s="363">
        <v>35.564</v>
      </c>
      <c r="H54" s="363">
        <v>329.29997500000002</v>
      </c>
      <c r="I54" s="376">
        <v>59.733750000000001</v>
      </c>
      <c r="J54" s="376">
        <v>568.91952500000002</v>
      </c>
    </row>
    <row r="55" spans="1:12" x14ac:dyDescent="0.2">
      <c r="A55" s="88">
        <v>6</v>
      </c>
      <c r="B55" s="306" t="s">
        <v>881</v>
      </c>
      <c r="C55" s="374">
        <v>0.40799999999999997</v>
      </c>
      <c r="D55" s="377">
        <v>12.85284</v>
      </c>
      <c r="E55" s="106">
        <v>0</v>
      </c>
      <c r="F55" s="106">
        <v>0</v>
      </c>
      <c r="G55" s="106">
        <v>0</v>
      </c>
      <c r="H55" s="106">
        <v>0</v>
      </c>
      <c r="I55" s="100">
        <v>0.40799999999999997</v>
      </c>
      <c r="J55" s="381">
        <v>12.85284</v>
      </c>
    </row>
    <row r="56" spans="1:12" x14ac:dyDescent="0.2">
      <c r="A56" s="88"/>
      <c r="B56" s="315" t="s">
        <v>634</v>
      </c>
      <c r="C56" s="344">
        <f t="shared" ref="C56:J56" si="8">SUM(C50:C55)</f>
        <v>680.94624999999985</v>
      </c>
      <c r="D56" s="382">
        <f t="shared" si="8"/>
        <v>3414.5132100000001</v>
      </c>
      <c r="E56" s="344">
        <f t="shared" si="8"/>
        <v>499.64575000000002</v>
      </c>
      <c r="F56" s="382">
        <f t="shared" si="8"/>
        <v>2631.233745</v>
      </c>
      <c r="G56" s="344">
        <f t="shared" si="8"/>
        <v>165.684</v>
      </c>
      <c r="H56" s="344">
        <f t="shared" si="8"/>
        <v>847.49230499999999</v>
      </c>
      <c r="I56" s="344">
        <f t="shared" si="8"/>
        <v>314.88175000000001</v>
      </c>
      <c r="J56" s="382">
        <f t="shared" si="8"/>
        <v>1565.287775</v>
      </c>
    </row>
    <row r="57" spans="1:12" x14ac:dyDescent="0.2">
      <c r="A57" s="88" t="s">
        <v>635</v>
      </c>
      <c r="B57" s="331" t="s">
        <v>511</v>
      </c>
      <c r="C57" s="375"/>
      <c r="D57" s="377"/>
      <c r="E57" s="313"/>
      <c r="F57" s="313"/>
      <c r="G57" s="108"/>
      <c r="H57" s="108" t="s">
        <v>601</v>
      </c>
      <c r="I57" s="108"/>
      <c r="J57" s="378"/>
    </row>
    <row r="58" spans="1:12" x14ac:dyDescent="0.2">
      <c r="A58" s="88"/>
      <c r="B58" s="321" t="s">
        <v>882</v>
      </c>
      <c r="C58" s="110">
        <v>0.35470668499999997</v>
      </c>
      <c r="D58" s="110">
        <v>0.57201000000000002</v>
      </c>
      <c r="E58" s="106">
        <v>0</v>
      </c>
      <c r="F58" s="106">
        <v>0</v>
      </c>
      <c r="G58" s="110">
        <v>0.35470668499999997</v>
      </c>
      <c r="H58" s="108">
        <v>0.57201000000000002</v>
      </c>
      <c r="I58" s="328">
        <v>0</v>
      </c>
      <c r="J58" s="383">
        <v>0</v>
      </c>
    </row>
    <row r="59" spans="1:12" hidden="1" x14ac:dyDescent="0.2">
      <c r="A59" s="104" t="s">
        <v>665</v>
      </c>
      <c r="B59" s="1137" t="s">
        <v>117</v>
      </c>
      <c r="C59" s="1137"/>
      <c r="D59" s="1137"/>
      <c r="E59" s="1137"/>
      <c r="F59" s="1137"/>
      <c r="G59" s="1137"/>
      <c r="H59" s="1137"/>
      <c r="I59" s="1137"/>
      <c r="J59" s="1137"/>
    </row>
    <row r="60" spans="1:12" hidden="1" x14ac:dyDescent="0.2">
      <c r="A60" s="88">
        <v>1</v>
      </c>
      <c r="B60" s="113" t="s">
        <v>529</v>
      </c>
      <c r="C60" s="113"/>
      <c r="D60" s="113"/>
      <c r="E60" s="100" t="s">
        <v>286</v>
      </c>
      <c r="F60" s="100" t="s">
        <v>286</v>
      </c>
      <c r="G60" s="100" t="s">
        <v>286</v>
      </c>
      <c r="H60" s="100" t="s">
        <v>286</v>
      </c>
      <c r="I60" s="113"/>
      <c r="J60" s="113"/>
    </row>
    <row r="61" spans="1:12" hidden="1" x14ac:dyDescent="0.2">
      <c r="A61" s="88">
        <v>2</v>
      </c>
      <c r="B61" s="113" t="s">
        <v>530</v>
      </c>
      <c r="C61" s="113"/>
      <c r="D61" s="113"/>
      <c r="E61" s="100" t="s">
        <v>286</v>
      </c>
      <c r="F61" s="100" t="s">
        <v>286</v>
      </c>
      <c r="G61" s="100" t="s">
        <v>286</v>
      </c>
      <c r="H61" s="100" t="s">
        <v>286</v>
      </c>
      <c r="I61" s="113"/>
      <c r="J61" s="113"/>
    </row>
    <row r="62" spans="1:12" ht="12.75" hidden="1" customHeight="1" x14ac:dyDescent="0.2">
      <c r="A62" s="384"/>
      <c r="B62" s="114" t="s">
        <v>666</v>
      </c>
      <c r="C62" s="385"/>
      <c r="D62" s="385">
        <v>696.19</v>
      </c>
      <c r="E62" s="100" t="s">
        <v>286</v>
      </c>
      <c r="F62" s="100" t="s">
        <v>286</v>
      </c>
      <c r="G62" s="100" t="s">
        <v>286</v>
      </c>
      <c r="H62" s="100" t="s">
        <v>286</v>
      </c>
      <c r="I62" s="385"/>
      <c r="J62" s="385">
        <v>696.19</v>
      </c>
    </row>
    <row r="63" spans="1:12" x14ac:dyDescent="0.2">
      <c r="A63" s="88"/>
      <c r="B63" s="315" t="s">
        <v>883</v>
      </c>
      <c r="C63" s="386">
        <f t="shared" ref="C63:J63" si="9">SUM(C58)</f>
        <v>0.35470668499999997</v>
      </c>
      <c r="D63" s="386">
        <f t="shared" si="9"/>
        <v>0.57201000000000002</v>
      </c>
      <c r="E63" s="387">
        <f t="shared" si="9"/>
        <v>0</v>
      </c>
      <c r="F63" s="387">
        <f t="shared" si="9"/>
        <v>0</v>
      </c>
      <c r="G63" s="386">
        <f t="shared" si="9"/>
        <v>0.35470668499999997</v>
      </c>
      <c r="H63" s="386">
        <f t="shared" si="9"/>
        <v>0.57201000000000002</v>
      </c>
      <c r="I63" s="387">
        <f t="shared" si="9"/>
        <v>0</v>
      </c>
      <c r="J63" s="387">
        <f t="shared" si="9"/>
        <v>0</v>
      </c>
      <c r="L63" s="84" t="s">
        <v>601</v>
      </c>
    </row>
    <row r="64" spans="1:12" ht="18.600000000000001" customHeight="1" x14ac:dyDescent="0.2">
      <c r="A64" s="88"/>
      <c r="B64" s="345" t="s">
        <v>884</v>
      </c>
      <c r="C64" s="112">
        <f t="shared" ref="C64:J64" si="10">SUM(C45,C48,C56,C63)</f>
        <v>681.30159438499982</v>
      </c>
      <c r="D64" s="112">
        <f t="shared" si="10"/>
        <v>3433.7370409999999</v>
      </c>
      <c r="E64" s="112">
        <f t="shared" si="10"/>
        <v>499.9457056</v>
      </c>
      <c r="F64" s="112">
        <f t="shared" si="10"/>
        <v>4388.0628400000005</v>
      </c>
      <c r="G64" s="112">
        <f t="shared" si="10"/>
        <v>166.03870668499999</v>
      </c>
      <c r="H64" s="112">
        <f t="shared" si="10"/>
        <v>848.06431499999997</v>
      </c>
      <c r="I64" s="112">
        <f t="shared" si="10"/>
        <v>314.88238770000004</v>
      </c>
      <c r="J64" s="112">
        <f t="shared" si="10"/>
        <v>1583.9395959999999</v>
      </c>
    </row>
    <row r="65" spans="1:12" ht="15.6" customHeight="1" x14ac:dyDescent="0.2">
      <c r="B65" s="347" t="s">
        <v>885</v>
      </c>
      <c r="C65" s="348"/>
      <c r="D65" s="348"/>
      <c r="E65" s="348"/>
      <c r="F65" s="348"/>
      <c r="G65" s="348"/>
      <c r="H65" s="348"/>
      <c r="I65" s="348"/>
      <c r="J65" s="348"/>
    </row>
    <row r="66" spans="1:12" x14ac:dyDescent="0.2">
      <c r="A66" s="336" t="s">
        <v>556</v>
      </c>
      <c r="B66" s="349" t="s">
        <v>513</v>
      </c>
      <c r="I66" s="328"/>
      <c r="J66" s="328"/>
    </row>
    <row r="67" spans="1:12" x14ac:dyDescent="0.2">
      <c r="A67" s="88">
        <v>1</v>
      </c>
      <c r="B67" s="321" t="s">
        <v>878</v>
      </c>
      <c r="C67" s="328">
        <v>3.474E-2</v>
      </c>
      <c r="D67" s="376">
        <v>177.52</v>
      </c>
      <c r="E67" s="106">
        <v>0</v>
      </c>
      <c r="F67" s="106">
        <v>0</v>
      </c>
      <c r="G67" s="106">
        <v>0</v>
      </c>
      <c r="H67" s="106">
        <v>0</v>
      </c>
      <c r="I67" s="328">
        <v>3.474E-2</v>
      </c>
      <c r="J67" s="328">
        <v>177.52</v>
      </c>
      <c r="L67" s="84" t="s">
        <v>601</v>
      </c>
    </row>
    <row r="68" spans="1:12" x14ac:dyDescent="0.2">
      <c r="A68" s="88">
        <v>2</v>
      </c>
      <c r="B68" s="321" t="s">
        <v>661</v>
      </c>
      <c r="C68" s="328">
        <v>5.5890200000000001E-2</v>
      </c>
      <c r="D68" s="289">
        <v>26639.252856999999</v>
      </c>
      <c r="E68" s="106">
        <v>0</v>
      </c>
      <c r="F68" s="106">
        <v>0</v>
      </c>
      <c r="G68" s="106">
        <v>0</v>
      </c>
      <c r="H68" s="106">
        <v>0</v>
      </c>
      <c r="I68" s="107">
        <v>5.5890200000000001E-2</v>
      </c>
      <c r="J68" s="108">
        <v>26639.252856999999</v>
      </c>
    </row>
    <row r="69" spans="1:12" ht="13.5" thickBot="1" x14ac:dyDescent="0.25">
      <c r="A69" s="388"/>
      <c r="B69" s="389" t="s">
        <v>886</v>
      </c>
      <c r="C69" s="390">
        <f t="shared" ref="C69:J69" si="11">SUM(C67:C68)</f>
        <v>9.0630199999999994E-2</v>
      </c>
      <c r="D69" s="391">
        <f t="shared" si="11"/>
        <v>26816.772857</v>
      </c>
      <c r="E69" s="392">
        <f t="shared" si="11"/>
        <v>0</v>
      </c>
      <c r="F69" s="392">
        <f t="shared" si="11"/>
        <v>0</v>
      </c>
      <c r="G69" s="392">
        <f t="shared" si="11"/>
        <v>0</v>
      </c>
      <c r="H69" s="392">
        <f t="shared" si="11"/>
        <v>0</v>
      </c>
      <c r="I69" s="392">
        <f t="shared" si="11"/>
        <v>9.0630199999999994E-2</v>
      </c>
      <c r="J69" s="393">
        <f t="shared" si="11"/>
        <v>26816.772857</v>
      </c>
    </row>
    <row r="70" spans="1:12" x14ac:dyDescent="0.2">
      <c r="B70" s="33"/>
      <c r="C70" s="33"/>
      <c r="D70" s="33"/>
      <c r="E70" s="33"/>
      <c r="F70" s="118"/>
      <c r="G70" s="118"/>
      <c r="H70" s="118"/>
      <c r="I70" s="118"/>
      <c r="J70" s="118"/>
    </row>
    <row r="71" spans="1:12" ht="15.75" customHeight="1" x14ac:dyDescent="0.2">
      <c r="A71" s="477" t="s">
        <v>670</v>
      </c>
      <c r="B71" s="1040" t="s">
        <v>887</v>
      </c>
      <c r="C71" s="1040"/>
      <c r="D71" s="1040"/>
      <c r="E71" s="1040"/>
      <c r="F71" s="1040"/>
      <c r="G71" s="1040"/>
      <c r="H71" s="1040"/>
      <c r="I71" s="1040"/>
      <c r="J71" s="1040"/>
    </row>
    <row r="72" spans="1:12" ht="14.25" customHeight="1" x14ac:dyDescent="0.2">
      <c r="A72" s="119"/>
      <c r="B72" s="1087" t="s">
        <v>671</v>
      </c>
      <c r="C72" s="1087"/>
      <c r="D72" s="1087"/>
      <c r="E72" s="1087"/>
      <c r="F72" s="1087"/>
      <c r="G72" s="1087"/>
      <c r="H72" s="1087"/>
      <c r="I72" s="1087"/>
      <c r="J72" s="1087"/>
    </row>
    <row r="73" spans="1:12" ht="14.25" customHeight="1" x14ac:dyDescent="0.2">
      <c r="A73" s="119"/>
      <c r="B73" s="32" t="str">
        <f>'[1]65'!A11</f>
        <v>$ indicates as on June 30, 2020</v>
      </c>
      <c r="C73" s="471"/>
      <c r="D73" s="471"/>
      <c r="E73" s="471"/>
      <c r="F73" s="471"/>
      <c r="G73" s="471"/>
      <c r="H73" s="471"/>
      <c r="I73" s="471"/>
      <c r="J73" s="471"/>
    </row>
    <row r="74" spans="1:12" x14ac:dyDescent="0.2">
      <c r="A74" s="89" t="s">
        <v>672</v>
      </c>
      <c r="E74" s="120"/>
      <c r="F74" s="118"/>
      <c r="G74" s="118"/>
      <c r="H74" s="120"/>
      <c r="I74" s="120" t="s">
        <v>601</v>
      </c>
      <c r="J74" s="118"/>
    </row>
    <row r="75" spans="1:12" x14ac:dyDescent="0.2">
      <c r="A75" s="89"/>
      <c r="G75" s="84" t="s">
        <v>601</v>
      </c>
      <c r="H75" s="84" t="s">
        <v>601</v>
      </c>
    </row>
    <row r="77" spans="1:12" x14ac:dyDescent="0.2">
      <c r="C77" s="121"/>
      <c r="G77" s="121"/>
      <c r="I77" s="121"/>
    </row>
    <row r="78" spans="1:12" x14ac:dyDescent="0.2">
      <c r="C78" s="121"/>
      <c r="G78" s="121"/>
      <c r="I78" s="121"/>
    </row>
    <row r="80" spans="1:12" x14ac:dyDescent="0.2">
      <c r="H80" s="122"/>
      <c r="I80" s="123"/>
      <c r="J80" s="122"/>
    </row>
    <row r="81" spans="9:9" x14ac:dyDescent="0.2">
      <c r="I81" s="123"/>
    </row>
  </sheetData>
  <mergeCells count="11">
    <mergeCell ref="B72:J72"/>
    <mergeCell ref="A2:A3"/>
    <mergeCell ref="B2:B3"/>
    <mergeCell ref="C2:D2"/>
    <mergeCell ref="E2:F2"/>
    <mergeCell ref="G2:H2"/>
    <mergeCell ref="B20:J20"/>
    <mergeCell ref="B37:J37"/>
    <mergeCell ref="I2:J2"/>
    <mergeCell ref="B59:J59"/>
    <mergeCell ref="B71:J71"/>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47"/>
  <sheetViews>
    <sheetView zoomScaleNormal="100" workbookViewId="0">
      <selection activeCell="O18" sqref="O18"/>
    </sheetView>
  </sheetViews>
  <sheetFormatPr defaultRowHeight="15" x14ac:dyDescent="0.2"/>
  <cols>
    <col min="1" max="1" width="55.5703125" style="782" customWidth="1"/>
    <col min="2" max="2" width="15" style="673" customWidth="1"/>
    <col min="3" max="3" width="12.140625" style="673" customWidth="1"/>
    <col min="4" max="4" width="13" style="673" customWidth="1"/>
    <col min="5" max="5" width="10.5703125" style="673" bestFit="1" customWidth="1"/>
    <col min="6" max="6" width="10.7109375" style="673" bestFit="1" customWidth="1"/>
    <col min="7" max="7" width="9.140625" style="673" customWidth="1"/>
    <col min="8" max="8" width="10.140625" style="673" bestFit="1" customWidth="1"/>
    <col min="9" max="16384" width="9.140625" style="673"/>
  </cols>
  <sheetData>
    <row r="1" spans="1:8" ht="15.75" x14ac:dyDescent="0.25">
      <c r="A1" s="767" t="s">
        <v>839</v>
      </c>
      <c r="B1" s="768"/>
      <c r="C1" s="768"/>
      <c r="D1" s="769"/>
      <c r="E1" s="1145"/>
      <c r="F1" s="1146"/>
      <c r="G1" s="770"/>
    </row>
    <row r="2" spans="1:8" x14ac:dyDescent="0.25">
      <c r="A2" s="1147" t="s">
        <v>796</v>
      </c>
      <c r="B2" s="1148"/>
      <c r="C2" s="1148"/>
      <c r="D2" s="1142"/>
      <c r="E2" s="1149" t="s">
        <v>797</v>
      </c>
      <c r="F2" s="1150"/>
      <c r="G2" s="771"/>
    </row>
    <row r="3" spans="1:8" x14ac:dyDescent="0.2">
      <c r="A3" s="1151" t="s">
        <v>954</v>
      </c>
      <c r="B3" s="1148"/>
      <c r="C3" s="1148"/>
      <c r="D3" s="1142"/>
      <c r="E3" s="1143">
        <v>29.7</v>
      </c>
      <c r="F3" s="1144"/>
      <c r="G3" s="771"/>
    </row>
    <row r="4" spans="1:8" x14ac:dyDescent="0.2">
      <c r="A4" s="1140" t="s">
        <v>798</v>
      </c>
      <c r="B4" s="1141"/>
      <c r="C4" s="1141"/>
      <c r="D4" s="1142"/>
      <c r="E4" s="1143">
        <v>31.1</v>
      </c>
      <c r="F4" s="1144"/>
      <c r="G4" s="771"/>
    </row>
    <row r="5" spans="1:8" ht="15.75" x14ac:dyDescent="0.2">
      <c r="A5" s="772" t="s">
        <v>799</v>
      </c>
      <c r="B5" s="773">
        <v>43862</v>
      </c>
      <c r="C5" s="773">
        <v>43891</v>
      </c>
      <c r="D5" s="773">
        <v>43922</v>
      </c>
      <c r="E5" s="773">
        <v>43952</v>
      </c>
      <c r="F5" s="773">
        <v>43983</v>
      </c>
      <c r="G5" s="771"/>
    </row>
    <row r="6" spans="1:8" ht="15.75" x14ac:dyDescent="0.25">
      <c r="A6" s="774" t="s">
        <v>955</v>
      </c>
      <c r="B6" s="170">
        <v>4</v>
      </c>
      <c r="C6" s="170">
        <v>3</v>
      </c>
      <c r="D6" s="170">
        <v>3</v>
      </c>
      <c r="E6" s="170">
        <v>3</v>
      </c>
      <c r="F6" s="170">
        <v>3</v>
      </c>
      <c r="G6" s="771"/>
    </row>
    <row r="7" spans="1:8" ht="15.75" x14ac:dyDescent="0.25">
      <c r="A7" s="417" t="s">
        <v>956</v>
      </c>
      <c r="B7" s="171">
        <v>5.15</v>
      </c>
      <c r="C7" s="171">
        <v>4.4000000000000004</v>
      </c>
      <c r="D7" s="171">
        <v>4.4000000000000004</v>
      </c>
      <c r="E7" s="171">
        <v>4</v>
      </c>
      <c r="F7" s="171">
        <v>4</v>
      </c>
      <c r="G7" s="771"/>
    </row>
    <row r="8" spans="1:8" ht="15.75" x14ac:dyDescent="0.25">
      <c r="A8" s="416" t="s">
        <v>1045</v>
      </c>
      <c r="B8" s="172">
        <v>163700.23000000001</v>
      </c>
      <c r="C8" s="172">
        <v>167952.76</v>
      </c>
      <c r="D8" s="172">
        <v>170217.93</v>
      </c>
      <c r="E8" s="172">
        <v>172315.82</v>
      </c>
      <c r="F8" s="172">
        <v>173153.64</v>
      </c>
      <c r="G8"/>
      <c r="H8" s="775"/>
    </row>
    <row r="9" spans="1:8" ht="15.75" x14ac:dyDescent="0.25">
      <c r="A9" s="417" t="s">
        <v>1046</v>
      </c>
      <c r="B9" s="172">
        <v>132355.38</v>
      </c>
      <c r="C9" s="172">
        <v>135710.32999999999</v>
      </c>
      <c r="D9" s="172">
        <v>137106.85</v>
      </c>
      <c r="E9" s="172">
        <v>138305.25</v>
      </c>
      <c r="F9" s="172">
        <v>138671.14000000001</v>
      </c>
      <c r="G9"/>
      <c r="H9" s="775"/>
    </row>
    <row r="10" spans="1:8" ht="15.75" x14ac:dyDescent="0.25">
      <c r="A10" s="418" t="s">
        <v>1047</v>
      </c>
      <c r="B10" s="172">
        <v>100416.89</v>
      </c>
      <c r="C10" s="172">
        <v>103719.13</v>
      </c>
      <c r="D10" s="172">
        <v>102692.58</v>
      </c>
      <c r="E10" s="172">
        <v>102231.5</v>
      </c>
      <c r="F10" s="172">
        <v>102450.3</v>
      </c>
      <c r="G10"/>
      <c r="H10" s="775"/>
    </row>
    <row r="11" spans="1:8" ht="15.75" x14ac:dyDescent="0.25">
      <c r="A11" s="776" t="s">
        <v>800</v>
      </c>
      <c r="B11" s="777"/>
      <c r="C11" s="777"/>
      <c r="D11" s="777"/>
      <c r="E11" s="777"/>
      <c r="F11" s="777"/>
      <c r="G11" s="173"/>
    </row>
    <row r="12" spans="1:8" ht="15.75" x14ac:dyDescent="0.25">
      <c r="A12" s="419" t="s">
        <v>801</v>
      </c>
      <c r="B12" s="174">
        <v>4.96</v>
      </c>
      <c r="C12" s="174">
        <v>5.05</v>
      </c>
      <c r="D12" s="174">
        <v>4.09</v>
      </c>
      <c r="E12" s="174">
        <v>3.62</v>
      </c>
      <c r="F12" s="174">
        <v>3.54</v>
      </c>
      <c r="G12" s="173"/>
    </row>
    <row r="13" spans="1:8" ht="15.75" x14ac:dyDescent="0.25">
      <c r="A13" s="419" t="s">
        <v>802</v>
      </c>
      <c r="B13" s="171">
        <v>5.08</v>
      </c>
      <c r="C13" s="171">
        <v>5.28</v>
      </c>
      <c r="D13" s="171">
        <v>3.73</v>
      </c>
      <c r="E13" s="171">
        <v>3.19</v>
      </c>
      <c r="F13" s="171">
        <v>3.19</v>
      </c>
      <c r="G13" s="771"/>
    </row>
    <row r="14" spans="1:8" ht="15.75" x14ac:dyDescent="0.25">
      <c r="A14" s="419" t="s">
        <v>957</v>
      </c>
      <c r="B14" s="175" t="s">
        <v>803</v>
      </c>
      <c r="C14" s="175" t="s">
        <v>804</v>
      </c>
      <c r="D14" s="175" t="s">
        <v>804</v>
      </c>
      <c r="E14" s="175" t="s">
        <v>804</v>
      </c>
      <c r="F14" s="175" t="s">
        <v>888</v>
      </c>
      <c r="G14" s="173"/>
    </row>
    <row r="15" spans="1:8" ht="15.75" x14ac:dyDescent="0.25">
      <c r="A15" s="420" t="s">
        <v>805</v>
      </c>
      <c r="B15" s="171" t="s">
        <v>806</v>
      </c>
      <c r="C15" s="171" t="s">
        <v>807</v>
      </c>
      <c r="D15" s="171" t="s">
        <v>808</v>
      </c>
      <c r="E15" s="171" t="s">
        <v>809</v>
      </c>
      <c r="F15" s="171" t="s">
        <v>889</v>
      </c>
      <c r="G15" s="173"/>
    </row>
    <row r="16" spans="1:8" ht="15.75" x14ac:dyDescent="0.25">
      <c r="A16" s="776" t="s">
        <v>841</v>
      </c>
      <c r="B16" s="777"/>
      <c r="C16" s="777"/>
      <c r="D16" s="777"/>
      <c r="E16" s="777"/>
      <c r="F16" s="777"/>
      <c r="G16" s="173"/>
    </row>
    <row r="17" spans="1:7" ht="15.75" x14ac:dyDescent="0.25">
      <c r="A17" s="421" t="s">
        <v>810</v>
      </c>
      <c r="B17" s="176">
        <v>852478.2387649382</v>
      </c>
      <c r="C17" s="176">
        <v>1088220.5900000001</v>
      </c>
      <c r="D17" s="176">
        <v>950278.55999999994</v>
      </c>
      <c r="E17" s="176">
        <v>1065475.47</v>
      </c>
      <c r="F17" s="176">
        <v>1460873.4239999999</v>
      </c>
      <c r="G17" s="771"/>
    </row>
    <row r="18" spans="1:7" ht="15.75" x14ac:dyDescent="0.25">
      <c r="A18" s="422" t="s">
        <v>811</v>
      </c>
      <c r="B18" s="176">
        <v>14687010.42</v>
      </c>
      <c r="C18" s="176">
        <v>11348756.59</v>
      </c>
      <c r="D18" s="176">
        <v>12941620.82</v>
      </c>
      <c r="E18" s="176">
        <v>12706528.939999999</v>
      </c>
      <c r="F18" s="176">
        <v>13915689.83</v>
      </c>
    </row>
    <row r="19" spans="1:7" ht="15.75" x14ac:dyDescent="0.25">
      <c r="A19" s="422" t="s">
        <v>812</v>
      </c>
      <c r="B19" s="176">
        <v>14552073.9636871</v>
      </c>
      <c r="C19" s="176">
        <v>11243111.767447401</v>
      </c>
      <c r="D19" s="176">
        <v>12738625.880000001</v>
      </c>
      <c r="E19" s="176">
        <v>12516959.59</v>
      </c>
      <c r="F19" s="176">
        <v>13804601.48</v>
      </c>
    </row>
    <row r="20" spans="1:7" ht="15.75" x14ac:dyDescent="0.25">
      <c r="A20" s="423" t="s">
        <v>813</v>
      </c>
      <c r="B20" s="172">
        <v>1820</v>
      </c>
      <c r="C20" s="172">
        <v>-61973</v>
      </c>
      <c r="D20" s="172">
        <v>-6884</v>
      </c>
      <c r="E20" s="172">
        <v>14569</v>
      </c>
      <c r="F20" s="172">
        <v>21832</v>
      </c>
      <c r="G20" s="771"/>
    </row>
    <row r="21" spans="1:7" ht="15.75" x14ac:dyDescent="0.25">
      <c r="A21" s="776" t="s">
        <v>814</v>
      </c>
      <c r="B21" s="777"/>
      <c r="C21" s="777"/>
      <c r="D21" s="777"/>
      <c r="E21" s="777"/>
      <c r="F21" s="777"/>
      <c r="G21" s="173"/>
    </row>
    <row r="22" spans="1:7" ht="15.75" x14ac:dyDescent="0.25">
      <c r="A22" s="421" t="s">
        <v>815</v>
      </c>
      <c r="B22" s="176">
        <v>481540</v>
      </c>
      <c r="C22" s="176">
        <v>474660</v>
      </c>
      <c r="D22" s="176">
        <v>481078</v>
      </c>
      <c r="E22" s="176">
        <v>493480</v>
      </c>
      <c r="F22" s="176">
        <v>506838</v>
      </c>
      <c r="G22" s="771"/>
    </row>
    <row r="23" spans="1:7" ht="15.75" x14ac:dyDescent="0.25">
      <c r="A23" s="422" t="s">
        <v>816</v>
      </c>
      <c r="B23" s="175">
        <v>72.19</v>
      </c>
      <c r="C23" s="175">
        <v>74.84</v>
      </c>
      <c r="D23" s="175">
        <v>75.114999999999995</v>
      </c>
      <c r="E23" s="175">
        <v>75.64</v>
      </c>
      <c r="F23" s="175">
        <v>75.527000000000001</v>
      </c>
      <c r="G23" s="771"/>
    </row>
    <row r="24" spans="1:7" ht="15.75" x14ac:dyDescent="0.25">
      <c r="A24" s="422" t="s">
        <v>817</v>
      </c>
      <c r="B24" s="175">
        <v>79.44</v>
      </c>
      <c r="C24" s="175">
        <v>82.64</v>
      </c>
      <c r="D24" s="175">
        <v>81.617000000000004</v>
      </c>
      <c r="E24" s="175">
        <v>83.91</v>
      </c>
      <c r="F24" s="175">
        <v>84.665800000000004</v>
      </c>
      <c r="G24" s="771"/>
    </row>
    <row r="25" spans="1:7" ht="15.75" x14ac:dyDescent="0.25">
      <c r="A25" s="423" t="s">
        <v>818</v>
      </c>
      <c r="B25" s="171">
        <v>3.91</v>
      </c>
      <c r="C25" s="171">
        <v>5.05</v>
      </c>
      <c r="D25" s="171">
        <v>4.13</v>
      </c>
      <c r="E25" s="171">
        <v>3.73</v>
      </c>
      <c r="F25" s="171">
        <v>3.82</v>
      </c>
      <c r="G25" s="771"/>
    </row>
    <row r="26" spans="1:7" ht="15.75" x14ac:dyDescent="0.25">
      <c r="A26" s="776" t="s">
        <v>819</v>
      </c>
      <c r="B26" s="777"/>
      <c r="C26" s="777"/>
      <c r="D26" s="777"/>
      <c r="E26" s="777"/>
      <c r="F26" s="777"/>
      <c r="G26" s="173"/>
    </row>
    <row r="27" spans="1:7" ht="16.5" customHeight="1" x14ac:dyDescent="0.25">
      <c r="A27" s="421" t="s">
        <v>1048</v>
      </c>
      <c r="B27" s="172" t="s">
        <v>820</v>
      </c>
      <c r="C27" s="172" t="s">
        <v>820</v>
      </c>
      <c r="D27" s="172" t="s">
        <v>821</v>
      </c>
      <c r="E27" s="172" t="s">
        <v>822</v>
      </c>
      <c r="F27" s="172" t="s">
        <v>890</v>
      </c>
      <c r="G27"/>
    </row>
    <row r="28" spans="1:7" ht="15.75" x14ac:dyDescent="0.25">
      <c r="A28" s="422" t="s">
        <v>823</v>
      </c>
      <c r="B28" s="175">
        <v>122.2</v>
      </c>
      <c r="C28" s="175">
        <v>120.4</v>
      </c>
      <c r="D28" s="175" t="s">
        <v>824</v>
      </c>
      <c r="E28" s="175">
        <v>117.7</v>
      </c>
      <c r="F28" s="175">
        <v>119.3</v>
      </c>
      <c r="G28" s="771"/>
    </row>
    <row r="29" spans="1:7" ht="15.75" x14ac:dyDescent="0.25">
      <c r="A29" s="422" t="s">
        <v>825</v>
      </c>
      <c r="B29" s="175">
        <v>149.1</v>
      </c>
      <c r="C29" s="175">
        <v>148.6</v>
      </c>
      <c r="D29" s="175">
        <v>151.6</v>
      </c>
      <c r="E29" s="175">
        <v>150.9</v>
      </c>
      <c r="F29" s="175">
        <v>151.4</v>
      </c>
      <c r="G29" s="771"/>
    </row>
    <row r="30" spans="1:7" ht="15.75" x14ac:dyDescent="0.25">
      <c r="A30" s="776" t="s">
        <v>953</v>
      </c>
      <c r="B30" s="777"/>
      <c r="C30" s="777"/>
      <c r="D30" s="777"/>
      <c r="E30" s="777"/>
      <c r="F30" s="777"/>
      <c r="G30" s="173"/>
    </row>
    <row r="31" spans="1:7" ht="15.75" x14ac:dyDescent="0.25">
      <c r="A31" s="421" t="s">
        <v>826</v>
      </c>
      <c r="B31" s="175">
        <v>133.5</v>
      </c>
      <c r="C31" s="175">
        <v>117.7</v>
      </c>
      <c r="D31" s="175">
        <v>53.6</v>
      </c>
      <c r="E31" s="175">
        <v>88.4</v>
      </c>
      <c r="F31" s="175" t="s">
        <v>624</v>
      </c>
      <c r="G31" s="771"/>
    </row>
    <row r="32" spans="1:7" ht="15.75" x14ac:dyDescent="0.25">
      <c r="A32" s="422" t="s">
        <v>827</v>
      </c>
      <c r="B32" s="175">
        <v>123.4</v>
      </c>
      <c r="C32" s="175">
        <v>130.9</v>
      </c>
      <c r="D32" s="175">
        <v>78.7</v>
      </c>
      <c r="E32" s="175">
        <v>87</v>
      </c>
      <c r="F32" s="175" t="s">
        <v>624</v>
      </c>
      <c r="G32" s="771"/>
    </row>
    <row r="33" spans="1:7" ht="15.75" x14ac:dyDescent="0.25">
      <c r="A33" s="422" t="s">
        <v>828</v>
      </c>
      <c r="B33" s="175">
        <v>133.30000000000001</v>
      </c>
      <c r="C33" s="175">
        <v>112.2</v>
      </c>
      <c r="D33" s="175">
        <v>45.1</v>
      </c>
      <c r="E33" s="175">
        <v>82.4</v>
      </c>
      <c r="F33" s="175" t="s">
        <v>624</v>
      </c>
      <c r="G33" s="771"/>
    </row>
    <row r="34" spans="1:7" ht="15.75" x14ac:dyDescent="0.25">
      <c r="A34" s="423" t="s">
        <v>829</v>
      </c>
      <c r="B34" s="175">
        <v>153.80000000000001</v>
      </c>
      <c r="C34" s="175">
        <v>146.9</v>
      </c>
      <c r="D34" s="175">
        <v>125.5</v>
      </c>
      <c r="E34" s="175">
        <v>149.6</v>
      </c>
      <c r="F34" s="175" t="s">
        <v>624</v>
      </c>
      <c r="G34" s="771"/>
    </row>
    <row r="35" spans="1:7" ht="15.75" x14ac:dyDescent="0.25">
      <c r="A35" s="776" t="s">
        <v>830</v>
      </c>
      <c r="B35" s="777"/>
      <c r="C35" s="777"/>
      <c r="D35" s="777"/>
      <c r="E35" s="777"/>
      <c r="F35" s="777"/>
      <c r="G35" s="173"/>
    </row>
    <row r="36" spans="1:7" ht="15.75" x14ac:dyDescent="0.2">
      <c r="A36" s="424" t="s">
        <v>831</v>
      </c>
      <c r="B36" s="177">
        <v>27647.26</v>
      </c>
      <c r="C36" s="177">
        <v>21406.39</v>
      </c>
      <c r="D36" s="177">
        <v>10356.120000000001</v>
      </c>
      <c r="E36" s="177">
        <v>19054.48</v>
      </c>
      <c r="F36" s="177">
        <v>21907.55</v>
      </c>
      <c r="G36" s="771"/>
    </row>
    <row r="37" spans="1:7" ht="15.75" x14ac:dyDescent="0.2">
      <c r="A37" s="425" t="s">
        <v>832</v>
      </c>
      <c r="B37" s="178">
        <v>37497.46</v>
      </c>
      <c r="C37" s="178">
        <v>31164.59</v>
      </c>
      <c r="D37" s="178">
        <v>17121.07</v>
      </c>
      <c r="E37" s="178">
        <v>22201.68</v>
      </c>
      <c r="F37" s="178">
        <v>21114.38</v>
      </c>
      <c r="G37" s="778"/>
    </row>
    <row r="38" spans="1:7" ht="15.75" x14ac:dyDescent="0.2">
      <c r="A38" s="426" t="s">
        <v>833</v>
      </c>
      <c r="B38" s="179">
        <f>B36-B37</f>
        <v>-9850.2000000000007</v>
      </c>
      <c r="C38" s="179">
        <f>C36-C37</f>
        <v>-9758.2000000000007</v>
      </c>
      <c r="D38" s="179">
        <f>D36-D37</f>
        <v>-6764.9499999999989</v>
      </c>
      <c r="E38" s="179">
        <f>E36-E37</f>
        <v>-3147.2000000000007</v>
      </c>
      <c r="F38" s="179">
        <f>F36-F37</f>
        <v>793.16999999999825</v>
      </c>
      <c r="G38" s="778"/>
    </row>
    <row r="39" spans="1:7" ht="12.75" x14ac:dyDescent="0.2">
      <c r="A39" s="1139" t="s">
        <v>834</v>
      </c>
      <c r="B39" s="1139"/>
      <c r="C39" s="1139"/>
      <c r="D39" s="1139"/>
      <c r="E39" s="778"/>
      <c r="F39" s="778"/>
      <c r="G39" s="778"/>
    </row>
    <row r="40" spans="1:7" ht="12.75" x14ac:dyDescent="0.2">
      <c r="A40" s="1138" t="s">
        <v>835</v>
      </c>
      <c r="B40" s="1138"/>
      <c r="C40" s="1138"/>
      <c r="D40" s="1138"/>
      <c r="E40" s="1138"/>
      <c r="F40" s="1138"/>
      <c r="G40" s="778"/>
    </row>
    <row r="41" spans="1:7" ht="15.75" x14ac:dyDescent="0.2">
      <c r="A41" s="464" t="s">
        <v>557</v>
      </c>
      <c r="B41" s="478"/>
      <c r="C41" s="478"/>
      <c r="D41" s="478"/>
      <c r="E41" s="478"/>
      <c r="F41" s="478"/>
      <c r="G41" s="778"/>
    </row>
    <row r="42" spans="1:7" ht="12.75" x14ac:dyDescent="0.2">
      <c r="A42" s="1138" t="s">
        <v>836</v>
      </c>
      <c r="B42" s="1138"/>
      <c r="C42" s="1138"/>
      <c r="D42" s="1138"/>
      <c r="E42" s="1138"/>
      <c r="F42" s="1138"/>
      <c r="G42" s="778"/>
    </row>
    <row r="43" spans="1:7" ht="12.75" x14ac:dyDescent="0.2">
      <c r="A43" s="1138" t="s">
        <v>837</v>
      </c>
      <c r="B43" s="1138"/>
      <c r="C43" s="1138"/>
      <c r="D43" s="1138"/>
      <c r="E43" s="1138"/>
      <c r="F43" s="1138"/>
      <c r="G43" s="778"/>
    </row>
    <row r="44" spans="1:7" ht="12.75" x14ac:dyDescent="0.2">
      <c r="A44" s="1138" t="s">
        <v>891</v>
      </c>
      <c r="B44" s="1138"/>
      <c r="C44" s="1138"/>
      <c r="D44" s="1138"/>
      <c r="E44" s="1138"/>
      <c r="F44" s="1138"/>
      <c r="G44" s="778"/>
    </row>
    <row r="45" spans="1:7" ht="12.75" x14ac:dyDescent="0.2">
      <c r="A45" s="1138" t="s">
        <v>558</v>
      </c>
      <c r="B45" s="1138"/>
      <c r="C45" s="1138"/>
      <c r="D45" s="1138"/>
      <c r="E45" s="1138"/>
      <c r="F45" s="1138"/>
      <c r="G45" s="778"/>
    </row>
    <row r="46" spans="1:7" ht="12.75" x14ac:dyDescent="0.2">
      <c r="A46" s="1138" t="s">
        <v>838</v>
      </c>
      <c r="B46" s="1138"/>
      <c r="C46" s="1138"/>
      <c r="D46" s="1138"/>
      <c r="E46" s="1138"/>
      <c r="F46" s="1138"/>
      <c r="G46" s="778"/>
    </row>
    <row r="47" spans="1:7" ht="15.75" x14ac:dyDescent="0.2">
      <c r="A47" s="779" t="s">
        <v>559</v>
      </c>
      <c r="B47" s="780"/>
      <c r="C47" s="780"/>
      <c r="D47" s="771"/>
      <c r="E47" s="771"/>
      <c r="F47" s="771"/>
      <c r="G47" s="781"/>
    </row>
  </sheetData>
  <mergeCells count="14">
    <mergeCell ref="A4:D4"/>
    <mergeCell ref="E4:F4"/>
    <mergeCell ref="E1:F1"/>
    <mergeCell ref="A2:D2"/>
    <mergeCell ref="E2:F2"/>
    <mergeCell ref="A3:D3"/>
    <mergeCell ref="E3:F3"/>
    <mergeCell ref="A46:F46"/>
    <mergeCell ref="A39:D39"/>
    <mergeCell ref="A40:F40"/>
    <mergeCell ref="A42:F42"/>
    <mergeCell ref="A43:F43"/>
    <mergeCell ref="A44:F44"/>
    <mergeCell ref="A45:F45"/>
  </mergeCells>
  <hyperlinks>
    <hyperlink ref="A13" location="_edn3" display="_edn3"/>
  </hyperlinks>
  <pageMargins left="0.78431372549019618" right="0.78431372549019618" top="0.98039215686274517" bottom="0.98039215686274517" header="0.50980392156862753" footer="0.50980392156862753"/>
  <pageSetup paperSize="9" orientation="portrait" useFirstPageNumber="1"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Klassify>
  <SNO>1</SNO>
  <KDate>2020-06-17 14:14:05</KDate>
  <Classification>SEBI-INTERNAL</Classification>
  <HostName>MUM0111997</HostName>
  <Domain_User>SEBINT/1997</Domain_User>
  <IPAdd>10.21.61.67</IPAdd>
  <FilePath>C:\Users\1997\AppData\Roaming\Klassify\38142\JUN-20.xls</FilePath>
  <KID>14B31F138D4F637280000456642648</KID>
  <UniqueName/>
  <Suggested/>
  <Justification/>
</Klassify>
</file>

<file path=customXml/itemProps1.xml><?xml version="1.0" encoding="utf-8"?>
<ds:datastoreItem xmlns:ds="http://schemas.openxmlformats.org/officeDocument/2006/customXml" ds:itemID="{888A4D8D-CAD3-4CD9-A5D1-B8726AE7B22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75</vt:i4>
      </vt:variant>
    </vt:vector>
  </HeadingPairs>
  <TitlesOfParts>
    <vt:vector size="75" baseType="lpstr">
      <vt:lpstr>Data Summary</vt:lpstr>
      <vt:lpstr>1</vt:lpstr>
      <vt:lpstr>2</vt:lpstr>
      <vt:lpstr>3</vt:lpstr>
      <vt:lpstr>4</vt:lpstr>
      <vt:lpstr>5</vt:lpstr>
      <vt:lpstr>6</vt:lpstr>
      <vt:lpstr>7</vt:lpstr>
      <vt:lpstr>8</vt:lpstr>
      <vt:lpstr>9</vt:lpstr>
      <vt:lpstr>10</vt:lpstr>
      <vt:lpstr>11</vt:lpstr>
      <vt:lpstr>12</vt:lpstr>
      <vt:lpstr>13</vt:lpstr>
      <vt:lpstr>14</vt:lpstr>
      <vt:lpstr>15</vt:lpstr>
      <vt:lpstr>16</vt:lpstr>
      <vt:lpstr>17</vt:lpstr>
      <vt:lpstr>18</vt:lpstr>
      <vt:lpstr>19</vt:lpstr>
      <vt:lpstr>20</vt:lpstr>
      <vt:lpstr>21</vt:lpstr>
      <vt:lpstr>22</vt:lpstr>
      <vt:lpstr>23</vt:lpstr>
      <vt:lpstr>24</vt:lpstr>
      <vt:lpstr>25</vt:lpstr>
      <vt:lpstr>26</vt:lpstr>
      <vt:lpstr>27</vt:lpstr>
      <vt:lpstr>28</vt:lpstr>
      <vt:lpstr>29</vt:lpstr>
      <vt:lpstr>30</vt:lpstr>
      <vt:lpstr>31</vt:lpstr>
      <vt:lpstr>32</vt:lpstr>
      <vt:lpstr>33</vt:lpstr>
      <vt:lpstr>34</vt:lpstr>
      <vt:lpstr>35</vt:lpstr>
      <vt:lpstr>36</vt:lpstr>
      <vt:lpstr>37</vt:lpstr>
      <vt:lpstr>38</vt:lpstr>
      <vt:lpstr>39</vt:lpstr>
      <vt:lpstr>40</vt:lpstr>
      <vt:lpstr>41</vt:lpstr>
      <vt:lpstr>42</vt:lpstr>
      <vt:lpstr>43</vt:lpstr>
      <vt:lpstr>44</vt:lpstr>
      <vt:lpstr>45</vt:lpstr>
      <vt:lpstr>46</vt:lpstr>
      <vt:lpstr>47</vt:lpstr>
      <vt:lpstr>48</vt:lpstr>
      <vt:lpstr>49</vt:lpstr>
      <vt:lpstr>50</vt:lpstr>
      <vt:lpstr>51</vt:lpstr>
      <vt:lpstr>52</vt:lpstr>
      <vt:lpstr>53</vt:lpstr>
      <vt:lpstr>54</vt:lpstr>
      <vt:lpstr>55</vt:lpstr>
      <vt:lpstr>56</vt:lpstr>
      <vt:lpstr>57</vt:lpstr>
      <vt:lpstr>58</vt:lpstr>
      <vt:lpstr>59</vt:lpstr>
      <vt:lpstr>60</vt:lpstr>
      <vt:lpstr>61</vt:lpstr>
      <vt:lpstr>62</vt:lpstr>
      <vt:lpstr>63</vt:lpstr>
      <vt:lpstr>64</vt:lpstr>
      <vt:lpstr>65</vt:lpstr>
      <vt:lpstr>66</vt:lpstr>
      <vt:lpstr>67</vt:lpstr>
      <vt:lpstr>68</vt:lpstr>
      <vt:lpstr>69</vt:lpstr>
      <vt:lpstr>70</vt:lpstr>
      <vt:lpstr>71</vt:lpstr>
      <vt:lpstr>72</vt:lpstr>
      <vt:lpstr>73</vt:lpstr>
      <vt:lpstr>74</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 V SUBBA RAO</dc:creator>
  <cp:lastModifiedBy>Nilima Karandikar</cp:lastModifiedBy>
  <dcterms:created xsi:type="dcterms:W3CDTF">2020-06-18T05:22:17Z</dcterms:created>
  <dcterms:modified xsi:type="dcterms:W3CDTF">2020-08-05T09:53:44Z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lassification">
    <vt:lpwstr>SEBI-INTERNAL</vt:lpwstr>
  </property>
  <property fmtid="{D5CDD505-2E9C-101B-9397-08002B2CF9AE}" pid="3" name="KID">
    <vt:lpwstr>14B31F138D4F637280000456642648</vt:lpwstr>
  </property>
  <property fmtid="{D5CDD505-2E9C-101B-9397-08002B2CF9AE}" pid="4" name="Rules">
    <vt:lpwstr/>
  </property>
</Properties>
</file>