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E Drive\Upload\"/>
    </mc:Choice>
  </mc:AlternateContent>
  <bookViews>
    <workbookView xWindow="360" yWindow="270" windowWidth="14940" windowHeight="9150" tabRatio="863" firstSheet="42" activeTab="63"/>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52" r:id="rId52"/>
    <sheet name="52" sheetId="53" r:id="rId53"/>
    <sheet name="53" sheetId="54" r:id="rId54"/>
    <sheet name="54" sheetId="55" r:id="rId55"/>
    <sheet name="55" sheetId="56" r:id="rId56"/>
    <sheet name="56" sheetId="57" r:id="rId57"/>
    <sheet name="57" sheetId="58" r:id="rId58"/>
    <sheet name="58" sheetId="59" r:id="rId59"/>
    <sheet name="59" sheetId="60" r:id="rId60"/>
    <sheet name="60" sheetId="61" r:id="rId61"/>
    <sheet name="61" sheetId="62" r:id="rId62"/>
    <sheet name="62" sheetId="63" r:id="rId63"/>
    <sheet name="63" sheetId="64" r:id="rId64"/>
    <sheet name="64" sheetId="65" r:id="rId65"/>
    <sheet name="65" sheetId="66" r:id="rId66"/>
    <sheet name="66" sheetId="67" r:id="rId67"/>
    <sheet name="67" sheetId="68" r:id="rId68"/>
    <sheet name="68" sheetId="69" r:id="rId69"/>
    <sheet name="69" sheetId="70" r:id="rId70"/>
    <sheet name="70" sheetId="71" r:id="rId71"/>
    <sheet name="71" sheetId="72" r:id="rId72"/>
    <sheet name="72" sheetId="73" r:id="rId73"/>
    <sheet name="73" sheetId="74" r:id="rId74"/>
    <sheet name="74" sheetId="75" r:id="rId75"/>
    <sheet name="75" sheetId="76" r:id="rId76"/>
    <sheet name="76" sheetId="77" r:id="rId77"/>
  </sheets>
  <definedNames>
    <definedName name="_xlnm._FilterDatabase" localSheetId="26" hidden="1">'26'!$A$2:$J$2</definedName>
    <definedName name="_xlnm.Print_Area" localSheetId="65">'65'!$A$1:$K$19</definedName>
    <definedName name="_xlnm.Print_Area" localSheetId="66">'66'!$A$1:$I$18</definedName>
    <definedName name="_xlnm.Print_Area" localSheetId="67">'67'!$A$1:$R$37</definedName>
    <definedName name="_xlnm.Print_Area" localSheetId="68">'68'!$A$1:$M$19</definedName>
    <definedName name="_xlnm.Print_Area" localSheetId="69">'69'!$A$1:$O$21</definedName>
    <definedName name="_xlnm.Print_Area" localSheetId="70">'70'!$A$1:$X$12</definedName>
    <definedName name="_xlnm.Print_Area" localSheetId="71">'71'!$A$1:$G$12</definedName>
    <definedName name="_xlnm.Print_Area" localSheetId="72">'72'!$A$1:$P$20</definedName>
    <definedName name="_xlnm.Print_Area" localSheetId="73">'73'!$A$1:$J$45</definedName>
    <definedName name="_xlnm.Print_Area" localSheetId="74">'74'!$A$1:$J$31</definedName>
    <definedName name="_xlnm.Print_Area" localSheetId="75">'75'!$A$1:$J$40</definedName>
    <definedName name="Z_B9B27D37_53F8_4AD8_9221_6458C3026417_.wvu.Cols" localSheetId="76" hidden="1">'76'!$I:$M</definedName>
    <definedName name="Z_B9B27D37_53F8_4AD8_9221_6458C3026417_.wvu.FilterData" localSheetId="26" hidden="1">'26'!$A$2:$J$2</definedName>
    <definedName name="Z_B9B27D37_53F8_4AD8_9221_6458C3026417_.wvu.PrintArea" localSheetId="65" hidden="1">'65'!$A$1:$K$19</definedName>
    <definedName name="Z_B9B27D37_53F8_4AD8_9221_6458C3026417_.wvu.PrintArea" localSheetId="66" hidden="1">'66'!$A$1:$I$18</definedName>
    <definedName name="Z_B9B27D37_53F8_4AD8_9221_6458C3026417_.wvu.PrintArea" localSheetId="67" hidden="1">'67'!$A$1:$R$37</definedName>
    <definedName name="Z_B9B27D37_53F8_4AD8_9221_6458C3026417_.wvu.PrintArea" localSheetId="68" hidden="1">'68'!$A$1:$M$19</definedName>
    <definedName name="Z_B9B27D37_53F8_4AD8_9221_6458C3026417_.wvu.PrintArea" localSheetId="69" hidden="1">'69'!$A$1:$O$21</definedName>
    <definedName name="Z_B9B27D37_53F8_4AD8_9221_6458C3026417_.wvu.PrintArea" localSheetId="70" hidden="1">'70'!$A$1:$X$12</definedName>
    <definedName name="Z_B9B27D37_53F8_4AD8_9221_6458C3026417_.wvu.PrintArea" localSheetId="71" hidden="1">'71'!$A$1:$G$12</definedName>
    <definedName name="Z_B9B27D37_53F8_4AD8_9221_6458C3026417_.wvu.PrintArea" localSheetId="72" hidden="1">'72'!$A$1:$P$20</definedName>
    <definedName name="Z_B9B27D37_53F8_4AD8_9221_6458C3026417_.wvu.PrintArea" localSheetId="73" hidden="1">'73'!$A$1:$J$45</definedName>
    <definedName name="Z_B9B27D37_53F8_4AD8_9221_6458C3026417_.wvu.PrintArea" localSheetId="74" hidden="1">'74'!$A$1:$J$31</definedName>
    <definedName name="Z_B9B27D37_53F8_4AD8_9221_6458C3026417_.wvu.PrintArea" localSheetId="75" hidden="1">'75'!$A$1:$J$40</definedName>
    <definedName name="Z_B9B27D37_53F8_4AD8_9221_6458C3026417_.wvu.Rows" localSheetId="75" hidden="1">'75'!$27:$30</definedName>
    <definedName name="Z_F9A1D58D_8337_4577_94AF_0D6370657575_.wvu.Cols" localSheetId="76" hidden="1">'76'!$I:$M</definedName>
    <definedName name="Z_F9A1D58D_8337_4577_94AF_0D6370657575_.wvu.PrintArea" localSheetId="65" hidden="1">'65'!$A$1:$K$19</definedName>
    <definedName name="Z_F9A1D58D_8337_4577_94AF_0D6370657575_.wvu.PrintArea" localSheetId="66" hidden="1">'66'!$A$1:$I$18</definedName>
    <definedName name="Z_F9A1D58D_8337_4577_94AF_0D6370657575_.wvu.PrintArea" localSheetId="67" hidden="1">'67'!$A$1:$R$37</definedName>
    <definedName name="Z_F9A1D58D_8337_4577_94AF_0D6370657575_.wvu.PrintArea" localSheetId="68" hidden="1">'68'!$A$1:$M$19</definedName>
    <definedName name="Z_F9A1D58D_8337_4577_94AF_0D6370657575_.wvu.PrintArea" localSheetId="69" hidden="1">'69'!$A$1:$O$21</definedName>
    <definedName name="Z_F9A1D58D_8337_4577_94AF_0D6370657575_.wvu.PrintArea" localSheetId="70" hidden="1">'70'!$A$1:$X$12</definedName>
    <definedName name="Z_F9A1D58D_8337_4577_94AF_0D6370657575_.wvu.PrintArea" localSheetId="71" hidden="1">'71'!$A$1:$G$12</definedName>
    <definedName name="Z_F9A1D58D_8337_4577_94AF_0D6370657575_.wvu.PrintArea" localSheetId="72" hidden="1">'72'!$A$1:$P$20</definedName>
    <definedName name="Z_F9A1D58D_8337_4577_94AF_0D6370657575_.wvu.PrintArea" localSheetId="73" hidden="1">'73'!$A$1:$J$45</definedName>
    <definedName name="Z_F9A1D58D_8337_4577_94AF_0D6370657575_.wvu.PrintArea" localSheetId="74" hidden="1">'74'!$A$1:$J$31</definedName>
    <definedName name="Z_F9A1D58D_8337_4577_94AF_0D6370657575_.wvu.PrintArea" localSheetId="75" hidden="1">'75'!$A$1:$J$40</definedName>
    <definedName name="Z_F9A1D58D_8337_4577_94AF_0D6370657575_.wvu.Rows" localSheetId="75" hidden="1">'75'!$27:$30</definedName>
  </definedNames>
  <calcPr calcId="152511"/>
  <customWorkbookViews>
    <customWorkbookView name="Sumit Verma - Personal View" guid="{B9B27D37-53F8-4AD8-9221-6458C3026417}" mergeInterval="0" personalView="1" maximized="1" xWindow="1272" yWindow="-15" windowWidth="1296" windowHeight="1000" tabRatio="863" activeSheetId="55"/>
    <customWorkbookView name="Laltu Pore - Personal View" guid="{F9A1D58D-8337-4577-94AF-0D6370657575}" mergeInterval="0" personalView="1" maximized="1" xWindow="-8" yWindow="-8" windowWidth="1040" windowHeight="744" tabRatio="863" activeSheetId="77"/>
  </customWorkbookViews>
</workbook>
</file>

<file path=xl/calcChain.xml><?xml version="1.0" encoding="utf-8"?>
<calcChain xmlns="http://schemas.openxmlformats.org/spreadsheetml/2006/main">
  <c r="H21" i="57" l="1"/>
  <c r="I21" i="57"/>
  <c r="J21" i="57"/>
  <c r="I20" i="57"/>
  <c r="J20" i="57"/>
  <c r="H20" i="57"/>
  <c r="D30" i="58"/>
  <c r="D29" i="58"/>
  <c r="D28" i="58"/>
  <c r="E30" i="58"/>
  <c r="E29" i="58"/>
  <c r="E28" i="58"/>
  <c r="E27" i="58"/>
  <c r="D27" i="58"/>
  <c r="C30" i="57" l="1"/>
  <c r="D30" i="57"/>
  <c r="E30" i="57"/>
  <c r="F30" i="57"/>
  <c r="G30" i="57"/>
  <c r="H30" i="57"/>
  <c r="I30" i="57"/>
  <c r="J30" i="57"/>
  <c r="K30" i="57"/>
  <c r="L30" i="57"/>
  <c r="M30" i="57"/>
  <c r="N30" i="57"/>
  <c r="O30" i="57"/>
  <c r="P30" i="57"/>
  <c r="Q30" i="57"/>
  <c r="B30" i="57"/>
  <c r="E19" i="58"/>
  <c r="E18" i="58"/>
  <c r="E17" i="58"/>
  <c r="E16" i="58"/>
  <c r="B16" i="58"/>
  <c r="B17" i="58"/>
  <c r="C17" i="58"/>
  <c r="D17" i="58"/>
  <c r="B18" i="58"/>
  <c r="C18" i="58"/>
  <c r="D18" i="58"/>
  <c r="B19" i="58"/>
  <c r="C19" i="58"/>
  <c r="D19" i="58"/>
  <c r="C16" i="58"/>
  <c r="D16" i="58"/>
  <c r="M5" i="10" l="1"/>
  <c r="L5" i="10"/>
  <c r="K5" i="10"/>
  <c r="J5" i="10"/>
  <c r="I5" i="10"/>
  <c r="H5" i="10"/>
  <c r="G5" i="10"/>
  <c r="F5" i="10"/>
  <c r="E5" i="10"/>
  <c r="D5" i="10"/>
  <c r="C5" i="10"/>
  <c r="B5" i="10"/>
  <c r="S7" i="6"/>
  <c r="R7" i="6"/>
  <c r="Q7" i="6"/>
  <c r="P7" i="6"/>
  <c r="O7" i="6"/>
  <c r="N7" i="6"/>
  <c r="M7" i="6"/>
  <c r="L7" i="6"/>
  <c r="K7" i="6"/>
  <c r="J7" i="6"/>
  <c r="I7" i="6"/>
  <c r="H7" i="6"/>
  <c r="G7" i="6"/>
  <c r="F7" i="6"/>
  <c r="E7" i="6"/>
  <c r="D7" i="6"/>
  <c r="C7" i="6"/>
  <c r="B7" i="6"/>
  <c r="C5" i="61" l="1"/>
  <c r="D5" i="61"/>
  <c r="E5" i="61"/>
  <c r="F5" i="61"/>
  <c r="G5" i="61"/>
  <c r="H5" i="61"/>
  <c r="I5" i="61"/>
  <c r="J5" i="61"/>
  <c r="B5" i="61"/>
  <c r="C5" i="16"/>
  <c r="D5" i="16"/>
  <c r="E5" i="16"/>
  <c r="F5" i="16"/>
  <c r="G5" i="16"/>
  <c r="H5" i="16"/>
  <c r="I5" i="16"/>
  <c r="J5" i="16"/>
  <c r="K5" i="16"/>
  <c r="L5" i="16"/>
  <c r="M5" i="16"/>
  <c r="B5" i="16"/>
  <c r="C6" i="15"/>
  <c r="D6" i="15"/>
  <c r="E6" i="15"/>
  <c r="F6" i="15"/>
  <c r="G6" i="15"/>
  <c r="H6" i="15"/>
  <c r="I6" i="15"/>
  <c r="J6" i="15"/>
  <c r="K6" i="15"/>
  <c r="L6" i="15"/>
  <c r="M6" i="15"/>
  <c r="B6" i="15"/>
  <c r="I5" i="14"/>
  <c r="C5" i="14"/>
  <c r="D5" i="14"/>
  <c r="E5" i="14"/>
  <c r="F5" i="14"/>
  <c r="G5" i="14"/>
  <c r="H5" i="14"/>
  <c r="B5" i="14"/>
  <c r="H40" i="76" l="1"/>
  <c r="E40" i="76"/>
  <c r="J35" i="76"/>
  <c r="H35" i="76"/>
  <c r="D35" i="76"/>
  <c r="C35" i="76"/>
  <c r="I34" i="76"/>
  <c r="G34" i="76"/>
  <c r="C34" i="76"/>
  <c r="I33" i="76"/>
  <c r="I35" i="76" s="1"/>
  <c r="G33" i="76"/>
  <c r="C33" i="76"/>
  <c r="I32" i="76"/>
  <c r="G32" i="76"/>
  <c r="G35" i="76" s="1"/>
  <c r="C32" i="76"/>
  <c r="J26" i="76"/>
  <c r="G40" i="76" s="1"/>
  <c r="H26" i="76"/>
  <c r="G26" i="76"/>
  <c r="D26" i="76"/>
  <c r="I25" i="76"/>
  <c r="C25" i="76"/>
  <c r="I24" i="76"/>
  <c r="C24" i="76"/>
  <c r="I23" i="76"/>
  <c r="C23" i="76"/>
  <c r="I22" i="76"/>
  <c r="C22" i="76"/>
  <c r="C21" i="76"/>
  <c r="C20" i="76"/>
  <c r="I19" i="76"/>
  <c r="G19" i="76"/>
  <c r="C19" i="76"/>
  <c r="I18" i="76"/>
  <c r="I26" i="76" s="1"/>
  <c r="G18" i="76"/>
  <c r="C18" i="76"/>
  <c r="C26" i="76" s="1"/>
  <c r="J16" i="76"/>
  <c r="I16" i="76"/>
  <c r="H16" i="76"/>
  <c r="G16" i="76"/>
  <c r="F16" i="76"/>
  <c r="E16" i="76"/>
  <c r="D16" i="76"/>
  <c r="C16" i="76"/>
  <c r="J28" i="75"/>
  <c r="I28" i="75"/>
  <c r="H28" i="75"/>
  <c r="G28" i="75"/>
  <c r="F28" i="75"/>
  <c r="E28" i="75"/>
  <c r="D28" i="75"/>
  <c r="C28" i="75"/>
  <c r="J21" i="75"/>
  <c r="I21" i="75"/>
  <c r="H21" i="75"/>
  <c r="K21" i="75" s="1"/>
  <c r="G21" i="75"/>
  <c r="F21" i="75"/>
  <c r="E21" i="75"/>
  <c r="D21" i="75"/>
  <c r="C21" i="75"/>
  <c r="K20" i="75"/>
  <c r="K19" i="75"/>
  <c r="K18" i="75"/>
  <c r="K17" i="75"/>
  <c r="K15" i="75"/>
  <c r="K14" i="75"/>
  <c r="K13" i="75"/>
  <c r="K12" i="75"/>
  <c r="K11" i="75"/>
  <c r="K10" i="75"/>
  <c r="K9" i="75"/>
  <c r="A9" i="75"/>
  <c r="A10" i="75" s="1"/>
  <c r="A11" i="75" s="1"/>
  <c r="A12" i="75" s="1"/>
  <c r="A13" i="75" s="1"/>
  <c r="A14" i="75" s="1"/>
  <c r="A15" i="75" s="1"/>
  <c r="A16" i="75" s="1"/>
  <c r="A17" i="75" s="1"/>
  <c r="A18" i="75" s="1"/>
  <c r="A19" i="75" s="1"/>
  <c r="A20" i="75" s="1"/>
  <c r="K8" i="75"/>
  <c r="A8" i="75"/>
  <c r="K7" i="75"/>
  <c r="K6" i="75"/>
  <c r="D40" i="74"/>
  <c r="C40" i="74"/>
  <c r="J37" i="74"/>
  <c r="I37" i="74"/>
  <c r="H37" i="74"/>
  <c r="H40" i="74" s="1"/>
  <c r="G37" i="74"/>
  <c r="G40" i="74" s="1"/>
  <c r="D37" i="74"/>
  <c r="C37" i="74"/>
  <c r="J33" i="74"/>
  <c r="J40" i="74" s="1"/>
  <c r="I33" i="74"/>
  <c r="I40" i="74" s="1"/>
  <c r="H33" i="74"/>
  <c r="G33" i="74"/>
  <c r="F33" i="74"/>
  <c r="F40" i="74" s="1"/>
  <c r="E33" i="74"/>
  <c r="E40" i="74" s="1"/>
  <c r="D33" i="74"/>
  <c r="C33" i="74"/>
  <c r="J23" i="74"/>
  <c r="J28" i="74" s="1"/>
  <c r="I23" i="74"/>
  <c r="I28" i="74" s="1"/>
  <c r="H23" i="74"/>
  <c r="H28" i="74" s="1"/>
  <c r="G23" i="74"/>
  <c r="F23" i="74"/>
  <c r="F28" i="74" s="1"/>
  <c r="E23" i="74"/>
  <c r="E28" i="74" s="1"/>
  <c r="D23" i="74"/>
  <c r="D28" i="74" s="1"/>
  <c r="C23" i="74"/>
  <c r="C28" i="74" s="1"/>
  <c r="J16" i="74"/>
  <c r="I16" i="74"/>
  <c r="H16" i="74"/>
  <c r="G16" i="74"/>
  <c r="F16" i="74"/>
  <c r="E16" i="74"/>
  <c r="D16" i="74"/>
  <c r="C16" i="74"/>
  <c r="J8" i="74"/>
  <c r="I8" i="74"/>
  <c r="H8" i="74"/>
  <c r="G8" i="74"/>
  <c r="G28" i="74" s="1"/>
  <c r="F8" i="74"/>
  <c r="E8" i="74"/>
  <c r="D8" i="74"/>
  <c r="C8" i="74"/>
  <c r="G5" i="72"/>
  <c r="F5" i="72"/>
  <c r="E5" i="72"/>
  <c r="D5" i="72"/>
  <c r="C5" i="72"/>
  <c r="B5" i="72"/>
  <c r="I7" i="71"/>
  <c r="P6" i="71"/>
  <c r="O6" i="71"/>
  <c r="I6" i="71"/>
  <c r="I4" i="71" s="1"/>
  <c r="P5" i="71"/>
  <c r="P4" i="71" s="1"/>
  <c r="H51" i="68" s="1"/>
  <c r="O5" i="71"/>
  <c r="I5" i="71"/>
  <c r="R4" i="71"/>
  <c r="Q4" i="71"/>
  <c r="O4" i="71"/>
  <c r="N4" i="71"/>
  <c r="M4" i="71"/>
  <c r="L4" i="71"/>
  <c r="K4" i="71"/>
  <c r="J4" i="71"/>
  <c r="H4" i="71"/>
  <c r="G4" i="71"/>
  <c r="F4" i="71"/>
  <c r="E4" i="71"/>
  <c r="D4" i="71"/>
  <c r="C4" i="71"/>
  <c r="B4" i="71"/>
  <c r="M13" i="70"/>
  <c r="M12" i="70"/>
  <c r="M11" i="70"/>
  <c r="M10" i="70"/>
  <c r="M9" i="70"/>
  <c r="M8" i="70"/>
  <c r="M7" i="70"/>
  <c r="M6" i="70"/>
  <c r="O5" i="70"/>
  <c r="N5" i="70"/>
  <c r="M5" i="70"/>
  <c r="L5" i="70"/>
  <c r="K5" i="70"/>
  <c r="J5" i="70"/>
  <c r="I5" i="70"/>
  <c r="H5" i="70"/>
  <c r="G5" i="70"/>
  <c r="F5" i="70"/>
  <c r="E5" i="70"/>
  <c r="D5" i="70"/>
  <c r="C5" i="70"/>
  <c r="B5" i="70"/>
  <c r="M4" i="70"/>
  <c r="L4" i="70"/>
  <c r="M6" i="69"/>
  <c r="L6" i="69"/>
  <c r="K6" i="69"/>
  <c r="J6" i="69"/>
  <c r="I6" i="69"/>
  <c r="H6" i="69"/>
  <c r="G6" i="69"/>
  <c r="F6" i="69"/>
  <c r="E6" i="69"/>
  <c r="D6" i="69"/>
  <c r="C6" i="69"/>
  <c r="B6" i="69"/>
  <c r="D53" i="68"/>
  <c r="I52" i="68"/>
  <c r="D52" i="68"/>
  <c r="D51" i="68"/>
  <c r="F50" i="68"/>
  <c r="E50" i="68"/>
  <c r="D50" i="68"/>
  <c r="D49" i="68"/>
  <c r="I48" i="68"/>
  <c r="D48" i="68"/>
  <c r="H47" i="68"/>
  <c r="D47" i="68"/>
  <c r="F46" i="68"/>
  <c r="E46" i="68"/>
  <c r="D46" i="68"/>
  <c r="P31" i="68"/>
  <c r="I53" i="68" s="1"/>
  <c r="O31" i="68"/>
  <c r="P30" i="68"/>
  <c r="E52" i="68" s="1"/>
  <c r="O30" i="68"/>
  <c r="P29" i="68"/>
  <c r="O29" i="68"/>
  <c r="P28" i="68"/>
  <c r="I50" i="68" s="1"/>
  <c r="O28" i="68"/>
  <c r="P27" i="68"/>
  <c r="I49" i="68" s="1"/>
  <c r="O27" i="68"/>
  <c r="P26" i="68"/>
  <c r="E48" i="68" s="1"/>
  <c r="O26" i="68"/>
  <c r="P25" i="68"/>
  <c r="P23" i="68" s="1"/>
  <c r="O25" i="68"/>
  <c r="O23" i="68" s="1"/>
  <c r="P24" i="68"/>
  <c r="I46" i="68" s="1"/>
  <c r="R23" i="68"/>
  <c r="Q23" i="68"/>
  <c r="N23" i="68"/>
  <c r="M23" i="68"/>
  <c r="L23" i="68"/>
  <c r="K23" i="68"/>
  <c r="J23" i="68"/>
  <c r="I23" i="68"/>
  <c r="H23" i="68"/>
  <c r="G23" i="68"/>
  <c r="F23" i="68"/>
  <c r="E23" i="68"/>
  <c r="D23" i="68"/>
  <c r="C23" i="68"/>
  <c r="B23" i="68"/>
  <c r="P22" i="68"/>
  <c r="O22" i="68"/>
  <c r="P14" i="68"/>
  <c r="H53" i="68" s="1"/>
  <c r="J53" i="68" s="1"/>
  <c r="O14" i="68"/>
  <c r="P13" i="68"/>
  <c r="H52" i="68" s="1"/>
  <c r="J52" i="68" s="1"/>
  <c r="O13" i="68"/>
  <c r="P12" i="68"/>
  <c r="O12" i="68"/>
  <c r="P11" i="68"/>
  <c r="H50" i="68" s="1"/>
  <c r="J50" i="68" s="1"/>
  <c r="O11" i="68"/>
  <c r="P10" i="68"/>
  <c r="H49" i="68" s="1"/>
  <c r="J49" i="68" s="1"/>
  <c r="O10" i="68"/>
  <c r="P9" i="68"/>
  <c r="H48" i="68" s="1"/>
  <c r="J48" i="68" s="1"/>
  <c r="O9" i="68"/>
  <c r="P8" i="68"/>
  <c r="O8" i="68"/>
  <c r="P7" i="68"/>
  <c r="H46" i="68" s="1"/>
  <c r="J46" i="68" s="1"/>
  <c r="O7" i="68"/>
  <c r="R6" i="68"/>
  <c r="Q6" i="68"/>
  <c r="P6" i="68"/>
  <c r="H45" i="68" s="1"/>
  <c r="O6" i="68"/>
  <c r="N6" i="68"/>
  <c r="M6" i="68"/>
  <c r="L6" i="68"/>
  <c r="K6" i="68"/>
  <c r="J6" i="68"/>
  <c r="I6" i="68"/>
  <c r="H6" i="68"/>
  <c r="G6" i="68"/>
  <c r="F6" i="68"/>
  <c r="E6" i="68"/>
  <c r="D45" i="68" s="1"/>
  <c r="D6" i="68"/>
  <c r="C6" i="68"/>
  <c r="B6" i="68"/>
  <c r="A41" i="74"/>
  <c r="I5" i="67"/>
  <c r="H5" i="67"/>
  <c r="G5" i="67"/>
  <c r="E5" i="67"/>
  <c r="D5" i="67"/>
  <c r="C5" i="67"/>
  <c r="I40" i="76" l="1"/>
  <c r="J40" i="76"/>
  <c r="F40" i="76"/>
  <c r="M45" i="68"/>
  <c r="A18" i="73"/>
  <c r="A29" i="75"/>
  <c r="F48" i="68"/>
  <c r="K48" i="68" s="1"/>
  <c r="K46" i="68"/>
  <c r="K50" i="68"/>
  <c r="E45" i="68"/>
  <c r="F45" i="68" s="1"/>
  <c r="K45" i="68" s="1"/>
  <c r="I45" i="68"/>
  <c r="J45" i="68" s="1"/>
  <c r="E51" i="68"/>
  <c r="F51" i="68" s="1"/>
  <c r="F52" i="68"/>
  <c r="K52" i="68" s="1"/>
  <c r="A35" i="68"/>
  <c r="I47" i="68"/>
  <c r="J47" i="68" s="1"/>
  <c r="I51" i="68"/>
  <c r="J51" i="68" s="1"/>
  <c r="E53" i="68"/>
  <c r="F53" i="68" s="1"/>
  <c r="K53" i="68" s="1"/>
  <c r="E47" i="68"/>
  <c r="F47" i="68" s="1"/>
  <c r="A18" i="69"/>
  <c r="A36" i="76"/>
  <c r="E49" i="68"/>
  <c r="F49" i="68" s="1"/>
  <c r="K49" i="68" s="1"/>
  <c r="A17" i="70"/>
  <c r="K47" i="68" l="1"/>
  <c r="K51" i="68"/>
</calcChain>
</file>

<file path=xl/sharedStrings.xml><?xml version="1.0" encoding="utf-8"?>
<sst xmlns="http://schemas.openxmlformats.org/spreadsheetml/2006/main" count="3005" uniqueCount="1049">
  <si>
    <t xml:space="preserve">Bulletin Reports Summary for Feb-19              </t>
  </si>
  <si>
    <t>Report Name</t>
  </si>
  <si>
    <t>Data Status</t>
  </si>
  <si>
    <t>Table 1: SEBI Registered Market Intermediaries/Institutions</t>
  </si>
  <si>
    <t>Data Available</t>
  </si>
  <si>
    <t>Table 2: Company-Wise Capital Raised through Public and Rights Issues (Equity)</t>
  </si>
  <si>
    <t>Table 3: Open Offers under SEBI Takeover Code closed</t>
  </si>
  <si>
    <t>Table 4: Substantial Acquisition of Shares and Takeovers</t>
  </si>
  <si>
    <t>Table 5: Capital Raised from the Primary Market through though Public and Rights Issues</t>
  </si>
  <si>
    <t>Table 6: Issues Listed on SME Platform</t>
  </si>
  <si>
    <t>Table 7: Industry-wise Classification of Capital Raised through Public and Rights Issues</t>
  </si>
  <si>
    <t>Table 8: Sector-wise and Region-wise Distribution of Capital Mobilised through Public and Rights Issues</t>
  </si>
  <si>
    <t>Table 9: Size-wise Classification of Capital Raised through Public and Rights Issues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</si>
  <si>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</si>
  <si>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</si>
  <si>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</si>
  <si>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</si>
  <si>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14: Ratings Assigned for Long-term Corporate Debt Securities (Maturity = 1 year)</t>
  </si>
  <si>
    <t>Table 15: Ratings Assigned for Long-term Corporate Debt Securities (Maturity = 1 year)</t>
  </si>
  <si>
    <t>Table 16: Distribution of Turnover on Cash Segments of Exchanges (` crore)</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</si>
  <si>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</si>
  <si>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</si>
  <si>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</si>
  <si>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</si>
  <si>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</si>
  <si>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</si>
  <si>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</si>
  <si>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</si>
  <si>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</si>
  <si>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</si>
  <si>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</si>
  <si>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</si>
  <si>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</si>
  <si>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</si>
  <si>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</si>
  <si>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</si>
  <si>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</si>
  <si>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</si>
  <si>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35: Trends in Equity Derivatives Segment at NSE</t>
  </si>
  <si>
    <t>Table 36: Settlement Statistics in Equity Derivatives Segment at BSE and NSE ( crore)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</si>
  <si>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</si>
  <si>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</si>
  <si>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</si>
  <si>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</si>
  <si>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</si>
  <si>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</si>
  <si>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</si>
  <si>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44: Settlement Statistics of Currency Derivatives Segment ( crore)</t>
  </si>
  <si>
    <t>Table 45: Instrument-wise Turnover in Currency Derivative Segment of BSE</t>
  </si>
  <si>
    <t>Table 46: Instrument-wise Turnover in Currency Derivatives of NSE</t>
  </si>
  <si>
    <t>Table 47: Instrument-wise Turnover in Currency Derivative Segment of MSEI</t>
  </si>
  <si>
    <t>Table 48: Maturity-wise Turnover in Currency Derivative Segment of BSE ( crore)</t>
  </si>
  <si>
    <t>Table 49: Maturity-wise Turnover in Currency Derivative Segment of NSE  ( crore)</t>
  </si>
  <si>
    <t>Table 50: Maturity-wise Turnover in Currency Derivative Segment of MSEI ( crore)</t>
  </si>
  <si>
    <t>Table 51: Trading Statistics of Interest Rate Futures at BSE, NSE and MSEI</t>
  </si>
  <si>
    <t>Table 52: Settlement Statistics in Interest Rate Futures at BSE, NSE and MSEI ( crore)</t>
  </si>
  <si>
    <t>Table 53: Trends in Foreign Portfolio Investment</t>
  </si>
  <si>
    <t>Table 54: Notional Value of Offshore Derivative Instruments (ODIs) Vs Assets Under Custody (AUC) of FPIs/Deemed</t>
  </si>
  <si>
    <t>Data Not Available</t>
  </si>
  <si>
    <t>Table 55: Assets under the Custody of Custodians</t>
  </si>
  <si>
    <t>Table 56: Trends in Resource Mobilization by Mutual Funds ( crore)</t>
  </si>
  <si>
    <t>Table 57: Type-wise Resource Mobilisation by Mutual Funds: Open-ended and Close-ended ( crore)</t>
  </si>
  <si>
    <t>Table 58: Scheme-wise Resource Mobilisation and Assets under Management by Mutual Funds ( crore)</t>
  </si>
  <si>
    <t>Table 59: Number of Schemes and Folios by Investment Objective</t>
  </si>
  <si>
    <t>Table 60: Trends in Transactions on Stock Exchanges by Mutual Funds ( crore)</t>
  </si>
  <si>
    <t>Table 61: Asset Under Management by Portfolio Manager</t>
  </si>
  <si>
    <t>Table 62: Progress Report of NSDL &amp; CDSl as on end of Month (Listed Companies)</t>
  </si>
  <si>
    <t>Table 63: Progress of Dematerialisation at NSDL and CDSL (Listed and Unlisted Companies)</t>
  </si>
  <si>
    <t>Table 64: Depository Statistics</t>
  </si>
  <si>
    <t>2017-18</t>
  </si>
  <si>
    <t>2018-19$</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</si>
  <si>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</si>
  <si>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</si>
  <si>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</si>
  <si>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</si>
  <si>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</si>
  <si>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</si>
  <si>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</si>
  <si>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</si>
  <si>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</si>
  <si>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</si>
  <si>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</si>
  <si>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</si>
  <si>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</si>
  <si>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</si>
  <si>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</si>
  <si>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</si>
  <si>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</si>
  <si>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</si>
  <si>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</si>
  <si>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</si>
  <si>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</si>
  <si>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</si>
  <si>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</si>
  <si>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</si>
  <si>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</si>
  <si>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</si>
  <si>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</si>
  <si>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</si>
  <si>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</si>
  <si>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</si>
  <si>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</si>
  <si>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</si>
  <si>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</si>
  <si>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</si>
  <si>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 indicates as on February 28,2019</t>
  </si>
  <si>
    <t>Source: SEBI, NSDL.</t>
  </si>
  <si>
    <t>Sl.No.</t>
  </si>
  <si>
    <t>Name of the Issuer/Company</t>
  </si>
  <si>
    <t>Date of Opening</t>
  </si>
  <si>
    <t>Type of Issue</t>
  </si>
  <si>
    <t>Type of Instrument</t>
  </si>
  <si>
    <t>No. of Shares Issued</t>
  </si>
  <si>
    <t>Face Value (`)</t>
  </si>
  <si>
    <t>Premium Value (`)</t>
  </si>
  <si>
    <t>Issue Price (`)</t>
  </si>
  <si>
    <t>Size of Issue  (` Crore)</t>
  </si>
  <si>
    <t>Anmol India Limited</t>
  </si>
  <si>
    <t>SME-IPO</t>
  </si>
  <si>
    <t>Equity</t>
  </si>
  <si>
    <t>Jonjua Overseas Limited</t>
  </si>
  <si>
    <t>Kranti Industries Limited</t>
  </si>
  <si>
    <t>LGB FORGE LIMITED</t>
  </si>
  <si>
    <t>Rights</t>
  </si>
  <si>
    <t>Mindpool Technologies Limited</t>
  </si>
  <si>
    <t>Gleam Fabmat Limited</t>
  </si>
  <si>
    <t>Source: SEBI.</t>
  </si>
  <si>
    <t>Table 3: Open Offers under SEBI Takeover Code closed during Feb-19</t>
  </si>
  <si>
    <t>Sl.No</t>
  </si>
  <si>
    <t>Target Company</t>
  </si>
  <si>
    <t>Acquirer</t>
  </si>
  <si>
    <t>Offer Opening Date</t>
  </si>
  <si>
    <t>Offer Closing Date</t>
  </si>
  <si>
    <t>Offer Size</t>
  </si>
  <si>
    <t>Offer
 Price 
(`) per share</t>
  </si>
  <si>
    <t>Offer Size (` Crore)</t>
  </si>
  <si>
    <t>No. of 
Shares</t>
  </si>
  <si>
    <t>Percent of Equity 
Capital</t>
  </si>
  <si>
    <t>SHREE DIGVIJAY CEMENT COMPANY LIMITED</t>
  </si>
  <si>
    <t>NORTH FUND VI LLP</t>
  </si>
  <si>
    <t>HATHWAY CABLE AND DATACOM LIMITED</t>
  </si>
  <si>
    <t>JIO CONTENT DISTRIBUTION HOLDINGS PVT LTD, JIO INTERNET DISTRIBUTION HOLDINGS PVT. LTD., JIO CABLE A</t>
  </si>
  <si>
    <t>TOURISM FINANCE CORPORATION OF INDIA LIMITED</t>
  </si>
  <si>
    <t>REDKITE CAPITAL PRIVATE LIMITED</t>
  </si>
  <si>
    <t>DEN NETWORKS LIMITED</t>
  </si>
  <si>
    <t>JIO FUTURISTIC DIGITAL HOLDINGS PVT LTD, JIO DIDGITAL DISTRIBUTION HOLDINGS PVT. LTD., JIO TELEVISIO</t>
  </si>
  <si>
    <t>GTPL HATHWAY LIMITED</t>
  </si>
  <si>
    <t>Year / Month</t>
  </si>
  <si>
    <t>Open Offers</t>
  </si>
  <si>
    <t>Objectives</t>
  </si>
  <si>
    <t>Total</t>
  </si>
  <si>
    <t>Change in Control 
of Management</t>
  </si>
  <si>
    <t>Consolidation of
 Holdings</t>
  </si>
  <si>
    <t>Substantial 
Acquisition</t>
  </si>
  <si>
    <t>No. of Offers</t>
  </si>
  <si>
    <t>Amount (` crore)</t>
  </si>
  <si>
    <t>Apr-18</t>
  </si>
  <si>
    <t>May-18</t>
  </si>
  <si>
    <t>Jun-18</t>
  </si>
  <si>
    <t>Jul-18</t>
  </si>
  <si>
    <t>Aug-18</t>
  </si>
  <si>
    <t>Sep-18</t>
  </si>
  <si>
    <t>Oct-18</t>
  </si>
  <si>
    <t>Nov-18</t>
  </si>
  <si>
    <t>Dec-18</t>
  </si>
  <si>
    <t>Jan-19</t>
  </si>
  <si>
    <t>Feb-19</t>
  </si>
  <si>
    <t xml:space="preserve">Table 5: Capital Raised from the Primary Market through though Public and Rights Issues </t>
  </si>
  <si>
    <t>Category-Wise</t>
  </si>
  <si>
    <t>Issue-Type</t>
  </si>
  <si>
    <t>Instrument-Wise</t>
  </si>
  <si>
    <t>Public</t>
  </si>
  <si>
    <t>Listed</t>
  </si>
  <si>
    <t>IPOs</t>
  </si>
  <si>
    <t>Equities</t>
  </si>
  <si>
    <t>CCPS/FCDs*</t>
  </si>
  <si>
    <t>Debt</t>
  </si>
  <si>
    <t>At Par</t>
  </si>
  <si>
    <t>At Premium</t>
  </si>
  <si>
    <t>No. of issues</t>
  </si>
  <si>
    <t>5. Equity public issues also includes issues listed on SME platform.</t>
  </si>
  <si>
    <t>6. Since April 2018, both the equity and debt issues are categorised based on their respective closing dates. Prior to April 2018, the equity issues were classified based on opening date of the issue, while debt issues were classfied based on closing date of the issue.</t>
  </si>
  <si>
    <t>Year/ Month</t>
  </si>
  <si>
    <t>No. of issue</t>
  </si>
  <si>
    <t>Amount  (`crore)</t>
  </si>
  <si>
    <t xml:space="preserve">Apr-18              </t>
  </si>
  <si>
    <t xml:space="preserve">May-18              </t>
  </si>
  <si>
    <t xml:space="preserve">Jun-18              </t>
  </si>
  <si>
    <t xml:space="preserve">Jul-18              </t>
  </si>
  <si>
    <t xml:space="preserve">Aug-18              </t>
  </si>
  <si>
    <t xml:space="preserve">Sep-18              </t>
  </si>
  <si>
    <t xml:space="preserve">Oct-18              </t>
  </si>
  <si>
    <t xml:space="preserve">Nov-18              </t>
  </si>
  <si>
    <t xml:space="preserve">Dec-18              </t>
  </si>
  <si>
    <t xml:space="preserve">Jan-19              </t>
  </si>
  <si>
    <t xml:space="preserve">Feb-19              </t>
  </si>
  <si>
    <t>Source: SEBI</t>
  </si>
  <si>
    <t>Industry</t>
  </si>
  <si>
    <t>Amount (`crore)</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</si>
  <si>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</si>
  <si>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</si>
  <si>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</si>
  <si>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</si>
  <si>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</si>
  <si>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</si>
  <si>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</si>
  <si>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</si>
  <si>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</si>
  <si>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</si>
  <si>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</si>
  <si>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</si>
  <si>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</si>
  <si>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</si>
  <si>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</si>
  <si>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</si>
  <si>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</si>
  <si>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</si>
  <si>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</si>
  <si>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</si>
  <si>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</si>
  <si>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</si>
  <si>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</si>
  <si>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 xml:space="preserve">Table 8: Sector-wise and Region-wise Distribution of Capital Mobilised through Public and Rights Issues </t>
  </si>
  <si>
    <t>Sector-wise</t>
  </si>
  <si>
    <t>Region-wise</t>
  </si>
  <si>
    <t>Private</t>
  </si>
  <si>
    <t>Northern</t>
  </si>
  <si>
    <t>Eastern</t>
  </si>
  <si>
    <t>Western</t>
  </si>
  <si>
    <t>Southern</t>
  </si>
  <si>
    <t>Central</t>
  </si>
  <si>
    <t>Foreign</t>
  </si>
  <si>
    <t>No. of Issue</t>
  </si>
  <si>
    <t>Amount (`Crores)</t>
  </si>
  <si>
    <t>Amount (` Crores)</t>
  </si>
  <si>
    <t>&lt; 5 crore</t>
  </si>
  <si>
    <t>≥ 5crore - &lt; 10crore</t>
  </si>
  <si>
    <t xml:space="preserve">  ≥ 10 crore - &lt; 50 crore</t>
  </si>
  <si>
    <t xml:space="preserve">  ≥ 50 crore - &lt; 100 crore</t>
  </si>
  <si>
    <t xml:space="preserve">  ≥ 100 crore</t>
  </si>
  <si>
    <t>Only BSE</t>
  </si>
  <si>
    <t>Only NSE</t>
  </si>
  <si>
    <t>Only MSEI</t>
  </si>
  <si>
    <t>Both NSE and BSE</t>
  </si>
  <si>
    <t>Source: BSE, NSE and MSEI.</t>
  </si>
  <si>
    <t>Year/Month</t>
  </si>
  <si>
    <t>No. of  issues</t>
  </si>
  <si>
    <t>Amount ` Crores)</t>
  </si>
  <si>
    <t>TOTAL</t>
  </si>
  <si>
    <t>No. of Issues</t>
  </si>
  <si>
    <t>$ indicates as on February 28, 2018</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</si>
  <si>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</si>
  <si>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</si>
  <si>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</si>
  <si>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</si>
  <si>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</si>
  <si>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</si>
  <si>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</si>
  <si>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</si>
  <si>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</si>
  <si>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</si>
  <si>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</si>
  <si>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</si>
  <si>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</si>
  <si>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</si>
  <si>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</si>
  <si>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</si>
  <si>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</si>
  <si>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</si>
  <si>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</si>
  <si>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</si>
  <si>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</si>
  <si>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</si>
  <si>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</si>
  <si>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</si>
  <si>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</si>
  <si>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</si>
  <si>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</si>
  <si>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</si>
  <si>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</si>
  <si>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</si>
  <si>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</si>
  <si>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</si>
  <si>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</si>
  <si>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</si>
  <si>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</si>
  <si>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</si>
  <si>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</si>
  <si>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</si>
  <si>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</si>
  <si>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</si>
  <si>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</si>
  <si>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</si>
  <si>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</si>
  <si>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</si>
  <si>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</si>
  <si>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Source: NSE</t>
  </si>
  <si>
    <t>$ indicates up to February 28,2019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</si>
  <si>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</si>
  <si>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</si>
  <si>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</si>
  <si>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</si>
  <si>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</si>
  <si>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</si>
  <si>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</si>
  <si>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</si>
  <si>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</si>
  <si>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</si>
  <si>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</si>
  <si>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</si>
  <si>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</si>
  <si>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</si>
  <si>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</si>
  <si>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</si>
  <si>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</si>
  <si>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</si>
  <si>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</si>
  <si>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</si>
  <si>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</si>
  <si>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</si>
  <si>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</si>
  <si>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</si>
  <si>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</si>
  <si>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</si>
  <si>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</si>
  <si>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</si>
  <si>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</si>
  <si>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</si>
  <si>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</si>
  <si>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</si>
  <si>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</si>
  <si>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</si>
  <si>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</si>
  <si>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</si>
  <si>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</si>
  <si>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</si>
  <si>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</si>
  <si>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</si>
  <si>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</si>
  <si>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</si>
  <si>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Feb-19</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</si>
  <si>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</si>
  <si>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</si>
  <si>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</si>
  <si>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</si>
  <si>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</si>
  <si>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</si>
  <si>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</si>
  <si>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</si>
  <si>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</si>
  <si>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</si>
  <si>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</si>
  <si>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</si>
  <si>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INFOSYS LTD</t>
  </si>
  <si>
    <t>ITC LTD.</t>
  </si>
  <si>
    <t>ICICI BANK</t>
  </si>
  <si>
    <t>TCS LTD.</t>
  </si>
  <si>
    <t>LARSEN &amp; TOU</t>
  </si>
  <si>
    <t>KOTAK MAH.BK</t>
  </si>
  <si>
    <t>AXIS BANK</t>
  </si>
  <si>
    <t>HIND UNI LT</t>
  </si>
  <si>
    <t>STATE BANK</t>
  </si>
  <si>
    <t>MARUTISUZUK</t>
  </si>
  <si>
    <t>INDUSIND BNK</t>
  </si>
  <si>
    <t>ASIAN PAINTS</t>
  </si>
  <si>
    <t>BAJFINANCE</t>
  </si>
  <si>
    <t>MAH &amp; MAH</t>
  </si>
  <si>
    <t>HCL TECHNO</t>
  </si>
  <si>
    <t>SUN PHARMA.</t>
  </si>
  <si>
    <t>NTPC LTD</t>
  </si>
  <si>
    <t>YES BANK</t>
  </si>
  <si>
    <t>POWER GRID</t>
  </si>
  <si>
    <t>ONGC CORPN</t>
  </si>
  <si>
    <t>BHARTI ARTL</t>
  </si>
  <si>
    <t>BAJAJ AUTO</t>
  </si>
  <si>
    <t>TATA STEEL</t>
  </si>
  <si>
    <t>HEROMOTOCO</t>
  </si>
  <si>
    <t>TATA MOTORS</t>
  </si>
  <si>
    <t>VEDL</t>
  </si>
  <si>
    <t>COAL INDIA</t>
  </si>
  <si>
    <t>TATAMTRTDVR</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</si>
  <si>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</si>
  <si>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</si>
  <si>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</si>
  <si>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</si>
  <si>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</si>
  <si>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Feb-19</t>
  </si>
  <si>
    <t>Sl. No</t>
  </si>
  <si>
    <t>Issued
Capital 
(`Crore)</t>
  </si>
  <si>
    <t>HDFC Bank Ltd.</t>
  </si>
  <si>
    <t>Reliance Industries Ltd.</t>
  </si>
  <si>
    <t>Housing Development Finance Corporation Ltd.</t>
  </si>
  <si>
    <t>Infosys Ltd.</t>
  </si>
  <si>
    <t>I T C Ltd.</t>
  </si>
  <si>
    <t>ICICI Bank Ltd.</t>
  </si>
  <si>
    <t>Tata Consultancy Services Ltd.</t>
  </si>
  <si>
    <t>Kotak Mahindra Bank Ltd.</t>
  </si>
  <si>
    <t>Larsen &amp; Toubro Ltd.</t>
  </si>
  <si>
    <t>Axis Bank Ltd.</t>
  </si>
  <si>
    <t>Hindustan Unilever Ltd.</t>
  </si>
  <si>
    <t>State Bank of India</t>
  </si>
  <si>
    <t>Maruti Suzuki India Ltd.</t>
  </si>
  <si>
    <t>IndusInd Bank Ltd.</t>
  </si>
  <si>
    <t>Asian Paints Ltd.</t>
  </si>
  <si>
    <t>Bajaj Finance Ltd.</t>
  </si>
  <si>
    <t>Mahindra &amp; Mahindra Ltd.</t>
  </si>
  <si>
    <t>HCL Technologies Ltd.</t>
  </si>
  <si>
    <t>Tech Mahindra Ltd.</t>
  </si>
  <si>
    <t>Sun Pharmaceutical Industries Ltd.</t>
  </si>
  <si>
    <t>NTPC Ltd.</t>
  </si>
  <si>
    <t>Oil &amp; Natural Gas Corporation Ltd.</t>
  </si>
  <si>
    <t>Titan Company Ltd.</t>
  </si>
  <si>
    <t>Yes Bank Ltd.</t>
  </si>
  <si>
    <t>Power Grid Corporation of India Ltd.</t>
  </si>
  <si>
    <t>Bharti Airtel Ltd.</t>
  </si>
  <si>
    <t>Wipro Ltd.</t>
  </si>
  <si>
    <t>UltraTech Cement Ltd.</t>
  </si>
  <si>
    <t>Bajaj Auto Ltd.</t>
  </si>
  <si>
    <t>Bajaj Finserv Ltd.</t>
  </si>
  <si>
    <t>Coal India Ltd.</t>
  </si>
  <si>
    <t>Tata Steel Ltd.</t>
  </si>
  <si>
    <t>Indian Oil Corporation Ltd.</t>
  </si>
  <si>
    <t>Hero MotoCorp Ltd.</t>
  </si>
  <si>
    <t>Tata Motors Ltd.</t>
  </si>
  <si>
    <t>UPL Ltd.</t>
  </si>
  <si>
    <t>Dr. Reddy's Laboratories Ltd.</t>
  </si>
  <si>
    <t>Vedanta Ltd.</t>
  </si>
  <si>
    <t>GAIL (India) Ltd.</t>
  </si>
  <si>
    <t>Grasim Industries Ltd.</t>
  </si>
  <si>
    <t>Hindalco Industries Ltd.</t>
  </si>
  <si>
    <t>JSW Steel Ltd.</t>
  </si>
  <si>
    <t>Cipla Ltd.</t>
  </si>
  <si>
    <t>Eicher Motors Ltd.</t>
  </si>
  <si>
    <t>Bharat Petroleum Corporation Ltd.</t>
  </si>
  <si>
    <t>Zee Entertainment Enterprises Ltd.</t>
  </si>
  <si>
    <t>Adani Ports and Special Economic Zone Ltd.</t>
  </si>
  <si>
    <t>Bharti Infratel Ltd.</t>
  </si>
  <si>
    <t>Indiabulls Housing Finance Ltd.</t>
  </si>
  <si>
    <t>Hindustan Petroleum Corporation Ltd.</t>
  </si>
  <si>
    <t>3. Volatility is the standard deviation of the daily returns for the the trailing 12 months.</t>
  </si>
  <si>
    <t>5. Impact Cost for Nifty 50 is for a portfolio of Rs. 50 Lakhs  and is weightage average impact cost.</t>
  </si>
  <si>
    <t>Source: NSE.</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</si>
  <si>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</si>
  <si>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</si>
  <si>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</si>
  <si>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</si>
  <si>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</si>
  <si>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</si>
  <si>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</si>
  <si>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</si>
  <si>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</si>
  <si>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ONGC</t>
  </si>
  <si>
    <t>AXISBANK</t>
  </si>
  <si>
    <t>TECHM</t>
  </si>
  <si>
    <t>ZEEL</t>
  </si>
  <si>
    <t>HINDALCO</t>
  </si>
  <si>
    <t>TATASTEEL</t>
  </si>
  <si>
    <t>HDFCBANK</t>
  </si>
  <si>
    <t>HCLTECH</t>
  </si>
  <si>
    <t>NTPC</t>
  </si>
  <si>
    <t>INFY</t>
  </si>
  <si>
    <t>SUNPHARMA</t>
  </si>
  <si>
    <t>ICICIBANK</t>
  </si>
  <si>
    <t>MARUTI</t>
  </si>
  <si>
    <t>ASIANPAINT</t>
  </si>
  <si>
    <t>ADANIPORTS</t>
  </si>
  <si>
    <t>TATAMOTORS</t>
  </si>
  <si>
    <t>ITC</t>
  </si>
  <si>
    <t>HINDUNILVR</t>
  </si>
  <si>
    <t>IOC</t>
  </si>
  <si>
    <t>POWERGRID</t>
  </si>
  <si>
    <t>YESBANK</t>
  </si>
  <si>
    <t>BAJAJ-AUTO</t>
  </si>
  <si>
    <t>M&amp;M</t>
  </si>
  <si>
    <t>BPCL</t>
  </si>
  <si>
    <t>WIPRO</t>
  </si>
  <si>
    <t>KOTAKBANK</t>
  </si>
  <si>
    <t>TCS</t>
  </si>
  <si>
    <t>BHARTIARTL</t>
  </si>
  <si>
    <t>COALINDIA</t>
  </si>
  <si>
    <t>GRASIM</t>
  </si>
  <si>
    <t>DRREDDY</t>
  </si>
  <si>
    <t>EICHERMOT</t>
  </si>
  <si>
    <t>LT</t>
  </si>
  <si>
    <t>SBIN</t>
  </si>
  <si>
    <t>INDUSINDBK</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</si>
  <si>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</si>
  <si>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</si>
  <si>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</si>
  <si>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</si>
  <si>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</si>
  <si>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</si>
  <si>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</si>
  <si>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</si>
  <si>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</si>
  <si>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</si>
  <si>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</si>
  <si>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</si>
  <si>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</si>
  <si>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</si>
  <si>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</si>
  <si>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</si>
  <si>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</si>
  <si>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</si>
  <si>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</si>
  <si>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</si>
  <si>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</si>
  <si>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</si>
  <si>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</si>
  <si>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</si>
  <si>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</si>
  <si>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</si>
  <si>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</si>
  <si>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</si>
  <si>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</si>
  <si>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</si>
  <si>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</si>
  <si>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</si>
  <si>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</si>
  <si>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</si>
  <si>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</si>
  <si>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</si>
  <si>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</si>
  <si>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</si>
  <si>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</si>
  <si>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</si>
  <si>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</si>
  <si>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</si>
  <si>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</si>
  <si>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</si>
  <si>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</si>
  <si>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</si>
  <si>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</si>
  <si>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Table 33: Settlement Statistics for Cash Segment of MSEI</t>
  </si>
  <si>
    <t>Month Sorting</t>
  </si>
  <si>
    <t>Delivered Value      (₹ crore)</t>
  </si>
  <si>
    <t>Delivered Value in Demat Mode     (₹ crore)</t>
  </si>
  <si>
    <t>Funds Pay-in (₹ crore)</t>
  </si>
  <si>
    <t>Securities Pay-in (₹ crore)</t>
  </si>
  <si>
    <t>Settlement Guarantee Fund(₹ crore)</t>
  </si>
  <si>
    <t>$ indicates as on February 28, 2019</t>
  </si>
  <si>
    <t>Year/     Month</t>
  </si>
  <si>
    <t>Index Futures</t>
  </si>
  <si>
    <t>Stock Futures</t>
  </si>
  <si>
    <t>Index Options</t>
  </si>
  <si>
    <t>Stock Options</t>
  </si>
  <si>
    <t>Open Interest at the end of Month</t>
  </si>
  <si>
    <t>Call</t>
  </si>
  <si>
    <t>Put</t>
  </si>
  <si>
    <t>No. of
Contracts</t>
  </si>
  <si>
    <t>Turnover
(` crore)</t>
  </si>
  <si>
    <t>No. of
contracts</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</si>
  <si>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</si>
  <si>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</si>
  <si>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</si>
  <si>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</si>
  <si>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</si>
  <si>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</si>
  <si>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</si>
  <si>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</si>
  <si>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</si>
  <si>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</si>
  <si>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</si>
  <si>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FII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</si>
  <si>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</si>
  <si>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</si>
  <si>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</si>
  <si>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</si>
  <si>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</si>
  <si>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</si>
  <si>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</si>
  <si>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</si>
  <si>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</si>
  <si>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</si>
  <si>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</si>
  <si>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</si>
  <si>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</si>
  <si>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</si>
  <si>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</si>
  <si>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</si>
  <si>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</si>
  <si>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</si>
  <si>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</si>
  <si>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</si>
  <si>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</si>
  <si>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</si>
  <si>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</si>
  <si>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</si>
  <si>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</si>
  <si>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</si>
  <si>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</si>
  <si>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</si>
  <si>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</si>
  <si>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</si>
  <si>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</si>
  <si>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</si>
  <si>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</si>
  <si>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Table 44: Settlement Statistics of Currency Derivatives Segment (` crore)</t>
  </si>
  <si>
    <t>Currency
Futures</t>
  </si>
  <si>
    <t>Open Interest as on last day of the month (in lots)</t>
  </si>
  <si>
    <t>USDINR</t>
  </si>
  <si>
    <t>EURINR</t>
  </si>
  <si>
    <t>GBPINR</t>
  </si>
  <si>
    <t>JPYINR</t>
  </si>
  <si>
    <t>EURUSD</t>
  </si>
  <si>
    <t>GBPUSD</t>
  </si>
  <si>
    <t>USDJPY</t>
  </si>
  <si>
    <t>2017-2018</t>
  </si>
  <si>
    <t>2018-19</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</si>
  <si>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</si>
  <si>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</si>
  <si>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</si>
  <si>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</si>
  <si>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</si>
  <si>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</si>
  <si>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</si>
  <si>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</si>
  <si>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</si>
  <si>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</si>
  <si>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</si>
  <si>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</si>
  <si>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</si>
  <si>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</si>
  <si>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</si>
  <si>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</si>
  <si>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</si>
  <si>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</si>
  <si>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</si>
  <si>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</si>
  <si>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</si>
  <si>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</si>
  <si>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</si>
  <si>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</si>
  <si>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</si>
  <si>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</si>
  <si>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</si>
  <si>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</si>
  <si>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</si>
  <si>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</si>
  <si>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</si>
  <si>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crores)</t>
  </si>
  <si>
    <t>Net Investment (` crores)</t>
  </si>
  <si>
    <t>Net Investment (US' $ mn.)</t>
  </si>
  <si>
    <t>Cumulative Net Investment (US $ mn.)</t>
  </si>
  <si>
    <t>2018-2019$</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</si>
  <si>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</si>
  <si>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</si>
  <si>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</si>
  <si>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</si>
  <si>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</si>
  <si>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</si>
  <si>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</si>
  <si>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</si>
  <si>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</si>
  <si>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</si>
  <si>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</si>
  <si>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</si>
  <si>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</si>
  <si>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</si>
  <si>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</si>
  <si>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</si>
  <si>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</si>
  <si>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</si>
  <si>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</si>
  <si>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</si>
  <si>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OCT-18</t>
  </si>
  <si>
    <t>DEC-18</t>
  </si>
  <si>
    <t>JAN-19</t>
  </si>
  <si>
    <t>FEB-19</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</si>
  <si>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</si>
  <si>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</si>
  <si>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</si>
  <si>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</si>
  <si>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</si>
  <si>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</si>
  <si>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</si>
  <si>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</si>
  <si>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</si>
  <si>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Table 57: Type-wise Resource Mobilisation by Mutual Funds: Open-ended and Close-ended (` crore)</t>
  </si>
  <si>
    <t>Scheme</t>
  </si>
  <si>
    <t>Assets at the end of period</t>
  </si>
  <si>
    <t>Sale</t>
  </si>
  <si>
    <t>Purchase</t>
  </si>
  <si>
    <t>Net</t>
  </si>
  <si>
    <t>Open-ended</t>
  </si>
  <si>
    <t>Close-ended</t>
  </si>
  <si>
    <t>Interval</t>
  </si>
  <si>
    <t>Table 58: Scheme-wise Resource Mobilisation and Assets under Management by Mutual Funds (`crore)</t>
  </si>
  <si>
    <t>Type</t>
  </si>
  <si>
    <t xml:space="preserve">2017-2018           </t>
  </si>
  <si>
    <t xml:space="preserve">FEB-19              </t>
  </si>
  <si>
    <t>Assests at the end</t>
  </si>
  <si>
    <t>A. Income/Debt Oriented Schemes(i+ii+iii+iv+v)</t>
  </si>
  <si>
    <t>i. Liquid/Money Market</t>
  </si>
  <si>
    <t>ii. Gilt</t>
  </si>
  <si>
    <t>iii. Debt (other than assured return)</t>
  </si>
  <si>
    <t>iv. Debt (assured return)</t>
  </si>
  <si>
    <t>v. Infrastructure Development</t>
  </si>
  <si>
    <t>B. Growth/Equity Oriented Schemes (i+ii)</t>
  </si>
  <si>
    <t>i. ELSS</t>
  </si>
  <si>
    <t>ii. Others</t>
  </si>
  <si>
    <t>C. Balanced Schemes</t>
  </si>
  <si>
    <t>D. Exchange Traded Fund (i+ii)</t>
  </si>
  <si>
    <t>i. Gold ETFs</t>
  </si>
  <si>
    <t>ii. Other ETFs</t>
  </si>
  <si>
    <t>E. Fund of Funds Investing Overseas</t>
  </si>
  <si>
    <t>Total (A+B+C+D+E)</t>
  </si>
  <si>
    <t xml:space="preserve">Table 59: Number of Schemes and Folios by Investment Objective   </t>
  </si>
  <si>
    <t>No. of Schemes</t>
  </si>
  <si>
    <t>No. of Folios</t>
  </si>
  <si>
    <t>Open</t>
  </si>
  <si>
    <t>Closed</t>
  </si>
  <si>
    <t>D. Exchange Traded Funds (i+ii)</t>
  </si>
  <si>
    <t>Table 60: Trends in Transactions on Stock Exchanges by Mutual Funds (`crore)</t>
  </si>
  <si>
    <t>Year/  Month</t>
  </si>
  <si>
    <t>Gross Purchases</t>
  </si>
  <si>
    <t>Gross Sales</t>
  </si>
  <si>
    <t>Net Purchases /Sales</t>
  </si>
  <si>
    <t>Net purchases /Sale</t>
  </si>
  <si>
    <t>Table 61: Assets Under Management by Portfolio Managers</t>
  </si>
  <si>
    <t>Particulars</t>
  </si>
  <si>
    <t>Discretionary</t>
  </si>
  <si>
    <t>Non-Discretionary</t>
  </si>
  <si>
    <t>Advisory</t>
  </si>
  <si>
    <t>No. of Clients</t>
  </si>
  <si>
    <t>AUM (` crore)</t>
  </si>
  <si>
    <t>Listed Equity</t>
  </si>
  <si>
    <t>Unlisted Equity</t>
  </si>
  <si>
    <t>Plain Debt</t>
  </si>
  <si>
    <t>Structured Debt</t>
  </si>
  <si>
    <t>Equity Derivatives</t>
  </si>
  <si>
    <t>Table 62: Progress Report of NSDL &amp; CDSL as on end of Feb-19 (Listed Companies)</t>
  </si>
  <si>
    <t>Parameter</t>
  </si>
  <si>
    <t>Unit</t>
  </si>
  <si>
    <t>NSDL</t>
  </si>
  <si>
    <t>CDSL</t>
  </si>
  <si>
    <t>Feb-18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</si>
  <si>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</si>
  <si>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</si>
  <si>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</si>
  <si>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</si>
  <si>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</si>
  <si>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</si>
  <si>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</si>
  <si>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</si>
  <si>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</si>
  <si>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</si>
  <si>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</si>
  <si>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</si>
  <si>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</si>
  <si>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</si>
  <si>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</si>
  <si>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</si>
  <si>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</si>
  <si>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</si>
  <si>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</si>
  <si>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</si>
  <si>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</si>
  <si>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</si>
  <si>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</si>
  <si>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</si>
  <si>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</si>
  <si>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</si>
  <si>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</si>
  <si>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</si>
  <si>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</si>
  <si>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</si>
  <si>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</si>
  <si>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</si>
  <si>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</si>
  <si>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</si>
  <si>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</si>
  <si>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</si>
  <si>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</si>
  <si>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</si>
  <si>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</si>
  <si>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</si>
  <si>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</si>
  <si>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</si>
  <si>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</si>
  <si>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</si>
  <si>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</si>
  <si>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Exchanges</t>
  </si>
  <si>
    <t>Futures</t>
  </si>
  <si>
    <t>Options</t>
  </si>
  <si>
    <t>Agriculture</t>
  </si>
  <si>
    <t>Metals other than bullion</t>
  </si>
  <si>
    <t xml:space="preserve">Bullion </t>
  </si>
  <si>
    <t>Energy</t>
  </si>
  <si>
    <t>Gems and Stones</t>
  </si>
  <si>
    <t>Bullion</t>
  </si>
  <si>
    <t>NCDEX</t>
  </si>
  <si>
    <t>Permitted for trading</t>
  </si>
  <si>
    <t>Traded</t>
  </si>
  <si>
    <t>MCX</t>
  </si>
  <si>
    <t>NCDEX Dhaanya</t>
  </si>
  <si>
    <t>Source: MCX and NCDEX</t>
  </si>
  <si>
    <t>Metals</t>
  </si>
  <si>
    <t>Volume ('000 tonnes)</t>
  </si>
  <si>
    <t>Source: MCX</t>
  </si>
  <si>
    <t>Source: NCDEX</t>
  </si>
  <si>
    <t>No.of Trading days</t>
  </si>
  <si>
    <t>Volume 
(in cents)</t>
  </si>
  <si>
    <t>No. of contracts traded</t>
  </si>
  <si>
    <t xml:space="preserve">No. of contracts </t>
  </si>
  <si>
    <t>Open interest at the end of the period</t>
  </si>
  <si>
    <t>Hedgers</t>
  </si>
  <si>
    <t>Name of the Commodity</t>
  </si>
  <si>
    <t>Gold</t>
  </si>
  <si>
    <t>Silver</t>
  </si>
  <si>
    <t>Aluminium</t>
  </si>
  <si>
    <t>Brass</t>
  </si>
  <si>
    <t>Copper</t>
  </si>
  <si>
    <t>Lead</t>
  </si>
  <si>
    <t>Nickel</t>
  </si>
  <si>
    <t>Zinc</t>
  </si>
  <si>
    <t>Cardamom</t>
  </si>
  <si>
    <t>Castorseed</t>
  </si>
  <si>
    <t>Cotton</t>
  </si>
  <si>
    <t>CPO</t>
  </si>
  <si>
    <t>Mentha Oil</t>
  </si>
  <si>
    <t>Rubber</t>
  </si>
  <si>
    <t>Crude Oil</t>
  </si>
  <si>
    <t>Natural Gas (trln. Btu)</t>
  </si>
  <si>
    <t>Grand Total (A+B+C+D)</t>
  </si>
  <si>
    <t>Source : MCX</t>
  </si>
  <si>
    <t>Barley</t>
  </si>
  <si>
    <t>Chana</t>
  </si>
  <si>
    <t>Cotton seed oil cake</t>
  </si>
  <si>
    <t>Coriander</t>
  </si>
  <si>
    <t>Guar seed</t>
  </si>
  <si>
    <t>Guargum</t>
  </si>
  <si>
    <t>Jeera</t>
  </si>
  <si>
    <t>Kapas</t>
  </si>
  <si>
    <t>Maize</t>
  </si>
  <si>
    <t>Rmseed</t>
  </si>
  <si>
    <t>Sugar</t>
  </si>
  <si>
    <t>Soya bean</t>
  </si>
  <si>
    <t>Soya oil</t>
  </si>
  <si>
    <t>Turmeric</t>
  </si>
  <si>
    <t>Wheat</t>
  </si>
  <si>
    <t>OPTIONS</t>
  </si>
  <si>
    <t>E</t>
  </si>
  <si>
    <t xml:space="preserve"> Turnover of options contract is notional value. </t>
  </si>
  <si>
    <t>Cash Reserve Ratio (percent)</t>
  </si>
  <si>
    <t>Repo Rate (percent)</t>
  </si>
  <si>
    <t>Call Money Rate (Weighted Average)</t>
  </si>
  <si>
    <t>91-Day-Treasury Bill (Primary Yield)</t>
  </si>
  <si>
    <t>Base rate (percent)</t>
  </si>
  <si>
    <t>8.85/9.45</t>
  </si>
  <si>
    <t>8.95/9.45</t>
  </si>
  <si>
    <t xml:space="preserve">Term Deposit Rate &gt; 1 year (Maximum) </t>
  </si>
  <si>
    <t>6.25/7.25</t>
  </si>
  <si>
    <t>6.25/7.50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</si>
  <si>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</si>
  <si>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</si>
  <si>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</si>
  <si>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</si>
  <si>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</si>
  <si>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</si>
  <si>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</si>
  <si>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</si>
  <si>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</si>
  <si>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</si>
  <si>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</si>
  <si>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</si>
  <si>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</si>
  <si>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</si>
  <si>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</si>
  <si>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</si>
  <si>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</si>
  <si>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</si>
  <si>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</si>
  <si>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</si>
  <si>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</si>
  <si>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xml:space="preserve">^ cumulative figure value of the respective month for 2018-19 </t>
  </si>
  <si>
    <t>Data for CPI, WPI, IIP and External sector have been complied based on available information.</t>
  </si>
  <si>
    <t>Source :  RBI, FBIL,  MOSPI,  Ministry of Commerce &amp; Industry, Office of the Economic Adviser.</t>
  </si>
  <si>
    <t>Table 65: Number of commodities permitted and traded at exchanges</t>
  </si>
  <si>
    <t xml:space="preserve">Energy </t>
  </si>
  <si>
    <t xml:space="preserve">Contracts floated </t>
  </si>
  <si>
    <t>ICEX</t>
  </si>
  <si>
    <t xml:space="preserve"> </t>
  </si>
  <si>
    <t> 0</t>
  </si>
  <si>
    <t>Source: NCDEX, MCX, ICEX, BSE and NSE</t>
  </si>
  <si>
    <t>Table 66: Trends in commodity indices</t>
  </si>
  <si>
    <t>MCX Comdex</t>
  </si>
  <si>
    <t xml:space="preserve">Table 67: Trends in commodity derivatives at MCX </t>
  </si>
  <si>
    <t>FUTURES</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</si>
  <si>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</si>
  <si>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</si>
  <si>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</si>
  <si>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</si>
  <si>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</si>
  <si>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</si>
  <si>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</si>
  <si>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</si>
  <si>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</si>
  <si>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Na</t>
  </si>
  <si>
    <t xml:space="preserve">following is not for publications (verifications): </t>
  </si>
  <si>
    <t>annual total of TO</t>
  </si>
  <si>
    <t>Agir</t>
  </si>
  <si>
    <t>non-agri</t>
  </si>
  <si>
    <t>futures</t>
  </si>
  <si>
    <t>options</t>
  </si>
  <si>
    <t>total</t>
  </si>
  <si>
    <t>match</t>
  </si>
  <si>
    <t>Monthly totals of TO</t>
  </si>
  <si>
    <t xml:space="preserve">Table 68: Trends in commodity derivatives at NCDEX </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</si>
  <si>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</si>
  <si>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</si>
  <si>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</si>
  <si>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</si>
  <si>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</si>
  <si>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</si>
  <si>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Table 69: Trends in commodity derivatives at ICEX</t>
  </si>
  <si>
    <t>Agriculture Futures</t>
  </si>
  <si>
    <t>Metals Futures</t>
  </si>
  <si>
    <t>Gems and Stones Futures</t>
  </si>
  <si>
    <t xml:space="preserve">Total </t>
  </si>
  <si>
    <t>Volume 
('000 tonnes)</t>
  </si>
  <si>
    <t xml:space="preserve">          ii. Futures trading in steel long contracts commenced from 28th Aug. 2018.</t>
  </si>
  <si>
    <t xml:space="preserve">         iii.  Consequent upon merger of NMCE with ICEX, all  contracts of NMCE are transferred to ICEX w.e.f September 24, 2018.  
               The trading data of NMCE is added to agri. segment of ICEX. </t>
  </si>
  <si>
    <t>Source: ICEX</t>
  </si>
  <si>
    <t xml:space="preserve">Table 70: Trends in commodity derivatives at BSE </t>
  </si>
  <si>
    <t>Metal Futures</t>
  </si>
  <si>
    <t>Bullion Futures</t>
  </si>
  <si>
    <t>Energy Futures</t>
  </si>
  <si>
    <t>Volume ( tonnes)</t>
  </si>
  <si>
    <t>Volume 
( tonnes)</t>
  </si>
  <si>
    <t>Volume
 ( tonnes)</t>
  </si>
  <si>
    <t>Conversion factors: OMAN  Crude Oil (1 Tonne = 7.33Barrels)</t>
  </si>
  <si>
    <t>Table 71: Trends in commodity derivatives at NSE</t>
  </si>
  <si>
    <t>Table 72: Participant-wise percentage share of turnover at MCX, NCDEX, ICEX, BSE and NSE</t>
  </si>
  <si>
    <t xml:space="preserve">Agriculture </t>
  </si>
  <si>
    <t>Non-Agriculture Segment</t>
  </si>
  <si>
    <t>Non-Agriculture</t>
  </si>
  <si>
    <t xml:space="preserve">Client </t>
  </si>
  <si>
    <t xml:space="preserve">Conserquent to merger of NMCE with ICEX w.e.f. September 24, 2018, data pertaiing to NMCE are merged with ICEX </t>
  </si>
  <si>
    <t>Source: MCX, NCDEX, ICEX, BSE and NSE</t>
  </si>
  <si>
    <t>Table 73: Commodity-wise monthly turnover and trading volume at MCX</t>
  </si>
  <si>
    <t>Sr.No</t>
  </si>
  <si>
    <t>A</t>
  </si>
  <si>
    <t>Total for A</t>
  </si>
  <si>
    <t>B</t>
  </si>
  <si>
    <t>Metals other than Bullion</t>
  </si>
  <si>
    <t>Total for  B</t>
  </si>
  <si>
    <t>C</t>
  </si>
  <si>
    <t>Agricultural commodities</t>
  </si>
  <si>
    <t>Total for C</t>
  </si>
  <si>
    <t>D</t>
  </si>
  <si>
    <t>Total for D*</t>
  </si>
  <si>
    <t>Total  of E</t>
  </si>
  <si>
    <t>F</t>
  </si>
  <si>
    <t xml:space="preserve">Metals </t>
  </si>
  <si>
    <t>Total of F</t>
  </si>
  <si>
    <t>G</t>
  </si>
  <si>
    <t>Grand Total (E+F+G)</t>
  </si>
  <si>
    <t xml:space="preserve">            Turnover of options contract is notional value. </t>
  </si>
  <si>
    <t xml:space="preserve">           Conversion factors: Cotton (1 Bale=170 kg), Crude Oil (1 Tonne = 7.33Barrels)</t>
  </si>
  <si>
    <t xml:space="preserve">Table 74: Commodity-wise monthly turnover and trading volume at NCDEX </t>
  </si>
  <si>
    <t xml:space="preserve">Name of Agri. Commodity </t>
  </si>
  <si>
    <t>Value 
( crore)</t>
  </si>
  <si>
    <t>Guarseed</t>
  </si>
  <si>
    <t>Soybean</t>
  </si>
  <si>
    <t>Ref. Soy Oil</t>
  </si>
  <si>
    <t>Table 75: Commodity-wise monthly turnover and trading volume at ICEX, BSE and NSE</t>
  </si>
  <si>
    <t>A.</t>
  </si>
  <si>
    <t xml:space="preserve">Castorseed </t>
  </si>
  <si>
    <t xml:space="preserve">Guarseed </t>
  </si>
  <si>
    <t xml:space="preserve">Isabgulseed </t>
  </si>
  <si>
    <t>Pepper Mini</t>
  </si>
  <si>
    <t xml:space="preserve">Rape/Mustardseed </t>
  </si>
  <si>
    <t xml:space="preserve">Raw Jute </t>
  </si>
  <si>
    <t xml:space="preserve">Rubber </t>
  </si>
  <si>
    <t>Diamond 1 CT</t>
  </si>
  <si>
    <t>Diamond .5 CT</t>
  </si>
  <si>
    <t>Diamond .3 CT</t>
  </si>
  <si>
    <t>Steel</t>
  </si>
  <si>
    <t>Total (ICEX)</t>
  </si>
  <si>
    <t>B.</t>
  </si>
  <si>
    <t>OMAN CRUDE *</t>
  </si>
  <si>
    <t>Gold M</t>
  </si>
  <si>
    <t>Guar Gum</t>
  </si>
  <si>
    <t>Guar Seed</t>
  </si>
  <si>
    <t>Total (BSE)</t>
  </si>
  <si>
    <t>C.</t>
  </si>
  <si>
    <t>Total (NSE)</t>
  </si>
  <si>
    <t>Gold Mini</t>
  </si>
  <si>
    <t>ii) Volume for Diamond 1 CT, 0.5CT &amp; 0.3CT has been given in Carat only (e.g. if volume is 80312.2 i.e. 80312.2 carats) and 1 Carat is equivalent to 100 cents.</t>
  </si>
  <si>
    <t>iii. Conversion factors: OMAN Crude Oil (1 Tonne = 7.33Barrels)</t>
  </si>
  <si>
    <t>Source : ICEX, BSE and NSE</t>
  </si>
  <si>
    <r>
      <t>I. GDP at constant prices (2011-12 prices) for 2018-19 (</t>
    </r>
    <r>
      <rPr>
        <b/>
        <sz val="11"/>
        <color theme="1"/>
        <rFont val="Rupee Foradian"/>
        <family val="2"/>
      </rPr>
      <t>`</t>
    </r>
    <r>
      <rPr>
        <b/>
        <sz val="11"/>
        <color theme="1"/>
        <rFont val="Garamond"/>
        <family val="1"/>
      </rPr>
      <t xml:space="preserve"> crore)#                         </t>
    </r>
  </si>
  <si>
    <t>II. Gross Saving as a percent of Gross national Disposable Income at current market prices in 2017-18!</t>
  </si>
  <si>
    <t>III. Gross Capital Formation as a per cent of GDP at current market prices in 2017-18!</t>
  </si>
  <si>
    <t xml:space="preserve">IV.  Monetary and Banking Indicators                  </t>
  </si>
  <si>
    <t>https://rbi.org.in/Scripts/BS_ViewWss.aspx</t>
  </si>
  <si>
    <r>
      <t>Money Supply (M3)  (</t>
    </r>
    <r>
      <rPr>
        <sz val="11"/>
        <rFont val="Rupee Foradian"/>
        <family val="2"/>
      </rPr>
      <t xml:space="preserve">₹ </t>
    </r>
    <r>
      <rPr>
        <sz val="11"/>
        <rFont val="Garamond"/>
        <family val="1"/>
      </rPr>
      <t>crore)</t>
    </r>
  </si>
  <si>
    <t>T_6</t>
  </si>
  <si>
    <r>
      <t>Aggregate Deposit (</t>
    </r>
    <r>
      <rPr>
        <sz val="11"/>
        <color theme="1"/>
        <rFont val="Rupee Foradian"/>
        <family val="2"/>
      </rPr>
      <t>₹</t>
    </r>
    <r>
      <rPr>
        <sz val="11"/>
        <color theme="1"/>
        <rFont val="Garamond"/>
        <family val="1"/>
      </rPr>
      <t xml:space="preserve"> crore)</t>
    </r>
  </si>
  <si>
    <t>T_4</t>
  </si>
  <si>
    <r>
      <t>Bank Credit (</t>
    </r>
    <r>
      <rPr>
        <sz val="11"/>
        <color theme="1"/>
        <rFont val="Rupee Foradian"/>
        <family val="2"/>
      </rPr>
      <t>₹</t>
    </r>
    <r>
      <rPr>
        <sz val="11"/>
        <color theme="1"/>
        <rFont val="Garamond"/>
        <family val="1"/>
      </rPr>
      <t xml:space="preserve"> crore)</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</si>
  <si>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</si>
  <si>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</si>
  <si>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</si>
  <si>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t>bse from bse file nand nse from website</t>
  </si>
  <si>
    <t>https://www.nseindia.com/products/content/equities/equities/historical_equity_businessgrowth.htm</t>
  </si>
  <si>
    <t>https://www.fpi.nsdl.co.in/web/Reports/Archive.aspx</t>
  </si>
  <si>
    <t>T_2</t>
  </si>
  <si>
    <t>Govt. Market Borrowing-Gross (₹ Billion) 2018-19^</t>
  </si>
  <si>
    <t>http://mospi.nic.in/press-release</t>
  </si>
  <si>
    <t>http://commerce.gov.in/InnerContent.aspx?Type=TradeStatisticsmenu&amp;Id=254</t>
  </si>
  <si>
    <t># Second advance Extimates as per MOSPI press release dated 28.02.2019</t>
  </si>
  <si>
    <t>! First revised estimates of national income, consumption expenditure, saving and capital formation for 2017-18 dated, 31.01.2019</t>
  </si>
  <si>
    <t>Aggregate Deposit, Bank Credit, Money Supply (M3) and Forex Reserve are updated as per available information on WSS dated 01 Mar 2019</t>
  </si>
  <si>
    <t>Table 76: Macro Economic Indicators</t>
  </si>
  <si>
    <t>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</si>
  <si>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xml:space="preserve"> i. Contract size for all diamond futures contract at ICEX is one cent. </t>
  </si>
  <si>
    <t xml:space="preserve"> 1. The total provides category-wise total of any of the three sub-categories viz. public plus rights or issuer-type(listed plus IPOs) or instrument-wise(equities plus CCPS/FCDs plus debt). 2. Amount for public debt issue for last two months is provisional and may get updated 3. All the Issues are compiled from the Prospectus. of Issuer Companies filed with SEBI. 4. * CCPS: Compulsory Convertible Preference Shares, FCDs: Fully Convertible Debentures.</t>
  </si>
  <si>
    <t xml:space="preserve"> 1. The above data includes both "no. of issues" and "Amount" raised on conversion of convertible securities issued on QIP basis. 
2. 2017-18, Includes one issue of Institutional Placement Programme (Issue Size of Rs. 873.92 crore).</t>
  </si>
  <si>
    <t xml:space="preserve"> 1. Beta &amp; R2 are calculated for the trailing 12 months. Beta measures the  degree to which any portfolio of stocks is affected as compared to the effect on the market as a whole.</t>
  </si>
  <si>
    <t xml:space="preserve"> 1. Beta &amp; R2 are calculated for the the trailing 12 months. Beta measures the  degree to which any portfolio of stocks is affected as compared to the effect on the market as a whole.</t>
  </si>
  <si>
    <t xml:space="preserve"> 1. Data for Top N scrips has been compiled for all markets except Auction market &amp; Retail Debt Market and includes series EQ, BE,BT, BL and IL.</t>
  </si>
  <si>
    <t xml:space="preserve"> 1. Trading Value :- For Futures, Value of contract = Traded Qty*Traded Price. 2. For Options, Value of contract = Traded Qty*(Strike Price+Traded Premium)</t>
  </si>
  <si>
    <t xml:space="preserve">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</si>
  <si>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 xml:space="preserve"> 1. With the commencement of FPI Regime from June 1, 2014, the erstwhile FIIs, Sub Accounts and QFIs are merged into a new investor class termed as .Foreign Portfolio Investors (FPIs).. </t>
  </si>
  <si>
    <t xml:space="preserve">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</si>
  <si>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Natural Gas volume is in Trillion BTU and is not included in volume ('000 tonnes) of energy contracts.</t>
  </si>
  <si>
    <t>Natural Gas volume is in trillion BTU and is not included in total volume.</t>
  </si>
  <si>
    <t>i) Consequent to merger of NMCE with ICEX, all the contracts of NMCE are transferred to ICEX w.e.f. September 24, 2018.  Trading data of NMCE
             prior to its merger is added to agri. segment of ICEX.</t>
  </si>
  <si>
    <t xml:space="preserve"> All the issues are compiled from the Prospectus of Issuer Companies filed with SEBI.</t>
  </si>
  <si>
    <t xml:space="preserve"> Advance/Decline is calculated based on the average price methodology.                                                                           </t>
  </si>
  <si>
    <t xml:space="preserve"> Volatility is calculated as the standard deviation of the natural log of daily returns in indices for the respective period. </t>
  </si>
  <si>
    <t xml:space="preserve"> 1. Notional Turnover = (Strike Price + Premium) * Quantity.</t>
  </si>
  <si>
    <t xml:space="preserve"> Data for No. of Schemes also includes serial plans.</t>
  </si>
  <si>
    <t xml:space="preserve"> The categories included in Others are Preference Shares, Mutual Fund Units, Warrants, PTCs, Treasury Bills, CPs, CDs and Government Securities. </t>
  </si>
  <si>
    <t>1. *Value of Assets for which Advisory Services are being given.2.�#Of the above AUM�Rs. 1115282.78 Crore�is contributed by funds from EPFO/PFs.3. The above data is based on the monthly reports received from portfolio managers.</t>
  </si>
  <si>
    <t>30,89,602</t>
  </si>
  <si>
    <t>February 2019*</t>
  </si>
  <si>
    <t>Net Assets as on February 28, 2019*</t>
  </si>
  <si>
    <t xml:space="preserve">Sale </t>
  </si>
  <si>
    <t xml:space="preserve">Open Ended </t>
  </si>
  <si>
    <t>Close Ended</t>
  </si>
  <si>
    <t xml:space="preserve"> * Notes :</t>
  </si>
  <si>
    <t>January 2019*</t>
  </si>
  <si>
    <t>Net Assets as on Jan 31, 2019*</t>
  </si>
  <si>
    <t>April 1, 2018 to February 28, 2019</t>
  </si>
  <si>
    <t>1April - 31 Jan 2019</t>
  </si>
  <si>
    <t>Market Intermediaries / Institutions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</si>
</sst>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43" formatCode="_ * #,##0.00_ ;_ * \-#,##0.00_ ;_ * &quot;-&quot;??_ ;_ @_ "/>
    <numFmt numFmtId="164" formatCode="_(* #,##0.00_);_(* \(#,##0.00\);_(* &quot;-&quot;??_);_(@_)"/>
    <numFmt numFmtId="165" formatCode="#,##0;\-#,##0;0"/>
    <numFmt numFmtId="166" formatCode="0.0"/>
    <numFmt numFmtId="167" formatCode="dd\/mm\/yyyy"/>
    <numFmt numFmtId="168" formatCode="0\,00\,00\,000;\-0\,00\,00\,000;0.0"/>
    <numFmt numFmtId="169" formatCode="0.0;\-0.0;0"/>
    <numFmt numFmtId="170" formatCode="#,##0;\-#,##0;0.0"/>
    <numFmt numFmtId="171" formatCode="0\,00\,000;\-0\,00\,000;0.0"/>
    <numFmt numFmtId="172" formatCode="0\,00\,000;\-0\,00\,000;0"/>
    <numFmt numFmtId="173" formatCode="0;\(0\)"/>
    <numFmt numFmtId="174" formatCode="0\,00\,00\,000;\-0\,00\,00\,000;0"/>
    <numFmt numFmtId="175" formatCode="0.0;\-0.0;0.0"/>
    <numFmt numFmtId="176" formatCode="0.0;0.0;0"/>
    <numFmt numFmtId="177" formatCode="0.0;\(0\);0.0"/>
    <numFmt numFmtId="178" formatCode="0.00;\-0.00;0.0"/>
    <numFmt numFmtId="179" formatCode="#,##0.0;\-#,##0.0;0.0"/>
    <numFmt numFmtId="180" formatCode="#,##0.0"/>
    <numFmt numFmtId="181" formatCode="0;\-0;0"/>
    <numFmt numFmtId="182" formatCode="0\,00\,00\,00\,000;\-0\,00\,00\,00\,000;0"/>
    <numFmt numFmtId="183" formatCode="0.00;\-0.00;0.00"/>
    <numFmt numFmtId="184" formatCode="#,##0.00;\-#,##0.00;0.0"/>
    <numFmt numFmtId="185" formatCode="[$-409]d\-mmm\-yy;@"/>
    <numFmt numFmtId="186" formatCode="[$-409]mmm\-yy;@"/>
    <numFmt numFmtId="187" formatCode="#,##0.00000"/>
    <numFmt numFmtId="188" formatCode="[&gt;=10000000]#.###\,##\,##0;[&gt;=100000]#.###\,##0;##,##0.0"/>
    <numFmt numFmtId="189" formatCode="[&gt;=10000000]#\,##\,##\,##0;[&gt;=100000]#\,##\,##0;##,##0"/>
    <numFmt numFmtId="190" formatCode="_(* #,##0_);_(* \(#,##0\);_(* &quot;-&quot;??_);_(@_)"/>
    <numFmt numFmtId="191" formatCode="[&gt;=10000000]#.##;[&gt;=100000]#;##,##0"/>
    <numFmt numFmtId="192" formatCode="#,##0.0;\-#,##0.0"/>
    <numFmt numFmtId="193" formatCode="[&gt;=10000000]#.#;[&gt;=100000]#;##,##0"/>
    <numFmt numFmtId="194" formatCode="[&gt;=10000000]#.##\,##\,##0;[&gt;=100000]#.##\,##0;##,##0"/>
    <numFmt numFmtId="195" formatCode="[&gt;=10000000]#.0\,##\,##\,##0;[&gt;=100000]#.0\,##\,##0;##,##0.0"/>
    <numFmt numFmtId="196" formatCode="0.0000"/>
    <numFmt numFmtId="197" formatCode="[&gt;=10000000]#.####\,##\,##0;[&gt;=100000]#.####\,##0;##,##0.00"/>
    <numFmt numFmtId="198" formatCode="_(* #,##0.0_);_(* \(#,##0.0\);_(* &quot;-&quot;??_);_(@_)"/>
    <numFmt numFmtId="199" formatCode="0.00000"/>
    <numFmt numFmtId="200" formatCode="[&gt;=10000000]#.00\,##\,##\,##0;[&gt;=100000]#.00\,##\,##0;##,##0.00"/>
    <numFmt numFmtId="201" formatCode="[&gt;9999999]##\,##\,##\,##0;[&gt;99999]##\,##\,##0;##,##0"/>
  </numFmts>
  <fonts count="53" x14ac:knownFonts="1">
    <font>
      <sz val="10"/>
      <name val="Arial"/>
    </font>
    <font>
      <sz val="11"/>
      <color theme="1"/>
      <name val="Calibri"/>
      <family val="2"/>
      <scheme val="minor"/>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0"/>
      <name val="Arial"/>
      <family val="2"/>
    </font>
    <font>
      <sz val="10"/>
      <color theme="1"/>
      <name val="Arial"/>
      <family val="2"/>
    </font>
    <font>
      <b/>
      <sz val="11"/>
      <color rgb="FF000000"/>
      <name val="Garamond"/>
      <family val="1"/>
    </font>
    <font>
      <sz val="10"/>
      <color theme="1"/>
      <name val="Garamond"/>
      <family val="1"/>
    </font>
    <font>
      <b/>
      <sz val="10"/>
      <color theme="1"/>
      <name val="Garamond"/>
      <family val="1"/>
    </font>
    <font>
      <sz val="10"/>
      <name val="Garamond"/>
      <family val="1"/>
    </font>
    <font>
      <b/>
      <sz val="9"/>
      <color theme="1"/>
      <name val="Garamond"/>
      <family val="1"/>
    </font>
    <font>
      <sz val="11"/>
      <color theme="1"/>
      <name val="Garamond"/>
      <family val="1"/>
    </font>
    <font>
      <b/>
      <sz val="10"/>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name val="Times New Roman"/>
      <family val="1"/>
    </font>
    <font>
      <b/>
      <sz val="9"/>
      <name val="Garamond"/>
      <family val="1"/>
    </font>
    <font>
      <sz val="10"/>
      <color rgb="FFFF0000"/>
      <name val="Garamond"/>
      <family val="1"/>
    </font>
    <font>
      <b/>
      <sz val="10"/>
      <color rgb="FF000000"/>
      <name val="Garamond"/>
      <family val="1"/>
    </font>
    <font>
      <sz val="10"/>
      <color rgb="FF000000"/>
      <name val="Garamond"/>
      <family val="1"/>
    </font>
    <font>
      <b/>
      <sz val="11"/>
      <color theme="1"/>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sz val="10"/>
      <color theme="1"/>
      <name val="Times New Roman"/>
      <family val="1"/>
    </font>
    <font>
      <b/>
      <sz val="12"/>
      <color theme="1"/>
      <name val="Garamond"/>
      <family val="1"/>
    </font>
    <font>
      <b/>
      <sz val="11"/>
      <color theme="1"/>
      <name val="Rupee Foradian"/>
      <family val="2"/>
    </font>
    <font>
      <sz val="11"/>
      <name val="Garamond"/>
      <family val="1"/>
    </font>
    <font>
      <sz val="11"/>
      <name val="Rupee Foradian"/>
      <family val="2"/>
    </font>
    <font>
      <sz val="11"/>
      <color theme="1"/>
      <name val="Rupee Foradian"/>
      <family val="2"/>
    </font>
    <font>
      <sz val="8"/>
      <color rgb="FF000000"/>
      <name val="Trebuchet MS"/>
      <family val="2"/>
    </font>
    <font>
      <sz val="8"/>
      <color rgb="FF000000"/>
      <name val="Arial"/>
      <family val="2"/>
    </font>
    <font>
      <u/>
      <sz val="11"/>
      <color theme="10"/>
      <name val="Calibri"/>
      <family val="2"/>
      <scheme val="minor"/>
    </font>
    <font>
      <sz val="11"/>
      <color rgb="FF009933"/>
      <name val="Arial"/>
      <family val="2"/>
    </font>
    <font>
      <sz val="9"/>
      <color theme="1"/>
      <name val="Arial"/>
      <family val="2"/>
    </font>
    <font>
      <sz val="10"/>
      <name val="Arial"/>
    </font>
    <font>
      <b/>
      <sz val="10"/>
      <name val="Arial"/>
      <family val="2"/>
    </font>
    <font>
      <sz val="10"/>
      <color rgb="FFFF0000"/>
      <name val="Arial"/>
      <family val="2"/>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52">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31"/>
      </left>
      <right style="thin">
        <color indexed="8"/>
      </right>
      <top style="thin">
        <color indexed="31"/>
      </top>
      <bottom style="thin">
        <color indexed="31"/>
      </bottom>
      <diagonal/>
    </border>
    <border>
      <left style="thin">
        <color indexed="31"/>
      </left>
      <right style="thin">
        <color indexed="8"/>
      </right>
      <top style="thin">
        <color indexed="31"/>
      </top>
      <bottom style="thin">
        <color indexed="8"/>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indexed="8"/>
      </left>
      <right style="thin">
        <color indexed="31"/>
      </right>
      <top style="thin">
        <color indexed="8"/>
      </top>
      <bottom/>
      <diagonal/>
    </border>
    <border>
      <left style="thin">
        <color indexed="8"/>
      </left>
      <right style="thin">
        <color indexed="31"/>
      </right>
      <top/>
      <bottom style="thin">
        <color indexed="31"/>
      </bottom>
      <diagonal/>
    </border>
    <border>
      <left style="thin">
        <color indexed="31"/>
      </left>
      <right style="thin">
        <color indexed="8"/>
      </right>
      <top style="thin">
        <color indexed="8"/>
      </top>
      <bottom/>
      <diagonal/>
    </border>
    <border>
      <left style="thin">
        <color indexed="31"/>
      </left>
      <right style="thin">
        <color indexed="8"/>
      </right>
      <top/>
      <bottom style="thin">
        <color indexed="3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bottom style="thin">
        <color indexed="64"/>
      </bottom>
      <diagonal/>
    </border>
  </borders>
  <cellStyleXfs count="14">
    <xf numFmtId="0" fontId="0" fillId="0" borderId="0" applyNumberFormat="0" applyFont="0" applyFill="0" applyBorder="0" applyAlignment="0" applyProtection="0"/>
    <xf numFmtId="185" fontId="1" fillId="0" borderId="0"/>
    <xf numFmtId="185" fontId="15" fillId="0" borderId="0" applyNumberFormat="0" applyFill="0" applyBorder="0" applyAlignment="0" applyProtection="0"/>
    <xf numFmtId="185" fontId="15" fillId="0" borderId="0" applyNumberFormat="0" applyFill="0" applyBorder="0" applyAlignment="0" applyProtection="0"/>
    <xf numFmtId="185" fontId="15" fillId="0" borderId="0"/>
    <xf numFmtId="9" fontId="1" fillId="0" borderId="0" applyFont="0" applyFill="0" applyBorder="0" applyAlignment="0" applyProtection="0"/>
    <xf numFmtId="188" fontId="29" fillId="0" borderId="0">
      <alignment horizontal="right"/>
    </xf>
    <xf numFmtId="164" fontId="1" fillId="0" borderId="0" applyFont="0" applyFill="0" applyBorder="0" applyAlignment="0" applyProtection="0"/>
    <xf numFmtId="0" fontId="15" fillId="0" borderId="0"/>
    <xf numFmtId="0" fontId="1" fillId="0" borderId="0"/>
    <xf numFmtId="185" fontId="15" fillId="0" borderId="0" applyNumberFormat="0" applyFill="0" applyBorder="0" applyAlignment="0" applyProtection="0"/>
    <xf numFmtId="185" fontId="15" fillId="0" borderId="0"/>
    <xf numFmtId="0" fontId="47" fillId="0" borderId="0" applyNumberFormat="0" applyFill="0" applyBorder="0" applyAlignment="0" applyProtection="0"/>
    <xf numFmtId="43" fontId="50" fillId="0" borderId="0" applyFont="0" applyFill="0" applyBorder="0" applyAlignment="0" applyProtection="0"/>
  </cellStyleXfs>
  <cellXfs count="600">
    <xf numFmtId="0" fontId="0" fillId="0" borderId="0" xfId="0" applyNumberFormat="1" applyFont="1" applyFill="1" applyBorder="1" applyAlignment="1"/>
    <xf numFmtId="49" fontId="2" fillId="2" borderId="0" xfId="0" applyNumberFormat="1" applyFont="1" applyFill="1" applyAlignment="1">
      <alignment horizontal="left" vertical="top"/>
    </xf>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0" fillId="0" borderId="0" xfId="0"/>
    <xf numFmtId="0" fontId="5" fillId="2" borderId="0" xfId="0" applyFont="1" applyFill="1" applyAlignment="1">
      <alignment vertical="center"/>
    </xf>
    <xf numFmtId="49" fontId="2" fillId="2" borderId="0" xfId="0" applyNumberFormat="1" applyFont="1" applyFill="1" applyAlignment="1">
      <alignment horizontal="left"/>
    </xf>
    <xf numFmtId="49" fontId="2" fillId="2" borderId="1" xfId="0" applyNumberFormat="1" applyFont="1" applyFill="1" applyBorder="1" applyAlignment="1">
      <alignment horizontal="center" vertical="center"/>
    </xf>
    <xf numFmtId="165" fontId="6" fillId="2" borderId="1" xfId="0" applyNumberFormat="1" applyFont="1" applyFill="1" applyBorder="1" applyAlignment="1">
      <alignment horizontal="right"/>
    </xf>
    <xf numFmtId="49" fontId="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2" borderId="1" xfId="0" applyFont="1" applyFill="1" applyBorder="1" applyAlignment="1">
      <alignment horizontal="right"/>
    </xf>
    <xf numFmtId="49" fontId="4" fillId="2" borderId="1" xfId="0" applyNumberFormat="1" applyFont="1" applyFill="1" applyBorder="1" applyAlignment="1">
      <alignment horizontal="left" wrapText="1"/>
    </xf>
    <xf numFmtId="15" fontId="4" fillId="2" borderId="1" xfId="0" applyNumberFormat="1" applyFont="1" applyFill="1" applyBorder="1" applyAlignment="1">
      <alignment horizontal="center"/>
    </xf>
    <xf numFmtId="49" fontId="4" fillId="2" borderId="1" xfId="0" applyNumberFormat="1" applyFont="1" applyFill="1" applyBorder="1" applyAlignment="1">
      <alignment horizontal="center"/>
    </xf>
    <xf numFmtId="166" fontId="4" fillId="2" borderId="1" xfId="0" applyNumberFormat="1" applyFont="1" applyFill="1" applyBorder="1" applyAlignment="1">
      <alignment horizontal="right"/>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167" fontId="4" fillId="2" borderId="1" xfId="0" applyNumberFormat="1" applyFont="1" applyFill="1" applyBorder="1" applyAlignment="1">
      <alignment horizontal="center" vertical="center"/>
    </xf>
    <xf numFmtId="168" fontId="4" fillId="2" borderId="1" xfId="0" applyNumberFormat="1" applyFont="1" applyFill="1" applyBorder="1" applyAlignment="1">
      <alignment horizontal="right" vertical="center"/>
    </xf>
    <xf numFmtId="1" fontId="4" fillId="2" borderId="1" xfId="0" applyNumberFormat="1" applyFont="1" applyFill="1" applyBorder="1" applyAlignment="1">
      <alignment horizontal="right" vertical="center"/>
    </xf>
    <xf numFmtId="169" fontId="4" fillId="2" borderId="1" xfId="0" applyNumberFormat="1" applyFont="1" applyFill="1" applyBorder="1" applyAlignment="1">
      <alignment horizontal="right" vertical="center"/>
    </xf>
    <xf numFmtId="49" fontId="2" fillId="2" borderId="1" xfId="0" applyNumberFormat="1" applyFont="1" applyFill="1" applyBorder="1" applyAlignment="1">
      <alignment horizontal="center" wrapText="1"/>
    </xf>
    <xf numFmtId="49" fontId="2" fillId="2" borderId="1" xfId="0" applyNumberFormat="1" applyFont="1" applyFill="1" applyBorder="1" applyAlignment="1">
      <alignment horizontal="center"/>
    </xf>
    <xf numFmtId="165" fontId="4" fillId="2" borderId="1" xfId="0" applyNumberFormat="1" applyFont="1" applyFill="1" applyBorder="1" applyAlignment="1">
      <alignment horizontal="right"/>
    </xf>
    <xf numFmtId="170" fontId="4" fillId="2" borderId="1" xfId="0" applyNumberFormat="1" applyFont="1" applyFill="1" applyBorder="1" applyAlignment="1">
      <alignment horizontal="right"/>
    </xf>
    <xf numFmtId="171" fontId="4" fillId="2" borderId="1" xfId="0" applyNumberFormat="1" applyFont="1" applyFill="1" applyBorder="1" applyAlignment="1">
      <alignment horizontal="right"/>
    </xf>
    <xf numFmtId="49" fontId="8" fillId="2" borderId="1" xfId="0" applyNumberFormat="1" applyFont="1" applyFill="1" applyBorder="1" applyAlignment="1">
      <alignment horizontal="center" wrapText="1"/>
    </xf>
    <xf numFmtId="49" fontId="6" fillId="2" borderId="1" xfId="0" applyNumberFormat="1" applyFont="1" applyFill="1" applyBorder="1" applyAlignment="1">
      <alignment horizontal="left"/>
    </xf>
    <xf numFmtId="0" fontId="6" fillId="2" borderId="1" xfId="0" applyFont="1" applyFill="1" applyBorder="1" applyAlignment="1">
      <alignment horizontal="right"/>
    </xf>
    <xf numFmtId="170" fontId="6" fillId="2" borderId="1" xfId="0" applyNumberFormat="1" applyFont="1" applyFill="1" applyBorder="1" applyAlignment="1">
      <alignment horizontal="right"/>
    </xf>
    <xf numFmtId="172" fontId="4" fillId="2" borderId="1" xfId="0" applyNumberFormat="1" applyFont="1" applyFill="1" applyBorder="1" applyAlignment="1">
      <alignment horizontal="right"/>
    </xf>
    <xf numFmtId="1" fontId="4" fillId="2" borderId="1" xfId="0" applyNumberFormat="1" applyFont="1" applyFill="1" applyBorder="1" applyAlignment="1">
      <alignment horizontal="right"/>
    </xf>
    <xf numFmtId="3" fontId="4"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wrapText="1"/>
    </xf>
    <xf numFmtId="3" fontId="6" fillId="2" borderId="1" xfId="0" applyNumberFormat="1" applyFont="1" applyFill="1" applyBorder="1" applyAlignment="1">
      <alignment horizontal="right"/>
    </xf>
    <xf numFmtId="49" fontId="4" fillId="2" borderId="1" xfId="0" applyNumberFormat="1" applyFont="1" applyFill="1" applyBorder="1" applyAlignment="1">
      <alignment horizontal="left" vertical="center"/>
    </xf>
    <xf numFmtId="173" fontId="4" fillId="2" borderId="1" xfId="0" applyNumberFormat="1" applyFont="1" applyFill="1" applyBorder="1" applyAlignment="1">
      <alignment horizontal="righ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174"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2" fontId="6"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174" fontId="6" fillId="2" borderId="1" xfId="0" applyNumberFormat="1" applyFont="1" applyFill="1" applyBorder="1" applyAlignment="1">
      <alignment horizontal="right"/>
    </xf>
    <xf numFmtId="175" fontId="4" fillId="2" borderId="1" xfId="0" applyNumberFormat="1" applyFont="1" applyFill="1" applyBorder="1" applyAlignment="1">
      <alignment horizontal="right"/>
    </xf>
    <xf numFmtId="169" fontId="4" fillId="2" borderId="1" xfId="0" applyNumberFormat="1" applyFont="1" applyFill="1" applyBorder="1" applyAlignment="1">
      <alignment horizontal="right"/>
    </xf>
    <xf numFmtId="0" fontId="3" fillId="2" borderId="1" xfId="0" applyFont="1" applyFill="1" applyBorder="1" applyAlignment="1">
      <alignment horizontal="right"/>
    </xf>
    <xf numFmtId="173" fontId="3" fillId="2" borderId="1" xfId="0" applyNumberFormat="1" applyFont="1" applyFill="1" applyBorder="1" applyAlignment="1">
      <alignment horizontal="right"/>
    </xf>
    <xf numFmtId="165" fontId="4" fillId="2" borderId="1" xfId="0" applyNumberFormat="1" applyFont="1" applyFill="1" applyBorder="1" applyAlignment="1">
      <alignment horizontal="right" vertical="center"/>
    </xf>
    <xf numFmtId="172" fontId="4" fillId="2" borderId="1" xfId="0" applyNumberFormat="1" applyFont="1" applyFill="1" applyBorder="1" applyAlignment="1">
      <alignment horizontal="right" vertical="center"/>
    </xf>
    <xf numFmtId="175" fontId="4"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left" vertical="center"/>
    </xf>
    <xf numFmtId="165" fontId="6" fillId="2" borderId="1" xfId="0" applyNumberFormat="1" applyFont="1" applyFill="1" applyBorder="1" applyAlignment="1">
      <alignment horizontal="left" vertical="center"/>
    </xf>
    <xf numFmtId="0" fontId="6" fillId="2" borderId="1" xfId="0" applyFont="1" applyFill="1" applyBorder="1" applyAlignment="1">
      <alignment horizontal="left" vertical="center"/>
    </xf>
    <xf numFmtId="172" fontId="6" fillId="2" borderId="1" xfId="0" applyNumberFormat="1" applyFont="1" applyFill="1" applyBorder="1" applyAlignment="1">
      <alignment horizontal="left" vertical="center"/>
    </xf>
    <xf numFmtId="176" fontId="4" fillId="2" borderId="1" xfId="0" applyNumberFormat="1" applyFont="1" applyFill="1" applyBorder="1" applyAlignment="1">
      <alignment horizontal="right"/>
    </xf>
    <xf numFmtId="177" fontId="4" fillId="2" borderId="1" xfId="0" applyNumberFormat="1" applyFont="1" applyFill="1" applyBorder="1" applyAlignment="1">
      <alignment horizontal="right"/>
    </xf>
    <xf numFmtId="178" fontId="4" fillId="2" borderId="1" xfId="0" applyNumberFormat="1" applyFont="1" applyFill="1" applyBorder="1" applyAlignment="1">
      <alignment horizontal="right"/>
    </xf>
    <xf numFmtId="179" fontId="4" fillId="2" borderId="1" xfId="0" applyNumberFormat="1" applyFont="1" applyFill="1" applyBorder="1" applyAlignment="1">
      <alignment horizontal="right"/>
    </xf>
    <xf numFmtId="180" fontId="4" fillId="2" borderId="1" xfId="0" applyNumberFormat="1" applyFont="1" applyFill="1" applyBorder="1" applyAlignment="1">
      <alignment horizontal="right"/>
    </xf>
    <xf numFmtId="49" fontId="6" fillId="2" borderId="1" xfId="0" applyNumberFormat="1" applyFont="1" applyFill="1" applyBorder="1" applyAlignment="1">
      <alignment horizontal="left" vertical="center" wrapText="1"/>
    </xf>
    <xf numFmtId="166" fontId="6" fillId="2" borderId="1" xfId="0" applyNumberFormat="1" applyFont="1" applyFill="1" applyBorder="1" applyAlignment="1">
      <alignment horizontal="right" vertical="center" wrapText="1"/>
    </xf>
    <xf numFmtId="181" fontId="6" fillId="2" borderId="1" xfId="0" applyNumberFormat="1" applyFont="1" applyFill="1" applyBorder="1" applyAlignment="1">
      <alignment horizontal="right" vertical="center" wrapText="1"/>
    </xf>
    <xf numFmtId="169" fontId="6" fillId="2" borderId="1" xfId="0" applyNumberFormat="1" applyFont="1" applyFill="1" applyBorder="1" applyAlignment="1">
      <alignment horizontal="right" vertical="center" wrapText="1"/>
    </xf>
    <xf numFmtId="182" fontId="4" fillId="2" borderId="1" xfId="0" applyNumberFormat="1" applyFont="1" applyFill="1" applyBorder="1" applyAlignment="1">
      <alignment horizontal="right"/>
    </xf>
    <xf numFmtId="183" fontId="4" fillId="2" borderId="1" xfId="0" applyNumberFormat="1" applyFont="1" applyFill="1" applyBorder="1" applyAlignment="1">
      <alignment horizontal="right"/>
    </xf>
    <xf numFmtId="49" fontId="2" fillId="2" borderId="1" xfId="0" applyNumberFormat="1" applyFont="1" applyFill="1" applyBorder="1" applyAlignment="1">
      <alignment vertical="center"/>
    </xf>
    <xf numFmtId="0" fontId="8"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81" fontId="4" fillId="2" borderId="1" xfId="0" applyNumberFormat="1" applyFont="1" applyFill="1" applyBorder="1" applyAlignment="1">
      <alignment horizontal="right"/>
    </xf>
    <xf numFmtId="184" fontId="4" fillId="2" borderId="1" xfId="0" applyNumberFormat="1" applyFont="1" applyFill="1" applyBorder="1" applyAlignment="1">
      <alignment horizontal="right"/>
    </xf>
    <xf numFmtId="172" fontId="6" fillId="2" borderId="1" xfId="0" applyNumberFormat="1" applyFont="1" applyFill="1" applyBorder="1" applyAlignment="1">
      <alignment horizontal="right" wrapText="1"/>
    </xf>
    <xf numFmtId="49" fontId="13" fillId="2" borderId="4" xfId="0" applyNumberFormat="1" applyFont="1" applyFill="1" applyBorder="1" applyAlignment="1">
      <alignment horizontal="left"/>
    </xf>
    <xf numFmtId="165" fontId="6" fillId="2" borderId="1" xfId="0" applyNumberFormat="1" applyFont="1" applyFill="1" applyBorder="1" applyAlignment="1">
      <alignment horizontal="right" wrapText="1"/>
    </xf>
    <xf numFmtId="49" fontId="13" fillId="2" borderId="5" xfId="0" applyNumberFormat="1" applyFont="1" applyFill="1" applyBorder="1" applyAlignment="1">
      <alignment horizontal="left"/>
    </xf>
    <xf numFmtId="49" fontId="8" fillId="2" borderId="1" xfId="0" applyNumberFormat="1" applyFont="1" applyFill="1" applyBorder="1" applyAlignment="1">
      <alignment horizontal="left"/>
    </xf>
    <xf numFmtId="49" fontId="3" fillId="2" borderId="3" xfId="0" applyNumberFormat="1" applyFont="1" applyFill="1" applyBorder="1" applyAlignment="1">
      <alignment horizontal="center" vertical="center"/>
    </xf>
    <xf numFmtId="49" fontId="12" fillId="2" borderId="7" xfId="0" applyNumberFormat="1" applyFont="1" applyFill="1" applyBorder="1" applyAlignment="1">
      <alignment horizontal="center" vertical="center" wrapText="1"/>
    </xf>
    <xf numFmtId="49" fontId="6" fillId="2" borderId="1" xfId="0" applyNumberFormat="1" applyFont="1" applyFill="1" applyBorder="1" applyAlignment="1">
      <alignment horizontal="left" vertical="top"/>
    </xf>
    <xf numFmtId="49" fontId="14" fillId="2" borderId="1" xfId="0" applyNumberFormat="1" applyFont="1" applyFill="1" applyBorder="1" applyAlignment="1">
      <alignment horizontal="center"/>
    </xf>
    <xf numFmtId="178" fontId="6" fillId="2" borderId="1" xfId="0" applyNumberFormat="1" applyFont="1" applyFill="1" applyBorder="1" applyAlignment="1">
      <alignment horizontal="right"/>
    </xf>
    <xf numFmtId="49" fontId="13" fillId="2" borderId="7" xfId="0" applyNumberFormat="1" applyFont="1" applyFill="1" applyBorder="1" applyAlignment="1">
      <alignment horizontal="left"/>
    </xf>
    <xf numFmtId="49" fontId="13" fillId="2" borderId="8" xfId="0" applyNumberFormat="1" applyFont="1" applyFill="1" applyBorder="1" applyAlignment="1">
      <alignment horizontal="left"/>
    </xf>
    <xf numFmtId="49" fontId="2" fillId="2" borderId="0" xfId="0" applyNumberFormat="1" applyFont="1" applyFill="1" applyAlignment="1">
      <alignment horizontal="left"/>
    </xf>
    <xf numFmtId="0" fontId="17" fillId="0" borderId="0" xfId="1" applyNumberFormat="1" applyFont="1" applyFill="1" applyBorder="1" applyAlignment="1">
      <alignment vertical="center"/>
    </xf>
    <xf numFmtId="0" fontId="18" fillId="0" borderId="0" xfId="1" applyNumberFormat="1" applyFont="1" applyFill="1"/>
    <xf numFmtId="0" fontId="19" fillId="0" borderId="28" xfId="1" applyNumberFormat="1" applyFont="1" applyFill="1" applyBorder="1" applyAlignment="1">
      <alignment horizontal="center" vertical="center"/>
    </xf>
    <xf numFmtId="0" fontId="19" fillId="0" borderId="28" xfId="1" applyNumberFormat="1" applyFont="1" applyFill="1" applyBorder="1" applyAlignment="1">
      <alignment horizontal="center" vertical="center" wrapText="1"/>
    </xf>
    <xf numFmtId="0" fontId="19" fillId="0" borderId="29" xfId="1" applyNumberFormat="1" applyFont="1" applyFill="1" applyBorder="1" applyAlignment="1">
      <alignment horizontal="center" vertical="center"/>
    </xf>
    <xf numFmtId="0" fontId="18" fillId="0" borderId="28" xfId="1" applyNumberFormat="1" applyFont="1" applyFill="1" applyBorder="1"/>
    <xf numFmtId="1" fontId="18" fillId="0" borderId="28" xfId="1" applyNumberFormat="1" applyFont="1" applyFill="1" applyBorder="1"/>
    <xf numFmtId="1" fontId="15" fillId="0" borderId="29" xfId="1" applyNumberFormat="1" applyFont="1" applyFill="1" applyBorder="1" applyAlignment="1">
      <alignment horizontal="right" vertical="center"/>
    </xf>
    <xf numFmtId="1" fontId="18" fillId="0" borderId="0" xfId="1" applyNumberFormat="1" applyFont="1" applyFill="1"/>
    <xf numFmtId="1" fontId="20" fillId="0" borderId="28" xfId="1" applyNumberFormat="1" applyFont="1" applyFill="1" applyBorder="1" applyAlignment="1">
      <alignment horizontal="right" vertical="center"/>
    </xf>
    <xf numFmtId="1" fontId="20" fillId="0" borderId="29" xfId="1" applyNumberFormat="1" applyFont="1" applyFill="1" applyBorder="1" applyAlignment="1">
      <alignment horizontal="right" vertical="center"/>
    </xf>
    <xf numFmtId="1" fontId="18" fillId="0" borderId="29" xfId="1" applyNumberFormat="1" applyFont="1" applyFill="1" applyBorder="1"/>
    <xf numFmtId="0" fontId="18" fillId="4" borderId="28" xfId="1" applyNumberFormat="1" applyFont="1" applyFill="1" applyBorder="1"/>
    <xf numFmtId="0" fontId="18" fillId="4" borderId="31" xfId="1" applyNumberFormat="1" applyFont="1" applyFill="1" applyBorder="1"/>
    <xf numFmtId="1" fontId="20" fillId="0" borderId="31" xfId="1" applyNumberFormat="1" applyFont="1" applyFill="1" applyBorder="1" applyAlignment="1">
      <alignment horizontal="right" vertical="center"/>
    </xf>
    <xf numFmtId="1" fontId="20" fillId="0" borderId="32" xfId="1" applyNumberFormat="1" applyFont="1" applyFill="1" applyBorder="1" applyAlignment="1">
      <alignment horizontal="right" vertical="center"/>
    </xf>
    <xf numFmtId="0" fontId="21" fillId="0" borderId="33" xfId="1" applyNumberFormat="1" applyFont="1" applyFill="1" applyBorder="1"/>
    <xf numFmtId="0" fontId="21" fillId="0" borderId="0" xfId="1" applyNumberFormat="1" applyFont="1" applyFill="1"/>
    <xf numFmtId="0" fontId="19" fillId="0" borderId="0" xfId="1" applyNumberFormat="1" applyFont="1" applyFill="1"/>
    <xf numFmtId="0" fontId="22" fillId="0" borderId="0" xfId="1" applyNumberFormat="1" applyFont="1"/>
    <xf numFmtId="0" fontId="18" fillId="0" borderId="0" xfId="1" applyNumberFormat="1" applyFont="1"/>
    <xf numFmtId="185" fontId="23" fillId="3" borderId="27" xfId="2" applyNumberFormat="1" applyFont="1" applyFill="1" applyBorder="1" applyAlignment="1">
      <alignment horizontal="center" vertical="center" wrapText="1"/>
    </xf>
    <xf numFmtId="185" fontId="23" fillId="3" borderId="28" xfId="3" applyNumberFormat="1" applyFont="1" applyFill="1" applyBorder="1" applyAlignment="1">
      <alignment horizontal="center" vertical="top" wrapText="1"/>
    </xf>
    <xf numFmtId="185" fontId="23" fillId="3" borderId="29" xfId="3" applyNumberFormat="1" applyFont="1" applyFill="1" applyBorder="1" applyAlignment="1">
      <alignment horizontal="center" vertical="top" wrapText="1"/>
    </xf>
    <xf numFmtId="186" fontId="23" fillId="2" borderId="28" xfId="1" applyNumberFormat="1" applyFont="1" applyFill="1" applyBorder="1" applyAlignment="1">
      <alignment horizontal="left"/>
    </xf>
    <xf numFmtId="3" fontId="23" fillId="0" borderId="40" xfId="4" applyNumberFormat="1" applyFont="1" applyFill="1" applyBorder="1" applyAlignment="1">
      <alignment horizontal="right" wrapText="1"/>
    </xf>
    <xf numFmtId="10" fontId="19" fillId="0" borderId="0" xfId="5" applyNumberFormat="1" applyFont="1"/>
    <xf numFmtId="187" fontId="19" fillId="0" borderId="0" xfId="1" applyNumberFormat="1" applyFont="1"/>
    <xf numFmtId="0" fontId="19" fillId="0" borderId="0" xfId="1" applyNumberFormat="1" applyFont="1"/>
    <xf numFmtId="186" fontId="20" fillId="2" borderId="28" xfId="1" applyNumberFormat="1" applyFont="1" applyFill="1" applyBorder="1" applyAlignment="1">
      <alignment horizontal="left"/>
    </xf>
    <xf numFmtId="3" fontId="20" fillId="0" borderId="28" xfId="4" applyNumberFormat="1" applyFont="1" applyFill="1" applyBorder="1" applyAlignment="1">
      <alignment horizontal="right" wrapText="1"/>
    </xf>
    <xf numFmtId="185" fontId="24" fillId="0" borderId="0" xfId="1" applyFont="1"/>
    <xf numFmtId="3" fontId="20" fillId="0" borderId="0" xfId="4" applyNumberFormat="1" applyFont="1" applyFill="1" applyBorder="1" applyAlignment="1">
      <alignment horizontal="right" wrapText="1"/>
    </xf>
    <xf numFmtId="0" fontId="21" fillId="0" borderId="0" xfId="1" applyNumberFormat="1" applyFont="1"/>
    <xf numFmtId="0" fontId="25" fillId="0" borderId="0" xfId="1" applyNumberFormat="1" applyFont="1"/>
    <xf numFmtId="3" fontId="26" fillId="0" borderId="0" xfId="4" applyNumberFormat="1" applyFont="1" applyFill="1" applyBorder="1" applyAlignment="1">
      <alignment horizontal="right" wrapText="1"/>
    </xf>
    <xf numFmtId="0" fontId="18" fillId="0" borderId="0" xfId="1" applyNumberFormat="1" applyFont="1" applyAlignment="1">
      <alignment horizontal="center"/>
    </xf>
    <xf numFmtId="0" fontId="19" fillId="6" borderId="28" xfId="1" applyNumberFormat="1" applyFont="1" applyFill="1" applyBorder="1" applyAlignment="1">
      <alignment vertical="center" wrapText="1"/>
    </xf>
    <xf numFmtId="0" fontId="19" fillId="6" borderId="41" xfId="1" applyNumberFormat="1" applyFont="1" applyFill="1" applyBorder="1" applyAlignment="1">
      <alignment vertical="center" wrapText="1"/>
    </xf>
    <xf numFmtId="0" fontId="19" fillId="6" borderId="28" xfId="1" applyNumberFormat="1" applyFont="1" applyFill="1" applyBorder="1" applyAlignment="1">
      <alignment horizontal="center" vertical="center" wrapText="1"/>
    </xf>
    <xf numFmtId="186" fontId="23" fillId="0" borderId="28" xfId="1" applyNumberFormat="1" applyFont="1" applyFill="1" applyBorder="1" applyAlignment="1">
      <alignment horizontal="left"/>
    </xf>
    <xf numFmtId="189" fontId="30" fillId="0" borderId="28" xfId="6" applyNumberFormat="1" applyFont="1" applyFill="1" applyBorder="1" applyAlignment="1">
      <alignment horizontal="right" vertical="top"/>
    </xf>
    <xf numFmtId="186" fontId="20" fillId="0" borderId="28" xfId="1" applyNumberFormat="1" applyFont="1" applyFill="1" applyBorder="1" applyAlignment="1">
      <alignment horizontal="left"/>
    </xf>
    <xf numFmtId="189" fontId="26" fillId="4" borderId="28" xfId="6" applyNumberFormat="1" applyFont="1" applyFill="1" applyBorder="1" applyAlignment="1">
      <alignment horizontal="right" vertical="top"/>
    </xf>
    <xf numFmtId="190" fontId="26" fillId="4" borderId="28" xfId="7" applyNumberFormat="1" applyFont="1" applyFill="1" applyBorder="1" applyAlignment="1">
      <alignment horizontal="right" vertical="top"/>
    </xf>
    <xf numFmtId="0" fontId="23" fillId="6" borderId="28" xfId="8" applyFont="1" applyFill="1" applyBorder="1" applyAlignment="1">
      <alignment horizontal="center" vertical="center" wrapText="1"/>
    </xf>
    <xf numFmtId="2" fontId="18" fillId="0" borderId="0" xfId="1" applyNumberFormat="1" applyFont="1"/>
    <xf numFmtId="189" fontId="18" fillId="0" borderId="0" xfId="1" applyNumberFormat="1" applyFont="1"/>
    <xf numFmtId="190" fontId="18" fillId="0" borderId="0" xfId="1" applyNumberFormat="1" applyFont="1"/>
    <xf numFmtId="190" fontId="31" fillId="0" borderId="0" xfId="1" applyNumberFormat="1" applyFont="1"/>
    <xf numFmtId="191" fontId="31" fillId="0" borderId="0" xfId="1" applyNumberFormat="1" applyFont="1"/>
    <xf numFmtId="1" fontId="31" fillId="7" borderId="0" xfId="1" applyNumberFormat="1" applyFont="1" applyFill="1"/>
    <xf numFmtId="0" fontId="18" fillId="0" borderId="0" xfId="1" quotePrefix="1" applyNumberFormat="1" applyFont="1"/>
    <xf numFmtId="0" fontId="19" fillId="6" borderId="41" xfId="1" applyNumberFormat="1" applyFont="1" applyFill="1" applyBorder="1" applyAlignment="1">
      <alignment horizontal="center" vertical="center" wrapText="1"/>
    </xf>
    <xf numFmtId="0" fontId="23" fillId="6" borderId="46" xfId="8" applyFont="1" applyFill="1" applyBorder="1" applyAlignment="1">
      <alignment horizontal="center" vertical="center" wrapText="1"/>
    </xf>
    <xf numFmtId="0" fontId="19" fillId="0" borderId="28" xfId="1" applyNumberFormat="1" applyFont="1" applyBorder="1" applyAlignment="1">
      <alignment vertical="center" wrapText="1"/>
    </xf>
    <xf numFmtId="189" fontId="23" fillId="4" borderId="28" xfId="6" applyNumberFormat="1" applyFont="1" applyFill="1" applyBorder="1" applyAlignment="1">
      <alignment horizontal="right" vertical="top"/>
    </xf>
    <xf numFmtId="190" fontId="32" fillId="0" borderId="28" xfId="7" applyNumberFormat="1" applyFont="1" applyFill="1" applyBorder="1" applyAlignment="1">
      <alignment horizontal="center" vertical="center"/>
    </xf>
    <xf numFmtId="190" fontId="32" fillId="0" borderId="28" xfId="7" applyNumberFormat="1" applyFont="1" applyFill="1" applyBorder="1" applyAlignment="1">
      <alignment vertical="center"/>
    </xf>
    <xf numFmtId="192" fontId="32" fillId="0" borderId="28" xfId="7" applyNumberFormat="1" applyFont="1" applyFill="1" applyBorder="1" applyAlignment="1">
      <alignment horizontal="right" vertical="center"/>
    </xf>
    <xf numFmtId="193" fontId="23" fillId="4" borderId="28" xfId="6" applyNumberFormat="1" applyFont="1" applyFill="1" applyBorder="1" applyAlignment="1">
      <alignment horizontal="right" vertical="top"/>
    </xf>
    <xf numFmtId="190" fontId="23" fillId="4" borderId="28" xfId="7" applyNumberFormat="1" applyFont="1" applyFill="1" applyBorder="1" applyAlignment="1">
      <alignment horizontal="right" vertical="top"/>
    </xf>
    <xf numFmtId="189" fontId="23" fillId="0" borderId="28" xfId="6" applyNumberFormat="1" applyFont="1" applyFill="1" applyBorder="1" applyAlignment="1">
      <alignment horizontal="right" vertical="top"/>
    </xf>
    <xf numFmtId="194" fontId="23" fillId="0" borderId="28" xfId="6" applyNumberFormat="1" applyFont="1" applyFill="1" applyBorder="1" applyAlignment="1">
      <alignment horizontal="right" vertical="top"/>
    </xf>
    <xf numFmtId="37" fontId="23" fillId="0" borderId="28" xfId="6" applyNumberFormat="1" applyFont="1" applyFill="1" applyBorder="1" applyAlignment="1">
      <alignment horizontal="right" vertical="top"/>
    </xf>
    <xf numFmtId="189" fontId="20" fillId="0" borderId="28" xfId="6" applyNumberFormat="1" applyFont="1" applyFill="1" applyBorder="1" applyAlignment="1">
      <alignment horizontal="right" vertical="top"/>
    </xf>
    <xf numFmtId="190" fontId="33" fillId="0" borderId="28" xfId="7" applyNumberFormat="1" applyFont="1" applyFill="1" applyBorder="1" applyAlignment="1">
      <alignment horizontal="center" vertical="center"/>
    </xf>
    <xf numFmtId="1" fontId="33" fillId="0" borderId="28" xfId="7" applyNumberFormat="1" applyFont="1" applyFill="1" applyBorder="1" applyAlignment="1">
      <alignment vertical="center"/>
    </xf>
    <xf numFmtId="37" fontId="33" fillId="0" borderId="28" xfId="7" applyNumberFormat="1" applyFont="1" applyFill="1" applyBorder="1" applyAlignment="1">
      <alignment horizontal="right" vertical="center"/>
    </xf>
    <xf numFmtId="194" fontId="20" fillId="0" borderId="28" xfId="6" applyNumberFormat="1" applyFont="1" applyFill="1" applyBorder="1" applyAlignment="1">
      <alignment horizontal="right" vertical="top"/>
    </xf>
    <xf numFmtId="166" fontId="33" fillId="0" borderId="28" xfId="7" applyNumberFormat="1" applyFont="1" applyFill="1" applyBorder="1" applyAlignment="1">
      <alignment vertical="center"/>
    </xf>
    <xf numFmtId="1" fontId="20" fillId="0" borderId="28" xfId="6" applyNumberFormat="1" applyFont="1" applyFill="1" applyBorder="1" applyAlignment="1">
      <alignment horizontal="right" vertical="top"/>
    </xf>
    <xf numFmtId="37" fontId="20" fillId="0" borderId="28" xfId="6" applyNumberFormat="1" applyFont="1" applyFill="1" applyBorder="1" applyAlignment="1">
      <alignment horizontal="right" vertical="top"/>
    </xf>
    <xf numFmtId="195" fontId="20" fillId="0" borderId="28" xfId="6" applyNumberFormat="1" applyFont="1" applyFill="1" applyBorder="1" applyAlignment="1">
      <alignment horizontal="right" vertical="top"/>
    </xf>
    <xf numFmtId="192" fontId="20" fillId="0" borderId="28" xfId="6" applyNumberFormat="1" applyFont="1" applyFill="1" applyBorder="1" applyAlignment="1">
      <alignment horizontal="right" vertical="top"/>
    </xf>
    <xf numFmtId="0" fontId="34" fillId="0" borderId="0" xfId="1" applyNumberFormat="1" applyFont="1"/>
    <xf numFmtId="186" fontId="20" fillId="0" borderId="0" xfId="1" applyNumberFormat="1" applyFont="1" applyFill="1" applyBorder="1" applyAlignment="1">
      <alignment horizontal="left"/>
    </xf>
    <xf numFmtId="0" fontId="19" fillId="0" borderId="0" xfId="1" applyNumberFormat="1" applyFont="1" applyBorder="1" applyAlignment="1">
      <alignment vertical="center" wrapText="1"/>
    </xf>
    <xf numFmtId="189" fontId="19" fillId="0" borderId="0" xfId="1" applyNumberFormat="1" applyFont="1"/>
    <xf numFmtId="196" fontId="18" fillId="0" borderId="0" xfId="1" applyNumberFormat="1" applyFont="1"/>
    <xf numFmtId="185" fontId="21" fillId="0" borderId="0" xfId="1" applyFont="1"/>
    <xf numFmtId="185" fontId="35" fillId="0" borderId="0" xfId="1" applyFont="1"/>
    <xf numFmtId="1" fontId="18" fillId="0" borderId="0" xfId="1" applyNumberFormat="1" applyFont="1"/>
    <xf numFmtId="185" fontId="1" fillId="0" borderId="0" xfId="1"/>
    <xf numFmtId="0" fontId="17" fillId="0" borderId="41" xfId="1" applyNumberFormat="1" applyFont="1" applyFill="1" applyBorder="1" applyAlignment="1">
      <alignment vertical="center"/>
    </xf>
    <xf numFmtId="0" fontId="17" fillId="0" borderId="42" xfId="1" applyNumberFormat="1" applyFont="1" applyFill="1" applyBorder="1" applyAlignment="1">
      <alignment vertical="center"/>
    </xf>
    <xf numFmtId="185" fontId="21" fillId="0" borderId="28" xfId="1" applyFont="1" applyBorder="1" applyAlignment="1">
      <alignment horizontal="right"/>
    </xf>
    <xf numFmtId="189" fontId="20" fillId="4" borderId="28" xfId="6" applyNumberFormat="1" applyFont="1" applyFill="1" applyBorder="1" applyAlignment="1">
      <alignment horizontal="right" vertical="top"/>
    </xf>
    <xf numFmtId="185" fontId="25" fillId="0" borderId="28" xfId="1" applyFont="1" applyBorder="1" applyAlignment="1">
      <alignment horizontal="right"/>
    </xf>
    <xf numFmtId="194" fontId="20" fillId="4" borderId="28" xfId="6" applyNumberFormat="1" applyFont="1" applyFill="1" applyBorder="1" applyAlignment="1">
      <alignment horizontal="right" vertical="top"/>
    </xf>
    <xf numFmtId="190" fontId="20" fillId="4" borderId="28" xfId="7" applyNumberFormat="1" applyFont="1" applyFill="1" applyBorder="1" applyAlignment="1">
      <alignment horizontal="right" vertical="top"/>
    </xf>
    <xf numFmtId="3" fontId="22" fillId="0" borderId="28" xfId="1" applyNumberFormat="1" applyFont="1" applyBorder="1" applyAlignment="1">
      <alignment vertical="center" wrapText="1"/>
    </xf>
    <xf numFmtId="1" fontId="22" fillId="0" borderId="28" xfId="1" applyNumberFormat="1" applyFont="1" applyBorder="1" applyAlignment="1">
      <alignment vertical="center" wrapText="1"/>
    </xf>
    <xf numFmtId="17" fontId="20" fillId="0" borderId="0" xfId="8" applyNumberFormat="1" applyFont="1" applyBorder="1" applyAlignment="1">
      <alignment horizontal="left"/>
    </xf>
    <xf numFmtId="0" fontId="19" fillId="0" borderId="0" xfId="1" applyNumberFormat="1" applyFont="1" applyBorder="1"/>
    <xf numFmtId="2" fontId="1" fillId="0" borderId="0" xfId="1" applyNumberFormat="1"/>
    <xf numFmtId="3" fontId="34" fillId="0" borderId="0" xfId="1" applyNumberFormat="1" applyFont="1" applyBorder="1" applyAlignment="1">
      <alignment vertical="center" wrapText="1"/>
    </xf>
    <xf numFmtId="17" fontId="23" fillId="0" borderId="0" xfId="8" applyNumberFormat="1" applyFont="1" applyBorder="1" applyAlignment="1">
      <alignment horizontal="left"/>
    </xf>
    <xf numFmtId="185" fontId="22" fillId="0" borderId="0" xfId="1" applyFont="1"/>
    <xf numFmtId="197" fontId="23" fillId="4" borderId="28" xfId="6" applyNumberFormat="1" applyFont="1" applyFill="1" applyBorder="1" applyAlignment="1">
      <alignment horizontal="right" vertical="top"/>
    </xf>
    <xf numFmtId="197" fontId="20" fillId="4" borderId="28" xfId="6" applyNumberFormat="1" applyFont="1" applyFill="1" applyBorder="1" applyAlignment="1">
      <alignment horizontal="right" vertical="top"/>
    </xf>
    <xf numFmtId="189" fontId="23" fillId="0" borderId="0" xfId="6" applyNumberFormat="1" applyFont="1" applyFill="1" applyBorder="1" applyAlignment="1">
      <alignment horizontal="right" vertical="top"/>
    </xf>
    <xf numFmtId="189" fontId="23" fillId="4" borderId="0" xfId="6" applyNumberFormat="1" applyFont="1" applyFill="1" applyBorder="1" applyAlignment="1">
      <alignment horizontal="right" vertical="top"/>
    </xf>
    <xf numFmtId="189" fontId="20" fillId="4" borderId="0" xfId="6" applyNumberFormat="1" applyFont="1" applyFill="1" applyBorder="1" applyAlignment="1">
      <alignment horizontal="right" vertical="top"/>
    </xf>
    <xf numFmtId="188" fontId="20" fillId="4" borderId="0" xfId="6" applyNumberFormat="1" applyFont="1" applyFill="1" applyBorder="1" applyAlignment="1">
      <alignment horizontal="right" vertical="top"/>
    </xf>
    <xf numFmtId="196" fontId="1" fillId="0" borderId="0" xfId="1" applyNumberFormat="1"/>
    <xf numFmtId="0" fontId="17" fillId="4" borderId="0" xfId="1" applyNumberFormat="1" applyFont="1" applyFill="1" applyBorder="1" applyAlignment="1">
      <alignment horizontal="left" vertical="center"/>
    </xf>
    <xf numFmtId="0" fontId="22" fillId="0" borderId="0" xfId="1" applyNumberFormat="1" applyFont="1" applyAlignment="1">
      <alignment horizontal="left"/>
    </xf>
    <xf numFmtId="0" fontId="32" fillId="6" borderId="28" xfId="1" applyNumberFormat="1" applyFont="1" applyFill="1" applyBorder="1" applyAlignment="1">
      <alignment horizontal="center" vertical="center"/>
    </xf>
    <xf numFmtId="1" fontId="19" fillId="0" borderId="28" xfId="1" applyNumberFormat="1" applyFont="1" applyFill="1" applyBorder="1"/>
    <xf numFmtId="1" fontId="23" fillId="4" borderId="28" xfId="6" applyNumberFormat="1" applyFont="1" applyFill="1" applyBorder="1" applyAlignment="1">
      <alignment horizontal="right" vertical="top"/>
    </xf>
    <xf numFmtId="166" fontId="23" fillId="4" borderId="28" xfId="6" applyNumberFormat="1" applyFont="1" applyFill="1" applyBorder="1" applyAlignment="1">
      <alignment horizontal="right" vertical="top"/>
    </xf>
    <xf numFmtId="186" fontId="20" fillId="0" borderId="28" xfId="9" applyNumberFormat="1" applyFont="1" applyFill="1" applyBorder="1" applyAlignment="1">
      <alignment horizontal="left"/>
    </xf>
    <xf numFmtId="1" fontId="18" fillId="4" borderId="28" xfId="1" applyNumberFormat="1" applyFont="1" applyFill="1" applyBorder="1"/>
    <xf numFmtId="1" fontId="20" fillId="4" borderId="28" xfId="6" applyNumberFormat="1" applyFont="1" applyFill="1" applyBorder="1" applyAlignment="1">
      <alignment horizontal="right" vertical="top"/>
    </xf>
    <xf numFmtId="166" fontId="20" fillId="4" borderId="28" xfId="6" applyNumberFormat="1" applyFont="1" applyFill="1" applyBorder="1" applyAlignment="1">
      <alignment horizontal="right" vertical="top"/>
    </xf>
    <xf numFmtId="166" fontId="18" fillId="4" borderId="28" xfId="1" applyNumberFormat="1" applyFont="1" applyFill="1" applyBorder="1"/>
    <xf numFmtId="166" fontId="18" fillId="0" borderId="0" xfId="1" applyNumberFormat="1" applyFont="1" applyBorder="1"/>
    <xf numFmtId="185" fontId="32" fillId="6" borderId="28" xfId="1" applyFont="1" applyFill="1" applyBorder="1" applyAlignment="1">
      <alignment horizontal="center" vertical="center" wrapText="1"/>
    </xf>
    <xf numFmtId="185" fontId="23" fillId="0" borderId="28" xfId="1" applyFont="1" applyFill="1" applyBorder="1" applyAlignment="1">
      <alignment horizontal="center" vertical="center" wrapText="1"/>
    </xf>
    <xf numFmtId="190" fontId="20" fillId="0" borderId="28" xfId="1" applyNumberFormat="1" applyFont="1" applyFill="1" applyBorder="1" applyAlignment="1">
      <alignment horizontal="center" vertical="center" wrapText="1"/>
    </xf>
    <xf numFmtId="190" fontId="20" fillId="0" borderId="28" xfId="1" applyNumberFormat="1" applyFont="1" applyFill="1" applyBorder="1" applyAlignment="1">
      <alignment horizontal="left" vertical="top" wrapText="1"/>
    </xf>
    <xf numFmtId="190" fontId="18" fillId="0" borderId="28" xfId="7" applyNumberFormat="1" applyFont="1" applyFill="1" applyBorder="1" applyAlignment="1">
      <alignment horizontal="right"/>
    </xf>
    <xf numFmtId="198" fontId="18" fillId="0" borderId="28" xfId="7" applyNumberFormat="1" applyFont="1" applyFill="1" applyBorder="1" applyAlignment="1">
      <alignment horizontal="right"/>
    </xf>
    <xf numFmtId="198" fontId="20" fillId="0" borderId="28" xfId="7" applyNumberFormat="1" applyFont="1" applyFill="1" applyBorder="1" applyAlignment="1">
      <alignment horizontal="right"/>
    </xf>
    <xf numFmtId="190" fontId="20" fillId="0" borderId="28" xfId="7" applyNumberFormat="1" applyFont="1" applyFill="1" applyBorder="1" applyAlignment="1">
      <alignment horizontal="right"/>
    </xf>
    <xf numFmtId="198" fontId="20" fillId="0" borderId="40" xfId="7" applyNumberFormat="1" applyFont="1" applyFill="1" applyBorder="1" applyAlignment="1">
      <alignment horizontal="right" vertical="top"/>
    </xf>
    <xf numFmtId="166" fontId="35" fillId="0" borderId="0" xfId="1" applyNumberFormat="1" applyFont="1"/>
    <xf numFmtId="190" fontId="20" fillId="0" borderId="28" xfId="7" applyNumberFormat="1" applyFont="1" applyFill="1" applyBorder="1" applyAlignment="1">
      <alignment horizontal="right" vertical="top"/>
    </xf>
    <xf numFmtId="190" fontId="23" fillId="0" borderId="28" xfId="1" applyNumberFormat="1" applyFont="1" applyFill="1" applyBorder="1" applyAlignment="1">
      <alignment horizontal="left" vertical="top" wrapText="1"/>
    </xf>
    <xf numFmtId="190" fontId="19" fillId="0" borderId="28" xfId="7" applyNumberFormat="1" applyFont="1" applyFill="1" applyBorder="1" applyAlignment="1">
      <alignment horizontal="right"/>
    </xf>
    <xf numFmtId="190" fontId="23" fillId="0" borderId="28" xfId="1" applyNumberFormat="1" applyFont="1" applyFill="1" applyBorder="1" applyAlignment="1">
      <alignment horizontal="center" vertical="center" wrapText="1"/>
    </xf>
    <xf numFmtId="1" fontId="35" fillId="0" borderId="0" xfId="1" applyNumberFormat="1" applyFont="1"/>
    <xf numFmtId="198" fontId="20" fillId="4" borderId="28" xfId="7" applyNumberFormat="1" applyFont="1" applyFill="1" applyBorder="1" applyAlignment="1">
      <alignment horizontal="right" vertical="top"/>
    </xf>
    <xf numFmtId="198" fontId="20" fillId="0" borderId="28" xfId="7" applyNumberFormat="1" applyFont="1" applyFill="1" applyBorder="1" applyAlignment="1">
      <alignment horizontal="right" vertical="top"/>
    </xf>
    <xf numFmtId="198" fontId="18" fillId="0" borderId="28" xfId="7" quotePrefix="1" applyNumberFormat="1" applyFont="1" applyFill="1" applyBorder="1" applyAlignment="1">
      <alignment horizontal="right"/>
    </xf>
    <xf numFmtId="190" fontId="18" fillId="0" borderId="28" xfId="7" quotePrefix="1" applyNumberFormat="1" applyFont="1" applyFill="1" applyBorder="1" applyAlignment="1">
      <alignment horizontal="right"/>
    </xf>
    <xf numFmtId="190" fontId="20" fillId="4" borderId="28" xfId="7" applyNumberFormat="1" applyFont="1" applyFill="1" applyBorder="1" applyAlignment="1">
      <alignment vertical="center"/>
    </xf>
    <xf numFmtId="190" fontId="18" fillId="0" borderId="28" xfId="7" applyNumberFormat="1" applyFont="1" applyFill="1" applyBorder="1" applyAlignment="1">
      <alignment vertical="center"/>
    </xf>
    <xf numFmtId="190" fontId="20" fillId="0" borderId="28" xfId="7" applyNumberFormat="1" applyFont="1" applyFill="1" applyBorder="1" applyAlignment="1">
      <alignment vertical="center"/>
    </xf>
    <xf numFmtId="2" fontId="35" fillId="0" borderId="0" xfId="1" applyNumberFormat="1" applyFont="1"/>
    <xf numFmtId="185" fontId="23" fillId="0" borderId="28" xfId="1" applyFont="1" applyFill="1" applyBorder="1" applyAlignment="1">
      <alignment horizontal="center" vertical="top" wrapText="1"/>
    </xf>
    <xf numFmtId="198" fontId="20" fillId="0" borderId="28" xfId="1" applyNumberFormat="1" applyFont="1" applyFill="1" applyBorder="1" applyAlignment="1">
      <alignment horizontal="center" vertical="center" wrapText="1"/>
    </xf>
    <xf numFmtId="198" fontId="29" fillId="0" borderId="28" xfId="1" applyNumberFormat="1" applyFont="1" applyFill="1" applyBorder="1" applyAlignment="1">
      <alignment horizontal="left" vertical="top" wrapText="1"/>
    </xf>
    <xf numFmtId="166" fontId="18" fillId="0" borderId="28" xfId="7" applyNumberFormat="1" applyFont="1" applyFill="1" applyBorder="1" applyAlignment="1">
      <alignment horizontal="right"/>
    </xf>
    <xf numFmtId="198" fontId="23" fillId="0" borderId="28" xfId="1" applyNumberFormat="1" applyFont="1" applyFill="1" applyBorder="1" applyAlignment="1">
      <alignment horizontal="center" vertical="top" wrapText="1"/>
    </xf>
    <xf numFmtId="198" fontId="23" fillId="0" borderId="28" xfId="1" applyNumberFormat="1" applyFont="1" applyFill="1" applyBorder="1" applyAlignment="1">
      <alignment horizontal="left" vertical="top" wrapText="1"/>
    </xf>
    <xf numFmtId="198" fontId="23" fillId="4" borderId="28" xfId="7" applyNumberFormat="1" applyFont="1" applyFill="1" applyBorder="1" applyAlignment="1">
      <alignment horizontal="right" vertical="top"/>
    </xf>
    <xf numFmtId="198" fontId="20" fillId="0" borderId="28" xfId="1" applyNumberFormat="1" applyFont="1" applyFill="1" applyBorder="1" applyAlignment="1">
      <alignment horizontal="left" vertical="top" wrapText="1"/>
    </xf>
    <xf numFmtId="198" fontId="19" fillId="0" borderId="28" xfId="7" quotePrefix="1" applyNumberFormat="1" applyFont="1" applyFill="1" applyBorder="1" applyAlignment="1">
      <alignment horizontal="right"/>
    </xf>
    <xf numFmtId="185" fontId="18" fillId="0" borderId="0" xfId="1" applyFont="1" applyFill="1"/>
    <xf numFmtId="185" fontId="23" fillId="0" borderId="0" xfId="1" applyFont="1" applyFill="1" applyBorder="1" applyAlignment="1">
      <alignment horizontal="center" vertical="top" wrapText="1"/>
    </xf>
    <xf numFmtId="198" fontId="23" fillId="0" borderId="0" xfId="7" applyNumberFormat="1" applyFont="1" applyFill="1" applyBorder="1" applyAlignment="1">
      <alignment horizontal="right" vertical="top"/>
    </xf>
    <xf numFmtId="185" fontId="35" fillId="0" borderId="0" xfId="1" applyFont="1" applyFill="1"/>
    <xf numFmtId="2" fontId="37" fillId="7" borderId="0" xfId="1" applyNumberFormat="1" applyFont="1" applyFill="1"/>
    <xf numFmtId="2" fontId="38" fillId="0" borderId="0" xfId="1" applyNumberFormat="1" applyFont="1" applyFill="1"/>
    <xf numFmtId="185" fontId="35" fillId="7" borderId="0" xfId="1" applyFont="1" applyFill="1"/>
    <xf numFmtId="190" fontId="20" fillId="0" borderId="28" xfId="1" applyNumberFormat="1" applyFont="1" applyFill="1" applyBorder="1" applyAlignment="1">
      <alignment horizontal="center" vertical="top" wrapText="1"/>
    </xf>
    <xf numFmtId="164" fontId="18" fillId="0" borderId="28" xfId="7" applyNumberFormat="1" applyFont="1" applyFill="1" applyBorder="1" applyAlignment="1">
      <alignment horizontal="right"/>
    </xf>
    <xf numFmtId="166" fontId="35" fillId="0" borderId="0" xfId="1" applyNumberFormat="1" applyFont="1" applyFill="1"/>
    <xf numFmtId="190" fontId="35" fillId="0" borderId="28" xfId="7" applyNumberFormat="1" applyFont="1" applyFill="1" applyBorder="1" applyAlignment="1">
      <alignment horizontal="right"/>
    </xf>
    <xf numFmtId="190" fontId="35" fillId="0" borderId="28" xfId="1" applyNumberFormat="1" applyFont="1" applyFill="1" applyBorder="1"/>
    <xf numFmtId="190" fontId="20" fillId="0" borderId="28" xfId="1" applyNumberFormat="1" applyFont="1" applyFill="1" applyBorder="1" applyAlignment="1">
      <alignment horizontal="right" vertical="top" wrapText="1"/>
    </xf>
    <xf numFmtId="166" fontId="19" fillId="0" borderId="28" xfId="7" applyNumberFormat="1" applyFont="1" applyFill="1" applyBorder="1" applyAlignment="1">
      <alignment horizontal="right"/>
    </xf>
    <xf numFmtId="185" fontId="19" fillId="0" borderId="0" xfId="1" applyFont="1" applyFill="1"/>
    <xf numFmtId="185" fontId="39" fillId="0" borderId="0" xfId="1" applyFont="1" applyFill="1"/>
    <xf numFmtId="0" fontId="17" fillId="0" borderId="34" xfId="1" applyNumberFormat="1" applyFont="1" applyFill="1" applyBorder="1" applyAlignment="1">
      <alignment vertical="center"/>
    </xf>
    <xf numFmtId="185" fontId="32" fillId="0" borderId="41" xfId="1" applyFont="1" applyFill="1" applyBorder="1" applyAlignment="1">
      <alignment horizontal="center" vertical="center" wrapText="1"/>
    </xf>
    <xf numFmtId="0" fontId="19" fillId="0" borderId="41" xfId="1" applyNumberFormat="1" applyFont="1" applyFill="1" applyBorder="1" applyAlignment="1">
      <alignment horizontal="center" vertical="center" wrapText="1"/>
    </xf>
    <xf numFmtId="185" fontId="32" fillId="0" borderId="45" xfId="1" applyFont="1" applyFill="1" applyBorder="1" applyAlignment="1">
      <alignment horizontal="right" vertical="top"/>
    </xf>
    <xf numFmtId="198" fontId="33" fillId="0" borderId="50" xfId="1" applyNumberFormat="1" applyFont="1" applyFill="1" applyBorder="1" applyAlignment="1">
      <alignment horizontal="left" vertical="top"/>
    </xf>
    <xf numFmtId="0" fontId="33" fillId="0" borderId="50" xfId="1" applyNumberFormat="1" applyFont="1" applyFill="1" applyBorder="1" applyAlignment="1">
      <alignment horizontal="right" vertical="top"/>
    </xf>
    <xf numFmtId="164" fontId="20" fillId="0" borderId="28" xfId="7" applyNumberFormat="1" applyFont="1" applyFill="1" applyBorder="1" applyAlignment="1">
      <alignment horizontal="right" vertical="top"/>
    </xf>
    <xf numFmtId="198" fontId="33" fillId="0" borderId="34" xfId="1" applyNumberFormat="1" applyFont="1" applyFill="1" applyBorder="1" applyAlignment="1">
      <alignment horizontal="left" vertical="top"/>
    </xf>
    <xf numFmtId="1" fontId="33" fillId="0" borderId="50" xfId="1" applyNumberFormat="1" applyFont="1" applyFill="1" applyBorder="1" applyAlignment="1">
      <alignment horizontal="right" vertical="top"/>
    </xf>
    <xf numFmtId="198" fontId="32" fillId="0" borderId="34" xfId="1" applyNumberFormat="1" applyFont="1" applyFill="1" applyBorder="1" applyAlignment="1">
      <alignment horizontal="left" vertical="top"/>
    </xf>
    <xf numFmtId="190" fontId="23" fillId="0" borderId="28" xfId="7" applyNumberFormat="1" applyFont="1" applyFill="1" applyBorder="1" applyAlignment="1">
      <alignment horizontal="right" vertical="top"/>
    </xf>
    <xf numFmtId="0" fontId="35" fillId="0" borderId="0" xfId="1" applyNumberFormat="1" applyFont="1" applyFill="1"/>
    <xf numFmtId="185" fontId="32" fillId="0" borderId="50" xfId="1" applyFont="1" applyFill="1" applyBorder="1" applyAlignment="1">
      <alignment horizontal="right" vertical="top"/>
    </xf>
    <xf numFmtId="198" fontId="33" fillId="0" borderId="28" xfId="1" applyNumberFormat="1" applyFont="1" applyFill="1" applyBorder="1" applyAlignment="1">
      <alignment horizontal="left" vertical="top"/>
    </xf>
    <xf numFmtId="198" fontId="33" fillId="0" borderId="28" xfId="1" applyNumberFormat="1" applyFont="1" applyFill="1" applyBorder="1" applyAlignment="1">
      <alignment horizontal="right" vertical="top"/>
    </xf>
    <xf numFmtId="190" fontId="33" fillId="0" borderId="34" xfId="1" applyNumberFormat="1" applyFont="1" applyFill="1" applyBorder="1" applyAlignment="1">
      <alignment horizontal="right" vertical="top"/>
    </xf>
    <xf numFmtId="190" fontId="33" fillId="0" borderId="50" xfId="1" applyNumberFormat="1" applyFont="1" applyFill="1" applyBorder="1" applyAlignment="1">
      <alignment horizontal="right" vertical="top"/>
    </xf>
    <xf numFmtId="164" fontId="33" fillId="0" borderId="50" xfId="1" applyNumberFormat="1" applyFont="1" applyFill="1" applyBorder="1" applyAlignment="1">
      <alignment horizontal="right" vertical="top"/>
    </xf>
    <xf numFmtId="190" fontId="33" fillId="0" borderId="28" xfId="1" applyNumberFormat="1" applyFont="1" applyFill="1" applyBorder="1" applyAlignment="1">
      <alignment horizontal="right" vertical="top"/>
    </xf>
    <xf numFmtId="2" fontId="18" fillId="0" borderId="28" xfId="7" quotePrefix="1" applyNumberFormat="1" applyFont="1" applyFill="1" applyBorder="1" applyAlignment="1">
      <alignment horizontal="right"/>
    </xf>
    <xf numFmtId="1" fontId="18" fillId="0" borderId="40" xfId="7" quotePrefix="1" applyNumberFormat="1" applyFont="1" applyFill="1" applyBorder="1" applyAlignment="1">
      <alignment horizontal="right"/>
    </xf>
    <xf numFmtId="1" fontId="18" fillId="0" borderId="34" xfId="7" quotePrefix="1" applyNumberFormat="1" applyFont="1" applyFill="1" applyBorder="1" applyAlignment="1">
      <alignment horizontal="right"/>
    </xf>
    <xf numFmtId="2" fontId="33" fillId="0" borderId="50" xfId="1" applyNumberFormat="1" applyFont="1" applyFill="1" applyBorder="1" applyAlignment="1">
      <alignment horizontal="right" vertical="top"/>
    </xf>
    <xf numFmtId="166" fontId="33" fillId="0" borderId="50" xfId="1" applyNumberFormat="1" applyFont="1" applyFill="1" applyBorder="1" applyAlignment="1">
      <alignment horizontal="right" vertical="top"/>
    </xf>
    <xf numFmtId="198" fontId="32" fillId="0" borderId="50" xfId="1" applyNumberFormat="1" applyFont="1" applyFill="1" applyBorder="1" applyAlignment="1">
      <alignment horizontal="left" vertical="top"/>
    </xf>
    <xf numFmtId="190" fontId="32" fillId="0" borderId="50" xfId="1" applyNumberFormat="1" applyFont="1" applyFill="1" applyBorder="1" applyAlignment="1">
      <alignment horizontal="right" vertical="top"/>
    </xf>
    <xf numFmtId="164" fontId="32" fillId="0" borderId="50" xfId="1" applyNumberFormat="1" applyFont="1" applyFill="1" applyBorder="1" applyAlignment="1">
      <alignment horizontal="right" vertical="top"/>
    </xf>
    <xf numFmtId="185" fontId="33" fillId="0" borderId="28" xfId="1" applyFont="1" applyFill="1" applyBorder="1" applyAlignment="1">
      <alignment horizontal="left" vertical="top"/>
    </xf>
    <xf numFmtId="198" fontId="20" fillId="0" borderId="28" xfId="1" applyNumberFormat="1" applyFont="1" applyFill="1" applyBorder="1" applyAlignment="1">
      <alignment horizontal="right" vertical="top" wrapText="1"/>
    </xf>
    <xf numFmtId="198" fontId="23" fillId="0" borderId="28" xfId="10" applyNumberFormat="1" applyFont="1" applyFill="1" applyBorder="1" applyAlignment="1" applyProtection="1"/>
    <xf numFmtId="198" fontId="23" fillId="0" borderId="28" xfId="7" applyNumberFormat="1" applyFont="1" applyFill="1" applyBorder="1" applyAlignment="1">
      <alignment horizontal="right" vertical="top"/>
    </xf>
    <xf numFmtId="0" fontId="18" fillId="0" borderId="0" xfId="1" applyNumberFormat="1" applyFont="1" applyFill="1" applyAlignment="1">
      <alignment horizontal="left" wrapText="1"/>
    </xf>
    <xf numFmtId="198" fontId="33" fillId="0" borderId="50" xfId="1" applyNumberFormat="1" applyFont="1" applyFill="1" applyBorder="1" applyAlignment="1">
      <alignment horizontal="right" vertical="top"/>
    </xf>
    <xf numFmtId="199" fontId="35" fillId="0" borderId="0" xfId="1" applyNumberFormat="1" applyFont="1" applyFill="1"/>
    <xf numFmtId="196" fontId="35" fillId="0" borderId="0" xfId="1" applyNumberFormat="1" applyFont="1" applyFill="1"/>
    <xf numFmtId="185" fontId="40" fillId="0" borderId="45" xfId="4" applyFont="1" applyBorder="1"/>
    <xf numFmtId="185" fontId="40" fillId="0" borderId="47" xfId="4" applyFont="1" applyBorder="1"/>
    <xf numFmtId="185" fontId="22" fillId="0" borderId="47" xfId="4" applyFont="1" applyBorder="1"/>
    <xf numFmtId="185" fontId="22" fillId="0" borderId="43" xfId="4" applyFont="1" applyBorder="1"/>
    <xf numFmtId="185" fontId="22" fillId="0" borderId="44" xfId="4" applyFont="1" applyBorder="1"/>
    <xf numFmtId="185" fontId="16" fillId="0" borderId="0" xfId="4" applyFont="1"/>
    <xf numFmtId="0" fontId="34" fillId="8" borderId="41" xfId="0" applyFont="1" applyFill="1" applyBorder="1" applyAlignment="1">
      <alignment vertical="center"/>
    </xf>
    <xf numFmtId="186" fontId="34" fillId="8" borderId="41" xfId="4" applyNumberFormat="1" applyFont="1" applyFill="1" applyBorder="1" applyAlignment="1">
      <alignment horizontal="center" vertical="top" wrapText="1"/>
    </xf>
    <xf numFmtId="185" fontId="22" fillId="0" borderId="42" xfId="4" applyFont="1" applyFill="1" applyBorder="1" applyAlignment="1">
      <alignment horizontal="justify" vertical="top" wrapText="1"/>
    </xf>
    <xf numFmtId="166" fontId="22" fillId="0" borderId="41" xfId="11" applyNumberFormat="1" applyFont="1" applyFill="1" applyBorder="1" applyAlignment="1">
      <alignment horizontal="right" wrapText="1"/>
    </xf>
    <xf numFmtId="185" fontId="22" fillId="0" borderId="33" xfId="4" applyFont="1" applyFill="1" applyBorder="1" applyAlignment="1">
      <alignment horizontal="justify" vertical="top" wrapText="1"/>
    </xf>
    <xf numFmtId="2" fontId="22" fillId="0" borderId="48" xfId="11" applyNumberFormat="1" applyFont="1" applyFill="1" applyBorder="1" applyAlignment="1">
      <alignment horizontal="right" wrapText="1"/>
    </xf>
    <xf numFmtId="185" fontId="42" fillId="0" borderId="48" xfId="4" applyFont="1" applyFill="1" applyBorder="1" applyAlignment="1">
      <alignment horizontal="justify" vertical="top" wrapText="1"/>
    </xf>
    <xf numFmtId="189" fontId="22" fillId="0" borderId="48" xfId="11" applyNumberFormat="1" applyFont="1" applyFill="1" applyBorder="1" applyAlignment="1">
      <alignment horizontal="right" wrapText="1"/>
    </xf>
    <xf numFmtId="189" fontId="22" fillId="0" borderId="0" xfId="11" applyNumberFormat="1" applyFont="1" applyFill="1" applyBorder="1" applyAlignment="1">
      <alignment horizontal="right" wrapText="1"/>
    </xf>
    <xf numFmtId="185" fontId="22" fillId="0" borderId="51" xfId="4" applyFont="1" applyFill="1" applyBorder="1" applyAlignment="1">
      <alignment horizontal="justify" vertical="top" wrapText="1"/>
    </xf>
    <xf numFmtId="0" fontId="40" fillId="4" borderId="45" xfId="0" applyFont="1" applyFill="1" applyBorder="1" applyAlignment="1"/>
    <xf numFmtId="0" fontId="40" fillId="4" borderId="47" xfId="0" applyFont="1" applyFill="1" applyBorder="1" applyAlignment="1"/>
    <xf numFmtId="185" fontId="22" fillId="0" borderId="48" xfId="4" applyFont="1" applyFill="1" applyBorder="1" applyAlignment="1">
      <alignment vertical="center" wrapText="1"/>
    </xf>
    <xf numFmtId="2" fontId="22" fillId="0" borderId="41" xfId="11" applyNumberFormat="1" applyFont="1" applyFill="1" applyBorder="1" applyAlignment="1">
      <alignment horizontal="right" wrapText="1"/>
    </xf>
    <xf numFmtId="166" fontId="22" fillId="0" borderId="48" xfId="11" applyNumberFormat="1" applyFont="1" applyFill="1" applyBorder="1" applyAlignment="1">
      <alignment horizontal="right" wrapText="1"/>
    </xf>
    <xf numFmtId="185" fontId="22" fillId="0" borderId="46" xfId="4" applyFont="1" applyFill="1" applyBorder="1" applyAlignment="1">
      <alignment vertical="center" wrapText="1"/>
    </xf>
    <xf numFmtId="185" fontId="22" fillId="0" borderId="41" xfId="4" applyFont="1" applyFill="1" applyBorder="1" applyAlignment="1">
      <alignment vertical="top" wrapText="1"/>
    </xf>
    <xf numFmtId="189" fontId="22" fillId="0" borderId="48" xfId="6" applyNumberFormat="1" applyFont="1" applyFill="1" applyBorder="1">
      <alignment horizontal="right"/>
    </xf>
    <xf numFmtId="0" fontId="16" fillId="0" borderId="0" xfId="4" applyNumberFormat="1" applyFont="1"/>
    <xf numFmtId="2" fontId="16" fillId="0" borderId="0" xfId="4" applyNumberFormat="1" applyFont="1"/>
    <xf numFmtId="0" fontId="45" fillId="0" borderId="0" xfId="0" applyFont="1"/>
    <xf numFmtId="4" fontId="46" fillId="0" borderId="0" xfId="0" applyNumberFormat="1" applyFont="1"/>
    <xf numFmtId="4" fontId="0" fillId="0" borderId="0" xfId="0" applyNumberFormat="1"/>
    <xf numFmtId="3" fontId="0" fillId="0" borderId="0" xfId="0" applyNumberFormat="1"/>
    <xf numFmtId="185" fontId="22" fillId="0" borderId="48" xfId="4" applyFont="1" applyFill="1" applyBorder="1" applyAlignment="1">
      <alignment vertical="top" wrapText="1"/>
    </xf>
    <xf numFmtId="3" fontId="22" fillId="0" borderId="48" xfId="6" applyNumberFormat="1" applyFont="1" applyFill="1" applyBorder="1">
      <alignment horizontal="right"/>
    </xf>
    <xf numFmtId="185" fontId="22" fillId="0" borderId="46" xfId="4" applyFont="1" applyFill="1" applyBorder="1" applyAlignment="1">
      <alignment vertical="top" wrapText="1"/>
    </xf>
    <xf numFmtId="200" fontId="22" fillId="0" borderId="48" xfId="11" applyNumberFormat="1" applyFont="1" applyFill="1" applyBorder="1" applyAlignment="1">
      <alignment horizontal="right" wrapText="1"/>
    </xf>
    <xf numFmtId="201" fontId="22" fillId="0" borderId="41" xfId="11" applyNumberFormat="1" applyFont="1" applyFill="1" applyBorder="1" applyAlignment="1">
      <alignment horizontal="right" wrapText="1"/>
    </xf>
    <xf numFmtId="0" fontId="47" fillId="0" borderId="0" xfId="12" applyAlignment="1" applyProtection="1"/>
    <xf numFmtId="185" fontId="22" fillId="0" borderId="42" xfId="4" applyFont="1" applyFill="1" applyBorder="1" applyAlignment="1">
      <alignment vertical="top" wrapText="1"/>
    </xf>
    <xf numFmtId="3" fontId="22" fillId="0" borderId="41" xfId="0" applyNumberFormat="1" applyFont="1" applyFill="1" applyBorder="1" applyAlignment="1">
      <alignment horizontal="right" vertical="top" wrapText="1"/>
    </xf>
    <xf numFmtId="0" fontId="48" fillId="0" borderId="0" xfId="0" applyFont="1"/>
    <xf numFmtId="185" fontId="22" fillId="0" borderId="33" xfId="4" applyFont="1" applyFill="1" applyBorder="1" applyAlignment="1">
      <alignment vertical="top" wrapText="1"/>
    </xf>
    <xf numFmtId="3" fontId="22" fillId="0" borderId="48" xfId="0" applyNumberFormat="1" applyFont="1" applyFill="1" applyBorder="1" applyAlignment="1">
      <alignment horizontal="right" vertical="top" wrapText="1"/>
    </xf>
    <xf numFmtId="185" fontId="18" fillId="0" borderId="0" xfId="4" applyFont="1" applyAlignment="1">
      <alignment vertical="center"/>
    </xf>
    <xf numFmtId="185" fontId="22" fillId="0" borderId="51" xfId="4" applyFont="1" applyFill="1" applyBorder="1" applyAlignment="1">
      <alignment vertical="top" wrapText="1"/>
    </xf>
    <xf numFmtId="3" fontId="22" fillId="0" borderId="46" xfId="0" applyNumberFormat="1" applyFont="1" applyFill="1" applyBorder="1" applyAlignment="1">
      <alignment horizontal="right" vertical="top" wrapText="1"/>
    </xf>
    <xf numFmtId="185" fontId="19" fillId="0" borderId="0" xfId="4" applyFont="1" applyFill="1" applyBorder="1" applyAlignment="1">
      <alignment horizontal="left" vertical="center"/>
    </xf>
    <xf numFmtId="185" fontId="19" fillId="0" borderId="0" xfId="4" applyFont="1" applyFill="1" applyBorder="1" applyAlignment="1">
      <alignment horizontal="left" vertical="center" wrapText="1"/>
    </xf>
    <xf numFmtId="185" fontId="19" fillId="0" borderId="0" xfId="4" applyFont="1" applyAlignment="1">
      <alignment vertical="center"/>
    </xf>
    <xf numFmtId="185" fontId="49" fillId="0" borderId="0" xfId="4" applyFont="1"/>
    <xf numFmtId="49" fontId="4" fillId="7" borderId="1" xfId="0" applyNumberFormat="1" applyFont="1" applyFill="1" applyBorder="1" applyAlignment="1">
      <alignment horizontal="left"/>
    </xf>
    <xf numFmtId="165" fontId="4" fillId="7" borderId="1" xfId="0" applyNumberFormat="1" applyFont="1" applyFill="1" applyBorder="1" applyAlignment="1">
      <alignment horizontal="right"/>
    </xf>
    <xf numFmtId="0" fontId="5" fillId="7" borderId="0" xfId="0" applyFont="1" applyFill="1" applyAlignment="1">
      <alignment vertical="center"/>
    </xf>
    <xf numFmtId="0" fontId="5" fillId="0" borderId="0" xfId="0" applyFont="1" applyFill="1" applyAlignment="1">
      <alignment vertical="center"/>
    </xf>
    <xf numFmtId="49" fontId="2"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wrapText="1"/>
    </xf>
    <xf numFmtId="49" fontId="2" fillId="0" borderId="1" xfId="0" applyNumberFormat="1" applyFont="1" applyFill="1" applyBorder="1" applyAlignment="1">
      <alignment horizontal="center" wrapText="1"/>
    </xf>
    <xf numFmtId="49"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172" fontId="4" fillId="0" borderId="1" xfId="0" applyNumberFormat="1" applyFont="1" applyFill="1" applyBorder="1" applyAlignment="1">
      <alignment horizontal="right"/>
    </xf>
    <xf numFmtId="3" fontId="4" fillId="0" borderId="1" xfId="0" applyNumberFormat="1" applyFont="1" applyFill="1" applyBorder="1" applyAlignment="1">
      <alignment horizontal="right"/>
    </xf>
    <xf numFmtId="49" fontId="3" fillId="2" borderId="0" xfId="0" applyNumberFormat="1" applyFont="1" applyFill="1" applyAlignment="1">
      <alignment horizontal="left"/>
    </xf>
    <xf numFmtId="185" fontId="51" fillId="0" borderId="28" xfId="1" applyFont="1" applyBorder="1"/>
    <xf numFmtId="185" fontId="51" fillId="4" borderId="28" xfId="1" applyFont="1" applyFill="1" applyBorder="1" applyAlignment="1">
      <alignment wrapText="1"/>
    </xf>
    <xf numFmtId="185" fontId="1" fillId="0" borderId="28" xfId="1" applyBorder="1"/>
    <xf numFmtId="2" fontId="1" fillId="0" borderId="28" xfId="1" applyNumberFormat="1" applyBorder="1"/>
    <xf numFmtId="2" fontId="0" fillId="0" borderId="0" xfId="0" applyNumberFormat="1" applyFont="1" applyFill="1" applyBorder="1" applyAlignment="1"/>
    <xf numFmtId="172" fontId="0" fillId="0" borderId="0" xfId="0" applyNumberFormat="1" applyFont="1" applyFill="1" applyBorder="1" applyAlignment="1"/>
    <xf numFmtId="0" fontId="15" fillId="0" borderId="28" xfId="0" applyFont="1" applyBorder="1" applyAlignment="1">
      <alignment vertical="center" wrapText="1"/>
    </xf>
    <xf numFmtId="43" fontId="15" fillId="0" borderId="28" xfId="13" applyFont="1" applyFill="1" applyBorder="1" applyAlignment="1">
      <alignment vertical="center"/>
    </xf>
    <xf numFmtId="164" fontId="51" fillId="0" borderId="28" xfId="7" applyFont="1" applyBorder="1" applyAlignment="1">
      <alignment vertical="center"/>
    </xf>
    <xf numFmtId="43" fontId="15" fillId="0" borderId="28" xfId="13" applyFont="1" applyFill="1" applyBorder="1" applyAlignment="1">
      <alignment horizontal="center" vertical="center"/>
    </xf>
    <xf numFmtId="164" fontId="51" fillId="0" borderId="28" xfId="7" applyFont="1" applyBorder="1" applyAlignment="1">
      <alignment horizontal="center" vertical="center"/>
    </xf>
    <xf numFmtId="0" fontId="15" fillId="0" borderId="0" xfId="0" applyFont="1" applyAlignment="1">
      <alignment vertical="center"/>
    </xf>
    <xf numFmtId="43" fontId="0" fillId="0" borderId="0" xfId="0" applyNumberFormat="1" applyFont="1" applyFill="1" applyBorder="1" applyAlignment="1"/>
    <xf numFmtId="172" fontId="5" fillId="2" borderId="0" xfId="0" applyNumberFormat="1" applyFont="1" applyFill="1" applyAlignment="1">
      <alignment vertical="center"/>
    </xf>
    <xf numFmtId="0" fontId="15" fillId="0" borderId="0" xfId="0" applyNumberFormat="1" applyFont="1" applyFill="1" applyBorder="1" applyAlignment="1"/>
    <xf numFmtId="165" fontId="52" fillId="2" borderId="1" xfId="0" applyNumberFormat="1" applyFont="1" applyFill="1" applyBorder="1" applyAlignment="1">
      <alignment horizontal="right"/>
    </xf>
    <xf numFmtId="181" fontId="0" fillId="0" borderId="0" xfId="0" applyNumberFormat="1" applyFont="1" applyFill="1" applyBorder="1" applyAlignment="1"/>
    <xf numFmtId="49" fontId="2" fillId="2" borderId="0" xfId="0" applyNumberFormat="1" applyFont="1" applyFill="1" applyAlignment="1">
      <alignment horizontal="left"/>
    </xf>
    <xf numFmtId="49" fontId="7" fillId="2" borderId="0" xfId="0" applyNumberFormat="1" applyFont="1" applyFill="1" applyAlignment="1">
      <alignment horizontal="left"/>
    </xf>
    <xf numFmtId="49" fontId="3" fillId="2" borderId="0" xfId="0" applyNumberFormat="1" applyFont="1" applyFill="1" applyAlignment="1">
      <alignment horizontal="left"/>
    </xf>
    <xf numFmtId="49" fontId="2" fillId="2" borderId="0" xfId="0" applyNumberFormat="1" applyFont="1" applyFill="1" applyAlignment="1">
      <alignment horizontal="left" vertical="center"/>
    </xf>
    <xf numFmtId="49" fontId="2" fillId="2" borderId="9"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49" fontId="8" fillId="2" borderId="9" xfId="0" applyNumberFormat="1" applyFont="1" applyFill="1" applyBorder="1" applyAlignment="1">
      <alignment horizontal="center" vertical="center" wrapText="1"/>
    </xf>
    <xf numFmtId="49" fontId="8" fillId="2" borderId="10"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49" fontId="2" fillId="2" borderId="6" xfId="0" applyNumberFormat="1" applyFont="1" applyFill="1" applyBorder="1" applyAlignment="1">
      <alignment horizontal="center" wrapText="1"/>
    </xf>
    <xf numFmtId="49" fontId="2" fillId="2" borderId="13" xfId="0" applyNumberFormat="1" applyFont="1" applyFill="1" applyBorder="1" applyAlignment="1">
      <alignment horizontal="center" wrapText="1"/>
    </xf>
    <xf numFmtId="49" fontId="2" fillId="2" borderId="11" xfId="0" applyNumberFormat="1" applyFont="1" applyFill="1" applyBorder="1" applyAlignment="1">
      <alignment horizontal="center" wrapText="1"/>
    </xf>
    <xf numFmtId="49" fontId="2" fillId="2" borderId="6" xfId="0" applyNumberFormat="1" applyFont="1" applyFill="1" applyBorder="1" applyAlignment="1">
      <alignment horizontal="center"/>
    </xf>
    <xf numFmtId="49" fontId="2" fillId="2" borderId="11" xfId="0" applyNumberFormat="1" applyFont="1" applyFill="1" applyBorder="1" applyAlignment="1">
      <alignment horizontal="center"/>
    </xf>
    <xf numFmtId="0" fontId="2" fillId="2" borderId="6" xfId="0" applyFont="1" applyFill="1" applyBorder="1" applyAlignment="1">
      <alignment horizontal="center" vertical="center" wrapText="1"/>
    </xf>
    <xf numFmtId="0" fontId="2" fillId="2" borderId="11" xfId="0" applyFont="1" applyFill="1" applyBorder="1" applyAlignment="1">
      <alignment horizontal="center" vertical="center" wrapText="1"/>
    </xf>
    <xf numFmtId="49" fontId="3" fillId="2" borderId="0" xfId="0" applyNumberFormat="1" applyFont="1" applyFill="1" applyAlignment="1">
      <alignment horizontal="left" wrapText="1"/>
    </xf>
    <xf numFmtId="0" fontId="3" fillId="2" borderId="0" xfId="0" applyFont="1" applyFill="1" applyAlignment="1">
      <alignment horizontal="left" wrapText="1"/>
    </xf>
    <xf numFmtId="49" fontId="2" fillId="2" borderId="6" xfId="0" applyNumberFormat="1" applyFont="1" applyFill="1" applyBorder="1" applyAlignment="1">
      <alignment horizontal="center" vertical="center"/>
    </xf>
    <xf numFmtId="49" fontId="2" fillId="2" borderId="13"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xf>
    <xf numFmtId="49" fontId="2" fillId="2" borderId="14"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15"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0" xfId="0" applyNumberFormat="1" applyFont="1" applyFill="1" applyAlignment="1">
      <alignment horizontal="left" wrapText="1"/>
    </xf>
    <xf numFmtId="49" fontId="2" fillId="2" borderId="16"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49" fontId="2" fillId="2" borderId="0" xfId="0" applyNumberFormat="1" applyFont="1" applyFill="1" applyAlignment="1">
      <alignment horizontal="left" vertical="top"/>
    </xf>
    <xf numFmtId="49" fontId="3" fillId="2" borderId="6"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2" fillId="2" borderId="0" xfId="0" applyNumberFormat="1" applyFont="1" applyFill="1" applyAlignment="1">
      <alignment horizontal="left" vertical="top" wrapText="1"/>
    </xf>
    <xf numFmtId="49" fontId="2" fillId="2" borderId="9" xfId="0" applyNumberFormat="1" applyFont="1" applyFill="1" applyBorder="1" applyAlignment="1">
      <alignment horizontal="center"/>
    </xf>
    <xf numFmtId="49" fontId="2" fillId="2" borderId="10" xfId="0" applyNumberFormat="1" applyFont="1" applyFill="1" applyBorder="1" applyAlignment="1">
      <alignment horizontal="center"/>
    </xf>
    <xf numFmtId="172" fontId="4" fillId="0" borderId="6" xfId="0" applyNumberFormat="1" applyFont="1" applyFill="1" applyBorder="1" applyAlignment="1">
      <alignment horizontal="right"/>
    </xf>
    <xf numFmtId="172" fontId="4" fillId="0" borderId="11" xfId="0" applyNumberFormat="1" applyFont="1" applyFill="1" applyBorder="1" applyAlignment="1">
      <alignment horizontal="right"/>
    </xf>
    <xf numFmtId="49" fontId="3" fillId="0" borderId="0" xfId="0" applyNumberFormat="1" applyFont="1" applyFill="1" applyAlignment="1">
      <alignment horizontal="left"/>
    </xf>
    <xf numFmtId="49" fontId="2" fillId="0" borderId="0" xfId="0" applyNumberFormat="1" applyFont="1" applyFill="1" applyAlignment="1">
      <alignment horizontal="left" vertical="top"/>
    </xf>
    <xf numFmtId="49" fontId="2" fillId="0" borderId="9" xfId="0" applyNumberFormat="1" applyFont="1" applyFill="1" applyBorder="1" applyAlignment="1">
      <alignment horizontal="center" vertical="center"/>
    </xf>
    <xf numFmtId="49" fontId="2" fillId="0" borderId="10" xfId="0" applyNumberFormat="1" applyFont="1" applyFill="1" applyBorder="1" applyAlignment="1">
      <alignment horizontal="center" vertical="center"/>
    </xf>
    <xf numFmtId="49" fontId="2" fillId="0" borderId="6" xfId="0" applyNumberFormat="1" applyFont="1" applyFill="1" applyBorder="1" applyAlignment="1">
      <alignment horizontal="center"/>
    </xf>
    <xf numFmtId="49" fontId="2" fillId="0" borderId="11" xfId="0" applyNumberFormat="1" applyFont="1" applyFill="1" applyBorder="1" applyAlignment="1">
      <alignment horizontal="center"/>
    </xf>
    <xf numFmtId="49" fontId="2" fillId="0" borderId="13" xfId="0" applyNumberFormat="1" applyFont="1" applyFill="1" applyBorder="1" applyAlignment="1">
      <alignment horizontal="center"/>
    </xf>
    <xf numFmtId="49" fontId="8" fillId="0" borderId="6" xfId="0" applyNumberFormat="1" applyFont="1" applyFill="1" applyBorder="1" applyAlignment="1">
      <alignment horizontal="center" wrapText="1"/>
    </xf>
    <xf numFmtId="49" fontId="8" fillId="0" borderId="11" xfId="0" applyNumberFormat="1" applyFont="1" applyFill="1" applyBorder="1" applyAlignment="1">
      <alignment horizontal="center" wrapText="1"/>
    </xf>
    <xf numFmtId="49" fontId="2" fillId="2" borderId="9" xfId="0" applyNumberFormat="1" applyFont="1" applyFill="1" applyBorder="1" applyAlignment="1">
      <alignment horizontal="right"/>
    </xf>
    <xf numFmtId="49" fontId="2" fillId="2" borderId="10" xfId="0" applyNumberFormat="1" applyFont="1" applyFill="1" applyBorder="1" applyAlignment="1">
      <alignment horizontal="right"/>
    </xf>
    <xf numFmtId="49" fontId="2" fillId="2" borderId="13" xfId="0" applyNumberFormat="1" applyFont="1" applyFill="1" applyBorder="1" applyAlignment="1">
      <alignment horizontal="center"/>
    </xf>
    <xf numFmtId="49" fontId="8" fillId="2" borderId="0" xfId="0" applyNumberFormat="1" applyFont="1" applyFill="1" applyAlignment="1">
      <alignment horizontal="left" vertical="top" wrapText="1"/>
    </xf>
    <xf numFmtId="49" fontId="9" fillId="2" borderId="9" xfId="0" applyNumberFormat="1" applyFont="1" applyFill="1" applyBorder="1" applyAlignment="1">
      <alignment horizontal="center" vertical="center" wrapText="1"/>
    </xf>
    <xf numFmtId="49" fontId="9" fillId="2" borderId="10"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2" fillId="2" borderId="13" xfId="0" applyNumberFormat="1" applyFont="1" applyFill="1" applyBorder="1" applyAlignment="1">
      <alignment horizontal="center" vertical="center" wrapText="1"/>
    </xf>
    <xf numFmtId="49" fontId="3" fillId="2" borderId="17" xfId="0" applyNumberFormat="1" applyFont="1" applyFill="1" applyBorder="1" applyAlignment="1">
      <alignment horizontal="left" wrapText="1"/>
    </xf>
    <xf numFmtId="49" fontId="3" fillId="2" borderId="18" xfId="0" applyNumberFormat="1" applyFont="1" applyFill="1" applyBorder="1" applyAlignment="1">
      <alignment horizontal="left" wrapText="1"/>
    </xf>
    <xf numFmtId="49" fontId="3" fillId="2" borderId="19" xfId="0" applyNumberFormat="1" applyFont="1" applyFill="1" applyBorder="1" applyAlignment="1">
      <alignment horizontal="left" wrapText="1"/>
    </xf>
    <xf numFmtId="49" fontId="3" fillId="2" borderId="9" xfId="0" applyNumberFormat="1" applyFont="1" applyFill="1" applyBorder="1" applyAlignment="1">
      <alignment horizontal="center" vertical="top"/>
    </xf>
    <xf numFmtId="49" fontId="3" fillId="2" borderId="10" xfId="0" applyNumberFormat="1" applyFont="1" applyFill="1" applyBorder="1" applyAlignment="1">
      <alignment horizontal="center" vertical="top"/>
    </xf>
    <xf numFmtId="49" fontId="3" fillId="2" borderId="6" xfId="0" applyNumberFormat="1" applyFont="1" applyFill="1" applyBorder="1" applyAlignment="1">
      <alignment horizontal="center"/>
    </xf>
    <xf numFmtId="49" fontId="3" fillId="2" borderId="13" xfId="0" applyNumberFormat="1" applyFont="1" applyFill="1" applyBorder="1" applyAlignment="1">
      <alignment horizontal="center"/>
    </xf>
    <xf numFmtId="49" fontId="3" fillId="2" borderId="11" xfId="0" applyNumberFormat="1" applyFont="1" applyFill="1" applyBorder="1" applyAlignment="1">
      <alignment horizontal="center"/>
    </xf>
    <xf numFmtId="49" fontId="3" fillId="2" borderId="17" xfId="0" applyNumberFormat="1" applyFont="1" applyFill="1" applyBorder="1" applyAlignment="1">
      <alignment horizontal="left"/>
    </xf>
    <xf numFmtId="49" fontId="3" fillId="2" borderId="18" xfId="0" applyNumberFormat="1" applyFont="1" applyFill="1" applyBorder="1" applyAlignment="1">
      <alignment horizontal="left"/>
    </xf>
    <xf numFmtId="49" fontId="3" fillId="2" borderId="19" xfId="0" applyNumberFormat="1" applyFont="1" applyFill="1" applyBorder="1" applyAlignment="1">
      <alignment horizontal="left"/>
    </xf>
    <xf numFmtId="49" fontId="3" fillId="2" borderId="0" xfId="0" applyNumberFormat="1" applyFont="1" applyFill="1" applyAlignment="1">
      <alignment horizontal="left" vertical="center"/>
    </xf>
    <xf numFmtId="49" fontId="10" fillId="2" borderId="0" xfId="0" applyNumberFormat="1" applyFont="1" applyFill="1" applyAlignment="1">
      <alignment horizontal="left"/>
    </xf>
    <xf numFmtId="49" fontId="3" fillId="2" borderId="0" xfId="0" applyNumberFormat="1" applyFont="1" applyFill="1" applyAlignment="1">
      <alignment horizontal="left" vertical="center" wrapText="1"/>
    </xf>
    <xf numFmtId="49" fontId="2" fillId="2" borderId="12" xfId="0" applyNumberFormat="1" applyFont="1" applyFill="1" applyBorder="1" applyAlignment="1">
      <alignment horizontal="center" vertical="center" wrapText="1"/>
    </xf>
    <xf numFmtId="49" fontId="2" fillId="2" borderId="14"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15"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49" fontId="8" fillId="2" borderId="0" xfId="0" applyNumberFormat="1" applyFont="1" applyFill="1" applyAlignment="1">
      <alignment horizontal="left" vertical="top"/>
    </xf>
    <xf numFmtId="49" fontId="11" fillId="2" borderId="0" xfId="0" applyNumberFormat="1" applyFont="1" applyFill="1" applyAlignment="1">
      <alignment horizontal="left" vertical="top"/>
    </xf>
    <xf numFmtId="49" fontId="2" fillId="2" borderId="14"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15"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14" xfId="0" applyNumberFormat="1" applyFont="1" applyFill="1" applyBorder="1" applyAlignment="1">
      <alignment horizontal="center" wrapText="1"/>
    </xf>
    <xf numFmtId="49" fontId="2" fillId="2" borderId="3" xfId="0" applyNumberFormat="1" applyFont="1" applyFill="1" applyBorder="1" applyAlignment="1">
      <alignment horizontal="center" wrapText="1"/>
    </xf>
    <xf numFmtId="49" fontId="2" fillId="2" borderId="15" xfId="0" applyNumberFormat="1" applyFont="1" applyFill="1" applyBorder="1" applyAlignment="1">
      <alignment horizontal="center" wrapText="1"/>
    </xf>
    <xf numFmtId="49" fontId="2" fillId="2" borderId="8" xfId="0" applyNumberFormat="1" applyFont="1" applyFill="1" applyBorder="1" applyAlignment="1">
      <alignment horizont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0"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11" xfId="0" applyFont="1" applyFill="1" applyBorder="1" applyAlignment="1">
      <alignment horizontal="center" vertical="center" wrapText="1"/>
    </xf>
    <xf numFmtId="49" fontId="9" fillId="2" borderId="0" xfId="0" applyNumberFormat="1" applyFont="1" applyFill="1" applyAlignment="1">
      <alignment horizontal="center" vertical="center" wrapText="1"/>
    </xf>
    <xf numFmtId="49"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49" fontId="8" fillId="2" borderId="6" xfId="0" applyNumberFormat="1" applyFont="1" applyFill="1" applyBorder="1" applyAlignment="1">
      <alignment horizontal="center"/>
    </xf>
    <xf numFmtId="49" fontId="8" fillId="2" borderId="13" xfId="0" applyNumberFormat="1" applyFont="1" applyFill="1" applyBorder="1" applyAlignment="1">
      <alignment horizontal="center"/>
    </xf>
    <xf numFmtId="49" fontId="8" fillId="2" borderId="11" xfId="0" applyNumberFormat="1" applyFont="1" applyFill="1" applyBorder="1" applyAlignment="1">
      <alignment horizontal="center"/>
    </xf>
    <xf numFmtId="0" fontId="2" fillId="2" borderId="6" xfId="0" applyFont="1" applyFill="1" applyBorder="1" applyAlignment="1">
      <alignment horizontal="center" wrapText="1"/>
    </xf>
    <xf numFmtId="0" fontId="2" fillId="2" borderId="13" xfId="0" applyFont="1" applyFill="1" applyBorder="1" applyAlignment="1">
      <alignment horizontal="center" wrapText="1"/>
    </xf>
    <xf numFmtId="0" fontId="2" fillId="2" borderId="11" xfId="0" applyFont="1" applyFill="1" applyBorder="1" applyAlignment="1">
      <alignment horizontal="center" wrapText="1"/>
    </xf>
    <xf numFmtId="49" fontId="8" fillId="2" borderId="0" xfId="0" applyNumberFormat="1" applyFont="1" applyFill="1" applyAlignment="1">
      <alignment horizontal="left"/>
    </xf>
    <xf numFmtId="17" fontId="51" fillId="0" borderId="28" xfId="1" applyNumberFormat="1" applyFont="1" applyBorder="1" applyAlignment="1">
      <alignment horizontal="center"/>
    </xf>
    <xf numFmtId="185" fontId="51" fillId="0" borderId="28" xfId="1" applyFont="1" applyBorder="1" applyAlignment="1">
      <alignment horizontal="center"/>
    </xf>
    <xf numFmtId="49" fontId="3" fillId="2" borderId="20" xfId="0" applyNumberFormat="1" applyFont="1" applyFill="1" applyBorder="1" applyAlignment="1">
      <alignment horizontal="center" vertical="center" wrapText="1"/>
    </xf>
    <xf numFmtId="49" fontId="3" fillId="2" borderId="21" xfId="0" applyNumberFormat="1" applyFont="1" applyFill="1" applyBorder="1" applyAlignment="1">
      <alignment horizontal="center" vertical="center" wrapText="1"/>
    </xf>
    <xf numFmtId="49" fontId="12" fillId="2" borderId="22" xfId="0" applyNumberFormat="1" applyFont="1" applyFill="1" applyBorder="1" applyAlignment="1">
      <alignment horizontal="left"/>
    </xf>
    <xf numFmtId="49" fontId="12" fillId="2" borderId="23" xfId="0" applyNumberFormat="1" applyFont="1" applyFill="1" applyBorder="1" applyAlignment="1">
      <alignment horizontal="left"/>
    </xf>
    <xf numFmtId="49" fontId="8" fillId="2" borderId="0" xfId="0" applyNumberFormat="1" applyFont="1" applyFill="1" applyAlignment="1">
      <alignment horizontal="left" vertical="center"/>
    </xf>
    <xf numFmtId="165" fontId="4" fillId="2" borderId="9" xfId="0"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165" fontId="4" fillId="2" borderId="10" xfId="0" applyNumberFormat="1" applyFont="1" applyFill="1" applyBorder="1" applyAlignment="1">
      <alignment horizontal="center" vertical="center"/>
    </xf>
    <xf numFmtId="178" fontId="6" fillId="2" borderId="6" xfId="0" applyNumberFormat="1" applyFont="1" applyFill="1" applyBorder="1" applyAlignment="1">
      <alignment horizontal="right"/>
    </xf>
    <xf numFmtId="178" fontId="6" fillId="2" borderId="11" xfId="0" applyNumberFormat="1" applyFont="1" applyFill="1" applyBorder="1" applyAlignment="1">
      <alignment horizontal="right"/>
    </xf>
    <xf numFmtId="49" fontId="3" fillId="2" borderId="14" xfId="0" applyNumberFormat="1" applyFont="1" applyFill="1" applyBorder="1" applyAlignment="1">
      <alignment horizontal="center" vertical="center"/>
    </xf>
    <xf numFmtId="49" fontId="3" fillId="2" borderId="15" xfId="0" applyNumberFormat="1" applyFont="1" applyFill="1" applyBorder="1" applyAlignment="1">
      <alignment horizontal="center" vertical="center"/>
    </xf>
    <xf numFmtId="0" fontId="3" fillId="2" borderId="0" xfId="0" applyFont="1" applyFill="1" applyAlignment="1">
      <alignment horizontal="left"/>
    </xf>
    <xf numFmtId="49" fontId="3" fillId="2" borderId="6" xfId="0" applyNumberFormat="1" applyFont="1" applyFill="1" applyBorder="1" applyAlignment="1">
      <alignment horizontal="left" vertical="center"/>
    </xf>
    <xf numFmtId="49" fontId="3" fillId="2" borderId="13" xfId="0" applyNumberFormat="1" applyFont="1" applyFill="1" applyBorder="1" applyAlignment="1">
      <alignment horizontal="left" vertical="center"/>
    </xf>
    <xf numFmtId="49" fontId="3" fillId="2" borderId="11" xfId="0" applyNumberFormat="1" applyFont="1" applyFill="1" applyBorder="1" applyAlignment="1">
      <alignment horizontal="left" vertical="center"/>
    </xf>
    <xf numFmtId="0" fontId="19" fillId="4" borderId="27" xfId="1" applyNumberFormat="1" applyFont="1" applyFill="1" applyBorder="1" applyAlignment="1">
      <alignment horizontal="left" vertical="center" wrapText="1"/>
    </xf>
    <xf numFmtId="0" fontId="19" fillId="4" borderId="30" xfId="1" applyNumberFormat="1" applyFont="1" applyFill="1" applyBorder="1" applyAlignment="1">
      <alignment horizontal="left" vertical="center" wrapText="1"/>
    </xf>
    <xf numFmtId="0" fontId="19" fillId="0" borderId="24" xfId="1" applyNumberFormat="1" applyFont="1" applyFill="1" applyBorder="1" applyAlignment="1">
      <alignment horizontal="center" vertical="center"/>
    </xf>
    <xf numFmtId="0" fontId="19" fillId="0" borderId="27" xfId="1" applyNumberFormat="1" applyFont="1" applyFill="1" applyBorder="1" applyAlignment="1">
      <alignment horizontal="center" vertical="center"/>
    </xf>
    <xf numFmtId="0" fontId="19" fillId="0" borderId="25" xfId="1" applyNumberFormat="1" applyFont="1" applyFill="1" applyBorder="1" applyAlignment="1">
      <alignment horizontal="center" vertical="center"/>
    </xf>
    <xf numFmtId="0" fontId="19" fillId="0" borderId="28" xfId="1" applyNumberFormat="1" applyFont="1" applyFill="1" applyBorder="1" applyAlignment="1">
      <alignment horizontal="center" vertical="center"/>
    </xf>
    <xf numFmtId="0" fontId="17" fillId="0" borderId="25" xfId="1" applyNumberFormat="1" applyFont="1" applyFill="1" applyBorder="1" applyAlignment="1">
      <alignment horizontal="center" vertical="center"/>
    </xf>
    <xf numFmtId="0" fontId="17" fillId="0" borderId="26" xfId="1" applyNumberFormat="1" applyFont="1" applyFill="1" applyBorder="1" applyAlignment="1">
      <alignment horizontal="center" vertical="center"/>
    </xf>
    <xf numFmtId="0" fontId="19" fillId="0" borderId="27" xfId="1" applyNumberFormat="1" applyFont="1" applyFill="1" applyBorder="1" applyAlignment="1">
      <alignment horizontal="left" vertical="center" wrapText="1"/>
    </xf>
    <xf numFmtId="0" fontId="17" fillId="4" borderId="34" xfId="1" applyNumberFormat="1" applyFont="1" applyFill="1" applyBorder="1" applyAlignment="1">
      <alignment horizontal="left" vertical="center"/>
    </xf>
    <xf numFmtId="0" fontId="19" fillId="5" borderId="35" xfId="1" applyNumberFormat="1" applyFont="1" applyFill="1" applyBorder="1" applyAlignment="1">
      <alignment horizontal="center" vertical="center" wrapText="1"/>
    </xf>
    <xf numFmtId="0" fontId="19" fillId="5" borderId="39" xfId="1" applyNumberFormat="1" applyFont="1" applyFill="1" applyBorder="1" applyAlignment="1">
      <alignment horizontal="center" vertical="center" wrapText="1"/>
    </xf>
    <xf numFmtId="0" fontId="19" fillId="5" borderId="36" xfId="1" applyNumberFormat="1" applyFont="1" applyFill="1" applyBorder="1" applyAlignment="1">
      <alignment horizontal="center" vertical="center"/>
    </xf>
    <xf numFmtId="0" fontId="19" fillId="5" borderId="37" xfId="1" applyNumberFormat="1" applyFont="1" applyFill="1" applyBorder="1" applyAlignment="1">
      <alignment horizontal="center" vertical="center"/>
    </xf>
    <xf numFmtId="0" fontId="19" fillId="5" borderId="38" xfId="1" applyNumberFormat="1" applyFont="1" applyFill="1" applyBorder="1" applyAlignment="1">
      <alignment horizontal="center" vertical="center"/>
    </xf>
    <xf numFmtId="0" fontId="17" fillId="4" borderId="0" xfId="1" applyNumberFormat="1" applyFont="1" applyFill="1" applyBorder="1" applyAlignment="1">
      <alignment horizontal="left" vertical="center"/>
    </xf>
    <xf numFmtId="0" fontId="17" fillId="4" borderId="28" xfId="1" applyNumberFormat="1" applyFont="1" applyFill="1" applyBorder="1" applyAlignment="1">
      <alignment horizontal="center" vertical="center"/>
    </xf>
    <xf numFmtId="0" fontId="19" fillId="6" borderId="41" xfId="1" applyNumberFormat="1" applyFont="1" applyFill="1" applyBorder="1" applyAlignment="1">
      <alignment horizontal="center" vertical="center" wrapText="1"/>
    </xf>
    <xf numFmtId="0" fontId="19" fillId="6" borderId="46" xfId="1" applyNumberFormat="1" applyFont="1" applyFill="1" applyBorder="1" applyAlignment="1">
      <alignment horizontal="center" vertical="center" wrapText="1"/>
    </xf>
    <xf numFmtId="0" fontId="19" fillId="6" borderId="42" xfId="1" applyNumberFormat="1" applyFont="1" applyFill="1" applyBorder="1" applyAlignment="1">
      <alignment horizontal="center" vertical="center" wrapText="1"/>
    </xf>
    <xf numFmtId="0" fontId="19" fillId="6" borderId="43" xfId="1" applyNumberFormat="1" applyFont="1" applyFill="1" applyBorder="1" applyAlignment="1">
      <alignment horizontal="center" vertical="center" wrapText="1"/>
    </xf>
    <xf numFmtId="0" fontId="19" fillId="6" borderId="44" xfId="1" applyNumberFormat="1" applyFont="1" applyFill="1" applyBorder="1" applyAlignment="1">
      <alignment horizontal="center" vertical="center" wrapText="1"/>
    </xf>
    <xf numFmtId="0" fontId="19" fillId="6" borderId="28" xfId="1" applyNumberFormat="1" applyFont="1" applyFill="1" applyBorder="1" applyAlignment="1">
      <alignment horizontal="center" vertical="center" wrapText="1"/>
    </xf>
    <xf numFmtId="0" fontId="19" fillId="6" borderId="45" xfId="1" applyNumberFormat="1" applyFont="1" applyFill="1" applyBorder="1" applyAlignment="1">
      <alignment horizontal="center" vertical="center" wrapText="1"/>
    </xf>
    <xf numFmtId="0" fontId="19" fillId="6" borderId="40" xfId="1" applyNumberFormat="1" applyFont="1" applyFill="1" applyBorder="1" applyAlignment="1">
      <alignment horizontal="center" vertical="center" wrapText="1"/>
    </xf>
    <xf numFmtId="0" fontId="19" fillId="0" borderId="28" xfId="1" applyNumberFormat="1" applyFont="1" applyBorder="1" applyAlignment="1">
      <alignment horizontal="center"/>
    </xf>
    <xf numFmtId="0" fontId="23" fillId="6" borderId="28" xfId="8" applyFont="1" applyFill="1" applyBorder="1" applyAlignment="1">
      <alignment horizontal="center" vertical="center" wrapText="1"/>
    </xf>
    <xf numFmtId="185" fontId="23" fillId="6" borderId="28" xfId="1" applyFont="1" applyFill="1" applyBorder="1" applyAlignment="1">
      <alignment horizontal="center" vertical="center" wrapText="1"/>
    </xf>
    <xf numFmtId="0" fontId="23" fillId="6" borderId="41" xfId="8" applyFont="1" applyFill="1" applyBorder="1" applyAlignment="1">
      <alignment horizontal="center" vertical="center" wrapText="1"/>
    </xf>
    <xf numFmtId="0" fontId="23" fillId="6" borderId="46" xfId="8" applyFont="1" applyFill="1" applyBorder="1" applyAlignment="1">
      <alignment horizontal="center" vertical="center" wrapText="1"/>
    </xf>
    <xf numFmtId="0" fontId="23" fillId="6" borderId="28" xfId="8" applyFont="1" applyFill="1" applyBorder="1" applyAlignment="1">
      <alignment horizontal="center" vertical="center"/>
    </xf>
    <xf numFmtId="0" fontId="21" fillId="0" borderId="0" xfId="1" applyNumberFormat="1" applyFont="1" applyBorder="1" applyAlignment="1">
      <alignment horizontal="left" vertical="top"/>
    </xf>
    <xf numFmtId="0" fontId="23" fillId="6" borderId="45" xfId="8" applyFont="1" applyFill="1" applyBorder="1" applyAlignment="1">
      <alignment horizontal="center" vertical="center"/>
    </xf>
    <xf numFmtId="0" fontId="23" fillId="6" borderId="40" xfId="8" applyFont="1" applyFill="1" applyBorder="1" applyAlignment="1">
      <alignment horizontal="center" vertical="center"/>
    </xf>
    <xf numFmtId="0" fontId="23" fillId="6" borderId="45" xfId="8" applyFont="1" applyFill="1" applyBorder="1" applyAlignment="1">
      <alignment horizontal="center" vertical="center" wrapText="1"/>
    </xf>
    <xf numFmtId="0" fontId="23" fillId="6" borderId="40" xfId="8" applyFont="1" applyFill="1" applyBorder="1" applyAlignment="1">
      <alignment horizontal="center" vertical="center" wrapText="1"/>
    </xf>
    <xf numFmtId="0" fontId="19" fillId="6" borderId="0" xfId="1" applyNumberFormat="1" applyFont="1" applyFill="1" applyBorder="1" applyAlignment="1">
      <alignment horizontal="center" vertical="center" wrapText="1"/>
    </xf>
    <xf numFmtId="0" fontId="19" fillId="6" borderId="34" xfId="1" applyNumberFormat="1" applyFont="1" applyFill="1" applyBorder="1" applyAlignment="1">
      <alignment horizontal="center" vertical="center" wrapText="1"/>
    </xf>
    <xf numFmtId="0" fontId="19" fillId="6" borderId="28" xfId="1" applyNumberFormat="1" applyFont="1" applyFill="1" applyBorder="1" applyAlignment="1">
      <alignment horizontal="center"/>
    </xf>
    <xf numFmtId="185" fontId="22" fillId="0" borderId="0" xfId="1" applyFont="1" applyAlignment="1">
      <alignment horizontal="left" wrapText="1"/>
    </xf>
    <xf numFmtId="0" fontId="19" fillId="6" borderId="47" xfId="1" applyNumberFormat="1" applyFont="1" applyFill="1" applyBorder="1" applyAlignment="1">
      <alignment horizontal="center" vertical="center" wrapText="1"/>
    </xf>
    <xf numFmtId="185" fontId="18" fillId="0" borderId="0" xfId="1" applyFont="1" applyFill="1" applyAlignment="1">
      <alignment horizontal="left"/>
    </xf>
    <xf numFmtId="0" fontId="32" fillId="6" borderId="41" xfId="1" applyNumberFormat="1" applyFont="1" applyFill="1" applyBorder="1" applyAlignment="1">
      <alignment horizontal="center" vertical="center" wrapText="1"/>
    </xf>
    <xf numFmtId="0" fontId="32" fillId="6" borderId="48" xfId="1" applyNumberFormat="1" applyFont="1" applyFill="1" applyBorder="1" applyAlignment="1">
      <alignment horizontal="center" vertical="center" wrapText="1"/>
    </xf>
    <xf numFmtId="0" fontId="32" fillId="6" borderId="46" xfId="1" applyNumberFormat="1" applyFont="1" applyFill="1" applyBorder="1" applyAlignment="1">
      <alignment horizontal="center" vertical="center" wrapText="1"/>
    </xf>
    <xf numFmtId="0" fontId="19" fillId="6" borderId="45" xfId="1" applyNumberFormat="1" applyFont="1" applyFill="1" applyBorder="1" applyAlignment="1">
      <alignment horizontal="center"/>
    </xf>
    <xf numFmtId="0" fontId="19" fillId="6" borderId="47" xfId="1" applyNumberFormat="1" applyFont="1" applyFill="1" applyBorder="1" applyAlignment="1">
      <alignment horizontal="center"/>
    </xf>
    <xf numFmtId="0" fontId="19" fillId="6" borderId="40" xfId="1" applyNumberFormat="1" applyFont="1" applyFill="1" applyBorder="1" applyAlignment="1">
      <alignment horizontal="center"/>
    </xf>
    <xf numFmtId="0" fontId="32" fillId="6" borderId="45" xfId="1" applyNumberFormat="1" applyFont="1" applyFill="1" applyBorder="1" applyAlignment="1">
      <alignment horizontal="center" vertical="center"/>
    </xf>
    <xf numFmtId="0" fontId="32" fillId="6" borderId="40" xfId="1" applyNumberFormat="1" applyFont="1" applyFill="1" applyBorder="1" applyAlignment="1">
      <alignment horizontal="center" vertical="center"/>
    </xf>
    <xf numFmtId="0" fontId="32" fillId="6" borderId="47" xfId="1" applyNumberFormat="1" applyFont="1" applyFill="1" applyBorder="1" applyAlignment="1">
      <alignment horizontal="center" vertical="center"/>
    </xf>
    <xf numFmtId="185" fontId="23" fillId="6" borderId="28" xfId="1" applyFont="1" applyFill="1" applyBorder="1" applyAlignment="1">
      <alignment horizontal="center" vertical="top" wrapText="1"/>
    </xf>
    <xf numFmtId="17" fontId="23" fillId="6" borderId="28" xfId="7" applyNumberFormat="1" applyFont="1" applyFill="1" applyBorder="1" applyAlignment="1">
      <alignment horizontal="center" vertical="top" wrapText="1"/>
    </xf>
    <xf numFmtId="0" fontId="23" fillId="6" borderId="28" xfId="7" applyNumberFormat="1" applyFont="1" applyFill="1" applyBorder="1" applyAlignment="1">
      <alignment horizontal="center" vertical="top" wrapText="1"/>
    </xf>
    <xf numFmtId="185" fontId="18" fillId="0" borderId="0" xfId="1" applyFont="1" applyAlignment="1">
      <alignment horizontal="left"/>
    </xf>
    <xf numFmtId="185" fontId="36" fillId="0" borderId="28" xfId="1" applyFont="1" applyFill="1" applyBorder="1" applyAlignment="1">
      <alignment horizontal="center" vertical="top" wrapText="1"/>
    </xf>
    <xf numFmtId="185" fontId="23" fillId="0" borderId="45" xfId="1" applyFont="1" applyFill="1" applyBorder="1" applyAlignment="1">
      <alignment horizontal="left" vertical="top" wrapText="1"/>
    </xf>
    <xf numFmtId="185" fontId="23" fillId="0" borderId="47" xfId="1" applyFont="1" applyFill="1" applyBorder="1" applyAlignment="1">
      <alignment horizontal="left" vertical="top" wrapText="1"/>
    </xf>
    <xf numFmtId="185" fontId="23" fillId="0" borderId="40" xfId="1" applyFont="1" applyFill="1" applyBorder="1" applyAlignment="1">
      <alignment horizontal="left" vertical="top" wrapText="1"/>
    </xf>
    <xf numFmtId="190" fontId="23" fillId="0" borderId="45" xfId="1" applyNumberFormat="1" applyFont="1" applyFill="1" applyBorder="1" applyAlignment="1">
      <alignment horizontal="left" vertical="top" wrapText="1"/>
    </xf>
    <xf numFmtId="190" fontId="23" fillId="0" borderId="47" xfId="1" applyNumberFormat="1" applyFont="1" applyFill="1" applyBorder="1" applyAlignment="1">
      <alignment horizontal="left" vertical="top" wrapText="1"/>
    </xf>
    <xf numFmtId="190" fontId="23" fillId="0" borderId="40" xfId="1" applyNumberFormat="1" applyFont="1" applyFill="1" applyBorder="1" applyAlignment="1">
      <alignment horizontal="left" vertical="top" wrapText="1"/>
    </xf>
    <xf numFmtId="190" fontId="23" fillId="0" borderId="28" xfId="1" applyNumberFormat="1" applyFont="1" applyFill="1" applyBorder="1" applyAlignment="1">
      <alignment horizontal="left" vertical="top" wrapText="1"/>
    </xf>
    <xf numFmtId="198" fontId="23" fillId="0" borderId="45" xfId="1" applyNumberFormat="1" applyFont="1" applyFill="1" applyBorder="1" applyAlignment="1">
      <alignment horizontal="left" vertical="top" wrapText="1"/>
    </xf>
    <xf numFmtId="198" fontId="23" fillId="0" borderId="47" xfId="1" applyNumberFormat="1" applyFont="1" applyFill="1" applyBorder="1" applyAlignment="1">
      <alignment horizontal="left" vertical="top" wrapText="1"/>
    </xf>
    <xf numFmtId="198" fontId="23" fillId="0" borderId="40" xfId="1" applyNumberFormat="1" applyFont="1" applyFill="1" applyBorder="1" applyAlignment="1">
      <alignment horizontal="left" vertical="top" wrapText="1"/>
    </xf>
    <xf numFmtId="198" fontId="23" fillId="0" borderId="28" xfId="1" applyNumberFormat="1" applyFont="1" applyFill="1" applyBorder="1" applyAlignment="1">
      <alignment horizontal="left" vertical="top" wrapText="1"/>
    </xf>
    <xf numFmtId="185" fontId="23" fillId="0" borderId="45" xfId="1" applyFont="1" applyFill="1" applyBorder="1" applyAlignment="1">
      <alignment horizontal="center"/>
    </xf>
    <xf numFmtId="185" fontId="23" fillId="0" borderId="47" xfId="1" applyFont="1" applyFill="1" applyBorder="1" applyAlignment="1">
      <alignment horizontal="center"/>
    </xf>
    <xf numFmtId="185" fontId="23" fillId="0" borderId="40" xfId="1" applyFont="1" applyFill="1" applyBorder="1" applyAlignment="1">
      <alignment horizontal="center"/>
    </xf>
    <xf numFmtId="190" fontId="23" fillId="0" borderId="28" xfId="1" applyNumberFormat="1" applyFont="1" applyFill="1" applyBorder="1" applyAlignment="1">
      <alignment horizontal="center" vertical="top" wrapText="1"/>
    </xf>
    <xf numFmtId="185" fontId="34" fillId="0" borderId="0" xfId="1" applyFont="1" applyFill="1" applyBorder="1" applyAlignment="1">
      <alignment horizontal="left"/>
    </xf>
    <xf numFmtId="185" fontId="32" fillId="6" borderId="28" xfId="1" applyFont="1" applyFill="1" applyBorder="1" applyAlignment="1">
      <alignment horizontal="center" vertical="center"/>
    </xf>
    <xf numFmtId="185" fontId="23" fillId="6" borderId="28" xfId="1" applyFont="1" applyFill="1" applyBorder="1"/>
    <xf numFmtId="17" fontId="23" fillId="0" borderId="28" xfId="7" applyNumberFormat="1" applyFont="1" applyFill="1" applyBorder="1" applyAlignment="1">
      <alignment horizontal="center" vertical="top" wrapText="1"/>
    </xf>
    <xf numFmtId="0" fontId="23" fillId="0" borderId="28" xfId="7" applyNumberFormat="1" applyFont="1" applyFill="1" applyBorder="1" applyAlignment="1">
      <alignment horizontal="center" vertical="top" wrapText="1"/>
    </xf>
    <xf numFmtId="185" fontId="23" fillId="0" borderId="28" xfId="1" applyFont="1" applyFill="1" applyBorder="1" applyAlignment="1">
      <alignment horizontal="center" vertical="center" wrapText="1"/>
    </xf>
    <xf numFmtId="185" fontId="23" fillId="0" borderId="41" xfId="1" applyFont="1" applyFill="1" applyBorder="1" applyAlignment="1">
      <alignment horizontal="center" vertical="center" wrapText="1"/>
    </xf>
    <xf numFmtId="185" fontId="32" fillId="0" borderId="49" xfId="1" applyFont="1" applyFill="1" applyBorder="1" applyAlignment="1">
      <alignment horizontal="center" vertical="top"/>
    </xf>
    <xf numFmtId="185" fontId="32" fillId="0" borderId="47" xfId="1" applyFont="1" applyFill="1" applyBorder="1" applyAlignment="1">
      <alignment horizontal="center" vertical="top"/>
    </xf>
    <xf numFmtId="185" fontId="32" fillId="0" borderId="40" xfId="1" applyFont="1" applyFill="1" applyBorder="1" applyAlignment="1">
      <alignment horizontal="center" vertical="top"/>
    </xf>
    <xf numFmtId="198" fontId="32" fillId="0" borderId="45" xfId="1" applyNumberFormat="1" applyFont="1" applyFill="1" applyBorder="1" applyAlignment="1">
      <alignment horizontal="center" vertical="top"/>
    </xf>
    <xf numFmtId="198" fontId="32" fillId="0" borderId="47" xfId="1" applyNumberFormat="1" applyFont="1" applyFill="1" applyBorder="1" applyAlignment="1">
      <alignment horizontal="center" vertical="top"/>
    </xf>
    <xf numFmtId="185" fontId="32" fillId="0" borderId="28" xfId="1" applyFont="1" applyFill="1" applyBorder="1" applyAlignment="1">
      <alignment horizontal="center" vertical="top"/>
    </xf>
    <xf numFmtId="0" fontId="18" fillId="0" borderId="0" xfId="1" applyNumberFormat="1" applyFont="1" applyFill="1" applyAlignment="1">
      <alignment horizontal="left" wrapText="1"/>
    </xf>
    <xf numFmtId="185" fontId="34" fillId="8" borderId="45" xfId="4" applyFont="1" applyFill="1" applyBorder="1" applyAlignment="1">
      <alignment horizontal="left" vertical="top"/>
    </xf>
    <xf numFmtId="185" fontId="34" fillId="8" borderId="47" xfId="4" applyFont="1" applyFill="1" applyBorder="1" applyAlignment="1">
      <alignment horizontal="left" vertical="top"/>
    </xf>
    <xf numFmtId="0" fontId="0" fillId="0" borderId="47" xfId="0" applyBorder="1"/>
    <xf numFmtId="166" fontId="22" fillId="8" borderId="45" xfId="4" applyNumberFormat="1" applyFont="1" applyFill="1" applyBorder="1" applyAlignment="1">
      <alignment horizontal="center" vertical="center" wrapText="1"/>
    </xf>
    <xf numFmtId="166" fontId="22" fillId="8" borderId="40" xfId="4" applyNumberFormat="1" applyFont="1" applyFill="1" applyBorder="1" applyAlignment="1">
      <alignment horizontal="center" vertical="center" wrapText="1"/>
    </xf>
    <xf numFmtId="185" fontId="22" fillId="0" borderId="47" xfId="4" applyFont="1" applyBorder="1" applyAlignment="1"/>
    <xf numFmtId="0" fontId="0" fillId="0" borderId="40" xfId="0" applyBorder="1" applyAlignment="1"/>
    <xf numFmtId="185" fontId="34" fillId="8" borderId="45" xfId="4" applyFont="1" applyFill="1" applyBorder="1" applyAlignment="1">
      <alignment horizontal="left" vertical="top" wrapText="1"/>
    </xf>
    <xf numFmtId="185" fontId="34" fillId="8" borderId="47" xfId="4" applyFont="1" applyFill="1" applyBorder="1" applyAlignment="1">
      <alignment horizontal="left" vertical="top" wrapText="1"/>
    </xf>
    <xf numFmtId="189" fontId="22" fillId="8" borderId="45" xfId="11" applyNumberFormat="1" applyFont="1" applyFill="1" applyBorder="1" applyAlignment="1">
      <alignment horizontal="center" wrapText="1"/>
    </xf>
    <xf numFmtId="189" fontId="22" fillId="8" borderId="40" xfId="11" applyNumberFormat="1" applyFont="1" applyFill="1" applyBorder="1" applyAlignment="1">
      <alignment horizontal="center" wrapText="1"/>
    </xf>
    <xf numFmtId="185" fontId="19" fillId="0" borderId="0" xfId="4" applyFont="1" applyBorder="1" applyAlignment="1">
      <alignment horizontal="left" vertical="center" wrapText="1"/>
    </xf>
    <xf numFmtId="185" fontId="19" fillId="0" borderId="0" xfId="4" applyFont="1" applyFill="1" applyBorder="1" applyAlignment="1">
      <alignment horizontal="left" vertical="center" wrapText="1"/>
    </xf>
  </cellXfs>
  <cellStyles count="14">
    <cellStyle name="Comma" xfId="13" builtinId="3"/>
    <cellStyle name="Comma 2" xfId="7"/>
    <cellStyle name="Hyperlink" xfId="12" builtinId="8"/>
    <cellStyle name="Indian Comma" xfId="6"/>
    <cellStyle name="Normal" xfId="0" builtinId="0"/>
    <cellStyle name="Normal 2" xfId="1"/>
    <cellStyle name="Normal 3" xfId="10"/>
    <cellStyle name="Normal 3 144" xfId="8"/>
    <cellStyle name="Normal 5" xfId="3"/>
    <cellStyle name="Normal 6" xfId="11"/>
    <cellStyle name="Normal 60" xfId="9"/>
    <cellStyle name="Normal 8" xfId="2"/>
    <cellStyle name="Normal_tables-oct" xfId="4"/>
    <cellStyle name="Percent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6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67.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69.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70.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71.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72.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73.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74.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75.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76.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78"/>
  <sheetViews>
    <sheetView zoomScaleNormal="100" workbookViewId="0">
      <selection activeCell="A21" sqref="A21"/>
    </sheetView>
  </sheetViews>
  <sheetFormatPr defaultRowHeight="12.75" x14ac:dyDescent="0.2"/>
  <cols>
    <col min="1" max="1" width="102.140625" bestFit="1" customWidth="1"/>
    <col min="2" max="2" width="21.140625" bestFit="1" customWidth="1"/>
    <col min="3" max="3" width="4.7109375" bestFit="1" customWidth="1"/>
  </cols>
  <sheetData>
    <row r="1" spans="1:2" ht="15.75" customHeight="1" x14ac:dyDescent="0.2">
      <c r="A1" s="1" t="s">
        <v>0</v>
      </c>
    </row>
    <row r="2" spans="1:2" s="5" customFormat="1" ht="18.75" customHeight="1" x14ac:dyDescent="0.2">
      <c r="A2" s="2" t="s">
        <v>1</v>
      </c>
      <c r="B2" s="2" t="s">
        <v>2</v>
      </c>
    </row>
    <row r="3" spans="1:2" s="5" customFormat="1" ht="18" customHeight="1" x14ac:dyDescent="0.2">
      <c r="A3" s="3" t="s">
        <v>3</v>
      </c>
      <c r="B3" s="3" t="s">
        <v>4</v>
      </c>
    </row>
    <row r="4" spans="1:2" s="5" customFormat="1" ht="18" customHeight="1" x14ac:dyDescent="0.2">
      <c r="A4" s="3" t="s">
        <v>5</v>
      </c>
      <c r="B4" s="3" t="s">
        <v>4</v>
      </c>
    </row>
    <row r="5" spans="1:2" s="5" customFormat="1" ht="18" customHeight="1" x14ac:dyDescent="0.2">
      <c r="A5" s="3" t="s">
        <v>6</v>
      </c>
      <c r="B5" s="3" t="s">
        <v>4</v>
      </c>
    </row>
    <row r="6" spans="1:2" s="5" customFormat="1" ht="18" customHeight="1" x14ac:dyDescent="0.2">
      <c r="A6" s="3" t="s">
        <v>7</v>
      </c>
      <c r="B6" s="3" t="s">
        <v>4</v>
      </c>
    </row>
    <row r="7" spans="1:2" s="5" customFormat="1" ht="18" customHeight="1" x14ac:dyDescent="0.2">
      <c r="A7" s="3" t="s">
        <v>8</v>
      </c>
      <c r="B7" s="3" t="s">
        <v>4</v>
      </c>
    </row>
    <row r="8" spans="1:2" s="5" customFormat="1" ht="18" customHeight="1" x14ac:dyDescent="0.2">
      <c r="A8" s="3" t="s">
        <v>9</v>
      </c>
      <c r="B8" s="3" t="s">
        <v>4</v>
      </c>
    </row>
    <row r="9" spans="1:2" s="5" customFormat="1" ht="18" customHeight="1" x14ac:dyDescent="0.2">
      <c r="A9" s="3" t="s">
        <v>10</v>
      </c>
      <c r="B9" s="3" t="s">
        <v>4</v>
      </c>
    </row>
    <row r="10" spans="1:2" s="5" customFormat="1" ht="18" customHeight="1" x14ac:dyDescent="0.2">
      <c r="A10" s="3" t="s">
        <v>11</v>
      </c>
      <c r="B10" s="3" t="s">
        <v>4</v>
      </c>
    </row>
    <row r="11" spans="1:2" s="5" customFormat="1" ht="18" customHeight="1" x14ac:dyDescent="0.2">
      <c r="A11" s="3" t="s">
        <v>12</v>
      </c>
      <c r="B11" s="3" t="s">
        <v>4</v>
      </c>
    </row>
    <row r="12" spans="1:2" s="5" customFormat="1" ht="18" customHeight="1" x14ac:dyDescent="0.2">
      <c r="A12" s="3" t="s">
        <v>13</v>
      </c>
      <c r="B12" s="3" t="s">
        <v>4</v>
      </c>
    </row>
    <row r="13" spans="1:2" s="5" customFormat="1" ht="18" customHeight="1" x14ac:dyDescent="0.2">
      <c r="A13" s="3" t="s">
        <v>14</v>
      </c>
      <c r="B13" s="3" t="s">
        <v>4</v>
      </c>
    </row>
    <row r="14" spans="1:2" s="5" customFormat="1" ht="18" customHeight="1" x14ac:dyDescent="0.2">
      <c r="A14" s="3" t="s">
        <v>15</v>
      </c>
      <c r="B14" s="3" t="s">
        <v>4</v>
      </c>
    </row>
    <row r="15" spans="1:2" s="5" customFormat="1" ht="18" customHeight="1" x14ac:dyDescent="0.2">
      <c r="A15" s="3" t="s">
        <v>16</v>
      </c>
      <c r="B15" s="3" t="s">
        <v>4</v>
      </c>
    </row>
    <row r="16" spans="1:2" s="5" customFormat="1" ht="18" customHeight="1" x14ac:dyDescent="0.2">
      <c r="A16" s="3" t="s">
        <v>17</v>
      </c>
      <c r="B16" s="3" t="s">
        <v>4</v>
      </c>
    </row>
    <row r="17" spans="1:2" s="5" customFormat="1" ht="18" customHeight="1" x14ac:dyDescent="0.2">
      <c r="A17" s="3" t="s">
        <v>18</v>
      </c>
      <c r="B17" s="3" t="s">
        <v>4</v>
      </c>
    </row>
    <row r="18" spans="1:2" s="5" customFormat="1" ht="18" customHeight="1" x14ac:dyDescent="0.2">
      <c r="A18" s="3" t="s">
        <v>19</v>
      </c>
      <c r="B18" s="3" t="s">
        <v>4</v>
      </c>
    </row>
    <row r="19" spans="1:2" s="5" customFormat="1" ht="18" customHeight="1" x14ac:dyDescent="0.2">
      <c r="A19" s="3" t="s">
        <v>20</v>
      </c>
      <c r="B19" s="3" t="s">
        <v>4</v>
      </c>
    </row>
    <row r="20" spans="1:2" s="5" customFormat="1" ht="18" customHeight="1" x14ac:dyDescent="0.2">
      <c r="A20" s="3" t="s">
        <v>21</v>
      </c>
      <c r="B20" s="3" t="s">
        <v>4</v>
      </c>
    </row>
    <row r="21" spans="1:2" s="5" customFormat="1" ht="18" customHeight="1" x14ac:dyDescent="0.2">
      <c r="A21" s="3" t="s">
        <v>22</v>
      </c>
      <c r="B21" s="3" t="s">
        <v>4</v>
      </c>
    </row>
    <row r="22" spans="1:2" s="5" customFormat="1" ht="18" customHeight="1" x14ac:dyDescent="0.2">
      <c r="A22" s="3" t="s">
        <v>23</v>
      </c>
      <c r="B22" s="3" t="s">
        <v>4</v>
      </c>
    </row>
    <row r="23" spans="1:2" s="5" customFormat="1" ht="18" customHeight="1" x14ac:dyDescent="0.2">
      <c r="A23" s="3" t="s">
        <v>24</v>
      </c>
      <c r="B23" s="3" t="s">
        <v>4</v>
      </c>
    </row>
    <row r="24" spans="1:2" s="5" customFormat="1" ht="18" customHeight="1" x14ac:dyDescent="0.2">
      <c r="A24" s="3" t="s">
        <v>25</v>
      </c>
      <c r="B24" s="3" t="s">
        <v>4</v>
      </c>
    </row>
    <row r="25" spans="1:2" s="5" customFormat="1" ht="18" customHeight="1" x14ac:dyDescent="0.2">
      <c r="A25" s="3" t="s">
        <v>26</v>
      </c>
      <c r="B25" s="3" t="s">
        <v>4</v>
      </c>
    </row>
    <row r="26" spans="1:2" s="5" customFormat="1" ht="18" customHeight="1" x14ac:dyDescent="0.2">
      <c r="A26" s="3" t="s">
        <v>27</v>
      </c>
      <c r="B26" s="3" t="s">
        <v>4</v>
      </c>
    </row>
    <row r="27" spans="1:2" s="5" customFormat="1" ht="18" customHeight="1" x14ac:dyDescent="0.2">
      <c r="A27" s="3" t="s">
        <v>28</v>
      </c>
      <c r="B27" s="3" t="s">
        <v>4</v>
      </c>
    </row>
    <row r="28" spans="1:2" s="5" customFormat="1" ht="18" customHeight="1" x14ac:dyDescent="0.2">
      <c r="A28" s="3" t="s">
        <v>29</v>
      </c>
      <c r="B28" s="3" t="s">
        <v>4</v>
      </c>
    </row>
    <row r="29" spans="1:2" s="5" customFormat="1" ht="18" customHeight="1" x14ac:dyDescent="0.2">
      <c r="A29" s="3" t="s">
        <v>30</v>
      </c>
      <c r="B29" s="3" t="s">
        <v>4</v>
      </c>
    </row>
    <row r="30" spans="1:2" s="5" customFormat="1" ht="18" customHeight="1" x14ac:dyDescent="0.2">
      <c r="A30" s="3" t="s">
        <v>31</v>
      </c>
      <c r="B30" s="3" t="s">
        <v>4</v>
      </c>
    </row>
    <row r="31" spans="1:2" s="5" customFormat="1" ht="18" customHeight="1" x14ac:dyDescent="0.2">
      <c r="A31" s="3" t="s">
        <v>32</v>
      </c>
      <c r="B31" s="3" t="s">
        <v>4</v>
      </c>
    </row>
    <row r="32" spans="1:2" s="5" customFormat="1" ht="18" customHeight="1" x14ac:dyDescent="0.2">
      <c r="A32" s="3" t="s">
        <v>33</v>
      </c>
      <c r="B32" s="3" t="s">
        <v>4</v>
      </c>
    </row>
    <row r="33" spans="1:2" s="5" customFormat="1" ht="18" customHeight="1" x14ac:dyDescent="0.2">
      <c r="A33" s="3" t="s">
        <v>34</v>
      </c>
      <c r="B33" s="3" t="s">
        <v>4</v>
      </c>
    </row>
    <row r="34" spans="1:2" s="5" customFormat="1" ht="18" customHeight="1" x14ac:dyDescent="0.2">
      <c r="A34" s="3" t="s">
        <v>35</v>
      </c>
      <c r="B34" s="3" t="s">
        <v>4</v>
      </c>
    </row>
    <row r="35" spans="1:2" s="5" customFormat="1" ht="18" customHeight="1" x14ac:dyDescent="0.2">
      <c r="A35" s="3" t="s">
        <v>36</v>
      </c>
      <c r="B35" s="3" t="s">
        <v>4</v>
      </c>
    </row>
    <row r="36" spans="1:2" s="5" customFormat="1" ht="18" customHeight="1" x14ac:dyDescent="0.2">
      <c r="A36" s="3" t="s">
        <v>37</v>
      </c>
      <c r="B36" s="3" t="s">
        <v>4</v>
      </c>
    </row>
    <row r="37" spans="1:2" s="5" customFormat="1" ht="18" customHeight="1" x14ac:dyDescent="0.2">
      <c r="A37" s="3" t="s">
        <v>38</v>
      </c>
      <c r="B37" s="3" t="s">
        <v>4</v>
      </c>
    </row>
    <row r="38" spans="1:2" s="5" customFormat="1" ht="18" customHeight="1" x14ac:dyDescent="0.2">
      <c r="A38" s="3" t="s">
        <v>39</v>
      </c>
      <c r="B38" s="3" t="s">
        <v>4</v>
      </c>
    </row>
    <row r="39" spans="1:2" s="5" customFormat="1" ht="18" customHeight="1" x14ac:dyDescent="0.2">
      <c r="A39" s="3" t="s">
        <v>40</v>
      </c>
      <c r="B39" s="3" t="s">
        <v>4</v>
      </c>
    </row>
    <row r="40" spans="1:2" s="5" customFormat="1" ht="18" customHeight="1" x14ac:dyDescent="0.2">
      <c r="A40" s="3" t="s">
        <v>41</v>
      </c>
      <c r="B40" s="3" t="s">
        <v>4</v>
      </c>
    </row>
    <row r="41" spans="1:2" s="5" customFormat="1" ht="18" customHeight="1" x14ac:dyDescent="0.2">
      <c r="A41" s="3" t="s">
        <v>42</v>
      </c>
      <c r="B41" s="3" t="s">
        <v>4</v>
      </c>
    </row>
    <row r="42" spans="1:2" s="5" customFormat="1" ht="18" customHeight="1" x14ac:dyDescent="0.2">
      <c r="A42" s="3" t="s">
        <v>43</v>
      </c>
      <c r="B42" s="3" t="s">
        <v>4</v>
      </c>
    </row>
    <row r="43" spans="1:2" s="5" customFormat="1" ht="18" customHeight="1" x14ac:dyDescent="0.2">
      <c r="A43" s="3" t="s">
        <v>44</v>
      </c>
      <c r="B43" s="3" t="s">
        <v>4</v>
      </c>
    </row>
    <row r="44" spans="1:2" s="5" customFormat="1" ht="18" customHeight="1" x14ac:dyDescent="0.2">
      <c r="A44" s="3" t="s">
        <v>45</v>
      </c>
      <c r="B44" s="3" t="s">
        <v>4</v>
      </c>
    </row>
    <row r="45" spans="1:2" s="5" customFormat="1" ht="18" customHeight="1" x14ac:dyDescent="0.2">
      <c r="A45" s="3" t="s">
        <v>46</v>
      </c>
      <c r="B45" s="3" t="s">
        <v>4</v>
      </c>
    </row>
    <row r="46" spans="1:2" s="5" customFormat="1" ht="18" customHeight="1" x14ac:dyDescent="0.2">
      <c r="A46" s="3" t="s">
        <v>47</v>
      </c>
      <c r="B46" s="3" t="s">
        <v>4</v>
      </c>
    </row>
    <row r="47" spans="1:2" s="5" customFormat="1" ht="18" customHeight="1" x14ac:dyDescent="0.2">
      <c r="A47" s="3" t="s">
        <v>48</v>
      </c>
      <c r="B47" s="3" t="s">
        <v>4</v>
      </c>
    </row>
    <row r="48" spans="1:2" s="5" customFormat="1" ht="18" customHeight="1" x14ac:dyDescent="0.2">
      <c r="A48" s="3" t="s">
        <v>49</v>
      </c>
      <c r="B48" s="3" t="s">
        <v>4</v>
      </c>
    </row>
    <row r="49" spans="1:2" s="5" customFormat="1" ht="18" customHeight="1" x14ac:dyDescent="0.2">
      <c r="A49" s="3" t="s">
        <v>50</v>
      </c>
      <c r="B49" s="3" t="s">
        <v>4</v>
      </c>
    </row>
    <row r="50" spans="1:2" s="5" customFormat="1" ht="18" customHeight="1" x14ac:dyDescent="0.2">
      <c r="A50" s="3" t="s">
        <v>51</v>
      </c>
      <c r="B50" s="3" t="s">
        <v>4</v>
      </c>
    </row>
    <row r="51" spans="1:2" s="5" customFormat="1" ht="18" customHeight="1" x14ac:dyDescent="0.2">
      <c r="A51" s="3" t="s">
        <v>52</v>
      </c>
      <c r="B51" s="3" t="s">
        <v>4</v>
      </c>
    </row>
    <row r="52" spans="1:2" s="5" customFormat="1" ht="18" customHeight="1" x14ac:dyDescent="0.2">
      <c r="A52" s="3" t="s">
        <v>53</v>
      </c>
      <c r="B52" s="3" t="s">
        <v>4</v>
      </c>
    </row>
    <row r="53" spans="1:2" s="5" customFormat="1" ht="18" customHeight="1" x14ac:dyDescent="0.2">
      <c r="A53" s="3" t="s">
        <v>54</v>
      </c>
      <c r="B53" s="3" t="s">
        <v>4</v>
      </c>
    </row>
    <row r="54" spans="1:2" s="5" customFormat="1" ht="18" customHeight="1" x14ac:dyDescent="0.2">
      <c r="A54" s="3" t="s">
        <v>55</v>
      </c>
      <c r="B54" s="3" t="s">
        <v>4</v>
      </c>
    </row>
    <row r="55" spans="1:2" s="5" customFormat="1" ht="18" customHeight="1" x14ac:dyDescent="0.2">
      <c r="A55" s="3" t="s">
        <v>56</v>
      </c>
      <c r="B55" s="3" t="s">
        <v>4</v>
      </c>
    </row>
    <row r="56" spans="1:2" s="5" customFormat="1" ht="18" customHeight="1" x14ac:dyDescent="0.2">
      <c r="A56" s="3" t="s">
        <v>57</v>
      </c>
      <c r="B56" s="3" t="s">
        <v>58</v>
      </c>
    </row>
    <row r="57" spans="1:2" s="5" customFormat="1" ht="18" customHeight="1" x14ac:dyDescent="0.2">
      <c r="A57" s="3" t="s">
        <v>59</v>
      </c>
      <c r="B57" s="3" t="s">
        <v>4</v>
      </c>
    </row>
    <row r="58" spans="1:2" s="5" customFormat="1" ht="18" customHeight="1" x14ac:dyDescent="0.2">
      <c r="A58" s="3" t="s">
        <v>60</v>
      </c>
      <c r="B58" s="3" t="s">
        <v>4</v>
      </c>
    </row>
    <row r="59" spans="1:2" s="5" customFormat="1" ht="18" customHeight="1" x14ac:dyDescent="0.2">
      <c r="A59" s="3" t="s">
        <v>61</v>
      </c>
      <c r="B59" s="3" t="s">
        <v>4</v>
      </c>
    </row>
    <row r="60" spans="1:2" s="5" customFormat="1" ht="18" customHeight="1" x14ac:dyDescent="0.2">
      <c r="A60" s="3" t="s">
        <v>62</v>
      </c>
      <c r="B60" s="3" t="s">
        <v>4</v>
      </c>
    </row>
    <row r="61" spans="1:2" s="5" customFormat="1" ht="18" customHeight="1" x14ac:dyDescent="0.2">
      <c r="A61" s="3" t="s">
        <v>63</v>
      </c>
      <c r="B61" s="3" t="s">
        <v>4</v>
      </c>
    </row>
    <row r="62" spans="1:2" s="5" customFormat="1" ht="18" customHeight="1" x14ac:dyDescent="0.2">
      <c r="A62" s="3" t="s">
        <v>64</v>
      </c>
      <c r="B62" s="3" t="s">
        <v>4</v>
      </c>
    </row>
    <row r="63" spans="1:2" s="5" customFormat="1" ht="18" customHeight="1" x14ac:dyDescent="0.2">
      <c r="A63" s="3" t="s">
        <v>65</v>
      </c>
      <c r="B63" s="3" t="s">
        <v>4</v>
      </c>
    </row>
    <row r="64" spans="1:2" s="5" customFormat="1" ht="18" customHeight="1" x14ac:dyDescent="0.2">
      <c r="A64" s="3" t="s">
        <v>66</v>
      </c>
      <c r="B64" s="3" t="s">
        <v>4</v>
      </c>
    </row>
    <row r="65" spans="1:2" s="5" customFormat="1" ht="18" customHeight="1" x14ac:dyDescent="0.2">
      <c r="A65" s="3" t="s">
        <v>67</v>
      </c>
      <c r="B65" s="3" t="s">
        <v>4</v>
      </c>
    </row>
    <row r="66" spans="1:2" s="5" customFormat="1" ht="18" customHeight="1" x14ac:dyDescent="0.2">
      <c r="A66" s="3" t="s">
        <v>68</v>
      </c>
      <c r="B66" s="3" t="s">
        <v>4</v>
      </c>
    </row>
    <row r="67" spans="1:2" s="5" customFormat="1" ht="18" customHeight="1" x14ac:dyDescent="0.2">
      <c r="A67" s="3" t="s">
        <v>878</v>
      </c>
      <c r="B67" s="3" t="s">
        <v>4</v>
      </c>
    </row>
    <row r="68" spans="1:2" s="5" customFormat="1" ht="18" customHeight="1" x14ac:dyDescent="0.2">
      <c r="A68" s="3" t="s">
        <v>885</v>
      </c>
      <c r="B68" s="3" t="s">
        <v>4</v>
      </c>
    </row>
    <row r="69" spans="1:2" s="5" customFormat="1" ht="18" customHeight="1" x14ac:dyDescent="0.2">
      <c r="A69" s="3" t="s">
        <v>887</v>
      </c>
      <c r="B69" s="3" t="s">
        <v>4</v>
      </c>
    </row>
    <row r="70" spans="1:2" s="5" customFormat="1" ht="18" customHeight="1" x14ac:dyDescent="0.2">
      <c r="A70" s="3" t="s">
        <v>908</v>
      </c>
      <c r="B70" s="3" t="s">
        <v>4</v>
      </c>
    </row>
    <row r="71" spans="1:2" s="5" customFormat="1" ht="18" customHeight="1" x14ac:dyDescent="0.2">
      <c r="A71" s="3" t="s">
        <v>915</v>
      </c>
      <c r="B71" s="3" t="s">
        <v>4</v>
      </c>
    </row>
    <row r="72" spans="1:2" s="5" customFormat="1" ht="18" customHeight="1" x14ac:dyDescent="0.2">
      <c r="A72" s="3" t="s">
        <v>924</v>
      </c>
      <c r="B72" s="3" t="s">
        <v>4</v>
      </c>
    </row>
    <row r="73" spans="1:2" s="5" customFormat="1" ht="18" customHeight="1" x14ac:dyDescent="0.2">
      <c r="A73" s="3" t="s">
        <v>932</v>
      </c>
      <c r="B73" s="3" t="s">
        <v>4</v>
      </c>
    </row>
    <row r="74" spans="1:2" s="5" customFormat="1" ht="18" customHeight="1" x14ac:dyDescent="0.2">
      <c r="A74" s="3" t="s">
        <v>933</v>
      </c>
      <c r="B74" s="3" t="s">
        <v>4</v>
      </c>
    </row>
    <row r="75" spans="1:2" s="5" customFormat="1" ht="18" customHeight="1" x14ac:dyDescent="0.2">
      <c r="A75" s="3" t="s">
        <v>940</v>
      </c>
      <c r="B75" s="3" t="s">
        <v>4</v>
      </c>
    </row>
    <row r="76" spans="1:2" s="5" customFormat="1" ht="18" customHeight="1" x14ac:dyDescent="0.2">
      <c r="A76" s="3" t="s">
        <v>960</v>
      </c>
      <c r="B76" s="3" t="s">
        <v>4</v>
      </c>
    </row>
    <row r="77" spans="1:2" s="5" customFormat="1" ht="18" customHeight="1" x14ac:dyDescent="0.2">
      <c r="A77" s="3" t="s">
        <v>966</v>
      </c>
      <c r="B77" s="3" t="s">
        <v>4</v>
      </c>
    </row>
    <row r="78" spans="1:2" s="5" customFormat="1" ht="18" customHeight="1" x14ac:dyDescent="0.2">
      <c r="A78" s="3" t="s">
        <v>1015</v>
      </c>
      <c r="B78" s="3" t="s">
        <v>4</v>
      </c>
    </row>
  </sheetData>
  <customSheetViews>
    <customSheetView guid="{B9B27D37-53F8-4AD8-9221-6458C3026417}" fitToPage="1" topLeftCell="A64">
      <selection activeCell="A21" sqref="A2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topLeftCell="A64">
      <selection activeCell="A21" sqref="A2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E40"/>
  <sheetViews>
    <sheetView topLeftCell="A7" zoomScaleNormal="100" workbookViewId="0">
      <selection activeCell="C16" sqref="C16"/>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x14ac:dyDescent="0.2">
      <c r="A1" s="369" t="s">
        <v>3</v>
      </c>
      <c r="B1" s="369"/>
      <c r="C1" s="369"/>
      <c r="D1" s="369"/>
    </row>
    <row r="2" spans="1:4" s="5" customFormat="1" ht="19.5" customHeight="1" x14ac:dyDescent="0.2">
      <c r="A2" s="7" t="s">
        <v>1048</v>
      </c>
      <c r="B2" s="2" t="s">
        <v>69</v>
      </c>
      <c r="C2" s="2" t="s">
        <v>70</v>
      </c>
    </row>
    <row r="3" spans="1:4" s="5" customFormat="1" ht="18" customHeight="1" x14ac:dyDescent="0.2">
      <c r="A3" s="3" t="s">
        <v>71</v>
      </c>
      <c r="B3" s="8">
        <v>5</v>
      </c>
      <c r="C3" s="8">
        <v>5</v>
      </c>
    </row>
    <row r="4" spans="1:4" s="5" customFormat="1" ht="18" customHeight="1" x14ac:dyDescent="0.2">
      <c r="A4" s="3" t="s">
        <v>72</v>
      </c>
      <c r="B4" s="8">
        <v>3</v>
      </c>
      <c r="C4" s="8">
        <v>3</v>
      </c>
    </row>
    <row r="5" spans="1:4" s="5" customFormat="1" ht="18" customHeight="1" x14ac:dyDescent="0.2">
      <c r="A5" s="3" t="s">
        <v>73</v>
      </c>
      <c r="B5" s="8">
        <v>3</v>
      </c>
      <c r="C5" s="8">
        <v>3</v>
      </c>
    </row>
    <row r="6" spans="1:4" s="5" customFormat="1" ht="18" customHeight="1" x14ac:dyDescent="0.2">
      <c r="A6" s="3" t="s">
        <v>74</v>
      </c>
      <c r="B6" s="8">
        <v>6</v>
      </c>
      <c r="C6" s="8">
        <v>5</v>
      </c>
    </row>
    <row r="7" spans="1:4" s="5" customFormat="1" ht="18" customHeight="1" x14ac:dyDescent="0.2">
      <c r="A7" s="3" t="s">
        <v>75</v>
      </c>
      <c r="B7" s="8">
        <v>3038</v>
      </c>
      <c r="C7" s="8">
        <v>2549</v>
      </c>
    </row>
    <row r="8" spans="1:4" s="5" customFormat="1" ht="18" customHeight="1" x14ac:dyDescent="0.2">
      <c r="A8" s="3" t="s">
        <v>76</v>
      </c>
      <c r="B8" s="8">
        <v>2549</v>
      </c>
      <c r="C8" s="8">
        <v>2502</v>
      </c>
    </row>
    <row r="9" spans="1:4" s="5" customFormat="1" ht="18" customHeight="1" x14ac:dyDescent="0.2">
      <c r="A9" s="3" t="s">
        <v>77</v>
      </c>
      <c r="B9" s="8">
        <v>2245</v>
      </c>
      <c r="C9" s="8">
        <v>2162</v>
      </c>
    </row>
    <row r="10" spans="1:4" s="5" customFormat="1" ht="18" customHeight="1" x14ac:dyDescent="0.2">
      <c r="A10" s="3" t="s">
        <v>78</v>
      </c>
      <c r="B10" s="8">
        <v>162</v>
      </c>
      <c r="C10" s="8">
        <v>179</v>
      </c>
    </row>
    <row r="11" spans="1:4" s="5" customFormat="1" ht="18" customHeight="1" x14ac:dyDescent="0.2">
      <c r="A11" s="3" t="s">
        <v>79</v>
      </c>
      <c r="B11" s="8">
        <v>1200</v>
      </c>
      <c r="C11" s="8">
        <v>1670</v>
      </c>
    </row>
    <row r="12" spans="1:4" s="5" customFormat="1" ht="18" customHeight="1" x14ac:dyDescent="0.2">
      <c r="A12" s="3" t="s">
        <v>80</v>
      </c>
      <c r="B12" s="8">
        <v>2647</v>
      </c>
      <c r="C12" s="8">
        <v>2223</v>
      </c>
    </row>
    <row r="13" spans="1:4" s="5" customFormat="1" ht="18" customHeight="1" x14ac:dyDescent="0.2">
      <c r="A13" s="3" t="s">
        <v>81</v>
      </c>
      <c r="B13" s="8">
        <v>9227</v>
      </c>
      <c r="C13" s="8">
        <v>9410</v>
      </c>
    </row>
    <row r="14" spans="1:4" s="5" customFormat="1" ht="18" customHeight="1" x14ac:dyDescent="0.2">
      <c r="A14" s="3" t="s">
        <v>82</v>
      </c>
      <c r="B14" s="8">
        <v>19</v>
      </c>
      <c r="C14" s="8">
        <v>20</v>
      </c>
    </row>
    <row r="15" spans="1:4" s="5" customFormat="1" ht="18" customHeight="1" x14ac:dyDescent="0.2">
      <c r="A15" s="3" t="s">
        <v>83</v>
      </c>
      <c r="B15" s="8">
        <v>2</v>
      </c>
      <c r="C15" s="8">
        <v>2</v>
      </c>
    </row>
    <row r="16" spans="1:4" s="5" customFormat="1" ht="18" customHeight="1" x14ac:dyDescent="0.2">
      <c r="A16" s="3" t="s">
        <v>84</v>
      </c>
      <c r="B16" s="8">
        <v>276</v>
      </c>
      <c r="C16" s="8">
        <v>277</v>
      </c>
    </row>
    <row r="17" spans="1:3" s="5" customFormat="1" ht="18" customHeight="1" x14ac:dyDescent="0.2">
      <c r="A17" s="3" t="s">
        <v>85</v>
      </c>
      <c r="B17" s="8">
        <v>594</v>
      </c>
      <c r="C17" s="8">
        <v>599</v>
      </c>
    </row>
    <row r="18" spans="1:3" s="5" customFormat="1" ht="18" customHeight="1" x14ac:dyDescent="0.2">
      <c r="A18" s="3" t="s">
        <v>86</v>
      </c>
      <c r="B18" s="8">
        <v>195</v>
      </c>
      <c r="C18" s="8">
        <v>208</v>
      </c>
    </row>
    <row r="19" spans="1:3" s="5" customFormat="1" ht="18" customHeight="1" x14ac:dyDescent="0.2">
      <c r="A19" s="3" t="s">
        <v>87</v>
      </c>
      <c r="B19" s="8">
        <v>66</v>
      </c>
      <c r="C19" s="8">
        <v>66</v>
      </c>
    </row>
    <row r="20" spans="1:3" s="5" customFormat="1" ht="18" customHeight="1" x14ac:dyDescent="0.2">
      <c r="A20" s="3" t="s">
        <v>88</v>
      </c>
      <c r="B20" s="8">
        <v>1</v>
      </c>
      <c r="C20" s="8">
        <v>2</v>
      </c>
    </row>
    <row r="21" spans="1:3" s="5" customFormat="1" ht="18" customHeight="1" x14ac:dyDescent="0.2">
      <c r="A21" s="3" t="s">
        <v>89</v>
      </c>
      <c r="B21" s="8">
        <v>32</v>
      </c>
      <c r="C21" s="8">
        <v>32</v>
      </c>
    </row>
    <row r="22" spans="1:3" s="5" customFormat="1" ht="18" customHeight="1" x14ac:dyDescent="0.2">
      <c r="A22" s="3" t="s">
        <v>90</v>
      </c>
      <c r="B22" s="8">
        <v>7</v>
      </c>
      <c r="C22" s="8">
        <v>7</v>
      </c>
    </row>
    <row r="23" spans="1:3" s="5" customFormat="1" ht="18" customHeight="1" x14ac:dyDescent="0.2">
      <c r="A23" s="3" t="s">
        <v>91</v>
      </c>
      <c r="B23" s="8">
        <v>5</v>
      </c>
      <c r="C23" s="8">
        <v>5</v>
      </c>
    </row>
    <row r="24" spans="1:3" s="5" customFormat="1" ht="18" customHeight="1" x14ac:dyDescent="0.2">
      <c r="A24" s="3" t="s">
        <v>92</v>
      </c>
      <c r="B24" s="8">
        <v>73</v>
      </c>
      <c r="C24" s="8">
        <v>76</v>
      </c>
    </row>
    <row r="25" spans="1:3" s="5" customFormat="1" ht="18" customHeight="1" x14ac:dyDescent="0.2">
      <c r="A25" s="3" t="s">
        <v>93</v>
      </c>
      <c r="B25" s="8">
        <v>195</v>
      </c>
      <c r="C25" s="8">
        <v>195</v>
      </c>
    </row>
    <row r="26" spans="1:3" s="5" customFormat="1" ht="18" customHeight="1" x14ac:dyDescent="0.2">
      <c r="A26" s="3" t="s">
        <v>94</v>
      </c>
      <c r="B26" s="8">
        <v>232</v>
      </c>
      <c r="C26" s="8">
        <v>257</v>
      </c>
    </row>
    <row r="27" spans="1:3" s="5" customFormat="1" ht="18" customHeight="1" x14ac:dyDescent="0.2">
      <c r="A27" s="3" t="s">
        <v>95</v>
      </c>
      <c r="B27" s="8">
        <v>395</v>
      </c>
      <c r="C27" s="8">
        <v>529</v>
      </c>
    </row>
    <row r="28" spans="1:3" s="5" customFormat="1" ht="18" customHeight="1" x14ac:dyDescent="0.2">
      <c r="A28" s="3" t="s">
        <v>96</v>
      </c>
      <c r="B28" s="8">
        <v>270</v>
      </c>
      <c r="C28" s="8">
        <v>314</v>
      </c>
    </row>
    <row r="29" spans="1:3" s="5" customFormat="1" ht="18" customHeight="1" x14ac:dyDescent="0.2">
      <c r="A29" s="3" t="s">
        <v>97</v>
      </c>
      <c r="B29" s="8">
        <v>45</v>
      </c>
      <c r="C29" s="8">
        <v>45</v>
      </c>
    </row>
    <row r="30" spans="1:3" s="5" customFormat="1" ht="18" customHeight="1" x14ac:dyDescent="0.2">
      <c r="A30" s="3" t="s">
        <v>98</v>
      </c>
      <c r="B30" s="8">
        <v>887</v>
      </c>
      <c r="C30" s="8">
        <v>1117</v>
      </c>
    </row>
    <row r="31" spans="1:3" s="5" customFormat="1" ht="18" customHeight="1" x14ac:dyDescent="0.2">
      <c r="A31" s="3" t="s">
        <v>99</v>
      </c>
      <c r="B31" s="8">
        <v>481</v>
      </c>
      <c r="C31" s="8">
        <v>583</v>
      </c>
    </row>
    <row r="32" spans="1:3" s="5" customFormat="1" ht="18" customHeight="1" x14ac:dyDescent="0.2">
      <c r="A32" s="3" t="s">
        <v>100</v>
      </c>
      <c r="B32" s="8">
        <v>6</v>
      </c>
      <c r="C32" s="8">
        <v>6</v>
      </c>
    </row>
    <row r="33" spans="1:5" s="5" customFormat="1" ht="18" customHeight="1" x14ac:dyDescent="0.2">
      <c r="A33" s="3" t="s">
        <v>101</v>
      </c>
      <c r="B33" s="8">
        <v>1</v>
      </c>
      <c r="C33" s="8">
        <v>1</v>
      </c>
    </row>
    <row r="34" spans="1:5" s="5" customFormat="1" ht="18" customHeight="1" x14ac:dyDescent="0.2">
      <c r="A34" s="3" t="s">
        <v>102</v>
      </c>
      <c r="B34" s="8">
        <v>2</v>
      </c>
      <c r="C34" s="8">
        <v>2</v>
      </c>
    </row>
    <row r="35" spans="1:5" s="5" customFormat="1" ht="18" customHeight="1" x14ac:dyDescent="0.2">
      <c r="A35" s="3" t="s">
        <v>103</v>
      </c>
      <c r="B35" s="8">
        <v>1</v>
      </c>
      <c r="C35" s="8">
        <v>1</v>
      </c>
    </row>
    <row r="36" spans="1:5" s="5" customFormat="1" ht="18" customHeight="1" x14ac:dyDescent="0.2">
      <c r="A36" s="3" t="s">
        <v>104</v>
      </c>
      <c r="B36" s="8">
        <v>2</v>
      </c>
      <c r="C36" s="8">
        <v>2</v>
      </c>
    </row>
    <row r="37" spans="1:5" s="5" customFormat="1" ht="12" customHeight="1" x14ac:dyDescent="0.15">
      <c r="A37" s="370"/>
      <c r="B37" s="370"/>
      <c r="C37" s="370"/>
      <c r="D37" s="370"/>
      <c r="E37" s="370"/>
    </row>
    <row r="38" spans="1:5" s="5" customFormat="1" ht="11.25" customHeight="1" x14ac:dyDescent="0.15">
      <c r="A38" s="370" t="s">
        <v>105</v>
      </c>
      <c r="B38" s="370"/>
      <c r="C38" s="370"/>
      <c r="D38" s="370"/>
      <c r="E38" s="370"/>
    </row>
    <row r="39" spans="1:5" s="5" customFormat="1" ht="11.25" customHeight="1" x14ac:dyDescent="0.15">
      <c r="A39" s="370" t="s">
        <v>106</v>
      </c>
      <c r="B39" s="370"/>
      <c r="C39" s="370"/>
      <c r="D39" s="370"/>
      <c r="E39" s="370"/>
    </row>
    <row r="40" spans="1:5" s="5" customFormat="1" ht="28.35" customHeight="1" x14ac:dyDescent="0.2"/>
  </sheetData>
  <customSheetViews>
    <customSheetView guid="{B9B27D37-53F8-4AD8-9221-6458C3026417}" fitToPage="1">
      <selection activeCell="A14" sqref="A14"/>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activeCell="A14" sqref="A14"/>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4">
    <mergeCell ref="A1:D1"/>
    <mergeCell ref="A37:E37"/>
    <mergeCell ref="A38:E38"/>
    <mergeCell ref="A39:E3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1"/>
  <sheetViews>
    <sheetView zoomScaleNormal="100" workbookViewId="0">
      <selection sqref="A1:J1"/>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x14ac:dyDescent="0.2">
      <c r="A1" s="369" t="s">
        <v>5</v>
      </c>
      <c r="B1" s="369"/>
      <c r="C1" s="369"/>
      <c r="D1" s="369"/>
      <c r="E1" s="369"/>
      <c r="F1" s="369"/>
      <c r="G1" s="369"/>
      <c r="H1" s="369"/>
      <c r="I1" s="369"/>
      <c r="J1" s="369"/>
    </row>
    <row r="2" spans="1:10" s="5" customFormat="1" ht="35.25" customHeight="1" x14ac:dyDescent="0.2">
      <c r="A2" s="9" t="s">
        <v>107</v>
      </c>
      <c r="B2" s="9" t="s">
        <v>108</v>
      </c>
      <c r="C2" s="9" t="s">
        <v>109</v>
      </c>
      <c r="D2" s="9" t="s">
        <v>110</v>
      </c>
      <c r="E2" s="9" t="s">
        <v>111</v>
      </c>
      <c r="F2" s="9" t="s">
        <v>112</v>
      </c>
      <c r="G2" s="10" t="s">
        <v>113</v>
      </c>
      <c r="H2" s="10" t="s">
        <v>114</v>
      </c>
      <c r="I2" s="10" t="s">
        <v>115</v>
      </c>
      <c r="J2" s="10" t="s">
        <v>116</v>
      </c>
    </row>
    <row r="3" spans="1:10" s="5" customFormat="1" ht="33.75" customHeight="1" x14ac:dyDescent="0.2">
      <c r="A3" s="11">
        <v>1</v>
      </c>
      <c r="B3" s="12" t="s">
        <v>117</v>
      </c>
      <c r="C3" s="13">
        <v>43510</v>
      </c>
      <c r="D3" s="14" t="s">
        <v>118</v>
      </c>
      <c r="E3" s="14" t="s">
        <v>119</v>
      </c>
      <c r="F3" s="11">
        <v>3100000</v>
      </c>
      <c r="G3" s="11">
        <v>10</v>
      </c>
      <c r="H3" s="11">
        <v>23</v>
      </c>
      <c r="I3" s="11">
        <v>33</v>
      </c>
      <c r="J3" s="15">
        <v>10.23</v>
      </c>
    </row>
    <row r="4" spans="1:10" s="5" customFormat="1" ht="33.75" customHeight="1" x14ac:dyDescent="0.2">
      <c r="A4" s="11">
        <v>2</v>
      </c>
      <c r="B4" s="12" t="s">
        <v>120</v>
      </c>
      <c r="C4" s="13">
        <v>43511</v>
      </c>
      <c r="D4" s="14" t="s">
        <v>118</v>
      </c>
      <c r="E4" s="14" t="s">
        <v>119</v>
      </c>
      <c r="F4" s="11">
        <v>1300000</v>
      </c>
      <c r="G4" s="11">
        <v>10</v>
      </c>
      <c r="H4" s="11">
        <v>0</v>
      </c>
      <c r="I4" s="11">
        <v>10</v>
      </c>
      <c r="J4" s="15">
        <v>1.3</v>
      </c>
    </row>
    <row r="5" spans="1:10" s="5" customFormat="1" ht="33.75" customHeight="1" x14ac:dyDescent="0.2">
      <c r="A5" s="11">
        <v>3</v>
      </c>
      <c r="B5" s="12" t="s">
        <v>121</v>
      </c>
      <c r="C5" s="13">
        <v>43516</v>
      </c>
      <c r="D5" s="14" t="s">
        <v>118</v>
      </c>
      <c r="E5" s="14" t="s">
        <v>119</v>
      </c>
      <c r="F5" s="11">
        <v>2319000</v>
      </c>
      <c r="G5" s="11">
        <v>10</v>
      </c>
      <c r="H5" s="11">
        <v>27</v>
      </c>
      <c r="I5" s="11">
        <v>37</v>
      </c>
      <c r="J5" s="15">
        <v>8.5802999999999994</v>
      </c>
    </row>
    <row r="6" spans="1:10" s="5" customFormat="1" ht="33.75" customHeight="1" x14ac:dyDescent="0.2">
      <c r="A6" s="11">
        <v>4</v>
      </c>
      <c r="B6" s="12" t="s">
        <v>122</v>
      </c>
      <c r="C6" s="13">
        <v>43516</v>
      </c>
      <c r="D6" s="14" t="s">
        <v>123</v>
      </c>
      <c r="E6" s="14" t="s">
        <v>119</v>
      </c>
      <c r="F6" s="11">
        <v>88200912</v>
      </c>
      <c r="G6" s="11">
        <v>1</v>
      </c>
      <c r="H6" s="11">
        <v>2</v>
      </c>
      <c r="I6" s="11">
        <v>3</v>
      </c>
      <c r="J6" s="15">
        <v>26.46</v>
      </c>
    </row>
    <row r="7" spans="1:10" s="5" customFormat="1" ht="33.75" customHeight="1" x14ac:dyDescent="0.2">
      <c r="A7" s="11">
        <v>5</v>
      </c>
      <c r="B7" s="12" t="s">
        <v>124</v>
      </c>
      <c r="C7" s="13">
        <v>43516</v>
      </c>
      <c r="D7" s="14" t="s">
        <v>118</v>
      </c>
      <c r="E7" s="14" t="s">
        <v>119</v>
      </c>
      <c r="F7" s="11">
        <v>1200000</v>
      </c>
      <c r="G7" s="11">
        <v>10</v>
      </c>
      <c r="H7" s="11">
        <v>20</v>
      </c>
      <c r="I7" s="11">
        <v>30</v>
      </c>
      <c r="J7" s="15">
        <v>3.6</v>
      </c>
    </row>
    <row r="8" spans="1:10" s="5" customFormat="1" ht="33.75" customHeight="1" x14ac:dyDescent="0.2">
      <c r="A8" s="11">
        <v>6</v>
      </c>
      <c r="B8" s="12" t="s">
        <v>125</v>
      </c>
      <c r="C8" s="13">
        <v>43518</v>
      </c>
      <c r="D8" s="14" t="s">
        <v>118</v>
      </c>
      <c r="E8" s="14" t="s">
        <v>119</v>
      </c>
      <c r="F8" s="11">
        <v>3120000</v>
      </c>
      <c r="G8" s="11">
        <v>10</v>
      </c>
      <c r="H8" s="11">
        <v>0</v>
      </c>
      <c r="I8" s="11">
        <v>10</v>
      </c>
      <c r="J8" s="15">
        <v>3.12</v>
      </c>
    </row>
    <row r="9" spans="1:10" s="5" customFormat="1" ht="19.5" customHeight="1" x14ac:dyDescent="0.2">
      <c r="A9" s="371" t="s">
        <v>1030</v>
      </c>
      <c r="B9" s="371"/>
      <c r="C9" s="371"/>
      <c r="D9" s="371"/>
      <c r="E9" s="371"/>
      <c r="F9" s="371"/>
    </row>
    <row r="10" spans="1:10" s="5" customFormat="1" ht="18" customHeight="1" x14ac:dyDescent="0.2">
      <c r="A10" s="371" t="s">
        <v>126</v>
      </c>
      <c r="B10" s="371"/>
      <c r="C10" s="371"/>
      <c r="D10" s="371"/>
      <c r="E10" s="371"/>
      <c r="F10" s="371"/>
    </row>
    <row r="11" spans="1:10" s="5" customFormat="1" ht="28.35" customHeight="1" x14ac:dyDescent="0.2"/>
  </sheetData>
  <customSheetViews>
    <customSheetView guid="{B9B27D37-53F8-4AD8-9221-6458C3026417}" fitToPage="1">
      <selection sqref="A1:J1"/>
      <pageMargins left="0.78431372549019618" right="0.78431372549019618" top="0.98039215686274517" bottom="0.98039215686274517" header="0.50980392156862753" footer="0.50980392156862753"/>
      <pageSetup paperSize="9" scale="83" orientation="landscape" useFirstPageNumber="1" r:id="rId1"/>
      <headerFooter alignWithMargins="0"/>
    </customSheetView>
    <customSheetView guid="{F9A1D58D-8337-4577-94AF-0D6370657575}" showPageBreaks="1" fitToPage="1">
      <selection sqref="A1:J1"/>
      <pageMargins left="0.78431372549019618" right="0.78431372549019618" top="0.98039215686274517" bottom="0.98039215686274517" header="0.50980392156862753" footer="0.50980392156862753"/>
      <pageSetup paperSize="9" scale="83" orientation="landscape" useFirstPageNumber="1" r:id="rId2"/>
      <headerFooter alignWithMargins="0"/>
    </customSheetView>
  </customSheetViews>
  <mergeCells count="3">
    <mergeCell ref="A1:J1"/>
    <mergeCell ref="A9:F9"/>
    <mergeCell ref="A10:F10"/>
  </mergeCells>
  <pageMargins left="0.78431372549019618" right="0.78431372549019618" top="0.98039215686274517" bottom="0.98039215686274517" header="0.50980392156862753" footer="0.50980392156862753"/>
  <pageSetup paperSize="9" scale="83" orientation="landscape" useFirstPageNumber="1"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0"/>
  <sheetViews>
    <sheetView topLeftCell="A6" zoomScaleNormal="100" workbookViewId="0">
      <selection activeCell="G4" sqref="G4"/>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372" t="s">
        <v>127</v>
      </c>
      <c r="B1" s="372"/>
      <c r="C1" s="372"/>
      <c r="D1" s="372"/>
      <c r="E1" s="372"/>
      <c r="F1" s="372"/>
      <c r="G1" s="372"/>
      <c r="H1" s="372"/>
      <c r="I1" s="372"/>
      <c r="J1" s="372"/>
    </row>
    <row r="2" spans="1:10" s="5" customFormat="1" ht="15" customHeight="1" x14ac:dyDescent="0.2">
      <c r="A2" s="373" t="s">
        <v>128</v>
      </c>
      <c r="B2" s="373" t="s">
        <v>129</v>
      </c>
      <c r="C2" s="373" t="s">
        <v>130</v>
      </c>
      <c r="D2" s="373" t="s">
        <v>131</v>
      </c>
      <c r="E2" s="373" t="s">
        <v>132</v>
      </c>
      <c r="F2" s="375" t="s">
        <v>133</v>
      </c>
      <c r="G2" s="376"/>
      <c r="H2" s="377" t="s">
        <v>134</v>
      </c>
      <c r="I2" s="379" t="s">
        <v>135</v>
      </c>
    </row>
    <row r="3" spans="1:10" s="5" customFormat="1" ht="37.5" customHeight="1" x14ac:dyDescent="0.2">
      <c r="A3" s="374"/>
      <c r="B3" s="374"/>
      <c r="C3" s="374"/>
      <c r="D3" s="374"/>
      <c r="E3" s="374"/>
      <c r="F3" s="17" t="s">
        <v>136</v>
      </c>
      <c r="G3" s="17" t="s">
        <v>137</v>
      </c>
      <c r="H3" s="378"/>
      <c r="I3" s="380"/>
    </row>
    <row r="4" spans="1:10" s="5" customFormat="1" ht="63" customHeight="1" x14ac:dyDescent="0.2">
      <c r="A4" s="18">
        <v>1</v>
      </c>
      <c r="B4" s="19" t="s">
        <v>138</v>
      </c>
      <c r="C4" s="19" t="s">
        <v>139</v>
      </c>
      <c r="D4" s="20">
        <v>43487</v>
      </c>
      <c r="E4" s="20">
        <v>43500</v>
      </c>
      <c r="F4" s="21">
        <v>35611817</v>
      </c>
      <c r="G4" s="22">
        <v>25.1</v>
      </c>
      <c r="H4" s="22">
        <v>23.33</v>
      </c>
      <c r="I4" s="23">
        <v>83.08</v>
      </c>
    </row>
    <row r="5" spans="1:10" s="5" customFormat="1" ht="87" customHeight="1" x14ac:dyDescent="0.2">
      <c r="A5" s="18">
        <v>2</v>
      </c>
      <c r="B5" s="19" t="s">
        <v>140</v>
      </c>
      <c r="C5" s="19" t="s">
        <v>141</v>
      </c>
      <c r="D5" s="20">
        <v>43496</v>
      </c>
      <c r="E5" s="20">
        <v>43509</v>
      </c>
      <c r="F5" s="21">
        <v>460227170</v>
      </c>
      <c r="G5" s="22">
        <v>26</v>
      </c>
      <c r="H5" s="22">
        <v>32.35</v>
      </c>
      <c r="I5" s="23">
        <v>1488.83</v>
      </c>
    </row>
    <row r="6" spans="1:10" s="5" customFormat="1" ht="63" customHeight="1" x14ac:dyDescent="0.2">
      <c r="A6" s="18">
        <v>3</v>
      </c>
      <c r="B6" s="19" t="s">
        <v>142</v>
      </c>
      <c r="C6" s="19" t="s">
        <v>143</v>
      </c>
      <c r="D6" s="20">
        <v>43501</v>
      </c>
      <c r="E6" s="20">
        <v>43514</v>
      </c>
      <c r="F6" s="21">
        <v>20986355</v>
      </c>
      <c r="G6" s="22">
        <v>26</v>
      </c>
      <c r="H6" s="22">
        <v>157.19999999999999</v>
      </c>
      <c r="I6" s="23">
        <v>329.91</v>
      </c>
    </row>
    <row r="7" spans="1:10" s="5" customFormat="1" ht="87" customHeight="1" x14ac:dyDescent="0.2">
      <c r="A7" s="18">
        <v>4</v>
      </c>
      <c r="B7" s="19" t="s">
        <v>144</v>
      </c>
      <c r="C7" s="19" t="s">
        <v>145</v>
      </c>
      <c r="D7" s="20">
        <v>43504</v>
      </c>
      <c r="E7" s="20">
        <v>43518</v>
      </c>
      <c r="F7" s="21">
        <v>122183457</v>
      </c>
      <c r="G7" s="22">
        <v>25.58</v>
      </c>
      <c r="H7" s="22">
        <v>72.66</v>
      </c>
      <c r="I7" s="23">
        <v>887.78</v>
      </c>
    </row>
    <row r="8" spans="1:10" s="5" customFormat="1" ht="87" customHeight="1" x14ac:dyDescent="0.2">
      <c r="A8" s="18">
        <v>5</v>
      </c>
      <c r="B8" s="19" t="s">
        <v>146</v>
      </c>
      <c r="C8" s="19" t="s">
        <v>141</v>
      </c>
      <c r="D8" s="20">
        <v>43504</v>
      </c>
      <c r="E8" s="20">
        <v>43518</v>
      </c>
      <c r="F8" s="21">
        <v>28840891</v>
      </c>
      <c r="G8" s="22">
        <v>25.64</v>
      </c>
      <c r="H8" s="22">
        <v>82.65</v>
      </c>
      <c r="I8" s="23">
        <v>238.37</v>
      </c>
    </row>
    <row r="9" spans="1:10" s="5" customFormat="1" ht="19.5" customHeight="1" x14ac:dyDescent="0.2">
      <c r="A9" s="371" t="s">
        <v>126</v>
      </c>
      <c r="B9" s="371"/>
    </row>
    <row r="10" spans="1:10" s="5" customFormat="1" ht="27.6" customHeight="1" x14ac:dyDescent="0.2"/>
  </sheetData>
  <customSheetViews>
    <customSheetView guid="{B9B27D37-53F8-4AD8-9221-6458C3026417}" fitToPage="1" topLeftCell="A6">
      <selection activeCell="G4" sqref="G4"/>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A6">
      <selection activeCell="G4" sqref="G4"/>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0">
    <mergeCell ref="A9:B9"/>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21"/>
  <sheetViews>
    <sheetView zoomScaleNormal="100" workbookViewId="0">
      <selection activeCell="C15" sqref="C15"/>
    </sheetView>
  </sheetViews>
  <sheetFormatPr defaultRowHeight="12.75" x14ac:dyDescent="0.2"/>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x14ac:dyDescent="0.2">
      <c r="A1" s="372" t="s">
        <v>7</v>
      </c>
      <c r="B1" s="372"/>
      <c r="C1" s="372"/>
      <c r="D1" s="372"/>
      <c r="E1" s="372"/>
      <c r="F1" s="372"/>
      <c r="G1" s="372"/>
      <c r="H1" s="372"/>
      <c r="I1" s="372"/>
    </row>
    <row r="2" spans="1:9" s="5" customFormat="1" ht="20.25" customHeight="1" x14ac:dyDescent="0.2">
      <c r="A2" s="381" t="s">
        <v>147</v>
      </c>
      <c r="B2" s="384" t="s">
        <v>148</v>
      </c>
      <c r="C2" s="385"/>
      <c r="D2" s="385"/>
      <c r="E2" s="385"/>
      <c r="F2" s="385"/>
      <c r="G2" s="385"/>
      <c r="H2" s="385"/>
      <c r="I2" s="386"/>
    </row>
    <row r="3" spans="1:9" s="5" customFormat="1" ht="18" customHeight="1" x14ac:dyDescent="0.2">
      <c r="A3" s="382"/>
      <c r="B3" s="384" t="s">
        <v>149</v>
      </c>
      <c r="C3" s="385"/>
      <c r="D3" s="385"/>
      <c r="E3" s="385"/>
      <c r="F3" s="385"/>
      <c r="G3" s="386"/>
      <c r="H3" s="387" t="s">
        <v>150</v>
      </c>
      <c r="I3" s="388"/>
    </row>
    <row r="4" spans="1:9" s="5" customFormat="1" ht="26.25" customHeight="1" x14ac:dyDescent="0.2">
      <c r="A4" s="382"/>
      <c r="B4" s="389" t="s">
        <v>151</v>
      </c>
      <c r="C4" s="390"/>
      <c r="D4" s="389" t="s">
        <v>152</v>
      </c>
      <c r="E4" s="390"/>
      <c r="F4" s="389" t="s">
        <v>153</v>
      </c>
      <c r="G4" s="390"/>
      <c r="H4" s="373" t="s">
        <v>154</v>
      </c>
      <c r="I4" s="379" t="s">
        <v>155</v>
      </c>
    </row>
    <row r="5" spans="1:9" s="5" customFormat="1" ht="27.75" customHeight="1" x14ac:dyDescent="0.2">
      <c r="A5" s="383"/>
      <c r="B5" s="9" t="s">
        <v>154</v>
      </c>
      <c r="C5" s="10" t="s">
        <v>155</v>
      </c>
      <c r="D5" s="9" t="s">
        <v>154</v>
      </c>
      <c r="E5" s="10" t="s">
        <v>155</v>
      </c>
      <c r="F5" s="9" t="s">
        <v>154</v>
      </c>
      <c r="G5" s="10" t="s">
        <v>155</v>
      </c>
      <c r="H5" s="374"/>
      <c r="I5" s="380"/>
    </row>
    <row r="6" spans="1:9" s="5" customFormat="1" ht="18" customHeight="1" x14ac:dyDescent="0.2">
      <c r="A6" s="3" t="s">
        <v>69</v>
      </c>
      <c r="B6" s="11">
        <v>43</v>
      </c>
      <c r="C6" s="26">
        <v>1510.12</v>
      </c>
      <c r="D6" s="11">
        <v>3</v>
      </c>
      <c r="E6" s="26">
        <v>38.270000000000003</v>
      </c>
      <c r="F6" s="11">
        <v>4</v>
      </c>
      <c r="G6" s="26">
        <v>220.93</v>
      </c>
      <c r="H6" s="11">
        <v>50</v>
      </c>
      <c r="I6" s="27">
        <v>1769.22</v>
      </c>
    </row>
    <row r="7" spans="1:9" s="5" customFormat="1" ht="18" customHeight="1" x14ac:dyDescent="0.2">
      <c r="A7" s="3" t="s">
        <v>70</v>
      </c>
      <c r="B7" s="11">
        <v>62</v>
      </c>
      <c r="C7" s="26">
        <v>22969.03</v>
      </c>
      <c r="D7" s="11">
        <v>4</v>
      </c>
      <c r="E7" s="26">
        <v>4636.33</v>
      </c>
      <c r="F7" s="11">
        <v>4</v>
      </c>
      <c r="G7" s="26">
        <v>941.23</v>
      </c>
      <c r="H7" s="11">
        <v>70</v>
      </c>
      <c r="I7" s="27">
        <v>28546.59</v>
      </c>
    </row>
    <row r="8" spans="1:9" s="5" customFormat="1" ht="18" customHeight="1" x14ac:dyDescent="0.2">
      <c r="A8" s="3" t="s">
        <v>156</v>
      </c>
      <c r="B8" s="11">
        <v>13</v>
      </c>
      <c r="C8" s="26">
        <v>872.94</v>
      </c>
      <c r="D8" s="11">
        <v>1</v>
      </c>
      <c r="E8" s="26">
        <v>7.09</v>
      </c>
      <c r="F8" s="11">
        <v>1</v>
      </c>
      <c r="G8" s="26">
        <v>934.56</v>
      </c>
      <c r="H8" s="11">
        <v>15</v>
      </c>
      <c r="I8" s="27">
        <v>1814.59</v>
      </c>
    </row>
    <row r="9" spans="1:9" s="5" customFormat="1" ht="18" customHeight="1" x14ac:dyDescent="0.2">
      <c r="A9" s="3" t="s">
        <v>157</v>
      </c>
      <c r="B9" s="11">
        <v>7</v>
      </c>
      <c r="C9" s="26">
        <v>460.71</v>
      </c>
      <c r="D9" s="11">
        <v>0</v>
      </c>
      <c r="E9" s="26">
        <v>0</v>
      </c>
      <c r="F9" s="11">
        <v>1</v>
      </c>
      <c r="G9" s="26">
        <v>2.78</v>
      </c>
      <c r="H9" s="11">
        <v>8</v>
      </c>
      <c r="I9" s="27">
        <v>463.49</v>
      </c>
    </row>
    <row r="10" spans="1:9" s="5" customFormat="1" ht="18" customHeight="1" x14ac:dyDescent="0.2">
      <c r="A10" s="3" t="s">
        <v>158</v>
      </c>
      <c r="B10" s="11">
        <v>7</v>
      </c>
      <c r="C10" s="26">
        <v>32.409999999999997</v>
      </c>
      <c r="D10" s="11">
        <v>2</v>
      </c>
      <c r="E10" s="26">
        <v>927.24</v>
      </c>
      <c r="F10" s="11">
        <v>0</v>
      </c>
      <c r="G10" s="26">
        <v>0</v>
      </c>
      <c r="H10" s="11">
        <v>9</v>
      </c>
      <c r="I10" s="27">
        <v>959.65</v>
      </c>
    </row>
    <row r="11" spans="1:9" s="5" customFormat="1" ht="18" customHeight="1" x14ac:dyDescent="0.2">
      <c r="A11" s="3" t="s">
        <v>159</v>
      </c>
      <c r="B11" s="11">
        <v>6</v>
      </c>
      <c r="C11" s="26">
        <v>12.2</v>
      </c>
      <c r="D11" s="11">
        <v>1</v>
      </c>
      <c r="E11" s="26">
        <v>3702</v>
      </c>
      <c r="F11" s="11">
        <v>0</v>
      </c>
      <c r="G11" s="26">
        <v>0</v>
      </c>
      <c r="H11" s="11">
        <v>7</v>
      </c>
      <c r="I11" s="27">
        <v>3714.2</v>
      </c>
    </row>
    <row r="12" spans="1:9" s="5" customFormat="1" ht="18" customHeight="1" x14ac:dyDescent="0.2">
      <c r="A12" s="3" t="s">
        <v>160</v>
      </c>
      <c r="B12" s="11">
        <v>0</v>
      </c>
      <c r="C12" s="26">
        <v>0</v>
      </c>
      <c r="D12" s="11">
        <v>0</v>
      </c>
      <c r="E12" s="26">
        <v>0</v>
      </c>
      <c r="F12" s="11">
        <v>1</v>
      </c>
      <c r="G12" s="26">
        <v>2.23</v>
      </c>
      <c r="H12" s="11">
        <v>1</v>
      </c>
      <c r="I12" s="27">
        <v>2.23</v>
      </c>
    </row>
    <row r="13" spans="1:9" s="5" customFormat="1" ht="18" customHeight="1" x14ac:dyDescent="0.2">
      <c r="A13" s="3" t="s">
        <v>161</v>
      </c>
      <c r="B13" s="11">
        <v>3</v>
      </c>
      <c r="C13" s="26">
        <v>1318.86</v>
      </c>
      <c r="D13" s="11">
        <v>0</v>
      </c>
      <c r="E13" s="26">
        <v>0</v>
      </c>
      <c r="F13" s="11">
        <v>0</v>
      </c>
      <c r="G13" s="26">
        <v>0</v>
      </c>
      <c r="H13" s="11">
        <v>3</v>
      </c>
      <c r="I13" s="27">
        <v>1318.86</v>
      </c>
    </row>
    <row r="14" spans="1:9" s="5" customFormat="1" ht="18" customHeight="1" x14ac:dyDescent="0.2">
      <c r="A14" s="3" t="s">
        <v>162</v>
      </c>
      <c r="B14" s="11">
        <v>2</v>
      </c>
      <c r="C14" s="26">
        <v>70.56</v>
      </c>
      <c r="D14" s="11">
        <v>0</v>
      </c>
      <c r="E14" s="26">
        <v>0</v>
      </c>
      <c r="F14" s="11">
        <v>0</v>
      </c>
      <c r="G14" s="26">
        <v>0</v>
      </c>
      <c r="H14" s="11">
        <v>2</v>
      </c>
      <c r="I14" s="27">
        <v>70.56</v>
      </c>
    </row>
    <row r="15" spans="1:9" s="5" customFormat="1" ht="18" customHeight="1" x14ac:dyDescent="0.2">
      <c r="A15" s="3" t="s">
        <v>163</v>
      </c>
      <c r="B15" s="11">
        <v>4</v>
      </c>
      <c r="C15" s="26">
        <v>651.03</v>
      </c>
      <c r="D15" s="11">
        <v>0</v>
      </c>
      <c r="E15" s="26">
        <v>0</v>
      </c>
      <c r="F15" s="11">
        <v>0</v>
      </c>
      <c r="G15" s="26">
        <v>0</v>
      </c>
      <c r="H15" s="11">
        <v>4</v>
      </c>
      <c r="I15" s="27">
        <v>651.03</v>
      </c>
    </row>
    <row r="16" spans="1:9" s="5" customFormat="1" ht="18" customHeight="1" x14ac:dyDescent="0.2">
      <c r="A16" s="3" t="s">
        <v>164</v>
      </c>
      <c r="B16" s="11">
        <v>9</v>
      </c>
      <c r="C16" s="26">
        <v>43.41</v>
      </c>
      <c r="D16" s="11">
        <v>0</v>
      </c>
      <c r="E16" s="26">
        <v>0</v>
      </c>
      <c r="F16" s="11">
        <v>0</v>
      </c>
      <c r="G16" s="26">
        <v>0</v>
      </c>
      <c r="H16" s="11">
        <v>9</v>
      </c>
      <c r="I16" s="27">
        <v>43.41</v>
      </c>
    </row>
    <row r="17" spans="1:9" s="5" customFormat="1" ht="18" customHeight="1" x14ac:dyDescent="0.2">
      <c r="A17" s="3" t="s">
        <v>165</v>
      </c>
      <c r="B17" s="11">
        <v>6</v>
      </c>
      <c r="C17" s="26">
        <v>16478.939999999999</v>
      </c>
      <c r="D17" s="11">
        <v>0</v>
      </c>
      <c r="E17" s="26">
        <v>0</v>
      </c>
      <c r="F17" s="11">
        <v>1</v>
      </c>
      <c r="G17" s="26">
        <v>1.66</v>
      </c>
      <c r="H17" s="11">
        <v>7</v>
      </c>
      <c r="I17" s="27">
        <v>16480.599999999999</v>
      </c>
    </row>
    <row r="18" spans="1:9" s="5" customFormat="1" ht="18" customHeight="1" x14ac:dyDescent="0.2">
      <c r="A18" s="3" t="s">
        <v>166</v>
      </c>
      <c r="B18" s="11">
        <v>5</v>
      </c>
      <c r="C18" s="26">
        <v>3027.97</v>
      </c>
      <c r="D18" s="11">
        <v>0</v>
      </c>
      <c r="E18" s="26">
        <v>0</v>
      </c>
      <c r="F18" s="11">
        <v>0</v>
      </c>
      <c r="G18" s="26">
        <v>0</v>
      </c>
      <c r="H18" s="11">
        <v>5</v>
      </c>
      <c r="I18" s="27">
        <v>3027.97</v>
      </c>
    </row>
    <row r="19" spans="1:9" s="5" customFormat="1" ht="15" customHeight="1" x14ac:dyDescent="0.2">
      <c r="A19" s="371" t="s">
        <v>105</v>
      </c>
      <c r="B19" s="371"/>
      <c r="C19" s="371"/>
      <c r="D19" s="371"/>
      <c r="E19" s="371"/>
      <c r="F19" s="371"/>
      <c r="G19" s="371"/>
      <c r="H19" s="371"/>
      <c r="I19" s="371"/>
    </row>
    <row r="20" spans="1:9" s="5" customFormat="1" ht="13.5" customHeight="1" x14ac:dyDescent="0.2">
      <c r="A20" s="371" t="s">
        <v>126</v>
      </c>
      <c r="B20" s="371"/>
      <c r="C20" s="371"/>
      <c r="D20" s="371"/>
      <c r="E20" s="371"/>
      <c r="F20" s="371"/>
      <c r="G20" s="371"/>
      <c r="H20" s="371"/>
      <c r="I20" s="371"/>
    </row>
    <row r="21" spans="1:9" s="5" customFormat="1" ht="28.35" customHeight="1" x14ac:dyDescent="0.2"/>
  </sheetData>
  <customSheetViews>
    <customSheetView guid="{B9B27D37-53F8-4AD8-9221-6458C3026417}" fitToPage="1">
      <selection activeCell="C15" sqref="C15"/>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C15" sqref="C15"/>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2">
    <mergeCell ref="A19:I19"/>
    <mergeCell ref="A20:I20"/>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pageSetUpPr fitToPage="1"/>
  </sheetPr>
  <dimension ref="A1:S24"/>
  <sheetViews>
    <sheetView zoomScaleNormal="100" workbookViewId="0">
      <selection activeCell="B2" sqref="B2:C4"/>
    </sheetView>
  </sheetViews>
  <sheetFormatPr defaultRowHeight="12.75" x14ac:dyDescent="0.2"/>
  <cols>
    <col min="1" max="1" width="14.7109375" bestFit="1" customWidth="1"/>
    <col min="2" max="2" width="15" bestFit="1" customWidth="1"/>
    <col min="3" max="3" width="15.7109375" bestFit="1" customWidth="1"/>
    <col min="4" max="4" width="15" bestFit="1" customWidth="1"/>
    <col min="5" max="5" width="15.7109375" bestFit="1" customWidth="1"/>
    <col min="6" max="6" width="15" bestFit="1" customWidth="1"/>
    <col min="7" max="7" width="15.7109375" bestFit="1" customWidth="1"/>
    <col min="8" max="8" width="15" bestFit="1" customWidth="1"/>
    <col min="9" max="9" width="15.7109375" bestFit="1" customWidth="1"/>
    <col min="10" max="10" width="15" bestFit="1" customWidth="1"/>
    <col min="11" max="11" width="15.7109375" bestFit="1" customWidth="1"/>
    <col min="12" max="12" width="15" bestFit="1" customWidth="1"/>
    <col min="13" max="13" width="15.7109375" bestFit="1" customWidth="1"/>
    <col min="14" max="16" width="15" bestFit="1" customWidth="1"/>
    <col min="17" max="17" width="15.7109375" bestFit="1" customWidth="1"/>
    <col min="18" max="18" width="15" bestFit="1" customWidth="1"/>
    <col min="19" max="19" width="15.7109375" bestFit="1" customWidth="1"/>
    <col min="20" max="20" width="4.7109375" bestFit="1" customWidth="1"/>
  </cols>
  <sheetData>
    <row r="1" spans="1:19" ht="17.25" customHeight="1" x14ac:dyDescent="0.2">
      <c r="A1" s="400" t="s">
        <v>167</v>
      </c>
      <c r="B1" s="400"/>
      <c r="C1" s="400"/>
      <c r="D1" s="400"/>
      <c r="E1" s="400"/>
      <c r="F1" s="400"/>
      <c r="G1" s="400"/>
      <c r="H1" s="400"/>
      <c r="I1" s="400"/>
      <c r="J1" s="400"/>
      <c r="K1" s="400"/>
      <c r="L1" s="400"/>
      <c r="M1" s="400"/>
      <c r="N1" s="400"/>
      <c r="O1" s="400"/>
      <c r="P1" s="400"/>
      <c r="Q1" s="400"/>
      <c r="R1" s="400"/>
    </row>
    <row r="2" spans="1:19" s="5" customFormat="1" ht="18" customHeight="1" x14ac:dyDescent="0.2">
      <c r="A2" s="381" t="s">
        <v>147</v>
      </c>
      <c r="B2" s="396" t="s">
        <v>150</v>
      </c>
      <c r="C2" s="397"/>
      <c r="D2" s="393" t="s">
        <v>168</v>
      </c>
      <c r="E2" s="394"/>
      <c r="F2" s="394"/>
      <c r="G2" s="395"/>
      <c r="H2" s="393" t="s">
        <v>169</v>
      </c>
      <c r="I2" s="394"/>
      <c r="J2" s="394"/>
      <c r="K2" s="395"/>
      <c r="L2" s="393" t="s">
        <v>170</v>
      </c>
      <c r="M2" s="394"/>
      <c r="N2" s="394"/>
      <c r="O2" s="394"/>
      <c r="P2" s="394"/>
      <c r="Q2" s="394"/>
      <c r="R2" s="394"/>
      <c r="S2" s="395"/>
    </row>
    <row r="3" spans="1:19" s="5" customFormat="1" ht="18" customHeight="1" x14ac:dyDescent="0.2">
      <c r="A3" s="382"/>
      <c r="B3" s="401"/>
      <c r="C3" s="402"/>
      <c r="D3" s="396" t="s">
        <v>171</v>
      </c>
      <c r="E3" s="397"/>
      <c r="F3" s="396" t="s">
        <v>123</v>
      </c>
      <c r="G3" s="397"/>
      <c r="H3" s="396" t="s">
        <v>172</v>
      </c>
      <c r="I3" s="397"/>
      <c r="J3" s="396" t="s">
        <v>173</v>
      </c>
      <c r="K3" s="397"/>
      <c r="L3" s="393" t="s">
        <v>174</v>
      </c>
      <c r="M3" s="394"/>
      <c r="N3" s="394"/>
      <c r="O3" s="395"/>
      <c r="P3" s="396" t="s">
        <v>175</v>
      </c>
      <c r="Q3" s="397"/>
      <c r="R3" s="396" t="s">
        <v>176</v>
      </c>
      <c r="S3" s="397"/>
    </row>
    <row r="4" spans="1:19" s="5" customFormat="1" ht="18" customHeight="1" x14ac:dyDescent="0.2">
      <c r="A4" s="382"/>
      <c r="B4" s="398"/>
      <c r="C4" s="399"/>
      <c r="D4" s="398"/>
      <c r="E4" s="399"/>
      <c r="F4" s="398"/>
      <c r="G4" s="399"/>
      <c r="H4" s="398"/>
      <c r="I4" s="399"/>
      <c r="J4" s="398"/>
      <c r="K4" s="399"/>
      <c r="L4" s="393" t="s">
        <v>177</v>
      </c>
      <c r="M4" s="395"/>
      <c r="N4" s="393" t="s">
        <v>178</v>
      </c>
      <c r="O4" s="395"/>
      <c r="P4" s="398"/>
      <c r="Q4" s="399"/>
      <c r="R4" s="398"/>
      <c r="S4" s="399"/>
    </row>
    <row r="5" spans="1:19" s="5" customFormat="1" ht="30" customHeight="1" x14ac:dyDescent="0.2">
      <c r="A5" s="383"/>
      <c r="B5" s="7" t="s">
        <v>179</v>
      </c>
      <c r="C5" s="10" t="s">
        <v>155</v>
      </c>
      <c r="D5" s="7" t="s">
        <v>179</v>
      </c>
      <c r="E5" s="10" t="s">
        <v>155</v>
      </c>
      <c r="F5" s="7" t="s">
        <v>179</v>
      </c>
      <c r="G5" s="10" t="s">
        <v>155</v>
      </c>
      <c r="H5" s="7" t="s">
        <v>179</v>
      </c>
      <c r="I5" s="10" t="s">
        <v>155</v>
      </c>
      <c r="J5" s="7" t="s">
        <v>179</v>
      </c>
      <c r="K5" s="10" t="s">
        <v>155</v>
      </c>
      <c r="L5" s="7" t="s">
        <v>179</v>
      </c>
      <c r="M5" s="10" t="s">
        <v>155</v>
      </c>
      <c r="N5" s="7" t="s">
        <v>179</v>
      </c>
      <c r="O5" s="10" t="s">
        <v>155</v>
      </c>
      <c r="P5" s="7" t="s">
        <v>179</v>
      </c>
      <c r="Q5" s="10" t="s">
        <v>155</v>
      </c>
      <c r="R5" s="7" t="s">
        <v>179</v>
      </c>
      <c r="S5" s="10" t="s">
        <v>155</v>
      </c>
    </row>
    <row r="6" spans="1:19" s="5" customFormat="1" ht="15" customHeight="1" x14ac:dyDescent="0.2">
      <c r="A6" s="3" t="s">
        <v>69</v>
      </c>
      <c r="B6" s="11">
        <v>229</v>
      </c>
      <c r="C6" s="28">
        <v>110359.69</v>
      </c>
      <c r="D6" s="11">
        <v>208</v>
      </c>
      <c r="E6" s="27">
        <v>88959.63</v>
      </c>
      <c r="F6" s="11">
        <v>21</v>
      </c>
      <c r="G6" s="27">
        <v>21400.06</v>
      </c>
      <c r="H6" s="11">
        <v>30</v>
      </c>
      <c r="I6" s="27">
        <v>26585.22</v>
      </c>
      <c r="J6" s="11">
        <v>199</v>
      </c>
      <c r="K6" s="27">
        <v>83774.47</v>
      </c>
      <c r="L6" s="11">
        <v>3</v>
      </c>
      <c r="M6" s="27">
        <v>10.93</v>
      </c>
      <c r="N6" s="11">
        <v>218</v>
      </c>
      <c r="O6" s="28">
        <v>105176.2</v>
      </c>
      <c r="P6" s="11">
        <v>0</v>
      </c>
      <c r="Q6" s="27">
        <v>0</v>
      </c>
      <c r="R6" s="11">
        <v>8</v>
      </c>
      <c r="S6" s="27">
        <v>5172.5600000000004</v>
      </c>
    </row>
    <row r="7" spans="1:19" s="5" customFormat="1" ht="15" customHeight="1" x14ac:dyDescent="0.2">
      <c r="A7" s="3" t="s">
        <v>70</v>
      </c>
      <c r="B7" s="11">
        <f>SUM(B8:B18)</f>
        <v>144</v>
      </c>
      <c r="C7" s="27">
        <f t="shared" ref="C7:S7" si="0">SUM(C8:C18)</f>
        <v>51182.459387199997</v>
      </c>
      <c r="D7" s="11">
        <f t="shared" si="0"/>
        <v>135</v>
      </c>
      <c r="E7" s="27">
        <f t="shared" si="0"/>
        <v>49058.627482000004</v>
      </c>
      <c r="F7" s="11">
        <f t="shared" si="0"/>
        <v>9</v>
      </c>
      <c r="G7" s="27">
        <f t="shared" si="0"/>
        <v>2123.8319052000002</v>
      </c>
      <c r="H7" s="11">
        <f t="shared" si="0"/>
        <v>30</v>
      </c>
      <c r="I7" s="27">
        <f t="shared" si="0"/>
        <v>35432.328597400003</v>
      </c>
      <c r="J7" s="11">
        <f t="shared" si="0"/>
        <v>114</v>
      </c>
      <c r="K7" s="27">
        <f t="shared" si="0"/>
        <v>15750.127482000002</v>
      </c>
      <c r="L7" s="11">
        <f t="shared" si="0"/>
        <v>5</v>
      </c>
      <c r="M7" s="27">
        <f t="shared" si="0"/>
        <v>14.990000000000002</v>
      </c>
      <c r="N7" s="11">
        <f t="shared" si="0"/>
        <v>118</v>
      </c>
      <c r="O7" s="27">
        <f t="shared" si="0"/>
        <v>17858.973267000001</v>
      </c>
      <c r="P7" s="11">
        <f t="shared" si="0"/>
        <v>0</v>
      </c>
      <c r="Q7" s="27">
        <f t="shared" si="0"/>
        <v>0</v>
      </c>
      <c r="R7" s="11">
        <f t="shared" si="0"/>
        <v>21</v>
      </c>
      <c r="S7" s="27">
        <f t="shared" si="0"/>
        <v>33308.5</v>
      </c>
    </row>
    <row r="8" spans="1:19" s="5" customFormat="1" ht="15" customHeight="1" x14ac:dyDescent="0.2">
      <c r="A8" s="3" t="s">
        <v>156</v>
      </c>
      <c r="B8" s="11">
        <v>16</v>
      </c>
      <c r="C8" s="27">
        <v>3555.31</v>
      </c>
      <c r="D8" s="11">
        <v>14</v>
      </c>
      <c r="E8" s="27">
        <v>3405.65</v>
      </c>
      <c r="F8" s="11">
        <v>2</v>
      </c>
      <c r="G8" s="27">
        <v>149.66</v>
      </c>
      <c r="H8" s="11">
        <v>4</v>
      </c>
      <c r="I8" s="27">
        <v>3363.9266922000002</v>
      </c>
      <c r="J8" s="11">
        <v>12</v>
      </c>
      <c r="K8" s="27">
        <v>191.38</v>
      </c>
      <c r="L8" s="11">
        <v>1</v>
      </c>
      <c r="M8" s="27">
        <v>3.2</v>
      </c>
      <c r="N8" s="11">
        <v>13</v>
      </c>
      <c r="O8" s="27">
        <v>337.84</v>
      </c>
      <c r="P8" s="11">
        <v>0</v>
      </c>
      <c r="Q8" s="27">
        <v>0</v>
      </c>
      <c r="R8" s="11">
        <v>2</v>
      </c>
      <c r="S8" s="27">
        <v>3214.27</v>
      </c>
    </row>
    <row r="9" spans="1:19" s="5" customFormat="1" ht="15" customHeight="1" x14ac:dyDescent="0.2">
      <c r="A9" s="3" t="s">
        <v>157</v>
      </c>
      <c r="B9" s="11">
        <v>23</v>
      </c>
      <c r="C9" s="27">
        <v>14429.485360000001</v>
      </c>
      <c r="D9" s="11">
        <v>23</v>
      </c>
      <c r="E9" s="27">
        <v>14429.485360000001</v>
      </c>
      <c r="F9" s="11">
        <v>0</v>
      </c>
      <c r="G9" s="27">
        <v>0</v>
      </c>
      <c r="H9" s="11">
        <v>3</v>
      </c>
      <c r="I9" s="27">
        <v>12204.6</v>
      </c>
      <c r="J9" s="11">
        <v>20</v>
      </c>
      <c r="K9" s="27">
        <v>2224.8853600000002</v>
      </c>
      <c r="L9" s="11">
        <v>0</v>
      </c>
      <c r="M9" s="27">
        <v>0</v>
      </c>
      <c r="N9" s="11">
        <v>20</v>
      </c>
      <c r="O9" s="27">
        <v>2224.8853600000002</v>
      </c>
      <c r="P9" s="11">
        <v>0</v>
      </c>
      <c r="Q9" s="27">
        <v>0</v>
      </c>
      <c r="R9" s="11">
        <v>3</v>
      </c>
      <c r="S9" s="27">
        <v>12204.6</v>
      </c>
    </row>
    <row r="10" spans="1:19" s="5" customFormat="1" ht="15" customHeight="1" x14ac:dyDescent="0.2">
      <c r="A10" s="3" t="s">
        <v>158</v>
      </c>
      <c r="B10" s="11">
        <v>11</v>
      </c>
      <c r="C10" s="27">
        <v>3151.7066909999999</v>
      </c>
      <c r="D10" s="11">
        <v>11</v>
      </c>
      <c r="E10" s="27">
        <v>3151.7066909999999</v>
      </c>
      <c r="F10" s="11">
        <v>0</v>
      </c>
      <c r="G10" s="27">
        <v>0</v>
      </c>
      <c r="H10" s="11">
        <v>0</v>
      </c>
      <c r="I10" s="27">
        <v>0</v>
      </c>
      <c r="J10" s="11">
        <v>11</v>
      </c>
      <c r="K10" s="27">
        <v>3151.7066909999999</v>
      </c>
      <c r="L10" s="11">
        <v>0</v>
      </c>
      <c r="M10" s="27">
        <v>0</v>
      </c>
      <c r="N10" s="11">
        <v>11</v>
      </c>
      <c r="O10" s="27">
        <v>3151.7066909999999</v>
      </c>
      <c r="P10" s="11">
        <v>0</v>
      </c>
      <c r="Q10" s="27">
        <v>0</v>
      </c>
      <c r="R10" s="11">
        <v>0</v>
      </c>
      <c r="S10" s="27">
        <v>0</v>
      </c>
    </row>
    <row r="11" spans="1:19" s="5" customFormat="1" ht="15" customHeight="1" x14ac:dyDescent="0.2">
      <c r="A11" s="3" t="s">
        <v>159</v>
      </c>
      <c r="B11" s="11">
        <v>15</v>
      </c>
      <c r="C11" s="27">
        <v>10686.131216199999</v>
      </c>
      <c r="D11" s="11">
        <v>13</v>
      </c>
      <c r="E11" s="27">
        <v>9708.3993109999992</v>
      </c>
      <c r="F11" s="11">
        <v>2</v>
      </c>
      <c r="G11" s="27">
        <v>977.73190520000003</v>
      </c>
      <c r="H11" s="11">
        <v>4</v>
      </c>
      <c r="I11" s="27">
        <v>6607.2519051999998</v>
      </c>
      <c r="J11" s="11">
        <v>11</v>
      </c>
      <c r="K11" s="27">
        <v>4078.8793110000001</v>
      </c>
      <c r="L11" s="11">
        <v>0</v>
      </c>
      <c r="M11" s="27">
        <v>0</v>
      </c>
      <c r="N11" s="11">
        <v>13</v>
      </c>
      <c r="O11" s="27">
        <v>5056.6112160000002</v>
      </c>
      <c r="P11" s="11">
        <v>0</v>
      </c>
      <c r="Q11" s="27">
        <v>0</v>
      </c>
      <c r="R11" s="11">
        <v>2</v>
      </c>
      <c r="S11" s="27">
        <v>5629.52</v>
      </c>
    </row>
    <row r="12" spans="1:19" s="5" customFormat="1" ht="15" customHeight="1" x14ac:dyDescent="0.2">
      <c r="A12" s="3" t="s">
        <v>160</v>
      </c>
      <c r="B12" s="11">
        <v>11</v>
      </c>
      <c r="C12" s="27">
        <v>1254.1099999999999</v>
      </c>
      <c r="D12" s="11">
        <v>11</v>
      </c>
      <c r="E12" s="27">
        <v>1254.1099999999999</v>
      </c>
      <c r="F12" s="11">
        <v>0</v>
      </c>
      <c r="G12" s="27">
        <v>0</v>
      </c>
      <c r="H12" s="11">
        <v>0</v>
      </c>
      <c r="I12" s="27">
        <v>0</v>
      </c>
      <c r="J12" s="11">
        <v>11</v>
      </c>
      <c r="K12" s="27">
        <v>1254.1099999999999</v>
      </c>
      <c r="L12" s="11">
        <v>1</v>
      </c>
      <c r="M12" s="27">
        <v>1.35</v>
      </c>
      <c r="N12" s="11">
        <v>10</v>
      </c>
      <c r="O12" s="27">
        <v>1252.76</v>
      </c>
      <c r="P12" s="11">
        <v>0</v>
      </c>
      <c r="Q12" s="27">
        <v>0</v>
      </c>
      <c r="R12" s="11">
        <v>0</v>
      </c>
      <c r="S12" s="27">
        <v>0</v>
      </c>
    </row>
    <row r="13" spans="1:19" s="5" customFormat="1" ht="15" customHeight="1" x14ac:dyDescent="0.2">
      <c r="A13" s="3" t="s">
        <v>161</v>
      </c>
      <c r="B13" s="11">
        <v>20</v>
      </c>
      <c r="C13" s="27">
        <v>8700.7681200000006</v>
      </c>
      <c r="D13" s="11">
        <v>20</v>
      </c>
      <c r="E13" s="27">
        <v>8700.7681200000006</v>
      </c>
      <c r="F13" s="11">
        <v>0</v>
      </c>
      <c r="G13" s="27">
        <v>0</v>
      </c>
      <c r="H13" s="11">
        <v>4</v>
      </c>
      <c r="I13" s="27">
        <v>6284.51</v>
      </c>
      <c r="J13" s="11">
        <v>16</v>
      </c>
      <c r="K13" s="27">
        <v>2416.25812</v>
      </c>
      <c r="L13" s="11">
        <v>0</v>
      </c>
      <c r="M13" s="27">
        <v>0</v>
      </c>
      <c r="N13" s="11">
        <v>16</v>
      </c>
      <c r="O13" s="27">
        <v>2416.2600000000002</v>
      </c>
      <c r="P13" s="11">
        <v>0</v>
      </c>
      <c r="Q13" s="27">
        <v>0</v>
      </c>
      <c r="R13" s="11">
        <v>4</v>
      </c>
      <c r="S13" s="27">
        <v>6284.51</v>
      </c>
    </row>
    <row r="14" spans="1:19" s="5" customFormat="1" ht="15" customHeight="1" x14ac:dyDescent="0.2">
      <c r="A14" s="3" t="s">
        <v>162</v>
      </c>
      <c r="B14" s="11">
        <v>17</v>
      </c>
      <c r="C14" s="27">
        <v>1232.2280000000001</v>
      </c>
      <c r="D14" s="11">
        <v>17</v>
      </c>
      <c r="E14" s="27">
        <v>1232.2280000000001</v>
      </c>
      <c r="F14" s="11">
        <v>0</v>
      </c>
      <c r="G14" s="27">
        <v>0</v>
      </c>
      <c r="H14" s="11">
        <v>2</v>
      </c>
      <c r="I14" s="27">
        <v>706.79</v>
      </c>
      <c r="J14" s="11">
        <v>15</v>
      </c>
      <c r="K14" s="27">
        <v>525.43799999999999</v>
      </c>
      <c r="L14" s="11">
        <v>0</v>
      </c>
      <c r="M14" s="27">
        <v>0</v>
      </c>
      <c r="N14" s="11">
        <v>15</v>
      </c>
      <c r="O14" s="27">
        <v>525.44000000000005</v>
      </c>
      <c r="P14" s="11">
        <v>0</v>
      </c>
      <c r="Q14" s="27">
        <v>0</v>
      </c>
      <c r="R14" s="11">
        <v>2</v>
      </c>
      <c r="S14" s="27">
        <v>706.79</v>
      </c>
    </row>
    <row r="15" spans="1:19" s="5" customFormat="1" ht="15" customHeight="1" x14ac:dyDescent="0.2">
      <c r="A15" s="3" t="s">
        <v>163</v>
      </c>
      <c r="B15" s="11">
        <v>6</v>
      </c>
      <c r="C15" s="27">
        <v>317.52</v>
      </c>
      <c r="D15" s="11">
        <v>6</v>
      </c>
      <c r="E15" s="27">
        <v>317.52</v>
      </c>
      <c r="F15" s="11">
        <v>0</v>
      </c>
      <c r="G15" s="27">
        <v>0</v>
      </c>
      <c r="H15" s="11">
        <v>1</v>
      </c>
      <c r="I15" s="27">
        <v>262.02</v>
      </c>
      <c r="J15" s="11">
        <v>5</v>
      </c>
      <c r="K15" s="27">
        <v>55.5</v>
      </c>
      <c r="L15" s="11">
        <v>0</v>
      </c>
      <c r="M15" s="27">
        <v>0</v>
      </c>
      <c r="N15" s="11">
        <v>5</v>
      </c>
      <c r="O15" s="27">
        <v>55.5</v>
      </c>
      <c r="P15" s="11">
        <v>0</v>
      </c>
      <c r="Q15" s="27">
        <v>0</v>
      </c>
      <c r="R15" s="11">
        <v>1</v>
      </c>
      <c r="S15" s="27">
        <v>262.02</v>
      </c>
    </row>
    <row r="16" spans="1:19" s="5" customFormat="1" ht="15" customHeight="1" x14ac:dyDescent="0.2">
      <c r="A16" s="3" t="s">
        <v>164</v>
      </c>
      <c r="B16" s="11">
        <v>5</v>
      </c>
      <c r="C16" s="27">
        <v>1028.27</v>
      </c>
      <c r="D16" s="11">
        <v>3</v>
      </c>
      <c r="E16" s="27">
        <v>313.02</v>
      </c>
      <c r="F16" s="11">
        <v>2</v>
      </c>
      <c r="G16" s="27">
        <v>715.25</v>
      </c>
      <c r="H16" s="11">
        <v>3</v>
      </c>
      <c r="I16" s="27">
        <v>978.86</v>
      </c>
      <c r="J16" s="11">
        <v>2</v>
      </c>
      <c r="K16" s="27">
        <v>49.41</v>
      </c>
      <c r="L16" s="11">
        <v>0</v>
      </c>
      <c r="M16" s="27">
        <v>0</v>
      </c>
      <c r="N16" s="11">
        <v>4</v>
      </c>
      <c r="O16" s="27">
        <v>764.66</v>
      </c>
      <c r="P16" s="11">
        <v>0</v>
      </c>
      <c r="Q16" s="27">
        <v>0</v>
      </c>
      <c r="R16" s="11">
        <v>1</v>
      </c>
      <c r="S16" s="27">
        <v>263.61</v>
      </c>
    </row>
    <row r="17" spans="1:19" s="5" customFormat="1" ht="15" customHeight="1" x14ac:dyDescent="0.2">
      <c r="A17" s="3" t="s">
        <v>165</v>
      </c>
      <c r="B17" s="11">
        <v>12</v>
      </c>
      <c r="C17" s="27">
        <v>5485.17</v>
      </c>
      <c r="D17" s="11">
        <v>10</v>
      </c>
      <c r="E17" s="27">
        <v>5230.4399999999996</v>
      </c>
      <c r="F17" s="11">
        <v>2</v>
      </c>
      <c r="G17" s="27">
        <v>254.73</v>
      </c>
      <c r="H17" s="11">
        <v>6</v>
      </c>
      <c r="I17" s="27">
        <v>3709.44</v>
      </c>
      <c r="J17" s="11">
        <v>6</v>
      </c>
      <c r="K17" s="27">
        <v>1775.73</v>
      </c>
      <c r="L17" s="11">
        <v>1</v>
      </c>
      <c r="M17" s="27">
        <v>5.99</v>
      </c>
      <c r="N17" s="11">
        <v>7</v>
      </c>
      <c r="O17" s="27">
        <v>2024.47</v>
      </c>
      <c r="P17" s="11">
        <v>0</v>
      </c>
      <c r="Q17" s="27">
        <v>0</v>
      </c>
      <c r="R17" s="11">
        <v>4</v>
      </c>
      <c r="S17" s="27">
        <v>3454.71</v>
      </c>
    </row>
    <row r="18" spans="1:19" s="5" customFormat="1" ht="15" customHeight="1" x14ac:dyDescent="0.2">
      <c r="A18" s="3" t="s">
        <v>166</v>
      </c>
      <c r="B18" s="11">
        <v>8</v>
      </c>
      <c r="C18" s="27">
        <v>1341.76</v>
      </c>
      <c r="D18" s="11">
        <v>7</v>
      </c>
      <c r="E18" s="27">
        <v>1315.3</v>
      </c>
      <c r="F18" s="11">
        <v>1</v>
      </c>
      <c r="G18" s="27">
        <v>26.46</v>
      </c>
      <c r="H18" s="11">
        <v>3</v>
      </c>
      <c r="I18" s="27">
        <v>1314.93</v>
      </c>
      <c r="J18" s="11">
        <v>5</v>
      </c>
      <c r="K18" s="27">
        <v>26.83</v>
      </c>
      <c r="L18" s="11">
        <v>2</v>
      </c>
      <c r="M18" s="27">
        <v>4.45</v>
      </c>
      <c r="N18" s="11">
        <v>4</v>
      </c>
      <c r="O18" s="27">
        <v>48.84</v>
      </c>
      <c r="P18" s="11">
        <v>0</v>
      </c>
      <c r="Q18" s="27">
        <v>0</v>
      </c>
      <c r="R18" s="11">
        <v>2</v>
      </c>
      <c r="S18" s="27">
        <v>1288.47</v>
      </c>
    </row>
    <row r="19" spans="1:19" s="5" customFormat="1" ht="25.5" customHeight="1" x14ac:dyDescent="0.2">
      <c r="A19" s="392" t="s">
        <v>1018</v>
      </c>
      <c r="B19" s="392"/>
      <c r="C19" s="392"/>
      <c r="D19" s="392"/>
      <c r="E19" s="392"/>
      <c r="F19" s="392"/>
      <c r="G19" s="392"/>
      <c r="H19" s="392"/>
      <c r="I19" s="392"/>
      <c r="J19" s="392"/>
      <c r="K19" s="392"/>
      <c r="L19" s="392"/>
      <c r="M19" s="392"/>
      <c r="N19" s="392"/>
      <c r="O19" s="392"/>
      <c r="P19" s="392"/>
      <c r="Q19" s="392"/>
      <c r="R19" s="392"/>
      <c r="S19" s="392"/>
    </row>
    <row r="20" spans="1:19" s="5" customFormat="1" ht="13.5" customHeight="1" x14ac:dyDescent="0.2">
      <c r="A20" s="391" t="s">
        <v>180</v>
      </c>
      <c r="B20" s="391"/>
      <c r="C20" s="391"/>
      <c r="D20" s="391"/>
      <c r="E20" s="391"/>
      <c r="F20" s="391"/>
      <c r="G20" s="391"/>
      <c r="H20" s="391"/>
      <c r="I20" s="391"/>
      <c r="J20" s="391"/>
      <c r="K20" s="391"/>
      <c r="L20" s="391"/>
      <c r="M20" s="391"/>
      <c r="N20" s="391"/>
      <c r="O20" s="391"/>
      <c r="P20" s="391"/>
      <c r="Q20" s="391"/>
      <c r="R20" s="391"/>
      <c r="S20" s="391"/>
    </row>
    <row r="21" spans="1:19" s="5" customFormat="1" ht="13.5" customHeight="1" x14ac:dyDescent="0.2">
      <c r="A21" s="391" t="s">
        <v>105</v>
      </c>
      <c r="B21" s="391"/>
      <c r="C21" s="391"/>
      <c r="D21" s="391"/>
      <c r="E21" s="391"/>
      <c r="F21" s="391"/>
      <c r="G21" s="391"/>
      <c r="H21" s="391"/>
      <c r="I21" s="391"/>
      <c r="J21" s="391"/>
      <c r="K21" s="391"/>
      <c r="L21" s="391"/>
      <c r="M21" s="391"/>
      <c r="N21" s="391"/>
      <c r="O21" s="391"/>
      <c r="P21" s="391"/>
      <c r="Q21" s="391"/>
      <c r="R21" s="391"/>
      <c r="S21" s="391"/>
    </row>
    <row r="22" spans="1:19" s="5" customFormat="1" ht="13.5" customHeight="1" x14ac:dyDescent="0.2">
      <c r="A22" s="392" t="s">
        <v>181</v>
      </c>
      <c r="B22" s="392"/>
      <c r="C22" s="392"/>
      <c r="D22" s="392"/>
      <c r="E22" s="392"/>
      <c r="F22" s="392"/>
      <c r="G22" s="392"/>
      <c r="H22" s="392"/>
      <c r="I22" s="392"/>
      <c r="J22" s="392"/>
      <c r="K22" s="392"/>
      <c r="L22" s="392"/>
      <c r="M22" s="392"/>
      <c r="N22" s="392"/>
      <c r="O22" s="392"/>
      <c r="P22" s="392"/>
      <c r="Q22" s="392"/>
      <c r="R22" s="392"/>
      <c r="S22" s="392"/>
    </row>
    <row r="23" spans="1:19" s="5" customFormat="1" ht="13.5" customHeight="1" x14ac:dyDescent="0.2">
      <c r="A23" s="391" t="s">
        <v>126</v>
      </c>
      <c r="B23" s="391"/>
      <c r="C23" s="391"/>
      <c r="D23" s="391"/>
      <c r="E23" s="391"/>
      <c r="F23" s="391"/>
      <c r="G23" s="391"/>
      <c r="H23" s="391"/>
      <c r="I23" s="391"/>
      <c r="J23" s="391"/>
      <c r="K23" s="391"/>
      <c r="L23" s="391"/>
      <c r="M23" s="391"/>
      <c r="N23" s="391"/>
      <c r="O23" s="391"/>
      <c r="P23" s="391"/>
      <c r="Q23" s="391"/>
      <c r="R23" s="391"/>
      <c r="S23" s="391"/>
    </row>
    <row r="24" spans="1:19" s="5" customFormat="1" ht="26.1" customHeight="1" x14ac:dyDescent="0.2"/>
  </sheetData>
  <customSheetViews>
    <customSheetView guid="{B9B27D37-53F8-4AD8-9221-6458C3026417}" fitToPage="1">
      <selection activeCell="E11" sqref="E1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8" sqref="B8:B18"/>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20">
    <mergeCell ref="A1:R1"/>
    <mergeCell ref="A2:A5"/>
    <mergeCell ref="B2:C4"/>
    <mergeCell ref="D2:G2"/>
    <mergeCell ref="H2:K2"/>
    <mergeCell ref="L2:S2"/>
    <mergeCell ref="D3:E4"/>
    <mergeCell ref="F3:G4"/>
    <mergeCell ref="H3:I4"/>
    <mergeCell ref="J3:K4"/>
    <mergeCell ref="A20:S20"/>
    <mergeCell ref="A21:S21"/>
    <mergeCell ref="A22:S22"/>
    <mergeCell ref="A23:S23"/>
    <mergeCell ref="L3:O3"/>
    <mergeCell ref="P3:Q4"/>
    <mergeCell ref="R3:S4"/>
    <mergeCell ref="L4:M4"/>
    <mergeCell ref="N4:O4"/>
    <mergeCell ref="A19:S19"/>
  </mergeCells>
  <pageMargins left="0.78431372549019618" right="0.78431372549019618" top="0.98039215686274517" bottom="0.98039215686274517" header="0.50980392156862753" footer="0.50980392156862753"/>
  <pageSetup paperSize="9" scale="45"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19"/>
  <sheetViews>
    <sheetView zoomScaleNormal="100" workbookViewId="0">
      <selection activeCell="B6" sqref="B6:B16"/>
    </sheetView>
  </sheetViews>
  <sheetFormatPr defaultRowHeight="12.75" x14ac:dyDescent="0.2"/>
  <cols>
    <col min="1" max="1" width="14.7109375" bestFit="1" customWidth="1"/>
    <col min="2" max="2" width="9.28515625" bestFit="1" customWidth="1"/>
    <col min="3" max="3" width="11.85546875" bestFit="1" customWidth="1"/>
    <col min="4" max="4" width="4.85546875" bestFit="1" customWidth="1"/>
  </cols>
  <sheetData>
    <row r="1" spans="1:3" ht="15.75" customHeight="1" x14ac:dyDescent="0.2">
      <c r="A1" s="369" t="s">
        <v>9</v>
      </c>
      <c r="B1" s="369"/>
      <c r="C1" s="369"/>
    </row>
    <row r="2" spans="1:3" s="5" customFormat="1" ht="18" customHeight="1" x14ac:dyDescent="0.2">
      <c r="A2" s="381" t="s">
        <v>182</v>
      </c>
      <c r="B2" s="393" t="s">
        <v>150</v>
      </c>
      <c r="C2" s="395"/>
    </row>
    <row r="3" spans="1:3" s="5" customFormat="1" ht="28.5" customHeight="1" x14ac:dyDescent="0.2">
      <c r="A3" s="383"/>
      <c r="B3" s="24" t="s">
        <v>183</v>
      </c>
      <c r="C3" s="29" t="s">
        <v>184</v>
      </c>
    </row>
    <row r="4" spans="1:3" s="5" customFormat="1" ht="18" customHeight="1" x14ac:dyDescent="0.2">
      <c r="A4" s="3" t="s">
        <v>69</v>
      </c>
      <c r="B4" s="26">
        <v>156</v>
      </c>
      <c r="C4" s="27">
        <v>2360.8708999999999</v>
      </c>
    </row>
    <row r="5" spans="1:3" s="5" customFormat="1" ht="18" customHeight="1" x14ac:dyDescent="0.2">
      <c r="A5" s="3" t="s">
        <v>70</v>
      </c>
      <c r="B5" s="26">
        <v>102</v>
      </c>
      <c r="C5" s="27">
        <v>1718.5372199999999</v>
      </c>
    </row>
    <row r="6" spans="1:3" s="5" customFormat="1" ht="18" customHeight="1" x14ac:dyDescent="0.2">
      <c r="A6" s="3" t="s">
        <v>185</v>
      </c>
      <c r="B6" s="26">
        <v>12</v>
      </c>
      <c r="C6" s="27">
        <v>191.37620000000001</v>
      </c>
    </row>
    <row r="7" spans="1:3" s="5" customFormat="1" ht="18" customHeight="1" x14ac:dyDescent="0.2">
      <c r="A7" s="3" t="s">
        <v>186</v>
      </c>
      <c r="B7" s="26">
        <v>19</v>
      </c>
      <c r="C7" s="27">
        <v>380.88535999999999</v>
      </c>
    </row>
    <row r="8" spans="1:3" s="5" customFormat="1" ht="18" customHeight="1" x14ac:dyDescent="0.2">
      <c r="A8" s="3" t="s">
        <v>187</v>
      </c>
      <c r="B8" s="26">
        <v>8</v>
      </c>
      <c r="C8" s="27">
        <v>135.55539999999999</v>
      </c>
    </row>
    <row r="9" spans="1:3" s="5" customFormat="1" ht="18" customHeight="1" x14ac:dyDescent="0.2">
      <c r="A9" s="3" t="s">
        <v>188</v>
      </c>
      <c r="B9" s="26">
        <v>9</v>
      </c>
      <c r="C9" s="27">
        <v>153.42313999999999</v>
      </c>
    </row>
    <row r="10" spans="1:3" s="5" customFormat="1" ht="18" customHeight="1" x14ac:dyDescent="0.2">
      <c r="A10" s="3" t="s">
        <v>189</v>
      </c>
      <c r="B10" s="26">
        <v>10</v>
      </c>
      <c r="C10" s="27">
        <v>122.92230000000001</v>
      </c>
    </row>
    <row r="11" spans="1:3" s="5" customFormat="1" ht="18" customHeight="1" x14ac:dyDescent="0.2">
      <c r="A11" s="3" t="s">
        <v>190</v>
      </c>
      <c r="B11" s="26">
        <v>14</v>
      </c>
      <c r="C11" s="27">
        <v>309.23811999999998</v>
      </c>
    </row>
    <row r="12" spans="1:3" s="5" customFormat="1" ht="18" customHeight="1" x14ac:dyDescent="0.2">
      <c r="A12" s="3" t="s">
        <v>191</v>
      </c>
      <c r="B12" s="26">
        <v>14</v>
      </c>
      <c r="C12" s="27">
        <v>181.84800000000001</v>
      </c>
    </row>
    <row r="13" spans="1:3" s="5" customFormat="1" ht="18" customHeight="1" x14ac:dyDescent="0.2">
      <c r="A13" s="3" t="s">
        <v>192</v>
      </c>
      <c r="B13" s="26">
        <v>5</v>
      </c>
      <c r="C13" s="27">
        <v>55.500399999999999</v>
      </c>
    </row>
    <row r="14" spans="1:3" s="5" customFormat="1" ht="18" customHeight="1" x14ac:dyDescent="0.2">
      <c r="A14" s="3" t="s">
        <v>193</v>
      </c>
      <c r="B14" s="26">
        <v>2</v>
      </c>
      <c r="C14" s="27">
        <v>49.41</v>
      </c>
    </row>
    <row r="15" spans="1:3" s="5" customFormat="1" ht="18" customHeight="1" x14ac:dyDescent="0.2">
      <c r="A15" s="3" t="s">
        <v>194</v>
      </c>
      <c r="B15" s="26">
        <v>4</v>
      </c>
      <c r="C15" s="27">
        <v>111.548</v>
      </c>
    </row>
    <row r="16" spans="1:3" s="5" customFormat="1" ht="18" customHeight="1" x14ac:dyDescent="0.2">
      <c r="A16" s="3" t="s">
        <v>195</v>
      </c>
      <c r="B16" s="26">
        <v>5</v>
      </c>
      <c r="C16" s="27">
        <v>26.830300000000001</v>
      </c>
    </row>
    <row r="17" spans="1:3" s="5" customFormat="1" ht="15" customHeight="1" x14ac:dyDescent="0.2">
      <c r="A17" s="371" t="s">
        <v>105</v>
      </c>
      <c r="B17" s="371"/>
      <c r="C17" s="371"/>
    </row>
    <row r="18" spans="1:3" s="5" customFormat="1" ht="13.5" customHeight="1" x14ac:dyDescent="0.2">
      <c r="A18" s="371" t="s">
        <v>196</v>
      </c>
      <c r="B18" s="371"/>
      <c r="C18" s="371"/>
    </row>
    <row r="19" spans="1:3" s="5" customFormat="1" ht="27.6" customHeight="1" x14ac:dyDescent="0.2"/>
  </sheetData>
  <customSheetViews>
    <customSheetView guid="{B9B27D37-53F8-4AD8-9221-6458C3026417}" fitToPage="1">
      <selection activeCell="B6" sqref="B6:B1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activeCell="B6" sqref="B6:B1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5">
    <mergeCell ref="A1:C1"/>
    <mergeCell ref="A2:A3"/>
    <mergeCell ref="B2:C2"/>
    <mergeCell ref="A17:C17"/>
    <mergeCell ref="A18:C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C000"/>
    <pageSetUpPr fitToPage="1"/>
  </sheetPr>
  <dimension ref="A1:E30"/>
  <sheetViews>
    <sheetView zoomScaleNormal="100" workbookViewId="0">
      <selection activeCell="B2" sqref="B2:C2"/>
    </sheetView>
  </sheetViews>
  <sheetFormatPr defaultRowHeight="12.75" x14ac:dyDescent="0.2"/>
  <cols>
    <col min="1" max="1" width="27.85546875" bestFit="1" customWidth="1"/>
    <col min="2" max="2" width="14.7109375" bestFit="1" customWidth="1"/>
    <col min="3" max="3" width="11.42578125" bestFit="1" customWidth="1"/>
    <col min="4" max="4" width="14.7109375" bestFit="1" customWidth="1"/>
    <col min="5" max="5" width="11.42578125" bestFit="1" customWidth="1"/>
    <col min="6" max="6" width="4.7109375" bestFit="1" customWidth="1"/>
  </cols>
  <sheetData>
    <row r="1" spans="1:5" ht="18.75" customHeight="1" x14ac:dyDescent="0.2">
      <c r="A1" s="369" t="s">
        <v>10</v>
      </c>
      <c r="B1" s="369"/>
      <c r="C1" s="369"/>
      <c r="D1" s="369"/>
      <c r="E1" s="369"/>
    </row>
    <row r="2" spans="1:5" s="5" customFormat="1" ht="15" customHeight="1" x14ac:dyDescent="0.2">
      <c r="A2" s="373" t="s">
        <v>197</v>
      </c>
      <c r="B2" s="384" t="s">
        <v>70</v>
      </c>
      <c r="C2" s="386"/>
      <c r="D2" s="384" t="s">
        <v>166</v>
      </c>
      <c r="E2" s="386"/>
    </row>
    <row r="3" spans="1:5" s="5" customFormat="1" ht="27" customHeight="1" x14ac:dyDescent="0.2">
      <c r="A3" s="374"/>
      <c r="B3" s="9" t="s">
        <v>179</v>
      </c>
      <c r="C3" s="10" t="s">
        <v>198</v>
      </c>
      <c r="D3" s="9" t="s">
        <v>179</v>
      </c>
      <c r="E3" s="10" t="s">
        <v>155</v>
      </c>
    </row>
    <row r="4" spans="1:5" s="5" customFormat="1" ht="18" customHeight="1" x14ac:dyDescent="0.2">
      <c r="A4" s="30" t="s">
        <v>199</v>
      </c>
      <c r="B4" s="31">
        <v>0</v>
      </c>
      <c r="C4" s="32">
        <v>0</v>
      </c>
      <c r="D4" s="8">
        <v>0</v>
      </c>
      <c r="E4" s="32">
        <v>0</v>
      </c>
    </row>
    <row r="5" spans="1:5" s="5" customFormat="1" ht="18" customHeight="1" x14ac:dyDescent="0.2">
      <c r="A5" s="30" t="s">
        <v>200</v>
      </c>
      <c r="B5" s="31">
        <v>1</v>
      </c>
      <c r="C5" s="32">
        <v>8.58</v>
      </c>
      <c r="D5" s="8">
        <v>1</v>
      </c>
      <c r="E5" s="32">
        <v>8.58</v>
      </c>
    </row>
    <row r="6" spans="1:5" s="5" customFormat="1" ht="18" customHeight="1" x14ac:dyDescent="0.2">
      <c r="A6" s="30" t="s">
        <v>201</v>
      </c>
      <c r="B6" s="31">
        <v>1</v>
      </c>
      <c r="C6" s="32">
        <v>1131.187627</v>
      </c>
      <c r="D6" s="8">
        <v>0</v>
      </c>
      <c r="E6" s="32">
        <v>0</v>
      </c>
    </row>
    <row r="7" spans="1:5" s="5" customFormat="1" ht="18" customHeight="1" x14ac:dyDescent="0.2">
      <c r="A7" s="30" t="s">
        <v>202</v>
      </c>
      <c r="B7" s="31">
        <v>4</v>
      </c>
      <c r="C7" s="32">
        <v>542.19290000000001</v>
      </c>
      <c r="D7" s="8">
        <v>0</v>
      </c>
      <c r="E7" s="32">
        <v>0</v>
      </c>
    </row>
    <row r="8" spans="1:5" s="5" customFormat="1" ht="18" customHeight="1" x14ac:dyDescent="0.2">
      <c r="A8" s="30" t="s">
        <v>203</v>
      </c>
      <c r="B8" s="31">
        <v>4</v>
      </c>
      <c r="C8" s="32">
        <v>621.73783019999996</v>
      </c>
      <c r="D8" s="8">
        <v>0</v>
      </c>
      <c r="E8" s="32">
        <v>0</v>
      </c>
    </row>
    <row r="9" spans="1:5" s="5" customFormat="1" ht="18" customHeight="1" x14ac:dyDescent="0.2">
      <c r="A9" s="30" t="s">
        <v>204</v>
      </c>
      <c r="B9" s="31">
        <v>1</v>
      </c>
      <c r="C9" s="32">
        <v>18.745200000000001</v>
      </c>
      <c r="D9" s="8">
        <v>0</v>
      </c>
      <c r="E9" s="32">
        <v>0</v>
      </c>
    </row>
    <row r="10" spans="1:5" s="5" customFormat="1" ht="18" customHeight="1" x14ac:dyDescent="0.2">
      <c r="A10" s="30" t="s">
        <v>205</v>
      </c>
      <c r="B10" s="31">
        <v>7</v>
      </c>
      <c r="C10" s="32">
        <v>259.00511219999999</v>
      </c>
      <c r="D10" s="8">
        <v>0</v>
      </c>
      <c r="E10" s="32">
        <v>0</v>
      </c>
    </row>
    <row r="11" spans="1:5" s="5" customFormat="1" ht="18" customHeight="1" x14ac:dyDescent="0.2">
      <c r="A11" s="30" t="s">
        <v>206</v>
      </c>
      <c r="B11" s="31">
        <v>9</v>
      </c>
      <c r="C11" s="32">
        <v>466.73480000000001</v>
      </c>
      <c r="D11" s="8">
        <v>0</v>
      </c>
      <c r="E11" s="32">
        <v>0</v>
      </c>
    </row>
    <row r="12" spans="1:5" s="5" customFormat="1" ht="18" customHeight="1" x14ac:dyDescent="0.2">
      <c r="A12" s="30" t="s">
        <v>207</v>
      </c>
      <c r="B12" s="31">
        <v>1</v>
      </c>
      <c r="C12" s="32">
        <v>1.35</v>
      </c>
      <c r="D12" s="8">
        <v>0</v>
      </c>
      <c r="E12" s="32">
        <v>0</v>
      </c>
    </row>
    <row r="13" spans="1:5" s="5" customFormat="1" ht="18" customHeight="1" x14ac:dyDescent="0.2">
      <c r="A13" s="30" t="s">
        <v>208</v>
      </c>
      <c r="B13" s="31">
        <v>26</v>
      </c>
      <c r="C13" s="32">
        <v>37584.767183000004</v>
      </c>
      <c r="D13" s="8">
        <v>2</v>
      </c>
      <c r="E13" s="32">
        <v>1288.47</v>
      </c>
    </row>
    <row r="14" spans="1:5" s="5" customFormat="1" ht="18" customHeight="1" x14ac:dyDescent="0.2">
      <c r="A14" s="30" t="s">
        <v>209</v>
      </c>
      <c r="B14" s="31">
        <v>4</v>
      </c>
      <c r="C14" s="32">
        <v>90.422319999999999</v>
      </c>
      <c r="D14" s="8">
        <v>0</v>
      </c>
      <c r="E14" s="32">
        <v>0</v>
      </c>
    </row>
    <row r="15" spans="1:5" s="5" customFormat="1" ht="18" customHeight="1" x14ac:dyDescent="0.2">
      <c r="A15" s="30" t="s">
        <v>210</v>
      </c>
      <c r="B15" s="31">
        <v>3</v>
      </c>
      <c r="C15" s="32">
        <v>58.301400000000001</v>
      </c>
      <c r="D15" s="8">
        <v>0</v>
      </c>
      <c r="E15" s="32">
        <v>0</v>
      </c>
    </row>
    <row r="16" spans="1:5" s="5" customFormat="1" ht="18" customHeight="1" x14ac:dyDescent="0.2">
      <c r="A16" s="30" t="s">
        <v>211</v>
      </c>
      <c r="B16" s="31">
        <v>2</v>
      </c>
      <c r="C16" s="32">
        <v>1643.124</v>
      </c>
      <c r="D16" s="8">
        <v>0</v>
      </c>
      <c r="E16" s="32">
        <v>0</v>
      </c>
    </row>
    <row r="17" spans="1:5" s="5" customFormat="1" ht="18" customHeight="1" x14ac:dyDescent="0.2">
      <c r="A17" s="30" t="s">
        <v>212</v>
      </c>
      <c r="B17" s="31">
        <v>2</v>
      </c>
      <c r="C17" s="32">
        <v>44.800199999999997</v>
      </c>
      <c r="D17" s="8">
        <v>0</v>
      </c>
      <c r="E17" s="32">
        <v>0</v>
      </c>
    </row>
    <row r="18" spans="1:5" s="5" customFormat="1" ht="18" customHeight="1" x14ac:dyDescent="0.2">
      <c r="A18" s="30" t="s">
        <v>213</v>
      </c>
      <c r="B18" s="31">
        <v>68</v>
      </c>
      <c r="C18" s="32">
        <v>7886.8922659999998</v>
      </c>
      <c r="D18" s="8">
        <v>5</v>
      </c>
      <c r="E18" s="32">
        <v>44.71</v>
      </c>
    </row>
    <row r="19" spans="1:5" s="5" customFormat="1" ht="18" customHeight="1" x14ac:dyDescent="0.2">
      <c r="A19" s="30" t="s">
        <v>214</v>
      </c>
      <c r="B19" s="31">
        <v>0</v>
      </c>
      <c r="C19" s="32">
        <v>0</v>
      </c>
      <c r="D19" s="8">
        <v>0</v>
      </c>
      <c r="E19" s="32">
        <v>0</v>
      </c>
    </row>
    <row r="20" spans="1:5" s="5" customFormat="1" ht="18" customHeight="1" x14ac:dyDescent="0.2">
      <c r="A20" s="30" t="s">
        <v>215</v>
      </c>
      <c r="B20" s="31">
        <v>0</v>
      </c>
      <c r="C20" s="32">
        <v>0</v>
      </c>
      <c r="D20" s="8">
        <v>0</v>
      </c>
      <c r="E20" s="32">
        <v>0</v>
      </c>
    </row>
    <row r="21" spans="1:5" s="5" customFormat="1" ht="18" customHeight="1" x14ac:dyDescent="0.2">
      <c r="A21" s="30" t="s">
        <v>216</v>
      </c>
      <c r="B21" s="31">
        <v>9</v>
      </c>
      <c r="C21" s="32">
        <v>1313.1051210000001</v>
      </c>
      <c r="D21" s="8">
        <v>0</v>
      </c>
      <c r="E21" s="32">
        <v>0</v>
      </c>
    </row>
    <row r="22" spans="1:5" s="5" customFormat="1" ht="18" customHeight="1" x14ac:dyDescent="0.2">
      <c r="A22" s="30" t="s">
        <v>217</v>
      </c>
      <c r="B22" s="31">
        <v>2</v>
      </c>
      <c r="C22" s="32">
        <v>38.520000000000003</v>
      </c>
      <c r="D22" s="8">
        <v>0</v>
      </c>
      <c r="E22" s="32">
        <v>0</v>
      </c>
    </row>
    <row r="23" spans="1:5" s="5" customFormat="1" ht="18" customHeight="1" x14ac:dyDescent="0.2">
      <c r="A23" s="30" t="s">
        <v>218</v>
      </c>
      <c r="B23" s="31">
        <v>0</v>
      </c>
      <c r="C23" s="32">
        <v>0</v>
      </c>
      <c r="D23" s="8">
        <v>0</v>
      </c>
      <c r="E23" s="32">
        <v>0</v>
      </c>
    </row>
    <row r="24" spans="1:5" s="5" customFormat="1" ht="18" customHeight="1" x14ac:dyDescent="0.2">
      <c r="A24" s="30" t="s">
        <v>219</v>
      </c>
      <c r="B24" s="31">
        <v>0</v>
      </c>
      <c r="C24" s="32">
        <v>0</v>
      </c>
      <c r="D24" s="8">
        <v>0</v>
      </c>
      <c r="E24" s="32">
        <v>0</v>
      </c>
    </row>
    <row r="25" spans="1:5" s="5" customFormat="1" ht="18" customHeight="1" x14ac:dyDescent="0.2">
      <c r="A25" s="30" t="s">
        <v>220</v>
      </c>
      <c r="B25" s="31">
        <v>1</v>
      </c>
      <c r="C25" s="32">
        <v>10.08</v>
      </c>
      <c r="D25" s="8">
        <v>0</v>
      </c>
      <c r="E25" s="32">
        <v>0</v>
      </c>
    </row>
    <row r="26" spans="1:5" s="5" customFormat="1" ht="18" customHeight="1" x14ac:dyDescent="0.2">
      <c r="A26" s="30" t="s">
        <v>221</v>
      </c>
      <c r="B26" s="31">
        <v>0</v>
      </c>
      <c r="C26" s="32">
        <v>0</v>
      </c>
      <c r="D26" s="8">
        <v>0</v>
      </c>
      <c r="E26" s="32">
        <v>0</v>
      </c>
    </row>
    <row r="27" spans="1:5" s="5" customFormat="1" ht="18" customHeight="1" x14ac:dyDescent="0.2">
      <c r="A27" s="30" t="s">
        <v>150</v>
      </c>
      <c r="B27" s="31">
        <v>145</v>
      </c>
      <c r="C27" s="32">
        <v>51719.545960000003</v>
      </c>
      <c r="D27" s="8">
        <v>8</v>
      </c>
      <c r="E27" s="32">
        <v>1341.76</v>
      </c>
    </row>
    <row r="28" spans="1:5" s="5" customFormat="1" ht="15" customHeight="1" x14ac:dyDescent="0.2">
      <c r="A28" s="371" t="s">
        <v>105</v>
      </c>
      <c r="B28" s="371"/>
      <c r="C28" s="371"/>
    </row>
    <row r="29" spans="1:5" s="5" customFormat="1" ht="13.5" customHeight="1" x14ac:dyDescent="0.2">
      <c r="A29" s="371" t="s">
        <v>126</v>
      </c>
      <c r="B29" s="371"/>
      <c r="C29" s="371"/>
    </row>
    <row r="30" spans="1:5" s="5" customFormat="1" ht="28.35" customHeight="1" x14ac:dyDescent="0.2"/>
  </sheetData>
  <customSheetViews>
    <customSheetView guid="{B9B27D37-53F8-4AD8-9221-6458C3026417}" fitToPage="1">
      <selection activeCell="B26" sqref="B4:B2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activeCell="B26" sqref="B4:B2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6">
    <mergeCell ref="A29:C29"/>
    <mergeCell ref="A1:E1"/>
    <mergeCell ref="A2:A3"/>
    <mergeCell ref="B2:C2"/>
    <mergeCell ref="D2:E2"/>
    <mergeCell ref="A28:C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C000"/>
    <pageSetUpPr fitToPage="1"/>
  </sheetPr>
  <dimension ref="A1:S20"/>
  <sheetViews>
    <sheetView zoomScaleNormal="100" workbookViewId="0">
      <selection activeCell="B2" sqref="B2:C3"/>
    </sheetView>
  </sheetViews>
  <sheetFormatPr defaultRowHeight="12.75" x14ac:dyDescent="0.2"/>
  <cols>
    <col min="1" max="11" width="14.7109375" bestFit="1" customWidth="1"/>
    <col min="12" max="12" width="14.42578125" bestFit="1" customWidth="1"/>
    <col min="13" max="13" width="15" bestFit="1" customWidth="1"/>
    <col min="14" max="19" width="14.7109375" bestFit="1" customWidth="1"/>
    <col min="20" max="20" width="4.7109375" bestFit="1" customWidth="1"/>
  </cols>
  <sheetData>
    <row r="1" spans="1:19" ht="16.5" customHeight="1" x14ac:dyDescent="0.2">
      <c r="A1" s="403" t="s">
        <v>222</v>
      </c>
      <c r="B1" s="403"/>
      <c r="C1" s="403"/>
      <c r="D1" s="403"/>
      <c r="E1" s="403"/>
      <c r="F1" s="403"/>
      <c r="G1" s="403"/>
      <c r="H1" s="403"/>
      <c r="I1" s="403"/>
      <c r="J1" s="403"/>
      <c r="K1" s="403"/>
      <c r="L1" s="403"/>
    </row>
    <row r="2" spans="1:19" s="5" customFormat="1" ht="18" customHeight="1" x14ac:dyDescent="0.2">
      <c r="A2" s="381" t="s">
        <v>147</v>
      </c>
      <c r="B2" s="396" t="s">
        <v>150</v>
      </c>
      <c r="C2" s="397"/>
      <c r="D2" s="393" t="s">
        <v>223</v>
      </c>
      <c r="E2" s="394"/>
      <c r="F2" s="394"/>
      <c r="G2" s="395"/>
      <c r="H2" s="393" t="s">
        <v>224</v>
      </c>
      <c r="I2" s="394"/>
      <c r="J2" s="394"/>
      <c r="K2" s="394"/>
      <c r="L2" s="394"/>
      <c r="M2" s="394"/>
      <c r="N2" s="394"/>
      <c r="O2" s="394"/>
      <c r="P2" s="394"/>
      <c r="Q2" s="394"/>
      <c r="R2" s="394"/>
      <c r="S2" s="395"/>
    </row>
    <row r="3" spans="1:19" s="5" customFormat="1" ht="18" customHeight="1" x14ac:dyDescent="0.2">
      <c r="A3" s="382"/>
      <c r="B3" s="398"/>
      <c r="C3" s="399"/>
      <c r="D3" s="393" t="s">
        <v>225</v>
      </c>
      <c r="E3" s="395"/>
      <c r="F3" s="393" t="s">
        <v>171</v>
      </c>
      <c r="G3" s="395"/>
      <c r="H3" s="393" t="s">
        <v>226</v>
      </c>
      <c r="I3" s="395"/>
      <c r="J3" s="393" t="s">
        <v>227</v>
      </c>
      <c r="K3" s="395"/>
      <c r="L3" s="393" t="s">
        <v>228</v>
      </c>
      <c r="M3" s="395"/>
      <c r="N3" s="393" t="s">
        <v>229</v>
      </c>
      <c r="O3" s="395"/>
      <c r="P3" s="393" t="s">
        <v>230</v>
      </c>
      <c r="Q3" s="395"/>
      <c r="R3" s="393" t="s">
        <v>231</v>
      </c>
      <c r="S3" s="395"/>
    </row>
    <row r="4" spans="1:19" s="5" customFormat="1" ht="27" customHeight="1" x14ac:dyDescent="0.2">
      <c r="A4" s="383"/>
      <c r="B4" s="7" t="s">
        <v>232</v>
      </c>
      <c r="C4" s="10" t="s">
        <v>233</v>
      </c>
      <c r="D4" s="7" t="s">
        <v>232</v>
      </c>
      <c r="E4" s="10" t="s">
        <v>234</v>
      </c>
      <c r="F4" s="7" t="s">
        <v>232</v>
      </c>
      <c r="G4" s="10" t="s">
        <v>234</v>
      </c>
      <c r="H4" s="7" t="s">
        <v>232</v>
      </c>
      <c r="I4" s="10" t="s">
        <v>234</v>
      </c>
      <c r="J4" s="7" t="s">
        <v>232</v>
      </c>
      <c r="K4" s="10" t="s">
        <v>234</v>
      </c>
      <c r="L4" s="7" t="s">
        <v>232</v>
      </c>
      <c r="M4" s="10" t="s">
        <v>234</v>
      </c>
      <c r="N4" s="7" t="s">
        <v>232</v>
      </c>
      <c r="O4" s="10" t="s">
        <v>234</v>
      </c>
      <c r="P4" s="9" t="s">
        <v>232</v>
      </c>
      <c r="Q4" s="10" t="s">
        <v>234</v>
      </c>
      <c r="R4" s="9" t="s">
        <v>232</v>
      </c>
      <c r="S4" s="10" t="s">
        <v>234</v>
      </c>
    </row>
    <row r="5" spans="1:19" s="5" customFormat="1" ht="18" customHeight="1" x14ac:dyDescent="0.2">
      <c r="A5" s="3" t="s">
        <v>69</v>
      </c>
      <c r="B5" s="11">
        <v>229</v>
      </c>
      <c r="C5" s="33">
        <v>110359.69</v>
      </c>
      <c r="D5" s="34">
        <v>222</v>
      </c>
      <c r="E5" s="26">
        <v>74118.09</v>
      </c>
      <c r="F5" s="34">
        <v>7</v>
      </c>
      <c r="G5" s="26">
        <v>36241.599999999999</v>
      </c>
      <c r="H5" s="34">
        <v>62</v>
      </c>
      <c r="I5" s="26">
        <v>13118.88</v>
      </c>
      <c r="J5" s="34">
        <v>9</v>
      </c>
      <c r="K5" s="26">
        <v>6628.89</v>
      </c>
      <c r="L5" s="34">
        <v>129</v>
      </c>
      <c r="M5" s="26">
        <v>76310.38</v>
      </c>
      <c r="N5" s="34">
        <v>29</v>
      </c>
      <c r="O5" s="26">
        <v>14301.53</v>
      </c>
      <c r="P5" s="11">
        <v>0</v>
      </c>
      <c r="Q5" s="26">
        <v>0</v>
      </c>
      <c r="R5" s="11">
        <v>0</v>
      </c>
      <c r="S5" s="26">
        <v>0</v>
      </c>
    </row>
    <row r="6" spans="1:19" s="5" customFormat="1" ht="18" customHeight="1" x14ac:dyDescent="0.2">
      <c r="A6" s="3" t="s">
        <v>70</v>
      </c>
      <c r="B6" s="11">
        <v>144</v>
      </c>
      <c r="C6" s="26">
        <v>51182.352135699999</v>
      </c>
      <c r="D6" s="34">
        <v>141</v>
      </c>
      <c r="E6" s="26">
        <v>49911.552135699996</v>
      </c>
      <c r="F6" s="34">
        <v>3</v>
      </c>
      <c r="G6" s="26">
        <v>1270.8</v>
      </c>
      <c r="H6" s="34">
        <v>27</v>
      </c>
      <c r="I6" s="26">
        <v>5342.7704930999998</v>
      </c>
      <c r="J6" s="34">
        <v>9</v>
      </c>
      <c r="K6" s="26">
        <v>1165.4395</v>
      </c>
      <c r="L6" s="34">
        <v>85</v>
      </c>
      <c r="M6" s="26">
        <v>33603.3435579</v>
      </c>
      <c r="N6" s="34">
        <v>19</v>
      </c>
      <c r="O6" s="26">
        <v>10955.106604500003</v>
      </c>
      <c r="P6" s="11">
        <v>4</v>
      </c>
      <c r="Q6" s="26">
        <v>115.7</v>
      </c>
      <c r="R6" s="11">
        <v>0</v>
      </c>
      <c r="S6" s="26">
        <v>0</v>
      </c>
    </row>
    <row r="7" spans="1:19" s="5" customFormat="1" ht="18" customHeight="1" x14ac:dyDescent="0.2">
      <c r="A7" s="3" t="s">
        <v>156</v>
      </c>
      <c r="B7" s="11">
        <v>16</v>
      </c>
      <c r="C7" s="26">
        <v>3555.2981799999998</v>
      </c>
      <c r="D7" s="34">
        <v>16</v>
      </c>
      <c r="E7" s="26">
        <v>3555.2981799999998</v>
      </c>
      <c r="F7" s="34">
        <v>0</v>
      </c>
      <c r="G7" s="26">
        <v>0</v>
      </c>
      <c r="H7" s="34">
        <v>4</v>
      </c>
      <c r="I7" s="26">
        <v>90.196179999999998</v>
      </c>
      <c r="J7" s="34">
        <v>0</v>
      </c>
      <c r="K7" s="26">
        <v>0</v>
      </c>
      <c r="L7" s="34">
        <v>8</v>
      </c>
      <c r="M7" s="26">
        <v>149.1247122</v>
      </c>
      <c r="N7" s="34">
        <v>3</v>
      </c>
      <c r="O7" s="26">
        <v>3231.3820000000001</v>
      </c>
      <c r="P7" s="11">
        <v>1</v>
      </c>
      <c r="Q7" s="26">
        <v>84.6</v>
      </c>
      <c r="R7" s="11">
        <v>0</v>
      </c>
      <c r="S7" s="26">
        <v>0</v>
      </c>
    </row>
    <row r="8" spans="1:19" s="5" customFormat="1" ht="18" customHeight="1" x14ac:dyDescent="0.2">
      <c r="A8" s="3" t="s">
        <v>157</v>
      </c>
      <c r="B8" s="11">
        <v>23</v>
      </c>
      <c r="C8" s="26">
        <v>14429.485360000001</v>
      </c>
      <c r="D8" s="34">
        <v>23</v>
      </c>
      <c r="E8" s="26">
        <v>14429.485360000001</v>
      </c>
      <c r="F8" s="34">
        <v>0</v>
      </c>
      <c r="G8" s="26">
        <v>0</v>
      </c>
      <c r="H8" s="34">
        <v>4</v>
      </c>
      <c r="I8" s="26">
        <v>154.6</v>
      </c>
      <c r="J8" s="34">
        <v>1</v>
      </c>
      <c r="K8" s="26">
        <v>509.81</v>
      </c>
      <c r="L8" s="34">
        <v>16</v>
      </c>
      <c r="M8" s="26">
        <v>13745.87536</v>
      </c>
      <c r="N8" s="34">
        <v>0</v>
      </c>
      <c r="O8" s="26">
        <v>0</v>
      </c>
      <c r="P8" s="11">
        <v>2</v>
      </c>
      <c r="Q8" s="26">
        <v>19.2</v>
      </c>
      <c r="R8" s="11">
        <v>0</v>
      </c>
      <c r="S8" s="26">
        <v>0</v>
      </c>
    </row>
    <row r="9" spans="1:19" s="5" customFormat="1" ht="18" customHeight="1" x14ac:dyDescent="0.2">
      <c r="A9" s="3" t="s">
        <v>158</v>
      </c>
      <c r="B9" s="11">
        <v>11</v>
      </c>
      <c r="C9" s="26">
        <v>3151.7067000000002</v>
      </c>
      <c r="D9" s="34">
        <v>10</v>
      </c>
      <c r="E9" s="26">
        <v>2691.1967</v>
      </c>
      <c r="F9" s="34">
        <v>1</v>
      </c>
      <c r="G9" s="26">
        <v>460.51</v>
      </c>
      <c r="H9" s="34">
        <v>1</v>
      </c>
      <c r="I9" s="26">
        <v>460.51</v>
      </c>
      <c r="J9" s="34">
        <v>0</v>
      </c>
      <c r="K9" s="26">
        <v>0</v>
      </c>
      <c r="L9" s="34">
        <v>9</v>
      </c>
      <c r="M9" s="26">
        <v>2679.2966999999999</v>
      </c>
      <c r="N9" s="34">
        <v>0</v>
      </c>
      <c r="O9" s="26">
        <v>0</v>
      </c>
      <c r="P9" s="11">
        <v>1</v>
      </c>
      <c r="Q9" s="26">
        <v>11.9</v>
      </c>
      <c r="R9" s="11">
        <v>0</v>
      </c>
      <c r="S9" s="26">
        <v>0</v>
      </c>
    </row>
    <row r="10" spans="1:19" s="5" customFormat="1" ht="18" customHeight="1" x14ac:dyDescent="0.2">
      <c r="A10" s="3" t="s">
        <v>159</v>
      </c>
      <c r="B10" s="11">
        <v>15</v>
      </c>
      <c r="C10" s="26">
        <v>10686.03</v>
      </c>
      <c r="D10" s="34">
        <v>15</v>
      </c>
      <c r="E10" s="26">
        <v>10686.03</v>
      </c>
      <c r="F10" s="34">
        <v>0</v>
      </c>
      <c r="G10" s="26">
        <v>0</v>
      </c>
      <c r="H10" s="34">
        <v>4</v>
      </c>
      <c r="I10" s="26">
        <v>1598.276822</v>
      </c>
      <c r="J10" s="34">
        <v>1</v>
      </c>
      <c r="K10" s="26">
        <v>60.0075</v>
      </c>
      <c r="L10" s="34">
        <v>8</v>
      </c>
      <c r="M10" s="26">
        <v>4851.3930899999996</v>
      </c>
      <c r="N10" s="34">
        <v>2</v>
      </c>
      <c r="O10" s="26">
        <v>4176.3538044999996</v>
      </c>
      <c r="P10" s="11">
        <v>0</v>
      </c>
      <c r="Q10" s="26">
        <v>0</v>
      </c>
      <c r="R10" s="11">
        <v>0</v>
      </c>
      <c r="S10" s="26">
        <v>0</v>
      </c>
    </row>
    <row r="11" spans="1:19" s="5" customFormat="1" ht="18" customHeight="1" x14ac:dyDescent="0.2">
      <c r="A11" s="3" t="s">
        <v>160</v>
      </c>
      <c r="B11" s="11">
        <v>11</v>
      </c>
      <c r="C11" s="26">
        <v>1254.1099999999999</v>
      </c>
      <c r="D11" s="34">
        <v>11</v>
      </c>
      <c r="E11" s="26">
        <v>1254.1099999999999</v>
      </c>
      <c r="F11" s="34">
        <v>0</v>
      </c>
      <c r="G11" s="26">
        <v>0</v>
      </c>
      <c r="H11" s="34">
        <v>2</v>
      </c>
      <c r="I11" s="26">
        <v>29.8</v>
      </c>
      <c r="J11" s="34">
        <v>0</v>
      </c>
      <c r="K11" s="26">
        <v>0</v>
      </c>
      <c r="L11" s="34">
        <v>8</v>
      </c>
      <c r="M11" s="26">
        <v>93.12</v>
      </c>
      <c r="N11" s="34">
        <v>1</v>
      </c>
      <c r="O11" s="26">
        <v>1131.19</v>
      </c>
      <c r="P11" s="11">
        <v>0</v>
      </c>
      <c r="Q11" s="26">
        <v>0</v>
      </c>
      <c r="R11" s="11">
        <v>0</v>
      </c>
      <c r="S11" s="26">
        <v>0</v>
      </c>
    </row>
    <row r="12" spans="1:19" s="5" customFormat="1" ht="18" customHeight="1" x14ac:dyDescent="0.2">
      <c r="A12" s="3" t="s">
        <v>161</v>
      </c>
      <c r="B12" s="11">
        <v>20</v>
      </c>
      <c r="C12" s="26">
        <v>8700.7718956999997</v>
      </c>
      <c r="D12" s="34">
        <v>19</v>
      </c>
      <c r="E12" s="26">
        <v>8234.0718957000008</v>
      </c>
      <c r="F12" s="34">
        <v>1</v>
      </c>
      <c r="G12" s="26">
        <v>466.7</v>
      </c>
      <c r="H12" s="34">
        <v>4</v>
      </c>
      <c r="I12" s="26">
        <v>2476.4899999999998</v>
      </c>
      <c r="J12" s="34">
        <v>0</v>
      </c>
      <c r="K12" s="26">
        <v>0</v>
      </c>
      <c r="L12" s="34">
        <v>13</v>
      </c>
      <c r="M12" s="26">
        <v>5262.0944957000002</v>
      </c>
      <c r="N12" s="34">
        <v>3</v>
      </c>
      <c r="O12" s="26">
        <v>962.19</v>
      </c>
      <c r="P12" s="11">
        <v>0</v>
      </c>
      <c r="Q12" s="26">
        <v>0</v>
      </c>
      <c r="R12" s="11">
        <v>0</v>
      </c>
      <c r="S12" s="26">
        <v>0</v>
      </c>
    </row>
    <row r="13" spans="1:19" s="5" customFormat="1" ht="18" customHeight="1" x14ac:dyDescent="0.2">
      <c r="A13" s="3" t="s">
        <v>162</v>
      </c>
      <c r="B13" s="11">
        <v>17</v>
      </c>
      <c r="C13" s="26">
        <v>1232.23</v>
      </c>
      <c r="D13" s="34">
        <v>16</v>
      </c>
      <c r="E13" s="26">
        <v>888.64</v>
      </c>
      <c r="F13" s="34">
        <v>1</v>
      </c>
      <c r="G13" s="26">
        <v>343.59</v>
      </c>
      <c r="H13" s="34">
        <v>2</v>
      </c>
      <c r="I13" s="26">
        <v>7.8959999999999999</v>
      </c>
      <c r="J13" s="34">
        <v>4</v>
      </c>
      <c r="K13" s="26">
        <v>387.072</v>
      </c>
      <c r="L13" s="34">
        <v>8</v>
      </c>
      <c r="M13" s="26">
        <v>110.47920000000001</v>
      </c>
      <c r="N13" s="34">
        <v>3</v>
      </c>
      <c r="O13" s="26">
        <v>726.7808</v>
      </c>
      <c r="P13" s="11">
        <v>0</v>
      </c>
      <c r="Q13" s="26">
        <v>0</v>
      </c>
      <c r="R13" s="11">
        <v>0</v>
      </c>
      <c r="S13" s="26">
        <v>0</v>
      </c>
    </row>
    <row r="14" spans="1:19" s="5" customFormat="1" ht="18" customHeight="1" x14ac:dyDescent="0.2">
      <c r="A14" s="3" t="s">
        <v>163</v>
      </c>
      <c r="B14" s="11">
        <v>6</v>
      </c>
      <c r="C14" s="26">
        <v>317.52</v>
      </c>
      <c r="D14" s="34">
        <v>6</v>
      </c>
      <c r="E14" s="26">
        <v>317.52</v>
      </c>
      <c r="F14" s="34">
        <v>0</v>
      </c>
      <c r="G14" s="26">
        <v>0</v>
      </c>
      <c r="H14" s="34">
        <v>0</v>
      </c>
      <c r="I14" s="26">
        <v>0</v>
      </c>
      <c r="J14" s="34">
        <v>1</v>
      </c>
      <c r="K14" s="26">
        <v>13.32</v>
      </c>
      <c r="L14" s="34">
        <v>3</v>
      </c>
      <c r="M14" s="26">
        <v>10.68</v>
      </c>
      <c r="N14" s="34">
        <v>2</v>
      </c>
      <c r="O14" s="26">
        <v>293.52</v>
      </c>
      <c r="P14" s="11">
        <v>0</v>
      </c>
      <c r="Q14" s="26">
        <v>0</v>
      </c>
      <c r="R14" s="11">
        <v>0</v>
      </c>
      <c r="S14" s="26">
        <v>0</v>
      </c>
    </row>
    <row r="15" spans="1:19" s="5" customFormat="1" ht="18" customHeight="1" x14ac:dyDescent="0.2">
      <c r="A15" s="3" t="s">
        <v>193</v>
      </c>
      <c r="B15" s="11">
        <v>5</v>
      </c>
      <c r="C15" s="26">
        <v>1028.27</v>
      </c>
      <c r="D15" s="34">
        <v>5</v>
      </c>
      <c r="E15" s="26">
        <v>1028.27</v>
      </c>
      <c r="F15" s="34">
        <v>0</v>
      </c>
      <c r="G15" s="26">
        <v>0</v>
      </c>
      <c r="H15" s="34">
        <v>1</v>
      </c>
      <c r="I15" s="26">
        <v>217.6714911</v>
      </c>
      <c r="J15" s="34">
        <v>0</v>
      </c>
      <c r="K15" s="26">
        <v>0</v>
      </c>
      <c r="L15" s="34">
        <v>3</v>
      </c>
      <c r="M15" s="26">
        <v>768.48</v>
      </c>
      <c r="N15" s="34">
        <v>1</v>
      </c>
      <c r="O15" s="26">
        <v>42.12</v>
      </c>
      <c r="P15" s="11">
        <v>0</v>
      </c>
      <c r="Q15" s="26">
        <v>0</v>
      </c>
      <c r="R15" s="11">
        <v>0</v>
      </c>
      <c r="S15" s="26">
        <v>0</v>
      </c>
    </row>
    <row r="16" spans="1:19" s="5" customFormat="1" ht="18" customHeight="1" x14ac:dyDescent="0.2">
      <c r="A16" s="3" t="s">
        <v>194</v>
      </c>
      <c r="B16" s="11">
        <v>12</v>
      </c>
      <c r="C16" s="26">
        <v>5485.17</v>
      </c>
      <c r="D16" s="34">
        <v>12</v>
      </c>
      <c r="E16" s="26">
        <v>5485.17</v>
      </c>
      <c r="F16" s="34">
        <v>0</v>
      </c>
      <c r="G16" s="26">
        <v>0</v>
      </c>
      <c r="H16" s="34">
        <v>3</v>
      </c>
      <c r="I16" s="26">
        <v>302.91000000000003</v>
      </c>
      <c r="J16" s="34">
        <v>1</v>
      </c>
      <c r="K16" s="26">
        <v>185</v>
      </c>
      <c r="L16" s="34">
        <v>6</v>
      </c>
      <c r="M16" s="26">
        <v>4762.05</v>
      </c>
      <c r="N16" s="34">
        <v>2</v>
      </c>
      <c r="O16" s="26">
        <v>235.21</v>
      </c>
      <c r="P16" s="11">
        <v>0</v>
      </c>
      <c r="Q16" s="26">
        <v>0</v>
      </c>
      <c r="R16" s="11">
        <v>0</v>
      </c>
      <c r="S16" s="26">
        <v>0</v>
      </c>
    </row>
    <row r="17" spans="1:19" s="5" customFormat="1" ht="18" customHeight="1" x14ac:dyDescent="0.2">
      <c r="A17" s="3" t="s">
        <v>166</v>
      </c>
      <c r="B17" s="11">
        <v>8</v>
      </c>
      <c r="C17" s="26">
        <v>1341.76</v>
      </c>
      <c r="D17" s="34">
        <v>8</v>
      </c>
      <c r="E17" s="26">
        <v>1341.76</v>
      </c>
      <c r="F17" s="34">
        <v>0</v>
      </c>
      <c r="G17" s="26">
        <v>0</v>
      </c>
      <c r="H17" s="34">
        <v>2</v>
      </c>
      <c r="I17" s="26">
        <v>4.42</v>
      </c>
      <c r="J17" s="34">
        <v>1</v>
      </c>
      <c r="K17" s="26">
        <v>10.23</v>
      </c>
      <c r="L17" s="34">
        <v>3</v>
      </c>
      <c r="M17" s="26">
        <v>1170.75</v>
      </c>
      <c r="N17" s="34">
        <v>2</v>
      </c>
      <c r="O17" s="26">
        <v>156.36000000000001</v>
      </c>
      <c r="P17" s="11">
        <v>0</v>
      </c>
      <c r="Q17" s="26">
        <v>0</v>
      </c>
      <c r="R17" s="11">
        <v>0</v>
      </c>
      <c r="S17" s="26">
        <v>0</v>
      </c>
    </row>
    <row r="18" spans="1:19" s="5" customFormat="1" ht="19.5" customHeight="1" x14ac:dyDescent="0.2">
      <c r="A18" s="371" t="s">
        <v>105</v>
      </c>
      <c r="B18" s="371"/>
      <c r="C18" s="371"/>
    </row>
    <row r="19" spans="1:19" s="5" customFormat="1" ht="18" customHeight="1" x14ac:dyDescent="0.2">
      <c r="A19" s="371" t="s">
        <v>126</v>
      </c>
      <c r="B19" s="371"/>
      <c r="C19" s="371"/>
    </row>
    <row r="20" spans="1:19" s="5" customFormat="1" ht="26.85" customHeight="1" x14ac:dyDescent="0.2"/>
  </sheetData>
  <customSheetViews>
    <customSheetView guid="{B9B27D37-53F8-4AD8-9221-6458C3026417}" fitToPage="1">
      <selection activeCell="D6" sqref="D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F11" sqref="F1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5">
    <mergeCell ref="A18:C18"/>
    <mergeCell ref="A19:C19"/>
    <mergeCell ref="A1:L1"/>
    <mergeCell ref="A2:A4"/>
    <mergeCell ref="B2:C3"/>
    <mergeCell ref="D2:G2"/>
    <mergeCell ref="H2:S2"/>
    <mergeCell ref="D3:E3"/>
    <mergeCell ref="F3:G3"/>
    <mergeCell ref="H3:I3"/>
    <mergeCell ref="J3:K3"/>
    <mergeCell ref="L3:M3"/>
    <mergeCell ref="N3:O3"/>
    <mergeCell ref="P3:Q3"/>
    <mergeCell ref="R3:S3"/>
  </mergeCells>
  <pageMargins left="0.78431372549019618" right="0.78431372549019618" top="0.98039215686274517" bottom="0.98039215686274517" header="0.50980392156862753" footer="0.50980392156862753"/>
  <pageSetup paperSize="9" scale="47"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C000"/>
    <pageSetUpPr fitToPage="1"/>
  </sheetPr>
  <dimension ref="A1:N19"/>
  <sheetViews>
    <sheetView zoomScaleNormal="100" workbookViewId="0">
      <selection activeCell="B2" sqref="B2:C2"/>
    </sheetView>
  </sheetViews>
  <sheetFormatPr defaultRowHeight="12.75" x14ac:dyDescent="0.2"/>
  <cols>
    <col min="1" max="1" width="14.7109375" bestFit="1" customWidth="1"/>
    <col min="2" max="2" width="12.140625" bestFit="1" customWidth="1"/>
    <col min="3" max="3" width="9.28515625" bestFit="1" customWidth="1"/>
    <col min="4" max="4" width="12.140625" bestFit="1" customWidth="1"/>
    <col min="5" max="5" width="8.42578125" bestFit="1" customWidth="1"/>
    <col min="6" max="6" width="12.140625" bestFit="1" customWidth="1"/>
    <col min="7" max="7" width="8.42578125" bestFit="1" customWidth="1"/>
    <col min="8" max="8" width="12.140625" bestFit="1" customWidth="1"/>
    <col min="9" max="9" width="8.42578125" bestFit="1" customWidth="1"/>
    <col min="10" max="10" width="12.140625" bestFit="1" customWidth="1"/>
    <col min="11" max="11" width="8.42578125" bestFit="1" customWidth="1"/>
    <col min="12" max="12" width="12.140625" bestFit="1" customWidth="1"/>
    <col min="13" max="13" width="8.42578125" bestFit="1" customWidth="1"/>
    <col min="14" max="14" width="51" bestFit="1" customWidth="1"/>
    <col min="15" max="15" width="4.7109375" bestFit="1" customWidth="1"/>
  </cols>
  <sheetData>
    <row r="1" spans="1:14" ht="15" customHeight="1" x14ac:dyDescent="0.2">
      <c r="A1" s="403" t="s">
        <v>12</v>
      </c>
      <c r="B1" s="403"/>
      <c r="C1" s="403"/>
      <c r="D1" s="403"/>
      <c r="E1" s="403"/>
      <c r="F1" s="403"/>
      <c r="G1" s="403"/>
      <c r="H1" s="403"/>
      <c r="I1" s="403"/>
      <c r="J1" s="403"/>
      <c r="K1" s="403"/>
      <c r="L1" s="403"/>
      <c r="M1" s="403"/>
      <c r="N1" s="403"/>
    </row>
    <row r="2" spans="1:14" s="5" customFormat="1" ht="27" customHeight="1" x14ac:dyDescent="0.2">
      <c r="A2" s="381" t="s">
        <v>147</v>
      </c>
      <c r="B2" s="375" t="s">
        <v>150</v>
      </c>
      <c r="C2" s="376"/>
      <c r="D2" s="375" t="s">
        <v>235</v>
      </c>
      <c r="E2" s="376"/>
      <c r="F2" s="375" t="s">
        <v>236</v>
      </c>
      <c r="G2" s="376"/>
      <c r="H2" s="375" t="s">
        <v>237</v>
      </c>
      <c r="I2" s="376"/>
      <c r="J2" s="375" t="s">
        <v>238</v>
      </c>
      <c r="K2" s="376"/>
      <c r="L2" s="375" t="s">
        <v>239</v>
      </c>
      <c r="M2" s="376"/>
    </row>
    <row r="3" spans="1:14" s="5" customFormat="1" ht="37.5" customHeight="1" x14ac:dyDescent="0.2">
      <c r="A3" s="383"/>
      <c r="B3" s="7" t="s">
        <v>183</v>
      </c>
      <c r="C3" s="10" t="s">
        <v>155</v>
      </c>
      <c r="D3" s="7" t="s">
        <v>183</v>
      </c>
      <c r="E3" s="10" t="s">
        <v>155</v>
      </c>
      <c r="F3" s="7" t="s">
        <v>183</v>
      </c>
      <c r="G3" s="10" t="s">
        <v>155</v>
      </c>
      <c r="H3" s="7" t="s">
        <v>183</v>
      </c>
      <c r="I3" s="10" t="s">
        <v>155</v>
      </c>
      <c r="J3" s="7" t="s">
        <v>183</v>
      </c>
      <c r="K3" s="10" t="s">
        <v>155</v>
      </c>
      <c r="L3" s="7" t="s">
        <v>183</v>
      </c>
      <c r="M3" s="10" t="s">
        <v>155</v>
      </c>
    </row>
    <row r="4" spans="1:14" s="5" customFormat="1" ht="18" customHeight="1" x14ac:dyDescent="0.2">
      <c r="A4" s="3" t="s">
        <v>69</v>
      </c>
      <c r="B4" s="35">
        <v>229</v>
      </c>
      <c r="C4" s="33">
        <v>110359.31</v>
      </c>
      <c r="D4" s="35">
        <v>28</v>
      </c>
      <c r="E4" s="26">
        <v>108.28</v>
      </c>
      <c r="F4" s="35">
        <v>41</v>
      </c>
      <c r="G4" s="26">
        <v>273.58</v>
      </c>
      <c r="H4" s="35">
        <v>90</v>
      </c>
      <c r="I4" s="26">
        <v>1848</v>
      </c>
      <c r="J4" s="35">
        <v>9</v>
      </c>
      <c r="K4" s="26">
        <v>615.59</v>
      </c>
      <c r="L4" s="35">
        <v>61</v>
      </c>
      <c r="M4" s="33">
        <v>107513.86</v>
      </c>
    </row>
    <row r="5" spans="1:14" s="5" customFormat="1" ht="18" customHeight="1" x14ac:dyDescent="0.2">
      <c r="A5" s="3" t="s">
        <v>70</v>
      </c>
      <c r="B5" s="35">
        <f>SUM(B6:B16)</f>
        <v>144</v>
      </c>
      <c r="C5" s="26">
        <f t="shared" ref="C5:M5" si="0">SUM(C6:C16)</f>
        <v>51182.358820099995</v>
      </c>
      <c r="D5" s="35">
        <f t="shared" si="0"/>
        <v>18</v>
      </c>
      <c r="E5" s="26">
        <f t="shared" si="0"/>
        <v>62.666799999999995</v>
      </c>
      <c r="F5" s="35">
        <f t="shared" si="0"/>
        <v>27</v>
      </c>
      <c r="G5" s="26">
        <f t="shared" si="0"/>
        <v>197.32940000000002</v>
      </c>
      <c r="H5" s="35">
        <f t="shared" si="0"/>
        <v>56</v>
      </c>
      <c r="I5" s="26">
        <f t="shared" si="0"/>
        <v>1226.1410000000001</v>
      </c>
      <c r="J5" s="35">
        <f t="shared" si="0"/>
        <v>6</v>
      </c>
      <c r="K5" s="26">
        <f t="shared" si="0"/>
        <v>437.51522</v>
      </c>
      <c r="L5" s="35">
        <f t="shared" si="0"/>
        <v>37</v>
      </c>
      <c r="M5" s="26">
        <f t="shared" si="0"/>
        <v>49258.706400099996</v>
      </c>
    </row>
    <row r="6" spans="1:14" s="5" customFormat="1" ht="18" customHeight="1" x14ac:dyDescent="0.2">
      <c r="A6" s="3" t="s">
        <v>156</v>
      </c>
      <c r="B6" s="35">
        <v>16</v>
      </c>
      <c r="C6" s="26">
        <v>3555.3</v>
      </c>
      <c r="D6" s="35">
        <v>3</v>
      </c>
      <c r="E6" s="26">
        <v>11.9</v>
      </c>
      <c r="F6" s="35">
        <v>4</v>
      </c>
      <c r="G6" s="26">
        <v>24.23</v>
      </c>
      <c r="H6" s="35">
        <v>5</v>
      </c>
      <c r="I6" s="26">
        <v>120.38</v>
      </c>
      <c r="J6" s="35">
        <v>2</v>
      </c>
      <c r="K6" s="26">
        <v>184.52</v>
      </c>
      <c r="L6" s="35">
        <v>2</v>
      </c>
      <c r="M6" s="26">
        <v>3214.27</v>
      </c>
    </row>
    <row r="7" spans="1:14" s="5" customFormat="1" ht="18" customHeight="1" x14ac:dyDescent="0.2">
      <c r="A7" s="3" t="s">
        <v>157</v>
      </c>
      <c r="B7" s="35">
        <v>23</v>
      </c>
      <c r="C7" s="26">
        <v>14429.485360000001</v>
      </c>
      <c r="D7" s="35">
        <v>1</v>
      </c>
      <c r="E7" s="26">
        <v>4.4400000000000004</v>
      </c>
      <c r="F7" s="35">
        <v>8</v>
      </c>
      <c r="G7" s="26">
        <v>64.674000000000007</v>
      </c>
      <c r="H7" s="35">
        <v>9</v>
      </c>
      <c r="I7" s="26">
        <v>233.86135999999999</v>
      </c>
      <c r="J7" s="35">
        <v>1</v>
      </c>
      <c r="K7" s="26">
        <v>77.91</v>
      </c>
      <c r="L7" s="35">
        <v>4</v>
      </c>
      <c r="M7" s="26">
        <v>14048.6</v>
      </c>
    </row>
    <row r="8" spans="1:14" s="5" customFormat="1" ht="18" customHeight="1" x14ac:dyDescent="0.2">
      <c r="A8" s="3" t="s">
        <v>158</v>
      </c>
      <c r="B8" s="35">
        <v>11</v>
      </c>
      <c r="C8" s="26">
        <v>3151.7053999999998</v>
      </c>
      <c r="D8" s="35">
        <v>0</v>
      </c>
      <c r="E8" s="26">
        <v>0</v>
      </c>
      <c r="F8" s="35">
        <v>2</v>
      </c>
      <c r="G8" s="26">
        <v>14.164</v>
      </c>
      <c r="H8" s="35">
        <v>6</v>
      </c>
      <c r="I8" s="26">
        <v>121.3914</v>
      </c>
      <c r="J8" s="35">
        <v>0</v>
      </c>
      <c r="K8" s="26">
        <v>0</v>
      </c>
      <c r="L8" s="35">
        <v>3</v>
      </c>
      <c r="M8" s="26">
        <v>3016.15</v>
      </c>
    </row>
    <row r="9" spans="1:14" s="5" customFormat="1" ht="18" customHeight="1" x14ac:dyDescent="0.2">
      <c r="A9" s="3" t="s">
        <v>159</v>
      </c>
      <c r="B9" s="35">
        <v>15</v>
      </c>
      <c r="C9" s="26">
        <v>10686.031215999999</v>
      </c>
      <c r="D9" s="35">
        <v>1</v>
      </c>
      <c r="E9" s="26">
        <v>4.5084</v>
      </c>
      <c r="F9" s="35">
        <v>3</v>
      </c>
      <c r="G9" s="26">
        <v>22.453399999999998</v>
      </c>
      <c r="H9" s="35">
        <v>4</v>
      </c>
      <c r="I9" s="26">
        <v>66.45384</v>
      </c>
      <c r="J9" s="35">
        <v>1</v>
      </c>
      <c r="K9" s="26">
        <v>60.0075</v>
      </c>
      <c r="L9" s="35">
        <v>6</v>
      </c>
      <c r="M9" s="26">
        <v>10532.608076</v>
      </c>
    </row>
    <row r="10" spans="1:14" s="5" customFormat="1" ht="18" customHeight="1" x14ac:dyDescent="0.2">
      <c r="A10" s="3" t="s">
        <v>160</v>
      </c>
      <c r="B10" s="35">
        <v>11</v>
      </c>
      <c r="C10" s="26">
        <v>1254.1199999999999</v>
      </c>
      <c r="D10" s="35">
        <v>2</v>
      </c>
      <c r="E10" s="26">
        <v>6.13</v>
      </c>
      <c r="F10" s="35">
        <v>2</v>
      </c>
      <c r="G10" s="26">
        <v>15.67</v>
      </c>
      <c r="H10" s="35">
        <v>6</v>
      </c>
      <c r="I10" s="26">
        <v>101.13</v>
      </c>
      <c r="J10" s="35">
        <v>0</v>
      </c>
      <c r="K10" s="26">
        <v>0</v>
      </c>
      <c r="L10" s="35">
        <v>1</v>
      </c>
      <c r="M10" s="26">
        <v>1131.19</v>
      </c>
    </row>
    <row r="11" spans="1:14" s="5" customFormat="1" ht="18" customHeight="1" x14ac:dyDescent="0.2">
      <c r="A11" s="3" t="s">
        <v>161</v>
      </c>
      <c r="B11" s="35">
        <v>20</v>
      </c>
      <c r="C11" s="26">
        <v>8700.7681200000006</v>
      </c>
      <c r="D11" s="35">
        <v>3</v>
      </c>
      <c r="E11" s="26">
        <v>10.718400000000001</v>
      </c>
      <c r="F11" s="35">
        <v>2</v>
      </c>
      <c r="G11" s="26">
        <v>14.268000000000001</v>
      </c>
      <c r="H11" s="35">
        <v>7</v>
      </c>
      <c r="I11" s="26">
        <v>169.17400000000001</v>
      </c>
      <c r="J11" s="35">
        <v>2</v>
      </c>
      <c r="K11" s="26">
        <v>115.07772</v>
      </c>
      <c r="L11" s="35">
        <v>6</v>
      </c>
      <c r="M11" s="26">
        <v>8391.5300000000007</v>
      </c>
    </row>
    <row r="12" spans="1:14" s="5" customFormat="1" ht="18" customHeight="1" x14ac:dyDescent="0.2">
      <c r="A12" s="3" t="s">
        <v>162</v>
      </c>
      <c r="B12" s="35">
        <v>17</v>
      </c>
      <c r="C12" s="26">
        <v>1232.2303999999999</v>
      </c>
      <c r="D12" s="35">
        <v>3</v>
      </c>
      <c r="E12" s="26">
        <v>12.78</v>
      </c>
      <c r="F12" s="35">
        <v>2</v>
      </c>
      <c r="G12" s="26">
        <v>13.5</v>
      </c>
      <c r="H12" s="35">
        <v>9</v>
      </c>
      <c r="I12" s="26">
        <v>155.57040000000001</v>
      </c>
      <c r="J12" s="35">
        <v>0</v>
      </c>
      <c r="K12" s="26">
        <v>0</v>
      </c>
      <c r="L12" s="35">
        <v>3</v>
      </c>
      <c r="M12" s="26">
        <v>1050.3800000000001</v>
      </c>
    </row>
    <row r="13" spans="1:14" s="5" customFormat="1" ht="18" customHeight="1" x14ac:dyDescent="0.2">
      <c r="A13" s="3" t="s">
        <v>163</v>
      </c>
      <c r="B13" s="35">
        <v>6</v>
      </c>
      <c r="C13" s="26">
        <v>317.52</v>
      </c>
      <c r="D13" s="35">
        <v>2</v>
      </c>
      <c r="E13" s="26">
        <v>4.17</v>
      </c>
      <c r="F13" s="35">
        <v>1</v>
      </c>
      <c r="G13" s="26">
        <v>6.51</v>
      </c>
      <c r="H13" s="35">
        <v>2</v>
      </c>
      <c r="I13" s="26">
        <v>44.82</v>
      </c>
      <c r="J13" s="35">
        <v>0</v>
      </c>
      <c r="K13" s="26">
        <v>0</v>
      </c>
      <c r="L13" s="35">
        <v>1</v>
      </c>
      <c r="M13" s="26">
        <v>262.02</v>
      </c>
    </row>
    <row r="14" spans="1:14" s="5" customFormat="1" ht="18" customHeight="1" x14ac:dyDescent="0.2">
      <c r="A14" s="3" t="s">
        <v>164</v>
      </c>
      <c r="B14" s="35">
        <v>5</v>
      </c>
      <c r="C14" s="26">
        <v>1028.2683241</v>
      </c>
      <c r="D14" s="35">
        <v>0</v>
      </c>
      <c r="E14" s="26">
        <v>0</v>
      </c>
      <c r="F14" s="35">
        <v>1</v>
      </c>
      <c r="G14" s="26">
        <v>7.29</v>
      </c>
      <c r="H14" s="35">
        <v>1</v>
      </c>
      <c r="I14" s="26">
        <v>42.12</v>
      </c>
      <c r="J14" s="35">
        <v>0</v>
      </c>
      <c r="K14" s="26">
        <v>0</v>
      </c>
      <c r="L14" s="35">
        <v>3</v>
      </c>
      <c r="M14" s="26">
        <v>978.8583241</v>
      </c>
    </row>
    <row r="15" spans="1:14" s="5" customFormat="1" ht="18" customHeight="1" x14ac:dyDescent="0.2">
      <c r="A15" s="3" t="s">
        <v>165</v>
      </c>
      <c r="B15" s="35">
        <v>12</v>
      </c>
      <c r="C15" s="26">
        <v>5485.17</v>
      </c>
      <c r="D15" s="35">
        <v>0</v>
      </c>
      <c r="E15" s="26">
        <v>0</v>
      </c>
      <c r="F15" s="35">
        <v>1</v>
      </c>
      <c r="G15" s="26">
        <v>5.99</v>
      </c>
      <c r="H15" s="35">
        <v>5</v>
      </c>
      <c r="I15" s="26">
        <v>134.55000000000001</v>
      </c>
      <c r="J15" s="35">
        <v>0</v>
      </c>
      <c r="K15" s="26">
        <v>0</v>
      </c>
      <c r="L15" s="35">
        <v>6</v>
      </c>
      <c r="M15" s="26">
        <v>5344.63</v>
      </c>
    </row>
    <row r="16" spans="1:14" s="5" customFormat="1" ht="18" customHeight="1" x14ac:dyDescent="0.2">
      <c r="A16" s="3" t="s">
        <v>166</v>
      </c>
      <c r="B16" s="35">
        <v>8</v>
      </c>
      <c r="C16" s="26">
        <v>1341.76</v>
      </c>
      <c r="D16" s="35">
        <v>3</v>
      </c>
      <c r="E16" s="26">
        <v>8.02</v>
      </c>
      <c r="F16" s="35">
        <v>1</v>
      </c>
      <c r="G16" s="26">
        <v>8.58</v>
      </c>
      <c r="H16" s="35">
        <v>2</v>
      </c>
      <c r="I16" s="26">
        <v>36.69</v>
      </c>
      <c r="J16" s="35">
        <v>0</v>
      </c>
      <c r="K16" s="26">
        <v>0</v>
      </c>
      <c r="L16" s="35">
        <v>2</v>
      </c>
      <c r="M16" s="26">
        <v>1288.47</v>
      </c>
    </row>
    <row r="17" spans="1:3" s="5" customFormat="1" ht="18.75" customHeight="1" x14ac:dyDescent="0.2">
      <c r="A17" s="371" t="s">
        <v>105</v>
      </c>
      <c r="B17" s="371"/>
      <c r="C17" s="371"/>
    </row>
    <row r="18" spans="1:3" s="5" customFormat="1" ht="18" customHeight="1" x14ac:dyDescent="0.2">
      <c r="A18" s="371" t="s">
        <v>126</v>
      </c>
      <c r="B18" s="371"/>
      <c r="C18" s="371"/>
    </row>
    <row r="19" spans="1:3" s="5" customFormat="1" ht="28.35" customHeight="1" x14ac:dyDescent="0.2"/>
  </sheetData>
  <customSheetViews>
    <customSheetView guid="{B9B27D37-53F8-4AD8-9221-6458C3026417}" fitToPage="1">
      <selection activeCell="B6" sqref="B6:B1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6" sqref="B6:B1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0">
    <mergeCell ref="A17:C17"/>
    <mergeCell ref="A18:C18"/>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20"/>
  <sheetViews>
    <sheetView zoomScaleNormal="100" workbookViewId="0">
      <selection activeCell="A17" sqref="A17:I17"/>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ht="18.75" customHeight="1" x14ac:dyDescent="0.2">
      <c r="A1" s="403" t="s">
        <v>13</v>
      </c>
      <c r="B1" s="403"/>
      <c r="C1" s="403"/>
      <c r="D1" s="403"/>
      <c r="E1" s="403"/>
      <c r="F1" s="403"/>
      <c r="G1" s="403"/>
      <c r="H1" s="403"/>
      <c r="I1" s="403"/>
    </row>
    <row r="2" spans="1:11" s="5" customFormat="1" ht="18" customHeight="1" x14ac:dyDescent="0.2">
      <c r="A2" s="406" t="s">
        <v>147</v>
      </c>
      <c r="B2" s="404" t="s">
        <v>240</v>
      </c>
      <c r="C2" s="405"/>
      <c r="D2" s="404" t="s">
        <v>241</v>
      </c>
      <c r="E2" s="405"/>
      <c r="F2" s="404" t="s">
        <v>242</v>
      </c>
      <c r="G2" s="405"/>
      <c r="H2" s="404" t="s">
        <v>243</v>
      </c>
      <c r="I2" s="405"/>
      <c r="J2" s="404" t="s">
        <v>150</v>
      </c>
      <c r="K2" s="405"/>
    </row>
    <row r="3" spans="1:11" s="5" customFormat="1" ht="27" customHeight="1" x14ac:dyDescent="0.2">
      <c r="A3" s="407"/>
      <c r="B3" s="36" t="s">
        <v>179</v>
      </c>
      <c r="C3" s="37" t="s">
        <v>234</v>
      </c>
      <c r="D3" s="36" t="s">
        <v>179</v>
      </c>
      <c r="E3" s="37" t="s">
        <v>234</v>
      </c>
      <c r="F3" s="37" t="s">
        <v>179</v>
      </c>
      <c r="G3" s="37" t="s">
        <v>234</v>
      </c>
      <c r="H3" s="36" t="s">
        <v>179</v>
      </c>
      <c r="I3" s="37" t="s">
        <v>234</v>
      </c>
      <c r="J3" s="36" t="s">
        <v>179</v>
      </c>
      <c r="K3" s="37" t="s">
        <v>234</v>
      </c>
    </row>
    <row r="4" spans="1:11" s="5" customFormat="1" ht="18" customHeight="1" x14ac:dyDescent="0.2">
      <c r="A4" s="30" t="s">
        <v>69</v>
      </c>
      <c r="B4" s="38">
        <v>0</v>
      </c>
      <c r="C4" s="8">
        <v>0</v>
      </c>
      <c r="D4" s="38">
        <v>0</v>
      </c>
      <c r="E4" s="8">
        <v>0</v>
      </c>
      <c r="F4" s="31">
        <v>0</v>
      </c>
      <c r="G4" s="31">
        <v>0</v>
      </c>
      <c r="H4" s="38">
        <v>53</v>
      </c>
      <c r="I4" s="8">
        <v>67238</v>
      </c>
      <c r="J4" s="31">
        <v>53</v>
      </c>
      <c r="K4" s="8">
        <v>67238</v>
      </c>
    </row>
    <row r="5" spans="1:11" s="5" customFormat="1" ht="18" customHeight="1" x14ac:dyDescent="0.2">
      <c r="A5" s="30" t="s">
        <v>70</v>
      </c>
      <c r="B5" s="38">
        <v>0</v>
      </c>
      <c r="C5" s="8">
        <v>0</v>
      </c>
      <c r="D5" s="38">
        <v>0</v>
      </c>
      <c r="E5" s="8">
        <v>0</v>
      </c>
      <c r="F5" s="31">
        <v>0</v>
      </c>
      <c r="G5" s="31">
        <v>0</v>
      </c>
      <c r="H5" s="38">
        <v>12</v>
      </c>
      <c r="I5" s="8">
        <v>7468.7313858150001</v>
      </c>
      <c r="J5" s="31">
        <v>12</v>
      </c>
      <c r="K5" s="8">
        <v>7468.7313858150001</v>
      </c>
    </row>
    <row r="6" spans="1:11" s="5" customFormat="1" ht="18" customHeight="1" x14ac:dyDescent="0.2">
      <c r="A6" s="30" t="s">
        <v>156</v>
      </c>
      <c r="B6" s="38">
        <v>0</v>
      </c>
      <c r="C6" s="8">
        <v>0</v>
      </c>
      <c r="D6" s="38">
        <v>0</v>
      </c>
      <c r="E6" s="8">
        <v>0</v>
      </c>
      <c r="F6" s="31">
        <v>0</v>
      </c>
      <c r="G6" s="31">
        <v>0</v>
      </c>
      <c r="H6" s="38">
        <v>3</v>
      </c>
      <c r="I6" s="8">
        <v>1862</v>
      </c>
      <c r="J6" s="31">
        <v>3</v>
      </c>
      <c r="K6" s="8">
        <v>1862</v>
      </c>
    </row>
    <row r="7" spans="1:11" s="5" customFormat="1" ht="18" customHeight="1" x14ac:dyDescent="0.2">
      <c r="A7" s="30" t="s">
        <v>157</v>
      </c>
      <c r="B7" s="38">
        <v>0</v>
      </c>
      <c r="C7" s="8">
        <v>0</v>
      </c>
      <c r="D7" s="38">
        <v>0</v>
      </c>
      <c r="E7" s="8">
        <v>0</v>
      </c>
      <c r="F7" s="31">
        <v>0</v>
      </c>
      <c r="G7" s="31">
        <v>0</v>
      </c>
      <c r="H7" s="38">
        <v>5</v>
      </c>
      <c r="I7" s="8">
        <v>1008</v>
      </c>
      <c r="J7" s="31">
        <v>5</v>
      </c>
      <c r="K7" s="8">
        <v>1008</v>
      </c>
    </row>
    <row r="8" spans="1:11" s="5" customFormat="1" ht="18" customHeight="1" x14ac:dyDescent="0.2">
      <c r="A8" s="30" t="s">
        <v>158</v>
      </c>
      <c r="B8" s="38">
        <v>0</v>
      </c>
      <c r="C8" s="8">
        <v>0</v>
      </c>
      <c r="D8" s="38">
        <v>0</v>
      </c>
      <c r="E8" s="8">
        <v>0</v>
      </c>
      <c r="F8" s="31">
        <v>0</v>
      </c>
      <c r="G8" s="31">
        <v>0</v>
      </c>
      <c r="H8" s="38">
        <v>1</v>
      </c>
      <c r="I8" s="8">
        <v>1200</v>
      </c>
      <c r="J8" s="31">
        <v>1</v>
      </c>
      <c r="K8" s="8">
        <v>1200</v>
      </c>
    </row>
    <row r="9" spans="1:11" s="5" customFormat="1" ht="18" customHeight="1" x14ac:dyDescent="0.2">
      <c r="A9" s="30" t="s">
        <v>159</v>
      </c>
      <c r="B9" s="38">
        <v>0</v>
      </c>
      <c r="C9" s="8">
        <v>0</v>
      </c>
      <c r="D9" s="38">
        <v>0</v>
      </c>
      <c r="E9" s="8">
        <v>0</v>
      </c>
      <c r="F9" s="31">
        <v>0</v>
      </c>
      <c r="G9" s="31">
        <v>0</v>
      </c>
      <c r="H9" s="38">
        <v>0</v>
      </c>
      <c r="I9" s="8">
        <v>0</v>
      </c>
      <c r="J9" s="31">
        <v>0</v>
      </c>
      <c r="K9" s="8">
        <v>0</v>
      </c>
    </row>
    <row r="10" spans="1:11" s="5" customFormat="1" ht="18" customHeight="1" x14ac:dyDescent="0.2">
      <c r="A10" s="30" t="s">
        <v>160</v>
      </c>
      <c r="B10" s="38">
        <v>0</v>
      </c>
      <c r="C10" s="8">
        <v>0</v>
      </c>
      <c r="D10" s="38">
        <v>0</v>
      </c>
      <c r="E10" s="8">
        <v>0</v>
      </c>
      <c r="F10" s="31">
        <v>0</v>
      </c>
      <c r="G10" s="31">
        <v>0</v>
      </c>
      <c r="H10" s="38">
        <v>2</v>
      </c>
      <c r="I10" s="8">
        <v>2888</v>
      </c>
      <c r="J10" s="31">
        <v>2</v>
      </c>
      <c r="K10" s="8">
        <v>2888</v>
      </c>
    </row>
    <row r="11" spans="1:11" s="5" customFormat="1" ht="18" customHeight="1" x14ac:dyDescent="0.2">
      <c r="A11" s="30" t="s">
        <v>161</v>
      </c>
      <c r="B11" s="38">
        <v>0</v>
      </c>
      <c r="C11" s="8">
        <v>0</v>
      </c>
      <c r="D11" s="38">
        <v>0</v>
      </c>
      <c r="E11" s="8">
        <v>0</v>
      </c>
      <c r="F11" s="31">
        <v>0</v>
      </c>
      <c r="G11" s="31">
        <v>0</v>
      </c>
      <c r="H11" s="38">
        <v>0</v>
      </c>
      <c r="I11" s="8">
        <v>0</v>
      </c>
      <c r="J11" s="31">
        <v>0</v>
      </c>
      <c r="K11" s="8">
        <v>0</v>
      </c>
    </row>
    <row r="12" spans="1:11" s="5" customFormat="1" ht="18" customHeight="1" x14ac:dyDescent="0.2">
      <c r="A12" s="30" t="s">
        <v>162</v>
      </c>
      <c r="B12" s="38">
        <v>0</v>
      </c>
      <c r="C12" s="8">
        <v>0</v>
      </c>
      <c r="D12" s="38">
        <v>0</v>
      </c>
      <c r="E12" s="8">
        <v>0</v>
      </c>
      <c r="F12" s="31">
        <v>0</v>
      </c>
      <c r="G12" s="31">
        <v>0</v>
      </c>
      <c r="H12" s="38">
        <v>0</v>
      </c>
      <c r="I12" s="8">
        <v>0</v>
      </c>
      <c r="J12" s="31">
        <v>0</v>
      </c>
      <c r="K12" s="8">
        <v>0</v>
      </c>
    </row>
    <row r="13" spans="1:11" s="5" customFormat="1" ht="18" customHeight="1" x14ac:dyDescent="0.2">
      <c r="A13" s="30" t="s">
        <v>163</v>
      </c>
      <c r="B13" s="38">
        <v>0</v>
      </c>
      <c r="C13" s="8">
        <v>0</v>
      </c>
      <c r="D13" s="38">
        <v>0</v>
      </c>
      <c r="E13" s="8">
        <v>0</v>
      </c>
      <c r="F13" s="31">
        <v>0</v>
      </c>
      <c r="G13" s="31">
        <v>0</v>
      </c>
      <c r="H13" s="38">
        <v>0</v>
      </c>
      <c r="I13" s="8">
        <v>0</v>
      </c>
      <c r="J13" s="31">
        <v>0</v>
      </c>
      <c r="K13" s="8">
        <v>0</v>
      </c>
    </row>
    <row r="14" spans="1:11" s="5" customFormat="1" ht="18" customHeight="1" x14ac:dyDescent="0.2">
      <c r="A14" s="30" t="s">
        <v>164</v>
      </c>
      <c r="B14" s="38">
        <v>0</v>
      </c>
      <c r="C14" s="8">
        <v>0</v>
      </c>
      <c r="D14" s="38">
        <v>0</v>
      </c>
      <c r="E14" s="8">
        <v>0</v>
      </c>
      <c r="F14" s="31">
        <v>0</v>
      </c>
      <c r="G14" s="31">
        <v>0</v>
      </c>
      <c r="H14" s="38">
        <v>0</v>
      </c>
      <c r="I14" s="8">
        <v>0</v>
      </c>
      <c r="J14" s="31">
        <v>0</v>
      </c>
      <c r="K14" s="8">
        <v>0</v>
      </c>
    </row>
    <row r="15" spans="1:11" s="5" customFormat="1" ht="18" customHeight="1" x14ac:dyDescent="0.2">
      <c r="A15" s="30" t="s">
        <v>165</v>
      </c>
      <c r="B15" s="38">
        <v>0</v>
      </c>
      <c r="C15" s="8">
        <v>0</v>
      </c>
      <c r="D15" s="38">
        <v>0</v>
      </c>
      <c r="E15" s="8">
        <v>0</v>
      </c>
      <c r="F15" s="31">
        <v>0</v>
      </c>
      <c r="G15" s="31">
        <v>0</v>
      </c>
      <c r="H15" s="38">
        <v>1</v>
      </c>
      <c r="I15" s="8">
        <v>510.79</v>
      </c>
      <c r="J15" s="31">
        <v>1</v>
      </c>
      <c r="K15" s="8">
        <v>510.79</v>
      </c>
    </row>
    <row r="16" spans="1:11" s="5" customFormat="1" ht="18" customHeight="1" x14ac:dyDescent="0.2">
      <c r="A16" s="30" t="s">
        <v>166</v>
      </c>
      <c r="B16" s="38">
        <v>0</v>
      </c>
      <c r="C16" s="8">
        <v>0</v>
      </c>
      <c r="D16" s="38">
        <v>0</v>
      </c>
      <c r="E16" s="8">
        <v>0</v>
      </c>
      <c r="F16" s="31">
        <v>0</v>
      </c>
      <c r="G16" s="31">
        <v>0</v>
      </c>
      <c r="H16" s="38">
        <v>0</v>
      </c>
      <c r="I16" s="8">
        <v>0</v>
      </c>
      <c r="J16" s="31">
        <v>0</v>
      </c>
      <c r="K16" s="8">
        <v>0</v>
      </c>
    </row>
    <row r="17" spans="1:9" s="5" customFormat="1" ht="24.75" customHeight="1" x14ac:dyDescent="0.2">
      <c r="A17" s="392" t="s">
        <v>1019</v>
      </c>
      <c r="B17" s="392"/>
      <c r="C17" s="392"/>
      <c r="D17" s="392"/>
      <c r="E17" s="392"/>
      <c r="F17" s="392"/>
      <c r="G17" s="392"/>
      <c r="H17" s="392"/>
      <c r="I17" s="392"/>
    </row>
    <row r="18" spans="1:9" s="5" customFormat="1" ht="13.5" customHeight="1" x14ac:dyDescent="0.2">
      <c r="A18" s="391" t="s">
        <v>105</v>
      </c>
      <c r="B18" s="391"/>
      <c r="C18" s="391"/>
      <c r="D18" s="391"/>
      <c r="E18" s="391"/>
      <c r="F18" s="391"/>
      <c r="G18" s="391"/>
      <c r="H18" s="391"/>
      <c r="I18" s="391"/>
    </row>
    <row r="19" spans="1:9" s="5" customFormat="1" ht="13.5" customHeight="1" x14ac:dyDescent="0.2">
      <c r="A19" s="391" t="s">
        <v>244</v>
      </c>
      <c r="B19" s="391"/>
      <c r="C19" s="391"/>
      <c r="D19" s="391"/>
      <c r="E19" s="391"/>
      <c r="F19" s="391"/>
      <c r="G19" s="391"/>
      <c r="H19" s="391"/>
      <c r="I19" s="391"/>
    </row>
    <row r="20" spans="1:9" s="5" customFormat="1" ht="24.6" customHeight="1" x14ac:dyDescent="0.2"/>
  </sheetData>
  <customSheetViews>
    <customSheetView guid="{B9B27D37-53F8-4AD8-9221-6458C3026417}" fitToPage="1">
      <selection activeCell="A17" sqref="A17:I17"/>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A17" sqref="A17:I17"/>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0">
    <mergeCell ref="J2:K2"/>
    <mergeCell ref="A17:I17"/>
    <mergeCell ref="A18:I18"/>
    <mergeCell ref="A19:I19"/>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9"/>
  <sheetViews>
    <sheetView zoomScaleNormal="100" workbookViewId="0">
      <selection activeCell="I3" sqref="I3"/>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403" t="s">
        <v>14</v>
      </c>
      <c r="B1" s="403"/>
      <c r="C1" s="403"/>
      <c r="D1" s="403"/>
      <c r="E1" s="403"/>
      <c r="F1" s="403"/>
      <c r="G1" s="403"/>
      <c r="H1" s="403"/>
      <c r="I1" s="403"/>
    </row>
    <row r="2" spans="1:11" s="5" customFormat="1" ht="15.75" customHeight="1" x14ac:dyDescent="0.2">
      <c r="A2" s="381" t="s">
        <v>245</v>
      </c>
      <c r="B2" s="393" t="s">
        <v>240</v>
      </c>
      <c r="C2" s="395"/>
      <c r="D2" s="393" t="s">
        <v>241</v>
      </c>
      <c r="E2" s="395"/>
      <c r="F2" s="393" t="s">
        <v>242</v>
      </c>
      <c r="G2" s="395"/>
      <c r="H2" s="393" t="s">
        <v>243</v>
      </c>
      <c r="I2" s="395"/>
      <c r="J2" s="393" t="s">
        <v>150</v>
      </c>
      <c r="K2" s="395"/>
    </row>
    <row r="3" spans="1:11" s="5" customFormat="1" ht="25.5" customHeight="1" x14ac:dyDescent="0.2">
      <c r="A3" s="383"/>
      <c r="B3" s="7" t="s">
        <v>246</v>
      </c>
      <c r="C3" s="10" t="s">
        <v>234</v>
      </c>
      <c r="D3" s="7" t="s">
        <v>246</v>
      </c>
      <c r="E3" s="10" t="s">
        <v>234</v>
      </c>
      <c r="F3" s="7" t="s">
        <v>246</v>
      </c>
      <c r="G3" s="10" t="s">
        <v>233</v>
      </c>
      <c r="H3" s="7" t="s">
        <v>246</v>
      </c>
      <c r="I3" s="10" t="s">
        <v>247</v>
      </c>
      <c r="J3" s="9" t="s">
        <v>179</v>
      </c>
      <c r="K3" s="10" t="s">
        <v>233</v>
      </c>
    </row>
    <row r="4" spans="1:11" s="5" customFormat="1" ht="18" customHeight="1" x14ac:dyDescent="0.2">
      <c r="A4" s="39" t="s">
        <v>69</v>
      </c>
      <c r="B4" s="11">
        <v>189</v>
      </c>
      <c r="C4" s="27">
        <v>2563.36</v>
      </c>
      <c r="D4" s="11">
        <v>18</v>
      </c>
      <c r="E4" s="35">
        <v>715.86699999999996</v>
      </c>
      <c r="F4" s="11">
        <v>8</v>
      </c>
      <c r="G4" s="27">
        <v>27.73</v>
      </c>
      <c r="H4" s="11">
        <v>200</v>
      </c>
      <c r="I4" s="35">
        <v>56193.110970000002</v>
      </c>
      <c r="J4" s="11">
        <v>407</v>
      </c>
      <c r="K4" s="27">
        <v>59472.647969999998</v>
      </c>
    </row>
    <row r="5" spans="1:11" s="5" customFormat="1" ht="18" customHeight="1" x14ac:dyDescent="0.2">
      <c r="A5" s="39" t="s">
        <v>70</v>
      </c>
      <c r="B5" s="11">
        <v>200</v>
      </c>
      <c r="C5" s="27">
        <v>10732.22</v>
      </c>
      <c r="D5" s="11">
        <v>19</v>
      </c>
      <c r="E5" s="35">
        <v>8030.59</v>
      </c>
      <c r="F5" s="11">
        <v>4</v>
      </c>
      <c r="G5" s="27">
        <v>23.59</v>
      </c>
      <c r="H5" s="11">
        <v>159</v>
      </c>
      <c r="I5" s="11">
        <v>164000.5</v>
      </c>
      <c r="J5" s="11">
        <v>382</v>
      </c>
      <c r="K5" s="28">
        <v>182786.9</v>
      </c>
    </row>
    <row r="6" spans="1:11" s="5" customFormat="1" ht="18" customHeight="1" x14ac:dyDescent="0.2">
      <c r="A6" s="39" t="s">
        <v>156</v>
      </c>
      <c r="B6" s="11">
        <v>17</v>
      </c>
      <c r="C6" s="27">
        <v>3359.53</v>
      </c>
      <c r="D6" s="11">
        <v>3</v>
      </c>
      <c r="E6" s="35">
        <v>1931.55</v>
      </c>
      <c r="F6" s="11">
        <v>1</v>
      </c>
      <c r="G6" s="27">
        <v>13.7</v>
      </c>
      <c r="H6" s="11">
        <v>39</v>
      </c>
      <c r="I6" s="35">
        <v>67145.289999999994</v>
      </c>
      <c r="J6" s="11">
        <v>60</v>
      </c>
      <c r="K6" s="27">
        <v>72450.070000000007</v>
      </c>
    </row>
    <row r="7" spans="1:11" s="5" customFormat="1" ht="18" customHeight="1" x14ac:dyDescent="0.2">
      <c r="A7" s="39" t="s">
        <v>157</v>
      </c>
      <c r="B7" s="11">
        <v>14</v>
      </c>
      <c r="C7" s="27">
        <v>2131.5</v>
      </c>
      <c r="D7" s="11">
        <v>1</v>
      </c>
      <c r="E7" s="35">
        <v>52.43</v>
      </c>
      <c r="F7" s="11">
        <v>0</v>
      </c>
      <c r="G7" s="27">
        <v>0</v>
      </c>
      <c r="H7" s="11">
        <v>10</v>
      </c>
      <c r="I7" s="35">
        <v>627.91</v>
      </c>
      <c r="J7" s="11">
        <v>25</v>
      </c>
      <c r="K7" s="27">
        <v>2811.84</v>
      </c>
    </row>
    <row r="8" spans="1:11" s="5" customFormat="1" ht="18" customHeight="1" x14ac:dyDescent="0.2">
      <c r="A8" s="39" t="s">
        <v>158</v>
      </c>
      <c r="B8" s="11">
        <v>23</v>
      </c>
      <c r="C8" s="27">
        <v>2906.38</v>
      </c>
      <c r="D8" s="11">
        <v>0</v>
      </c>
      <c r="E8" s="35">
        <v>0</v>
      </c>
      <c r="F8" s="11">
        <v>1</v>
      </c>
      <c r="G8" s="27">
        <v>2.64</v>
      </c>
      <c r="H8" s="11">
        <v>16</v>
      </c>
      <c r="I8" s="35">
        <v>21640.46</v>
      </c>
      <c r="J8" s="11">
        <v>40</v>
      </c>
      <c r="K8" s="27">
        <v>24549.48</v>
      </c>
    </row>
    <row r="9" spans="1:11" s="5" customFormat="1" ht="18" customHeight="1" x14ac:dyDescent="0.2">
      <c r="A9" s="39" t="s">
        <v>159</v>
      </c>
      <c r="B9" s="11">
        <v>30</v>
      </c>
      <c r="C9" s="27">
        <v>530.4</v>
      </c>
      <c r="D9" s="11">
        <v>4</v>
      </c>
      <c r="E9" s="35">
        <v>15</v>
      </c>
      <c r="F9" s="11">
        <v>0</v>
      </c>
      <c r="G9" s="27">
        <v>0</v>
      </c>
      <c r="H9" s="11">
        <v>14</v>
      </c>
      <c r="I9" s="35">
        <v>10815.83</v>
      </c>
      <c r="J9" s="11">
        <v>48</v>
      </c>
      <c r="K9" s="27">
        <v>11361.23</v>
      </c>
    </row>
    <row r="10" spans="1:11" s="5" customFormat="1" ht="18" customHeight="1" x14ac:dyDescent="0.2">
      <c r="A10" s="39" t="s">
        <v>160</v>
      </c>
      <c r="B10" s="11">
        <v>17</v>
      </c>
      <c r="C10" s="27">
        <v>386.8</v>
      </c>
      <c r="D10" s="11">
        <v>3</v>
      </c>
      <c r="E10" s="35">
        <v>3272.27</v>
      </c>
      <c r="F10" s="11">
        <v>0</v>
      </c>
      <c r="G10" s="27">
        <v>0</v>
      </c>
      <c r="H10" s="11">
        <v>14</v>
      </c>
      <c r="I10" s="35">
        <v>579.6</v>
      </c>
      <c r="J10" s="11">
        <v>34</v>
      </c>
      <c r="K10" s="27">
        <v>4238.67</v>
      </c>
    </row>
    <row r="11" spans="1:11" s="5" customFormat="1" ht="18" customHeight="1" x14ac:dyDescent="0.2">
      <c r="A11" s="39" t="s">
        <v>161</v>
      </c>
      <c r="B11" s="11">
        <v>15</v>
      </c>
      <c r="C11" s="27">
        <v>261.87</v>
      </c>
      <c r="D11" s="11">
        <v>2</v>
      </c>
      <c r="E11" s="35">
        <v>2710.08</v>
      </c>
      <c r="F11" s="11">
        <v>0</v>
      </c>
      <c r="G11" s="27">
        <v>0</v>
      </c>
      <c r="H11" s="11">
        <v>5</v>
      </c>
      <c r="I11" s="35">
        <v>440.22</v>
      </c>
      <c r="J11" s="11">
        <v>22</v>
      </c>
      <c r="K11" s="27">
        <v>3412.17</v>
      </c>
    </row>
    <row r="12" spans="1:11" s="5" customFormat="1" ht="18" customHeight="1" x14ac:dyDescent="0.2">
      <c r="A12" s="39" t="s">
        <v>162</v>
      </c>
      <c r="B12" s="11">
        <v>17</v>
      </c>
      <c r="C12" s="27">
        <v>140.82</v>
      </c>
      <c r="D12" s="11">
        <v>0</v>
      </c>
      <c r="E12" s="35">
        <v>0</v>
      </c>
      <c r="F12" s="11">
        <v>1</v>
      </c>
      <c r="G12" s="27">
        <v>1.94</v>
      </c>
      <c r="H12" s="11">
        <v>12</v>
      </c>
      <c r="I12" s="35">
        <v>3504.63</v>
      </c>
      <c r="J12" s="11">
        <v>30</v>
      </c>
      <c r="K12" s="27">
        <v>3647.39</v>
      </c>
    </row>
    <row r="13" spans="1:11" s="5" customFormat="1" ht="18" customHeight="1" x14ac:dyDescent="0.2">
      <c r="A13" s="39" t="s">
        <v>163</v>
      </c>
      <c r="B13" s="11">
        <v>14</v>
      </c>
      <c r="C13" s="27">
        <v>219.02</v>
      </c>
      <c r="D13" s="11">
        <v>3</v>
      </c>
      <c r="E13" s="35">
        <v>18.940000000000001</v>
      </c>
      <c r="F13" s="11">
        <v>0</v>
      </c>
      <c r="G13" s="27">
        <v>0</v>
      </c>
      <c r="H13" s="11">
        <v>17</v>
      </c>
      <c r="I13" s="35">
        <v>24021.51</v>
      </c>
      <c r="J13" s="11">
        <v>34</v>
      </c>
      <c r="K13" s="27">
        <v>24259.47</v>
      </c>
    </row>
    <row r="14" spans="1:11" s="5" customFormat="1" ht="18" customHeight="1" x14ac:dyDescent="0.2">
      <c r="A14" s="39" t="s">
        <v>164</v>
      </c>
      <c r="B14" s="11">
        <v>22</v>
      </c>
      <c r="C14" s="27">
        <v>425.95</v>
      </c>
      <c r="D14" s="11">
        <v>0</v>
      </c>
      <c r="E14" s="35">
        <v>0</v>
      </c>
      <c r="F14" s="11">
        <v>1</v>
      </c>
      <c r="G14" s="27">
        <v>5.31</v>
      </c>
      <c r="H14" s="11">
        <v>13</v>
      </c>
      <c r="I14" s="35">
        <v>2784.12</v>
      </c>
      <c r="J14" s="11">
        <v>36</v>
      </c>
      <c r="K14" s="27">
        <v>3215.38</v>
      </c>
    </row>
    <row r="15" spans="1:11" s="5" customFormat="1" ht="18" customHeight="1" x14ac:dyDescent="0.2">
      <c r="A15" s="39" t="s">
        <v>165</v>
      </c>
      <c r="B15" s="11">
        <v>15</v>
      </c>
      <c r="C15" s="27">
        <v>201.42</v>
      </c>
      <c r="D15" s="11">
        <v>1</v>
      </c>
      <c r="E15" s="35">
        <v>7.32</v>
      </c>
      <c r="F15" s="11">
        <v>0</v>
      </c>
      <c r="G15" s="27">
        <v>0</v>
      </c>
      <c r="H15" s="11">
        <v>10</v>
      </c>
      <c r="I15" s="35">
        <v>19635.740000000002</v>
      </c>
      <c r="J15" s="11">
        <v>26</v>
      </c>
      <c r="K15" s="27">
        <v>19844.48</v>
      </c>
    </row>
    <row r="16" spans="1:11" s="5" customFormat="1" ht="18" customHeight="1" x14ac:dyDescent="0.2">
      <c r="A16" s="39" t="s">
        <v>166</v>
      </c>
      <c r="B16" s="11">
        <v>16</v>
      </c>
      <c r="C16" s="27">
        <v>168.53</v>
      </c>
      <c r="D16" s="11">
        <v>2</v>
      </c>
      <c r="E16" s="35">
        <v>23</v>
      </c>
      <c r="F16" s="11">
        <v>0</v>
      </c>
      <c r="G16" s="27">
        <v>0</v>
      </c>
      <c r="H16" s="11">
        <v>9</v>
      </c>
      <c r="I16" s="35">
        <v>12805.19</v>
      </c>
      <c r="J16" s="11">
        <v>27</v>
      </c>
      <c r="K16" s="27">
        <v>12996.72</v>
      </c>
    </row>
    <row r="17" spans="1:2" s="5" customFormat="1" ht="14.25" customHeight="1" x14ac:dyDescent="0.2">
      <c r="A17" s="371" t="s">
        <v>105</v>
      </c>
      <c r="B17" s="371"/>
    </row>
    <row r="18" spans="1:2" s="5" customFormat="1" ht="13.5" customHeight="1" x14ac:dyDescent="0.2">
      <c r="A18" s="371" t="s">
        <v>244</v>
      </c>
      <c r="B18" s="371"/>
    </row>
    <row r="19" spans="1:2" s="5" customFormat="1" ht="28.35" customHeight="1" x14ac:dyDescent="0.2"/>
  </sheetData>
  <customSheetViews>
    <customSheetView guid="{B9B27D37-53F8-4AD8-9221-6458C3026417}" fitToPage="1">
      <selection activeCell="B6" sqref="B6:B1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6" sqref="B6:B1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9">
    <mergeCell ref="J2:K2"/>
    <mergeCell ref="A17:B17"/>
    <mergeCell ref="A18:B1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19"/>
  <sheetViews>
    <sheetView zoomScaleNormal="100" workbookViewId="0">
      <selection activeCell="B2" sqref="B2:C2"/>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408" t="s">
        <v>15</v>
      </c>
      <c r="B1" s="408"/>
      <c r="C1" s="408"/>
      <c r="D1" s="408"/>
      <c r="E1" s="408"/>
      <c r="F1" s="408"/>
      <c r="G1" s="408"/>
      <c r="H1" s="408"/>
      <c r="I1" s="408"/>
    </row>
    <row r="2" spans="1:9" s="5" customFormat="1" ht="18" customHeight="1" x14ac:dyDescent="0.2">
      <c r="A2" s="409" t="s">
        <v>245</v>
      </c>
      <c r="B2" s="387" t="s">
        <v>241</v>
      </c>
      <c r="C2" s="388"/>
      <c r="D2" s="387" t="s">
        <v>240</v>
      </c>
      <c r="E2" s="388"/>
      <c r="F2" s="387" t="s">
        <v>243</v>
      </c>
      <c r="G2" s="388"/>
      <c r="H2" s="387" t="s">
        <v>248</v>
      </c>
      <c r="I2" s="388"/>
    </row>
    <row r="3" spans="1:9" s="5" customFormat="1" ht="27" customHeight="1" x14ac:dyDescent="0.2">
      <c r="A3" s="410"/>
      <c r="B3" s="24" t="s">
        <v>249</v>
      </c>
      <c r="C3" s="29" t="s">
        <v>233</v>
      </c>
      <c r="D3" s="24" t="s">
        <v>249</v>
      </c>
      <c r="E3" s="29" t="s">
        <v>234</v>
      </c>
      <c r="F3" s="24" t="s">
        <v>249</v>
      </c>
      <c r="G3" s="29" t="s">
        <v>234</v>
      </c>
      <c r="H3" s="24" t="s">
        <v>249</v>
      </c>
      <c r="I3" s="29" t="s">
        <v>234</v>
      </c>
    </row>
    <row r="4" spans="1:9" s="5" customFormat="1" ht="18" customHeight="1" x14ac:dyDescent="0.2">
      <c r="A4" s="3" t="s">
        <v>69</v>
      </c>
      <c r="B4" s="40">
        <v>721</v>
      </c>
      <c r="C4" s="33">
        <v>170834.77</v>
      </c>
      <c r="D4" s="40">
        <v>1812</v>
      </c>
      <c r="E4" s="33">
        <v>234614.24</v>
      </c>
      <c r="F4" s="40">
        <v>173</v>
      </c>
      <c r="G4" s="33">
        <v>193698</v>
      </c>
      <c r="H4" s="40">
        <v>2706</v>
      </c>
      <c r="I4" s="33">
        <v>599147.01</v>
      </c>
    </row>
    <row r="5" spans="1:9" s="5" customFormat="1" ht="18" customHeight="1" x14ac:dyDescent="0.2">
      <c r="A5" s="3" t="s">
        <v>70</v>
      </c>
      <c r="B5" s="40">
        <v>436</v>
      </c>
      <c r="C5" s="33">
        <v>152699.98790000001</v>
      </c>
      <c r="D5" s="40">
        <v>1543</v>
      </c>
      <c r="E5" s="33">
        <v>202371.48225999999</v>
      </c>
      <c r="F5" s="40">
        <v>159</v>
      </c>
      <c r="G5" s="33">
        <v>140928.7225</v>
      </c>
      <c r="H5" s="40">
        <v>2138</v>
      </c>
      <c r="I5" s="33">
        <v>465367.78266000003</v>
      </c>
    </row>
    <row r="6" spans="1:9" s="5" customFormat="1" ht="18" customHeight="1" x14ac:dyDescent="0.2">
      <c r="A6" s="3" t="s">
        <v>156</v>
      </c>
      <c r="B6" s="40">
        <v>42</v>
      </c>
      <c r="C6" s="26">
        <v>18516.740000000002</v>
      </c>
      <c r="D6" s="40">
        <v>214</v>
      </c>
      <c r="E6" s="26">
        <v>31435</v>
      </c>
      <c r="F6" s="40">
        <v>16</v>
      </c>
      <c r="G6" s="26">
        <v>16187</v>
      </c>
      <c r="H6" s="40">
        <v>272</v>
      </c>
      <c r="I6" s="26">
        <v>66138.740000000005</v>
      </c>
    </row>
    <row r="7" spans="1:9" s="5" customFormat="1" ht="18" customHeight="1" x14ac:dyDescent="0.2">
      <c r="A7" s="3" t="s">
        <v>157</v>
      </c>
      <c r="B7" s="40">
        <v>15</v>
      </c>
      <c r="C7" s="26">
        <v>1924</v>
      </c>
      <c r="D7" s="40">
        <v>104</v>
      </c>
      <c r="E7" s="26">
        <v>7114.98</v>
      </c>
      <c r="F7" s="40">
        <v>3</v>
      </c>
      <c r="G7" s="26">
        <v>1500</v>
      </c>
      <c r="H7" s="40">
        <v>122</v>
      </c>
      <c r="I7" s="26">
        <v>10538.98</v>
      </c>
    </row>
    <row r="8" spans="1:9" s="5" customFormat="1" ht="18" customHeight="1" x14ac:dyDescent="0.2">
      <c r="A8" s="3" t="s">
        <v>158</v>
      </c>
      <c r="B8" s="40">
        <v>33</v>
      </c>
      <c r="C8" s="26">
        <v>11031.46</v>
      </c>
      <c r="D8" s="40">
        <v>92</v>
      </c>
      <c r="E8" s="26">
        <v>7838.36</v>
      </c>
      <c r="F8" s="40">
        <v>9</v>
      </c>
      <c r="G8" s="26">
        <v>4863.5</v>
      </c>
      <c r="H8" s="40">
        <v>134</v>
      </c>
      <c r="I8" s="26">
        <v>23733.32</v>
      </c>
    </row>
    <row r="9" spans="1:9" s="5" customFormat="1" ht="18" customHeight="1" x14ac:dyDescent="0.2">
      <c r="A9" s="3" t="s">
        <v>159</v>
      </c>
      <c r="B9" s="40">
        <v>48</v>
      </c>
      <c r="C9" s="26">
        <v>11555.75</v>
      </c>
      <c r="D9" s="40">
        <v>161</v>
      </c>
      <c r="E9" s="26">
        <v>19076.66</v>
      </c>
      <c r="F9" s="40">
        <v>12</v>
      </c>
      <c r="G9" s="26">
        <v>1319.4</v>
      </c>
      <c r="H9" s="40">
        <v>221</v>
      </c>
      <c r="I9" s="26">
        <v>1319.4</v>
      </c>
    </row>
    <row r="10" spans="1:9" s="5" customFormat="1" ht="18" customHeight="1" x14ac:dyDescent="0.2">
      <c r="A10" s="3" t="s">
        <v>160</v>
      </c>
      <c r="B10" s="40">
        <v>48</v>
      </c>
      <c r="C10" s="26">
        <v>11382.65</v>
      </c>
      <c r="D10" s="40">
        <v>159</v>
      </c>
      <c r="E10" s="26">
        <v>17721.12</v>
      </c>
      <c r="F10" s="40">
        <v>13</v>
      </c>
      <c r="G10" s="26">
        <v>7812.3</v>
      </c>
      <c r="H10" s="40">
        <v>220</v>
      </c>
      <c r="I10" s="26">
        <v>36916.07</v>
      </c>
    </row>
    <row r="11" spans="1:9" s="5" customFormat="1" ht="18" customHeight="1" x14ac:dyDescent="0.2">
      <c r="A11" s="3" t="s">
        <v>161</v>
      </c>
      <c r="B11" s="40">
        <v>45</v>
      </c>
      <c r="C11" s="26">
        <v>10823.91</v>
      </c>
      <c r="D11" s="40">
        <v>152</v>
      </c>
      <c r="E11" s="26">
        <v>19543.599999999999</v>
      </c>
      <c r="F11" s="40">
        <v>7</v>
      </c>
      <c r="G11" s="26">
        <v>1434.2</v>
      </c>
      <c r="H11" s="40">
        <v>204</v>
      </c>
      <c r="I11" s="26">
        <v>31801.71</v>
      </c>
    </row>
    <row r="12" spans="1:9" s="5" customFormat="1" ht="18" customHeight="1" x14ac:dyDescent="0.2">
      <c r="A12" s="3" t="s">
        <v>162</v>
      </c>
      <c r="B12" s="40">
        <v>31</v>
      </c>
      <c r="C12" s="26">
        <v>11145.59</v>
      </c>
      <c r="D12" s="40">
        <v>116</v>
      </c>
      <c r="E12" s="26">
        <v>5589.39</v>
      </c>
      <c r="F12" s="40">
        <v>8</v>
      </c>
      <c r="G12" s="26">
        <v>15159</v>
      </c>
      <c r="H12" s="40">
        <v>155</v>
      </c>
      <c r="I12" s="26">
        <v>31893.98</v>
      </c>
    </row>
    <row r="13" spans="1:9" s="5" customFormat="1" ht="18" customHeight="1" x14ac:dyDescent="0.2">
      <c r="A13" s="3" t="s">
        <v>163</v>
      </c>
      <c r="B13" s="40">
        <v>34</v>
      </c>
      <c r="C13" s="26">
        <v>16814.55</v>
      </c>
      <c r="D13" s="40">
        <v>104</v>
      </c>
      <c r="E13" s="26">
        <v>18366.16</v>
      </c>
      <c r="F13" s="40">
        <v>20</v>
      </c>
      <c r="G13" s="26">
        <v>20034.099999999999</v>
      </c>
      <c r="H13" s="40">
        <v>158</v>
      </c>
      <c r="I13" s="26">
        <v>55214.81</v>
      </c>
    </row>
    <row r="14" spans="1:9" s="5" customFormat="1" ht="18" customHeight="1" x14ac:dyDescent="0.2">
      <c r="A14" s="3" t="s">
        <v>164</v>
      </c>
      <c r="B14" s="40">
        <v>52</v>
      </c>
      <c r="C14" s="26">
        <v>28334.722000000002</v>
      </c>
      <c r="D14" s="40">
        <v>109</v>
      </c>
      <c r="E14" s="26">
        <v>25663.85</v>
      </c>
      <c r="F14" s="40">
        <v>24</v>
      </c>
      <c r="G14" s="26">
        <v>30926.5</v>
      </c>
      <c r="H14" s="40">
        <v>185</v>
      </c>
      <c r="I14" s="26">
        <v>84925.072</v>
      </c>
    </row>
    <row r="15" spans="1:9" s="5" customFormat="1" ht="18" customHeight="1" x14ac:dyDescent="0.2">
      <c r="A15" s="3" t="s">
        <v>165</v>
      </c>
      <c r="B15" s="40">
        <v>59</v>
      </c>
      <c r="C15" s="26">
        <v>18057</v>
      </c>
      <c r="D15" s="40">
        <v>192</v>
      </c>
      <c r="E15" s="26">
        <v>33432.89</v>
      </c>
      <c r="F15" s="40">
        <v>33</v>
      </c>
      <c r="G15" s="26">
        <v>32097.328000000001</v>
      </c>
      <c r="H15" s="40">
        <v>284</v>
      </c>
      <c r="I15" s="26">
        <v>83587.217999999993</v>
      </c>
    </row>
    <row r="16" spans="1:9" s="5" customFormat="1" ht="18" customHeight="1" x14ac:dyDescent="0.2">
      <c r="A16" s="3" t="s">
        <v>166</v>
      </c>
      <c r="B16" s="40">
        <v>29</v>
      </c>
      <c r="C16" s="26">
        <v>13113.615900000001</v>
      </c>
      <c r="D16" s="40">
        <v>140</v>
      </c>
      <c r="E16" s="26">
        <v>16589.472259999999</v>
      </c>
      <c r="F16" s="40">
        <v>14</v>
      </c>
      <c r="G16" s="26">
        <v>9595.3945000000003</v>
      </c>
      <c r="H16" s="40">
        <v>183</v>
      </c>
      <c r="I16" s="26">
        <v>39298.482660000001</v>
      </c>
    </row>
    <row r="17" spans="1:2" s="5" customFormat="1" ht="15" customHeight="1" x14ac:dyDescent="0.2">
      <c r="A17" s="371" t="s">
        <v>250</v>
      </c>
      <c r="B17" s="371"/>
    </row>
    <row r="18" spans="1:2" s="5" customFormat="1" ht="13.5" customHeight="1" x14ac:dyDescent="0.2">
      <c r="A18" s="371" t="s">
        <v>251</v>
      </c>
      <c r="B18" s="371"/>
    </row>
    <row r="19" spans="1:2" s="5" customFormat="1" ht="27.6" customHeight="1" x14ac:dyDescent="0.2"/>
  </sheetData>
  <customSheetViews>
    <customSheetView guid="{B9B27D37-53F8-4AD8-9221-6458C3026417}" fitToPage="1">
      <selection activeCell="B2" sqref="B2:C2"/>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6" sqref="B6:B1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8">
    <mergeCell ref="A17:B17"/>
    <mergeCell ref="A18:B1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J19"/>
  <sheetViews>
    <sheetView zoomScaleNormal="100" workbookViewId="0">
      <selection activeCell="B2" sqref="B2:C2"/>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2.7109375" bestFit="1" customWidth="1"/>
    <col min="10" max="10" width="13.28515625" bestFit="1" customWidth="1"/>
    <col min="11" max="11" width="4.7109375" bestFit="1" customWidth="1"/>
  </cols>
  <sheetData>
    <row r="1" spans="1:10" ht="15" customHeight="1" x14ac:dyDescent="0.2">
      <c r="A1" s="414" t="s">
        <v>16</v>
      </c>
      <c r="B1" s="414"/>
      <c r="C1" s="414"/>
      <c r="D1" s="414"/>
      <c r="E1" s="414"/>
      <c r="F1" s="414"/>
      <c r="G1" s="414"/>
      <c r="H1" s="414"/>
      <c r="I1" s="414"/>
    </row>
    <row r="2" spans="1:10" s="342" customFormat="1" ht="18" customHeight="1" x14ac:dyDescent="0.2">
      <c r="A2" s="415" t="s">
        <v>147</v>
      </c>
      <c r="B2" s="417" t="s">
        <v>252</v>
      </c>
      <c r="C2" s="418"/>
      <c r="D2" s="417" t="s">
        <v>253</v>
      </c>
      <c r="E2" s="418"/>
      <c r="F2" s="417" t="s">
        <v>254</v>
      </c>
      <c r="G2" s="418"/>
      <c r="H2" s="417" t="s">
        <v>150</v>
      </c>
      <c r="I2" s="419"/>
      <c r="J2" s="418"/>
    </row>
    <row r="3" spans="1:10" s="342" customFormat="1" ht="27" customHeight="1" x14ac:dyDescent="0.2">
      <c r="A3" s="416"/>
      <c r="B3" s="343" t="s">
        <v>255</v>
      </c>
      <c r="C3" s="344" t="s">
        <v>256</v>
      </c>
      <c r="D3" s="343" t="s">
        <v>255</v>
      </c>
      <c r="E3" s="344" t="s">
        <v>256</v>
      </c>
      <c r="F3" s="343" t="s">
        <v>255</v>
      </c>
      <c r="G3" s="345" t="s">
        <v>256</v>
      </c>
      <c r="H3" s="346" t="s">
        <v>255</v>
      </c>
      <c r="I3" s="420" t="s">
        <v>256</v>
      </c>
      <c r="J3" s="421"/>
    </row>
    <row r="4" spans="1:10" s="342" customFormat="1" ht="18" customHeight="1" x14ac:dyDescent="0.2">
      <c r="A4" s="347" t="s">
        <v>69</v>
      </c>
      <c r="B4" s="348">
        <v>30008</v>
      </c>
      <c r="C4" s="349">
        <v>494674.7</v>
      </c>
      <c r="D4" s="348">
        <v>61395</v>
      </c>
      <c r="E4" s="349">
        <v>1303423.44</v>
      </c>
      <c r="F4" s="350">
        <v>1</v>
      </c>
      <c r="G4" s="350">
        <v>0.22</v>
      </c>
      <c r="H4" s="348">
        <v>91404</v>
      </c>
      <c r="I4" s="411">
        <v>1798098.3599999999</v>
      </c>
      <c r="J4" s="412">
        <v>152800</v>
      </c>
    </row>
    <row r="5" spans="1:10" s="342" customFormat="1" ht="18" customHeight="1" x14ac:dyDescent="0.2">
      <c r="A5" s="347" t="s">
        <v>70</v>
      </c>
      <c r="B5" s="348">
        <f>SUM(B6:B16)</f>
        <v>37952</v>
      </c>
      <c r="C5" s="348">
        <f t="shared" ref="C5:H5" si="0">SUM(C6:C16)</f>
        <v>552731.13</v>
      </c>
      <c r="D5" s="348">
        <f t="shared" si="0"/>
        <v>52248</v>
      </c>
      <c r="E5" s="348">
        <f t="shared" si="0"/>
        <v>992748.44000000006</v>
      </c>
      <c r="F5" s="348">
        <f t="shared" si="0"/>
        <v>0</v>
      </c>
      <c r="G5" s="348">
        <f t="shared" si="0"/>
        <v>0</v>
      </c>
      <c r="H5" s="348">
        <f t="shared" si="0"/>
        <v>90200</v>
      </c>
      <c r="I5" s="411">
        <f>SUM(I6:J16)</f>
        <v>1545479.5700000003</v>
      </c>
      <c r="J5" s="412"/>
    </row>
    <row r="6" spans="1:10" s="342" customFormat="1" ht="18" customHeight="1" x14ac:dyDescent="0.2">
      <c r="A6" s="347" t="s">
        <v>156</v>
      </c>
      <c r="B6" s="348">
        <v>3442</v>
      </c>
      <c r="C6" s="348">
        <v>48912.74</v>
      </c>
      <c r="D6" s="348">
        <v>5588</v>
      </c>
      <c r="E6" s="349">
        <v>113974.59</v>
      </c>
      <c r="F6" s="350">
        <v>0</v>
      </c>
      <c r="G6" s="350">
        <v>0</v>
      </c>
      <c r="H6" s="348">
        <v>9030</v>
      </c>
      <c r="I6" s="411">
        <v>162887.32999999999</v>
      </c>
      <c r="J6" s="412"/>
    </row>
    <row r="7" spans="1:10" s="342" customFormat="1" ht="18" customHeight="1" x14ac:dyDescent="0.2">
      <c r="A7" s="347" t="s">
        <v>157</v>
      </c>
      <c r="B7" s="348">
        <v>4470</v>
      </c>
      <c r="C7" s="348">
        <v>87009.74</v>
      </c>
      <c r="D7" s="348">
        <v>1770</v>
      </c>
      <c r="E7" s="348">
        <v>22494.35</v>
      </c>
      <c r="F7" s="350">
        <v>0</v>
      </c>
      <c r="G7" s="350">
        <v>0</v>
      </c>
      <c r="H7" s="348">
        <v>6240</v>
      </c>
      <c r="I7" s="411">
        <v>109504.09</v>
      </c>
      <c r="J7" s="412"/>
    </row>
    <row r="8" spans="1:10" s="342" customFormat="1" ht="18" customHeight="1" x14ac:dyDescent="0.2">
      <c r="A8" s="347" t="s">
        <v>158</v>
      </c>
      <c r="B8" s="348">
        <v>3067</v>
      </c>
      <c r="C8" s="348">
        <v>53079.63</v>
      </c>
      <c r="D8" s="348">
        <v>5252</v>
      </c>
      <c r="E8" s="349">
        <v>103335.67</v>
      </c>
      <c r="F8" s="350">
        <v>0</v>
      </c>
      <c r="G8" s="350">
        <v>0</v>
      </c>
      <c r="H8" s="348">
        <v>8319</v>
      </c>
      <c r="I8" s="411">
        <v>156415.29999999999</v>
      </c>
      <c r="J8" s="412"/>
    </row>
    <row r="9" spans="1:10" s="342" customFormat="1" ht="18" customHeight="1" x14ac:dyDescent="0.2">
      <c r="A9" s="347" t="s">
        <v>159</v>
      </c>
      <c r="B9" s="348">
        <v>3122</v>
      </c>
      <c r="C9" s="348">
        <v>54314.01</v>
      </c>
      <c r="D9" s="348">
        <v>4535</v>
      </c>
      <c r="E9" s="348">
        <v>91539.73</v>
      </c>
      <c r="F9" s="350">
        <v>0</v>
      </c>
      <c r="G9" s="350">
        <v>0</v>
      </c>
      <c r="H9" s="348">
        <v>7657</v>
      </c>
      <c r="I9" s="411">
        <v>145853.74</v>
      </c>
      <c r="J9" s="412"/>
    </row>
    <row r="10" spans="1:10" s="342" customFormat="1" ht="18" customHeight="1" x14ac:dyDescent="0.2">
      <c r="A10" s="347" t="s">
        <v>160</v>
      </c>
      <c r="B10" s="348">
        <v>3534</v>
      </c>
      <c r="C10" s="348">
        <v>43548.04</v>
      </c>
      <c r="D10" s="348">
        <v>5036</v>
      </c>
      <c r="E10" s="348">
        <v>92454.69</v>
      </c>
      <c r="F10" s="350">
        <v>0</v>
      </c>
      <c r="G10" s="350">
        <v>0</v>
      </c>
      <c r="H10" s="348">
        <v>8570</v>
      </c>
      <c r="I10" s="411">
        <v>136002.73000000001</v>
      </c>
      <c r="J10" s="412"/>
    </row>
    <row r="11" spans="1:10" s="342" customFormat="1" ht="18" customHeight="1" x14ac:dyDescent="0.2">
      <c r="A11" s="347" t="s">
        <v>161</v>
      </c>
      <c r="B11" s="348">
        <v>2840</v>
      </c>
      <c r="C11" s="348">
        <v>37394.78</v>
      </c>
      <c r="D11" s="348">
        <v>4388</v>
      </c>
      <c r="E11" s="348">
        <v>85624.29</v>
      </c>
      <c r="F11" s="350">
        <v>0</v>
      </c>
      <c r="G11" s="350">
        <v>0</v>
      </c>
      <c r="H11" s="348">
        <v>7228</v>
      </c>
      <c r="I11" s="411">
        <v>123019.07</v>
      </c>
      <c r="J11" s="412"/>
    </row>
    <row r="12" spans="1:10" s="342" customFormat="1" ht="18" customHeight="1" x14ac:dyDescent="0.2">
      <c r="A12" s="347" t="s">
        <v>162</v>
      </c>
      <c r="B12" s="348">
        <v>2958</v>
      </c>
      <c r="C12" s="348">
        <v>35876.15</v>
      </c>
      <c r="D12" s="348">
        <v>4572</v>
      </c>
      <c r="E12" s="348">
        <v>85078.91</v>
      </c>
      <c r="F12" s="350">
        <v>0</v>
      </c>
      <c r="G12" s="350">
        <v>0</v>
      </c>
      <c r="H12" s="348">
        <v>7530</v>
      </c>
      <c r="I12" s="411">
        <v>120955.06</v>
      </c>
      <c r="J12" s="412"/>
    </row>
    <row r="13" spans="1:10" s="342" customFormat="1" ht="18" customHeight="1" x14ac:dyDescent="0.2">
      <c r="A13" s="347" t="s">
        <v>163</v>
      </c>
      <c r="B13" s="348">
        <v>2921</v>
      </c>
      <c r="C13" s="348">
        <v>40772.97</v>
      </c>
      <c r="D13" s="348">
        <v>4214</v>
      </c>
      <c r="E13" s="348">
        <v>82928.38</v>
      </c>
      <c r="F13" s="350">
        <v>0</v>
      </c>
      <c r="G13" s="350">
        <v>0</v>
      </c>
      <c r="H13" s="348">
        <v>7135</v>
      </c>
      <c r="I13" s="411">
        <v>123701.35</v>
      </c>
      <c r="J13" s="412"/>
    </row>
    <row r="14" spans="1:10" s="342" customFormat="1" ht="18" customHeight="1" x14ac:dyDescent="0.2">
      <c r="A14" s="347" t="s">
        <v>164</v>
      </c>
      <c r="B14" s="348">
        <v>3626</v>
      </c>
      <c r="C14" s="348">
        <v>56467.11</v>
      </c>
      <c r="D14" s="348">
        <v>5903</v>
      </c>
      <c r="E14" s="349">
        <v>123701.67</v>
      </c>
      <c r="F14" s="350">
        <v>0</v>
      </c>
      <c r="G14" s="350">
        <v>0</v>
      </c>
      <c r="H14" s="348">
        <v>9529</v>
      </c>
      <c r="I14" s="411">
        <v>180168.78</v>
      </c>
      <c r="J14" s="412"/>
    </row>
    <row r="15" spans="1:10" s="342" customFormat="1" ht="18" customHeight="1" x14ac:dyDescent="0.2">
      <c r="A15" s="347" t="s">
        <v>165</v>
      </c>
      <c r="B15" s="348">
        <v>4416</v>
      </c>
      <c r="C15" s="348">
        <v>55223.13</v>
      </c>
      <c r="D15" s="348">
        <v>6164</v>
      </c>
      <c r="E15" s="349">
        <v>109125.49</v>
      </c>
      <c r="F15" s="350">
        <v>0</v>
      </c>
      <c r="G15" s="350">
        <v>0</v>
      </c>
      <c r="H15" s="348">
        <v>10580</v>
      </c>
      <c r="I15" s="411">
        <v>164348.62</v>
      </c>
      <c r="J15" s="412"/>
    </row>
    <row r="16" spans="1:10" s="342" customFormat="1" ht="18" customHeight="1" x14ac:dyDescent="0.2">
      <c r="A16" s="347" t="s">
        <v>166</v>
      </c>
      <c r="B16" s="348">
        <v>3556</v>
      </c>
      <c r="C16" s="348">
        <v>40132.83</v>
      </c>
      <c r="D16" s="348">
        <v>4826</v>
      </c>
      <c r="E16" s="348">
        <v>82490.67</v>
      </c>
      <c r="F16" s="350">
        <v>0</v>
      </c>
      <c r="G16" s="350">
        <v>0</v>
      </c>
      <c r="H16" s="348">
        <v>8382</v>
      </c>
      <c r="I16" s="411">
        <v>122623.5</v>
      </c>
      <c r="J16" s="412"/>
    </row>
    <row r="17" spans="1:2" s="342" customFormat="1" ht="18.75" customHeight="1" x14ac:dyDescent="0.2">
      <c r="A17" s="413" t="s">
        <v>250</v>
      </c>
      <c r="B17" s="413"/>
    </row>
    <row r="18" spans="1:2" s="342" customFormat="1" ht="18" customHeight="1" x14ac:dyDescent="0.2">
      <c r="A18" s="413" t="s">
        <v>244</v>
      </c>
      <c r="B18" s="413"/>
    </row>
    <row r="19" spans="1:2" s="342" customFormat="1" ht="28.35" customHeight="1" x14ac:dyDescent="0.2"/>
  </sheetData>
  <customSheetViews>
    <customSheetView guid="{B9B27D37-53F8-4AD8-9221-6458C3026417}" fitToPage="1">
      <selection activeCell="E4" sqref="E4"/>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I6" sqref="I6:J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22">
    <mergeCell ref="I9:J9"/>
    <mergeCell ref="A1:I1"/>
    <mergeCell ref="A2:A3"/>
    <mergeCell ref="B2:C2"/>
    <mergeCell ref="D2:E2"/>
    <mergeCell ref="F2:G2"/>
    <mergeCell ref="H2:J2"/>
    <mergeCell ref="I3:J3"/>
    <mergeCell ref="I4:J4"/>
    <mergeCell ref="I5:J5"/>
    <mergeCell ref="I6:J6"/>
    <mergeCell ref="I7:J7"/>
    <mergeCell ref="I8:J8"/>
    <mergeCell ref="I16:J16"/>
    <mergeCell ref="A17:B17"/>
    <mergeCell ref="A18:B18"/>
    <mergeCell ref="I10:J10"/>
    <mergeCell ref="I11:J11"/>
    <mergeCell ref="I12:J12"/>
    <mergeCell ref="I13:J13"/>
    <mergeCell ref="I14:J14"/>
    <mergeCell ref="I15:J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20"/>
  <sheetViews>
    <sheetView zoomScaleNormal="100" workbookViewId="0">
      <selection activeCell="B2" sqref="B2:C2"/>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403" t="s">
        <v>257</v>
      </c>
      <c r="B1" s="403"/>
      <c r="C1" s="403"/>
      <c r="D1" s="403"/>
      <c r="E1" s="403"/>
      <c r="F1" s="403"/>
      <c r="G1" s="403"/>
      <c r="H1" s="403"/>
      <c r="I1" s="403"/>
      <c r="J1" s="403"/>
      <c r="K1" s="403"/>
      <c r="L1" s="403"/>
      <c r="M1" s="403"/>
    </row>
    <row r="2" spans="1:13" s="5" customFormat="1" ht="18" customHeight="1" x14ac:dyDescent="0.2">
      <c r="A2" s="422" t="s">
        <v>258</v>
      </c>
      <c r="B2" s="387" t="s">
        <v>259</v>
      </c>
      <c r="C2" s="424"/>
      <c r="D2" s="424"/>
      <c r="E2" s="424"/>
      <c r="F2" s="424"/>
      <c r="G2" s="424"/>
      <c r="H2" s="424"/>
      <c r="I2" s="388"/>
      <c r="J2" s="396" t="s">
        <v>260</v>
      </c>
      <c r="K2" s="397"/>
      <c r="L2" s="396" t="s">
        <v>150</v>
      </c>
      <c r="M2" s="397"/>
    </row>
    <row r="3" spans="1:13" s="5" customFormat="1" ht="18" customHeight="1" x14ac:dyDescent="0.2">
      <c r="A3" s="423"/>
      <c r="B3" s="387" t="s">
        <v>261</v>
      </c>
      <c r="C3" s="388"/>
      <c r="D3" s="387" t="s">
        <v>262</v>
      </c>
      <c r="E3" s="388"/>
      <c r="F3" s="387" t="s">
        <v>263</v>
      </c>
      <c r="G3" s="388"/>
      <c r="H3" s="387" t="s">
        <v>264</v>
      </c>
      <c r="I3" s="388"/>
      <c r="J3" s="398"/>
      <c r="K3" s="399"/>
      <c r="L3" s="398"/>
      <c r="M3" s="399"/>
    </row>
    <row r="4" spans="1:13" s="5" customFormat="1" ht="27" customHeight="1" x14ac:dyDescent="0.2">
      <c r="A4" s="42" t="s">
        <v>265</v>
      </c>
      <c r="B4" s="25" t="s">
        <v>183</v>
      </c>
      <c r="C4" s="29" t="s">
        <v>184</v>
      </c>
      <c r="D4" s="25" t="s">
        <v>183</v>
      </c>
      <c r="E4" s="29" t="s">
        <v>266</v>
      </c>
      <c r="F4" s="25" t="s">
        <v>183</v>
      </c>
      <c r="G4" s="29" t="s">
        <v>266</v>
      </c>
      <c r="H4" s="25" t="s">
        <v>183</v>
      </c>
      <c r="I4" s="29" t="s">
        <v>266</v>
      </c>
      <c r="J4" s="25" t="s">
        <v>183</v>
      </c>
      <c r="K4" s="29" t="s">
        <v>266</v>
      </c>
      <c r="L4" s="25" t="s">
        <v>183</v>
      </c>
      <c r="M4" s="29" t="s">
        <v>266</v>
      </c>
    </row>
    <row r="5" spans="1:13" s="5" customFormat="1" ht="18" customHeight="1" x14ac:dyDescent="0.2">
      <c r="A5" s="3" t="s">
        <v>69</v>
      </c>
      <c r="B5" s="26">
        <v>280</v>
      </c>
      <c r="C5" s="33">
        <v>1596761.05</v>
      </c>
      <c r="D5" s="26">
        <v>538</v>
      </c>
      <c r="E5" s="33">
        <v>408841.17</v>
      </c>
      <c r="F5" s="26">
        <v>322</v>
      </c>
      <c r="G5" s="33">
        <v>104834</v>
      </c>
      <c r="H5" s="26">
        <v>216</v>
      </c>
      <c r="I5" s="26">
        <v>16271.32</v>
      </c>
      <c r="J5" s="26">
        <v>88</v>
      </c>
      <c r="K5" s="26">
        <v>10928.98</v>
      </c>
      <c r="L5" s="26">
        <v>1444</v>
      </c>
      <c r="M5" s="33">
        <v>2137636.52</v>
      </c>
    </row>
    <row r="6" spans="1:13" s="341" customFormat="1" ht="18" customHeight="1" x14ac:dyDescent="0.2">
      <c r="A6" s="339" t="s">
        <v>70</v>
      </c>
      <c r="B6" s="340">
        <f>SUM(B7:B17)</f>
        <v>240</v>
      </c>
      <c r="C6" s="340">
        <f t="shared" ref="C6:M6" si="0">SUM(C7:C17)</f>
        <v>1270384.7999999998</v>
      </c>
      <c r="D6" s="340">
        <f t="shared" si="0"/>
        <v>347</v>
      </c>
      <c r="E6" s="340">
        <f t="shared" si="0"/>
        <v>286488.44999999995</v>
      </c>
      <c r="F6" s="340">
        <f t="shared" si="0"/>
        <v>306</v>
      </c>
      <c r="G6" s="340">
        <f t="shared" si="0"/>
        <v>93148.919999999984</v>
      </c>
      <c r="H6" s="340">
        <f t="shared" si="0"/>
        <v>207</v>
      </c>
      <c r="I6" s="340">
        <f t="shared" si="0"/>
        <v>19156.626</v>
      </c>
      <c r="J6" s="340">
        <f t="shared" si="0"/>
        <v>46</v>
      </c>
      <c r="K6" s="340">
        <f t="shared" si="0"/>
        <v>11438.560000000001</v>
      </c>
      <c r="L6" s="340">
        <f t="shared" si="0"/>
        <v>1146</v>
      </c>
      <c r="M6" s="340">
        <f t="shared" si="0"/>
        <v>1680617.3559999999</v>
      </c>
    </row>
    <row r="7" spans="1:13" s="5" customFormat="1" ht="18" customHeight="1" x14ac:dyDescent="0.2">
      <c r="A7" s="3" t="s">
        <v>156</v>
      </c>
      <c r="B7" s="26">
        <v>21</v>
      </c>
      <c r="C7" s="26">
        <v>85560.55</v>
      </c>
      <c r="D7" s="26">
        <v>22</v>
      </c>
      <c r="E7" s="26">
        <v>16730</v>
      </c>
      <c r="F7" s="26">
        <v>13</v>
      </c>
      <c r="G7" s="26">
        <v>7273.57</v>
      </c>
      <c r="H7" s="26">
        <v>9</v>
      </c>
      <c r="I7" s="26">
        <v>1837.03</v>
      </c>
      <c r="J7" s="26">
        <v>3</v>
      </c>
      <c r="K7" s="26">
        <v>1496.41</v>
      </c>
      <c r="L7" s="26">
        <v>68</v>
      </c>
      <c r="M7" s="33">
        <v>112897.56</v>
      </c>
    </row>
    <row r="8" spans="1:13" s="5" customFormat="1" ht="18" customHeight="1" x14ac:dyDescent="0.2">
      <c r="A8" s="3" t="s">
        <v>157</v>
      </c>
      <c r="B8" s="26">
        <v>15</v>
      </c>
      <c r="C8" s="26">
        <v>89278.02</v>
      </c>
      <c r="D8" s="26">
        <v>22</v>
      </c>
      <c r="E8" s="26">
        <v>8175</v>
      </c>
      <c r="F8" s="26">
        <v>16</v>
      </c>
      <c r="G8" s="26">
        <v>3913.14</v>
      </c>
      <c r="H8" s="26">
        <v>11</v>
      </c>
      <c r="I8" s="26">
        <v>1455.11</v>
      </c>
      <c r="J8" s="26">
        <v>2</v>
      </c>
      <c r="K8" s="26">
        <v>151</v>
      </c>
      <c r="L8" s="26">
        <v>66</v>
      </c>
      <c r="M8" s="33">
        <v>102972.27</v>
      </c>
    </row>
    <row r="9" spans="1:13" s="5" customFormat="1" ht="18" customHeight="1" x14ac:dyDescent="0.2">
      <c r="A9" s="3" t="s">
        <v>158</v>
      </c>
      <c r="B9" s="26">
        <v>12</v>
      </c>
      <c r="C9" s="26">
        <v>35060.97</v>
      </c>
      <c r="D9" s="26">
        <v>32</v>
      </c>
      <c r="E9" s="26">
        <v>29036.61</v>
      </c>
      <c r="F9" s="26">
        <v>28</v>
      </c>
      <c r="G9" s="26">
        <v>8958.5499999999993</v>
      </c>
      <c r="H9" s="26">
        <v>15</v>
      </c>
      <c r="I9" s="26">
        <v>2349.19</v>
      </c>
      <c r="J9" s="26">
        <v>7</v>
      </c>
      <c r="K9" s="26">
        <v>664.43</v>
      </c>
      <c r="L9" s="26">
        <v>94</v>
      </c>
      <c r="M9" s="26">
        <v>76069.75</v>
      </c>
    </row>
    <row r="10" spans="1:13" s="5" customFormat="1" ht="18" customHeight="1" x14ac:dyDescent="0.2">
      <c r="A10" s="3" t="s">
        <v>159</v>
      </c>
      <c r="B10" s="26">
        <v>21</v>
      </c>
      <c r="C10" s="26">
        <v>74224.460000000006</v>
      </c>
      <c r="D10" s="26">
        <v>29</v>
      </c>
      <c r="E10" s="26">
        <v>33412.129999999997</v>
      </c>
      <c r="F10" s="26">
        <v>24</v>
      </c>
      <c r="G10" s="26">
        <v>3184.32</v>
      </c>
      <c r="H10" s="26">
        <v>14</v>
      </c>
      <c r="I10" s="26">
        <v>1432.0260000000001</v>
      </c>
      <c r="J10" s="26">
        <v>3</v>
      </c>
      <c r="K10" s="26">
        <v>42.76</v>
      </c>
      <c r="L10" s="26">
        <v>91</v>
      </c>
      <c r="M10" s="33">
        <v>112295.696</v>
      </c>
    </row>
    <row r="11" spans="1:13" s="5" customFormat="1" ht="18" customHeight="1" x14ac:dyDescent="0.2">
      <c r="A11" s="3" t="s">
        <v>160</v>
      </c>
      <c r="B11" s="26">
        <v>23</v>
      </c>
      <c r="C11" s="33">
        <v>150168.39000000001</v>
      </c>
      <c r="D11" s="26">
        <v>41</v>
      </c>
      <c r="E11" s="26">
        <v>44267.69</v>
      </c>
      <c r="F11" s="26">
        <v>31</v>
      </c>
      <c r="G11" s="26">
        <v>5276.04</v>
      </c>
      <c r="H11" s="26">
        <v>18</v>
      </c>
      <c r="I11" s="26">
        <v>1549.69</v>
      </c>
      <c r="J11" s="26">
        <v>5</v>
      </c>
      <c r="K11" s="26">
        <v>4729.1000000000004</v>
      </c>
      <c r="L11" s="26">
        <v>118</v>
      </c>
      <c r="M11" s="33">
        <v>205990.91</v>
      </c>
    </row>
    <row r="12" spans="1:13" s="5" customFormat="1" ht="18" customHeight="1" x14ac:dyDescent="0.2">
      <c r="A12" s="3" t="s">
        <v>161</v>
      </c>
      <c r="B12" s="26">
        <v>19</v>
      </c>
      <c r="C12" s="26">
        <v>44744.61</v>
      </c>
      <c r="D12" s="26">
        <v>34</v>
      </c>
      <c r="E12" s="26">
        <v>16583.669999999998</v>
      </c>
      <c r="F12" s="26">
        <v>25</v>
      </c>
      <c r="G12" s="26">
        <v>4558.79</v>
      </c>
      <c r="H12" s="26">
        <v>19</v>
      </c>
      <c r="I12" s="26">
        <v>1307.9100000000001</v>
      </c>
      <c r="J12" s="26">
        <v>3</v>
      </c>
      <c r="K12" s="26">
        <v>580</v>
      </c>
      <c r="L12" s="26">
        <v>100</v>
      </c>
      <c r="M12" s="26">
        <v>67774.98</v>
      </c>
    </row>
    <row r="13" spans="1:13" s="5" customFormat="1" ht="18" customHeight="1" x14ac:dyDescent="0.2">
      <c r="A13" s="3" t="s">
        <v>162</v>
      </c>
      <c r="B13" s="26">
        <v>24</v>
      </c>
      <c r="C13" s="33">
        <v>228957.98</v>
      </c>
      <c r="D13" s="26">
        <v>25</v>
      </c>
      <c r="E13" s="26">
        <v>32123.03</v>
      </c>
      <c r="F13" s="26">
        <v>14</v>
      </c>
      <c r="G13" s="26">
        <v>2177.16</v>
      </c>
      <c r="H13" s="26">
        <v>19</v>
      </c>
      <c r="I13" s="26">
        <v>492.77</v>
      </c>
      <c r="J13" s="26">
        <v>1</v>
      </c>
      <c r="K13" s="26">
        <v>28</v>
      </c>
      <c r="L13" s="26">
        <v>83</v>
      </c>
      <c r="M13" s="33">
        <v>263778.94</v>
      </c>
    </row>
    <row r="14" spans="1:13" s="5" customFormat="1" ht="18" customHeight="1" x14ac:dyDescent="0.2">
      <c r="A14" s="3" t="s">
        <v>163</v>
      </c>
      <c r="B14" s="26">
        <v>17</v>
      </c>
      <c r="C14" s="26">
        <v>34811.129999999997</v>
      </c>
      <c r="D14" s="26">
        <v>44</v>
      </c>
      <c r="E14" s="26">
        <v>35696.019999999997</v>
      </c>
      <c r="F14" s="26">
        <v>21</v>
      </c>
      <c r="G14" s="26">
        <v>7363.66</v>
      </c>
      <c r="H14" s="26">
        <v>18</v>
      </c>
      <c r="I14" s="26">
        <v>1231.0999999999999</v>
      </c>
      <c r="J14" s="26">
        <v>5</v>
      </c>
      <c r="K14" s="26">
        <v>225.66</v>
      </c>
      <c r="L14" s="26">
        <v>105</v>
      </c>
      <c r="M14" s="26">
        <v>79327.570000000007</v>
      </c>
    </row>
    <row r="15" spans="1:13" s="5" customFormat="1" ht="18" customHeight="1" x14ac:dyDescent="0.2">
      <c r="A15" s="3" t="s">
        <v>164</v>
      </c>
      <c r="B15" s="26">
        <v>33</v>
      </c>
      <c r="C15" s="33">
        <v>201626.46</v>
      </c>
      <c r="D15" s="26">
        <v>34</v>
      </c>
      <c r="E15" s="26">
        <v>34743.620000000003</v>
      </c>
      <c r="F15" s="26">
        <v>26</v>
      </c>
      <c r="G15" s="26">
        <v>5800.35</v>
      </c>
      <c r="H15" s="26">
        <v>20</v>
      </c>
      <c r="I15" s="26">
        <v>696.74</v>
      </c>
      <c r="J15" s="26">
        <v>4</v>
      </c>
      <c r="K15" s="26">
        <v>457</v>
      </c>
      <c r="L15" s="26">
        <v>117</v>
      </c>
      <c r="M15" s="33">
        <v>243324.17</v>
      </c>
    </row>
    <row r="16" spans="1:13" s="5" customFormat="1" ht="18" customHeight="1" x14ac:dyDescent="0.2">
      <c r="A16" s="3" t="s">
        <v>165</v>
      </c>
      <c r="B16" s="26">
        <v>26</v>
      </c>
      <c r="C16" s="26">
        <v>74616.84</v>
      </c>
      <c r="D16" s="26">
        <v>34</v>
      </c>
      <c r="E16" s="26">
        <v>18764.150000000001</v>
      </c>
      <c r="F16" s="26">
        <v>80</v>
      </c>
      <c r="G16" s="26">
        <v>36700.69</v>
      </c>
      <c r="H16" s="26">
        <v>43</v>
      </c>
      <c r="I16" s="26">
        <v>6252.83</v>
      </c>
      <c r="J16" s="26">
        <v>10</v>
      </c>
      <c r="K16" s="26">
        <v>2694.2</v>
      </c>
      <c r="L16" s="26">
        <v>193</v>
      </c>
      <c r="M16" s="33">
        <v>139028.71</v>
      </c>
    </row>
    <row r="17" spans="1:13" s="5" customFormat="1" ht="18" customHeight="1" x14ac:dyDescent="0.2">
      <c r="A17" s="3" t="s">
        <v>166</v>
      </c>
      <c r="B17" s="26">
        <v>29</v>
      </c>
      <c r="C17" s="33">
        <v>251335.39</v>
      </c>
      <c r="D17" s="26">
        <v>30</v>
      </c>
      <c r="E17" s="26">
        <v>16956.53</v>
      </c>
      <c r="F17" s="26">
        <v>28</v>
      </c>
      <c r="G17" s="26">
        <v>7942.65</v>
      </c>
      <c r="H17" s="26">
        <v>21</v>
      </c>
      <c r="I17" s="26">
        <v>552.23</v>
      </c>
      <c r="J17" s="26">
        <v>3</v>
      </c>
      <c r="K17" s="26">
        <v>370</v>
      </c>
      <c r="L17" s="26">
        <v>111</v>
      </c>
      <c r="M17" s="33">
        <v>277156.8</v>
      </c>
    </row>
    <row r="18" spans="1:13" s="5" customFormat="1" ht="15" customHeight="1" x14ac:dyDescent="0.2">
      <c r="A18" s="371" t="s">
        <v>105</v>
      </c>
      <c r="B18" s="371"/>
      <c r="C18" s="371"/>
      <c r="D18" s="371"/>
      <c r="E18" s="371"/>
      <c r="F18" s="371"/>
    </row>
    <row r="19" spans="1:13" s="5" customFormat="1" ht="13.5" customHeight="1" x14ac:dyDescent="0.2">
      <c r="A19" s="371" t="s">
        <v>267</v>
      </c>
      <c r="B19" s="371"/>
      <c r="C19" s="371"/>
      <c r="D19" s="371"/>
      <c r="E19" s="371"/>
      <c r="F19" s="371"/>
    </row>
    <row r="20" spans="1:13" s="5" customFormat="1" ht="26.85" customHeight="1" x14ac:dyDescent="0.2"/>
  </sheetData>
  <customSheetViews>
    <customSheetView guid="{B9B27D37-53F8-4AD8-9221-6458C3026417}" fitToPage="1">
      <selection activeCell="B6" sqref="B6:M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6" sqref="B6:M6"/>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1">
    <mergeCell ref="A18:F18"/>
    <mergeCell ref="A19:F19"/>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M19"/>
  <sheetViews>
    <sheetView zoomScaleNormal="100" workbookViewId="0">
      <selection activeCell="L10" sqref="L10"/>
    </sheetView>
  </sheetViews>
  <sheetFormatPr defaultRowHeight="12.75" x14ac:dyDescent="0.2"/>
  <cols>
    <col min="1" max="13" width="14.7109375" bestFit="1" customWidth="1"/>
    <col min="14" max="14" width="5.28515625" bestFit="1" customWidth="1"/>
  </cols>
  <sheetData>
    <row r="1" spans="1:13" ht="19.5" customHeight="1" x14ac:dyDescent="0.2">
      <c r="A1" s="403" t="s">
        <v>268</v>
      </c>
      <c r="B1" s="403"/>
      <c r="C1" s="403"/>
      <c r="D1" s="403"/>
      <c r="E1" s="403"/>
      <c r="F1" s="403"/>
      <c r="G1" s="403"/>
      <c r="H1" s="403"/>
      <c r="I1" s="403"/>
      <c r="J1" s="403"/>
      <c r="K1" s="403"/>
      <c r="L1" s="403"/>
      <c r="M1" s="403"/>
    </row>
    <row r="2" spans="1:13" s="5" customFormat="1" ht="18" customHeight="1" x14ac:dyDescent="0.2">
      <c r="A2" s="41" t="s">
        <v>258</v>
      </c>
      <c r="B2" s="393" t="s">
        <v>269</v>
      </c>
      <c r="C2" s="395"/>
      <c r="D2" s="393" t="s">
        <v>270</v>
      </c>
      <c r="E2" s="395"/>
      <c r="F2" s="393" t="s">
        <v>271</v>
      </c>
      <c r="G2" s="395"/>
      <c r="H2" s="387" t="s">
        <v>272</v>
      </c>
      <c r="I2" s="388"/>
      <c r="J2" s="393" t="s">
        <v>273</v>
      </c>
      <c r="K2" s="395"/>
      <c r="L2" s="393" t="s">
        <v>150</v>
      </c>
      <c r="M2" s="395"/>
    </row>
    <row r="3" spans="1:13" s="5" customFormat="1" ht="27" customHeight="1" x14ac:dyDescent="0.2">
      <c r="A3" s="42" t="s">
        <v>265</v>
      </c>
      <c r="B3" s="25" t="s">
        <v>183</v>
      </c>
      <c r="C3" s="29" t="s">
        <v>198</v>
      </c>
      <c r="D3" s="25" t="s">
        <v>183</v>
      </c>
      <c r="E3" s="29" t="s">
        <v>198</v>
      </c>
      <c r="F3" s="25" t="s">
        <v>183</v>
      </c>
      <c r="G3" s="29" t="s">
        <v>198</v>
      </c>
      <c r="H3" s="25" t="s">
        <v>183</v>
      </c>
      <c r="I3" s="29" t="s">
        <v>198</v>
      </c>
      <c r="J3" s="25" t="s">
        <v>183</v>
      </c>
      <c r="K3" s="29" t="s">
        <v>198</v>
      </c>
      <c r="L3" s="25" t="s">
        <v>183</v>
      </c>
      <c r="M3" s="29" t="s">
        <v>198</v>
      </c>
    </row>
    <row r="4" spans="1:13" s="5" customFormat="1" ht="18" customHeight="1" x14ac:dyDescent="0.2">
      <c r="A4" s="3" t="s">
        <v>69</v>
      </c>
      <c r="B4" s="26">
        <v>360</v>
      </c>
      <c r="C4" s="33">
        <v>154861.12</v>
      </c>
      <c r="D4" s="11">
        <v>331</v>
      </c>
      <c r="E4" s="33">
        <v>303486.87</v>
      </c>
      <c r="F4" s="26">
        <v>3591</v>
      </c>
      <c r="G4" s="43">
        <v>10772518.465</v>
      </c>
      <c r="H4" s="26">
        <v>134</v>
      </c>
      <c r="I4" s="33">
        <v>202450.83</v>
      </c>
      <c r="J4" s="26">
        <v>894</v>
      </c>
      <c r="K4" s="33">
        <v>249959.15</v>
      </c>
      <c r="L4" s="26">
        <v>5310</v>
      </c>
      <c r="M4" s="43">
        <v>11683276.435000001</v>
      </c>
    </row>
    <row r="5" spans="1:13" s="341" customFormat="1" ht="18" customHeight="1" x14ac:dyDescent="0.2">
      <c r="A5" s="339" t="s">
        <v>70</v>
      </c>
      <c r="B5" s="340">
        <f>SUM(B6:B16)</f>
        <v>650</v>
      </c>
      <c r="C5" s="340">
        <f t="shared" ref="C5:M5" si="0">SUM(C6:C16)</f>
        <v>245768.09</v>
      </c>
      <c r="D5" s="340">
        <f t="shared" si="0"/>
        <v>780</v>
      </c>
      <c r="E5" s="340">
        <f t="shared" si="0"/>
        <v>782291.3</v>
      </c>
      <c r="F5" s="340">
        <f t="shared" si="0"/>
        <v>4980</v>
      </c>
      <c r="G5" s="340">
        <f t="shared" si="0"/>
        <v>9999879.0930000003</v>
      </c>
      <c r="H5" s="340">
        <f t="shared" si="0"/>
        <v>443</v>
      </c>
      <c r="I5" s="340">
        <f t="shared" si="0"/>
        <v>1070982.53</v>
      </c>
      <c r="J5" s="340">
        <f t="shared" si="0"/>
        <v>936</v>
      </c>
      <c r="K5" s="340">
        <f t="shared" si="0"/>
        <v>428716.72</v>
      </c>
      <c r="L5" s="340">
        <f t="shared" si="0"/>
        <v>7789</v>
      </c>
      <c r="M5" s="340">
        <f t="shared" si="0"/>
        <v>12526637.793</v>
      </c>
    </row>
    <row r="6" spans="1:13" s="5" customFormat="1" ht="18" customHeight="1" x14ac:dyDescent="0.2">
      <c r="A6" s="3" t="s">
        <v>156</v>
      </c>
      <c r="B6" s="26">
        <v>28</v>
      </c>
      <c r="C6" s="26">
        <v>19680.55</v>
      </c>
      <c r="D6" s="11">
        <v>7</v>
      </c>
      <c r="E6" s="26">
        <v>683.21</v>
      </c>
      <c r="F6" s="26">
        <v>310</v>
      </c>
      <c r="G6" s="33">
        <v>523390.07</v>
      </c>
      <c r="H6" s="26">
        <v>3</v>
      </c>
      <c r="I6" s="26">
        <v>2351</v>
      </c>
      <c r="J6" s="26">
        <v>66</v>
      </c>
      <c r="K6" s="26">
        <v>30074.17</v>
      </c>
      <c r="L6" s="26">
        <v>414</v>
      </c>
      <c r="M6" s="33">
        <v>576179</v>
      </c>
    </row>
    <row r="7" spans="1:13" s="5" customFormat="1" ht="18" customHeight="1" x14ac:dyDescent="0.2">
      <c r="A7" s="3" t="s">
        <v>157</v>
      </c>
      <c r="B7" s="26">
        <v>36</v>
      </c>
      <c r="C7" s="26">
        <v>8241.89</v>
      </c>
      <c r="D7" s="11">
        <v>65</v>
      </c>
      <c r="E7" s="26">
        <v>58224.05</v>
      </c>
      <c r="F7" s="26">
        <v>369</v>
      </c>
      <c r="G7" s="33">
        <v>629541.82999999996</v>
      </c>
      <c r="H7" s="26">
        <v>11</v>
      </c>
      <c r="I7" s="26">
        <v>7050</v>
      </c>
      <c r="J7" s="26">
        <v>82</v>
      </c>
      <c r="K7" s="26">
        <v>16243.84</v>
      </c>
      <c r="L7" s="26">
        <v>563</v>
      </c>
      <c r="M7" s="33">
        <v>719301.61</v>
      </c>
    </row>
    <row r="8" spans="1:13" s="5" customFormat="1" ht="18" customHeight="1" x14ac:dyDescent="0.2">
      <c r="A8" s="3" t="s">
        <v>158</v>
      </c>
      <c r="B8" s="26">
        <v>122</v>
      </c>
      <c r="C8" s="26">
        <v>24678.66</v>
      </c>
      <c r="D8" s="11">
        <v>31</v>
      </c>
      <c r="E8" s="26">
        <v>27659.57</v>
      </c>
      <c r="F8" s="26">
        <v>604</v>
      </c>
      <c r="G8" s="33">
        <v>852387.89399999997</v>
      </c>
      <c r="H8" s="26">
        <v>3</v>
      </c>
      <c r="I8" s="26">
        <v>7235</v>
      </c>
      <c r="J8" s="26">
        <v>101</v>
      </c>
      <c r="K8" s="26">
        <v>11516.43</v>
      </c>
      <c r="L8" s="26">
        <v>861</v>
      </c>
      <c r="M8" s="33">
        <v>923477.554</v>
      </c>
    </row>
    <row r="9" spans="1:13" s="5" customFormat="1" ht="18" customHeight="1" x14ac:dyDescent="0.2">
      <c r="A9" s="3" t="s">
        <v>159</v>
      </c>
      <c r="B9" s="26">
        <v>24</v>
      </c>
      <c r="C9" s="26">
        <v>3101.28</v>
      </c>
      <c r="D9" s="11">
        <v>52</v>
      </c>
      <c r="E9" s="26">
        <v>33374.910000000003</v>
      </c>
      <c r="F9" s="26">
        <v>569</v>
      </c>
      <c r="G9" s="33">
        <v>694334.55</v>
      </c>
      <c r="H9" s="26">
        <v>22</v>
      </c>
      <c r="I9" s="26">
        <v>13707.45</v>
      </c>
      <c r="J9" s="26">
        <v>116</v>
      </c>
      <c r="K9" s="26">
        <v>45149.74</v>
      </c>
      <c r="L9" s="26">
        <v>783</v>
      </c>
      <c r="M9" s="33">
        <v>789667.93</v>
      </c>
    </row>
    <row r="10" spans="1:13" s="5" customFormat="1" ht="18" customHeight="1" x14ac:dyDescent="0.2">
      <c r="A10" s="3" t="s">
        <v>160</v>
      </c>
      <c r="B10" s="26">
        <v>155</v>
      </c>
      <c r="C10" s="33">
        <v>114544.94</v>
      </c>
      <c r="D10" s="11">
        <v>63</v>
      </c>
      <c r="E10" s="26">
        <v>39757.589999999997</v>
      </c>
      <c r="F10" s="26">
        <v>520</v>
      </c>
      <c r="G10" s="33">
        <v>756647.31499999994</v>
      </c>
      <c r="H10" s="26">
        <v>17</v>
      </c>
      <c r="I10" s="26">
        <v>17147</v>
      </c>
      <c r="J10" s="26">
        <v>115</v>
      </c>
      <c r="K10" s="26">
        <v>75942.13</v>
      </c>
      <c r="L10" s="26">
        <v>870</v>
      </c>
      <c r="M10" s="33">
        <v>1004038.975</v>
      </c>
    </row>
    <row r="11" spans="1:13" s="5" customFormat="1" ht="18" customHeight="1" x14ac:dyDescent="0.2">
      <c r="A11" s="3" t="s">
        <v>161</v>
      </c>
      <c r="B11" s="26">
        <v>49</v>
      </c>
      <c r="C11" s="26">
        <v>16439.61</v>
      </c>
      <c r="D11" s="11">
        <v>149</v>
      </c>
      <c r="E11" s="33">
        <v>116232.35</v>
      </c>
      <c r="F11" s="26">
        <v>606</v>
      </c>
      <c r="G11" s="33">
        <v>1585493.25</v>
      </c>
      <c r="H11" s="26">
        <v>59</v>
      </c>
      <c r="I11" s="26">
        <v>67280.509999999995</v>
      </c>
      <c r="J11" s="26">
        <v>69</v>
      </c>
      <c r="K11" s="26">
        <v>7939.5</v>
      </c>
      <c r="L11" s="26">
        <v>932</v>
      </c>
      <c r="M11" s="33">
        <v>1793385.22</v>
      </c>
    </row>
    <row r="12" spans="1:13" s="5" customFormat="1" ht="18" customHeight="1" x14ac:dyDescent="0.2">
      <c r="A12" s="3" t="s">
        <v>162</v>
      </c>
      <c r="B12" s="26">
        <v>83</v>
      </c>
      <c r="C12" s="26">
        <v>46694.79</v>
      </c>
      <c r="D12" s="11">
        <v>38</v>
      </c>
      <c r="E12" s="26">
        <v>16351.23</v>
      </c>
      <c r="F12" s="26">
        <v>351</v>
      </c>
      <c r="G12" s="33">
        <v>1166733.71</v>
      </c>
      <c r="H12" s="26">
        <v>11</v>
      </c>
      <c r="I12" s="26">
        <v>4195.1000000000004</v>
      </c>
      <c r="J12" s="26">
        <v>59</v>
      </c>
      <c r="K12" s="26">
        <v>10214.709999999999</v>
      </c>
      <c r="L12" s="26">
        <v>542</v>
      </c>
      <c r="M12" s="33">
        <v>1244189.6399999999</v>
      </c>
    </row>
    <row r="13" spans="1:13" s="5" customFormat="1" ht="18" customHeight="1" x14ac:dyDescent="0.2">
      <c r="A13" s="3" t="s">
        <v>163</v>
      </c>
      <c r="B13" s="26">
        <v>15</v>
      </c>
      <c r="C13" s="26">
        <v>1348.16</v>
      </c>
      <c r="D13" s="11">
        <v>82</v>
      </c>
      <c r="E13" s="33">
        <v>129966.3</v>
      </c>
      <c r="F13" s="26">
        <v>451</v>
      </c>
      <c r="G13" s="33">
        <v>556977.9</v>
      </c>
      <c r="H13" s="26">
        <v>52</v>
      </c>
      <c r="I13" s="26">
        <v>54116.800000000003</v>
      </c>
      <c r="J13" s="26">
        <v>86</v>
      </c>
      <c r="K13" s="26">
        <v>22903.27</v>
      </c>
      <c r="L13" s="26">
        <v>686</v>
      </c>
      <c r="M13" s="33">
        <v>765312.43</v>
      </c>
    </row>
    <row r="14" spans="1:13" s="5" customFormat="1" ht="18" customHeight="1" x14ac:dyDescent="0.2">
      <c r="A14" s="3" t="s">
        <v>164</v>
      </c>
      <c r="B14" s="26">
        <v>72</v>
      </c>
      <c r="C14" s="26">
        <v>5921.18</v>
      </c>
      <c r="D14" s="11">
        <v>52</v>
      </c>
      <c r="E14" s="26">
        <v>32465.97</v>
      </c>
      <c r="F14" s="26">
        <v>476</v>
      </c>
      <c r="G14" s="33">
        <v>1244178.1599999999</v>
      </c>
      <c r="H14" s="26">
        <v>44</v>
      </c>
      <c r="I14" s="33">
        <v>739936</v>
      </c>
      <c r="J14" s="26">
        <v>85</v>
      </c>
      <c r="K14" s="26">
        <v>10848.29</v>
      </c>
      <c r="L14" s="26">
        <v>729</v>
      </c>
      <c r="M14" s="33">
        <v>2032349.56</v>
      </c>
    </row>
    <row r="15" spans="1:13" s="5" customFormat="1" ht="18" customHeight="1" x14ac:dyDescent="0.2">
      <c r="A15" s="3" t="s">
        <v>165</v>
      </c>
      <c r="B15" s="26">
        <v>33</v>
      </c>
      <c r="C15" s="26">
        <v>2350.75</v>
      </c>
      <c r="D15" s="11">
        <v>36</v>
      </c>
      <c r="E15" s="26">
        <v>47927.16</v>
      </c>
      <c r="F15" s="26">
        <v>309</v>
      </c>
      <c r="G15" s="33">
        <v>523632.84399999998</v>
      </c>
      <c r="H15" s="26">
        <v>104</v>
      </c>
      <c r="I15" s="26">
        <v>79515</v>
      </c>
      <c r="J15" s="26">
        <v>73</v>
      </c>
      <c r="K15" s="26">
        <v>22677.48</v>
      </c>
      <c r="L15" s="26">
        <v>555</v>
      </c>
      <c r="M15" s="33">
        <v>676103.23400000005</v>
      </c>
    </row>
    <row r="16" spans="1:13" s="5" customFormat="1" ht="18" customHeight="1" x14ac:dyDescent="0.2">
      <c r="A16" s="3" t="s">
        <v>166</v>
      </c>
      <c r="B16" s="26">
        <v>33</v>
      </c>
      <c r="C16" s="26">
        <v>2766.28</v>
      </c>
      <c r="D16" s="11">
        <v>205</v>
      </c>
      <c r="E16" s="33">
        <v>279648.96000000002</v>
      </c>
      <c r="F16" s="26">
        <v>415</v>
      </c>
      <c r="G16" s="33">
        <v>1466561.57</v>
      </c>
      <c r="H16" s="26">
        <v>117</v>
      </c>
      <c r="I16" s="26">
        <v>78448.67</v>
      </c>
      <c r="J16" s="26">
        <v>84</v>
      </c>
      <c r="K16" s="33">
        <v>175207.16</v>
      </c>
      <c r="L16" s="26">
        <v>854</v>
      </c>
      <c r="M16" s="33">
        <v>2002632.64</v>
      </c>
    </row>
    <row r="17" spans="1:13" s="5" customFormat="1" ht="19.5" customHeight="1" x14ac:dyDescent="0.2">
      <c r="A17" s="371" t="s">
        <v>105</v>
      </c>
      <c r="B17" s="371"/>
      <c r="C17" s="371"/>
      <c r="D17" s="371"/>
      <c r="E17" s="371"/>
      <c r="F17" s="371"/>
      <c r="G17" s="371"/>
      <c r="H17" s="371"/>
      <c r="I17" s="371"/>
      <c r="J17" s="371"/>
      <c r="K17" s="371"/>
      <c r="L17" s="371"/>
      <c r="M17" s="371"/>
    </row>
    <row r="18" spans="1:13" s="5" customFormat="1" ht="18" customHeight="1" x14ac:dyDescent="0.2">
      <c r="A18" s="371" t="s">
        <v>267</v>
      </c>
      <c r="B18" s="371"/>
      <c r="C18" s="371"/>
      <c r="D18" s="371"/>
      <c r="E18" s="371"/>
      <c r="F18" s="371"/>
      <c r="G18" s="371"/>
      <c r="H18" s="371"/>
      <c r="I18" s="371"/>
      <c r="J18" s="371"/>
      <c r="K18" s="371"/>
      <c r="L18" s="371"/>
      <c r="M18" s="371"/>
    </row>
    <row r="19" spans="1:13" s="5" customFormat="1" ht="23.85" customHeight="1" x14ac:dyDescent="0.2"/>
  </sheetData>
  <customSheetViews>
    <customSheetView guid="{B9B27D37-53F8-4AD8-9221-6458C3026417}" fitToPage="1" topLeftCell="E1">
      <selection activeCell="L10" sqref="L10"/>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E1">
      <selection activeCell="L10" sqref="L10"/>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9">
    <mergeCell ref="A17:M17"/>
    <mergeCell ref="A18:M18"/>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8"/>
  <sheetViews>
    <sheetView zoomScaleNormal="100"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425" t="s">
        <v>274</v>
      </c>
      <c r="B1" s="425"/>
      <c r="C1" s="425"/>
      <c r="D1" s="425"/>
      <c r="E1" s="425"/>
    </row>
    <row r="2" spans="1:5" s="5" customFormat="1" ht="18" customHeight="1" x14ac:dyDescent="0.2">
      <c r="A2" s="36" t="s">
        <v>275</v>
      </c>
      <c r="B2" s="2" t="s">
        <v>69</v>
      </c>
      <c r="C2" s="2" t="s">
        <v>70</v>
      </c>
      <c r="D2" s="2" t="s">
        <v>166</v>
      </c>
    </row>
    <row r="3" spans="1:5" s="5" customFormat="1" ht="18" customHeight="1" x14ac:dyDescent="0.2">
      <c r="A3" s="44" t="s">
        <v>252</v>
      </c>
      <c r="B3" s="45">
        <v>1082968.24</v>
      </c>
      <c r="C3" s="45">
        <v>694613.02</v>
      </c>
      <c r="D3" s="8">
        <v>50655.69</v>
      </c>
    </row>
    <row r="4" spans="1:5" s="5" customFormat="1" ht="18" customHeight="1" x14ac:dyDescent="0.2">
      <c r="A4" s="44" t="s">
        <v>254</v>
      </c>
      <c r="B4" s="8">
        <v>192.7694075</v>
      </c>
      <c r="C4" s="8">
        <v>24.514192755</v>
      </c>
      <c r="D4" s="8">
        <v>5.2180821750000002</v>
      </c>
    </row>
    <row r="5" spans="1:5" s="5" customFormat="1" ht="18" customHeight="1" x14ac:dyDescent="0.2">
      <c r="A5" s="44" t="s">
        <v>253</v>
      </c>
      <c r="B5" s="45">
        <v>7234825.6872836696</v>
      </c>
      <c r="C5" s="45">
        <v>7251779.8320000004</v>
      </c>
      <c r="D5" s="45">
        <v>639270.40560000006</v>
      </c>
    </row>
    <row r="6" spans="1:5" s="5" customFormat="1" ht="18.75" customHeight="1" x14ac:dyDescent="0.2">
      <c r="A6" s="371" t="s">
        <v>250</v>
      </c>
      <c r="B6" s="371"/>
    </row>
    <row r="7" spans="1:5" s="5" customFormat="1" ht="18" customHeight="1" x14ac:dyDescent="0.2">
      <c r="A7" s="371" t="s">
        <v>244</v>
      </c>
      <c r="B7" s="371"/>
    </row>
    <row r="8" spans="1:5" s="5" customFormat="1" ht="28.35" customHeight="1" x14ac:dyDescent="0.2"/>
  </sheetData>
  <customSheetViews>
    <customSheetView guid="{B9B27D37-53F8-4AD8-9221-6458C3026417}" fitToPage="1">
      <selection sqref="A1:E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E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3">
    <mergeCell ref="A1:E1"/>
    <mergeCell ref="A6:B6"/>
    <mergeCell ref="A7:B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19"/>
  <sheetViews>
    <sheetView zoomScaleNormal="100" workbookViewId="0">
      <selection activeCell="J24" sqref="J24"/>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403" t="s">
        <v>276</v>
      </c>
      <c r="B1" s="403"/>
      <c r="C1" s="403"/>
      <c r="D1" s="403"/>
      <c r="E1" s="403"/>
      <c r="F1" s="403"/>
      <c r="G1" s="403"/>
      <c r="H1" s="403"/>
      <c r="I1" s="403"/>
      <c r="J1" s="403"/>
      <c r="K1" s="403"/>
      <c r="L1" s="403"/>
      <c r="M1" s="403"/>
      <c r="N1" s="403"/>
      <c r="O1" s="403"/>
      <c r="P1" s="403"/>
      <c r="Q1" s="403"/>
    </row>
    <row r="2" spans="1:17" s="5" customFormat="1" ht="18" customHeight="1" x14ac:dyDescent="0.2">
      <c r="A2" s="428" t="s">
        <v>147</v>
      </c>
      <c r="B2" s="428" t="s">
        <v>277</v>
      </c>
      <c r="C2" s="428" t="s">
        <v>278</v>
      </c>
      <c r="D2" s="428" t="s">
        <v>279</v>
      </c>
      <c r="E2" s="428" t="s">
        <v>280</v>
      </c>
      <c r="F2" s="428" t="s">
        <v>281</v>
      </c>
      <c r="G2" s="428" t="s">
        <v>282</v>
      </c>
      <c r="H2" s="426" t="s">
        <v>283</v>
      </c>
      <c r="I2" s="426" t="s">
        <v>284</v>
      </c>
      <c r="J2" s="426" t="s">
        <v>285</v>
      </c>
      <c r="K2" s="428" t="s">
        <v>286</v>
      </c>
      <c r="L2" s="426" t="s">
        <v>287</v>
      </c>
      <c r="M2" s="426" t="s">
        <v>288</v>
      </c>
      <c r="N2" s="430" t="s">
        <v>289</v>
      </c>
      <c r="O2" s="431"/>
      <c r="P2" s="432"/>
    </row>
    <row r="3" spans="1:17" s="5" customFormat="1" ht="21.75" customHeight="1" x14ac:dyDescent="0.2">
      <c r="A3" s="429"/>
      <c r="B3" s="429"/>
      <c r="C3" s="429"/>
      <c r="D3" s="429"/>
      <c r="E3" s="429"/>
      <c r="F3" s="429"/>
      <c r="G3" s="429"/>
      <c r="H3" s="427"/>
      <c r="I3" s="427"/>
      <c r="J3" s="427"/>
      <c r="K3" s="429"/>
      <c r="L3" s="427"/>
      <c r="M3" s="427"/>
      <c r="N3" s="46" t="s">
        <v>290</v>
      </c>
      <c r="O3" s="46" t="s">
        <v>291</v>
      </c>
      <c r="P3" s="46" t="s">
        <v>292</v>
      </c>
    </row>
    <row r="4" spans="1:17" s="5" customFormat="1" ht="18" customHeight="1" x14ac:dyDescent="0.2">
      <c r="A4" s="30" t="s">
        <v>69</v>
      </c>
      <c r="B4" s="8">
        <v>5619</v>
      </c>
      <c r="C4" s="8">
        <v>52</v>
      </c>
      <c r="D4" s="8">
        <v>2794</v>
      </c>
      <c r="E4" s="31">
        <v>246</v>
      </c>
      <c r="F4" s="8">
        <v>3585.9</v>
      </c>
      <c r="G4" s="45">
        <v>771603.31</v>
      </c>
      <c r="H4" s="45">
        <v>1082968.24</v>
      </c>
      <c r="I4" s="8">
        <v>4402.3099186990003</v>
      </c>
      <c r="J4" s="8">
        <v>30200.737332329001</v>
      </c>
      <c r="K4" s="45">
        <v>771603.31</v>
      </c>
      <c r="L4" s="45">
        <v>1082968.05</v>
      </c>
      <c r="M4" s="47">
        <v>14224996.970000001</v>
      </c>
      <c r="N4" s="8">
        <v>36443.980000000003</v>
      </c>
      <c r="O4" s="8">
        <v>29241.48</v>
      </c>
      <c r="P4" s="8">
        <v>32968.68</v>
      </c>
    </row>
    <row r="5" spans="1:17" s="5" customFormat="1" ht="18" customHeight="1" x14ac:dyDescent="0.2">
      <c r="A5" s="30" t="s">
        <v>70</v>
      </c>
      <c r="B5" s="8">
        <v>5251</v>
      </c>
      <c r="C5" s="8">
        <v>36</v>
      </c>
      <c r="D5" s="8">
        <v>2614</v>
      </c>
      <c r="E5" s="31">
        <v>229</v>
      </c>
      <c r="F5" s="8">
        <v>2889.34</v>
      </c>
      <c r="G5" s="45">
        <v>467062.61</v>
      </c>
      <c r="H5" s="45">
        <v>694613.02</v>
      </c>
      <c r="I5" s="8">
        <v>3033.2446288209999</v>
      </c>
      <c r="J5" s="8">
        <v>24040.542822928001</v>
      </c>
      <c r="K5" s="45">
        <v>467062.61</v>
      </c>
      <c r="L5" s="45">
        <v>694612.91</v>
      </c>
      <c r="M5" s="47">
        <v>14041530.33</v>
      </c>
      <c r="N5" s="8">
        <v>38989.65</v>
      </c>
      <c r="O5" s="8">
        <v>32972.559999999998</v>
      </c>
      <c r="P5" s="8">
        <v>35867.440000000002</v>
      </c>
    </row>
    <row r="6" spans="1:17" s="5" customFormat="1" ht="18" customHeight="1" x14ac:dyDescent="0.2">
      <c r="A6" s="30" t="s">
        <v>156</v>
      </c>
      <c r="B6" s="8">
        <v>5638</v>
      </c>
      <c r="C6" s="8">
        <v>52</v>
      </c>
      <c r="D6" s="8">
        <v>2768</v>
      </c>
      <c r="E6" s="31">
        <v>21</v>
      </c>
      <c r="F6" s="8">
        <v>233.88</v>
      </c>
      <c r="G6" s="8">
        <v>47332.62</v>
      </c>
      <c r="H6" s="8">
        <v>71629.66</v>
      </c>
      <c r="I6" s="8">
        <v>3410.9361904759999</v>
      </c>
      <c r="J6" s="8">
        <v>30626.671797503001</v>
      </c>
      <c r="K6" s="8">
        <v>47332.62</v>
      </c>
      <c r="L6" s="8">
        <v>71629.66</v>
      </c>
      <c r="M6" s="47">
        <v>15279535.369999999</v>
      </c>
      <c r="N6" s="8">
        <v>35213.300000000003</v>
      </c>
      <c r="O6" s="8">
        <v>32972.559999999998</v>
      </c>
      <c r="P6" s="8">
        <v>35160.36</v>
      </c>
    </row>
    <row r="7" spans="1:17" s="5" customFormat="1" ht="18" customHeight="1" x14ac:dyDescent="0.2">
      <c r="A7" s="30" t="s">
        <v>157</v>
      </c>
      <c r="B7" s="8">
        <v>5450</v>
      </c>
      <c r="C7" s="8">
        <v>52</v>
      </c>
      <c r="D7" s="8">
        <v>2755</v>
      </c>
      <c r="E7" s="31">
        <v>22</v>
      </c>
      <c r="F7" s="8">
        <v>258.01</v>
      </c>
      <c r="G7" s="8">
        <v>51335.45</v>
      </c>
      <c r="H7" s="8">
        <v>75360.5</v>
      </c>
      <c r="I7" s="8">
        <v>3425.4772727270001</v>
      </c>
      <c r="J7" s="8">
        <v>29208.364016898999</v>
      </c>
      <c r="K7" s="8">
        <v>51335.45</v>
      </c>
      <c r="L7" s="8">
        <v>75360.5</v>
      </c>
      <c r="M7" s="47">
        <v>14869671.1</v>
      </c>
      <c r="N7" s="8">
        <v>35993.53</v>
      </c>
      <c r="O7" s="8">
        <v>34302.89</v>
      </c>
      <c r="P7" s="8">
        <v>35322.379999999997</v>
      </c>
    </row>
    <row r="8" spans="1:17" s="5" customFormat="1" ht="18" customHeight="1" x14ac:dyDescent="0.2">
      <c r="A8" s="30" t="s">
        <v>158</v>
      </c>
      <c r="B8" s="8">
        <v>5458</v>
      </c>
      <c r="C8" s="8">
        <v>36</v>
      </c>
      <c r="D8" s="8">
        <v>2698</v>
      </c>
      <c r="E8" s="31">
        <v>21</v>
      </c>
      <c r="F8" s="8">
        <v>191.19</v>
      </c>
      <c r="G8" s="8">
        <v>41057.9</v>
      </c>
      <c r="H8" s="8">
        <v>64162.59</v>
      </c>
      <c r="I8" s="8">
        <v>3055.361428571</v>
      </c>
      <c r="J8" s="8">
        <v>33559.595167111002</v>
      </c>
      <c r="K8" s="8">
        <v>41057.9</v>
      </c>
      <c r="L8" s="8">
        <v>64162.58</v>
      </c>
      <c r="M8" s="47">
        <v>14501942.26</v>
      </c>
      <c r="N8" s="8">
        <v>35877.410000000003</v>
      </c>
      <c r="O8" s="8">
        <v>34784.68</v>
      </c>
      <c r="P8" s="8">
        <v>35423.480000000003</v>
      </c>
    </row>
    <row r="9" spans="1:17" s="5" customFormat="1" ht="18" customHeight="1" x14ac:dyDescent="0.2">
      <c r="A9" s="30" t="s">
        <v>159</v>
      </c>
      <c r="B9" s="8">
        <v>5240</v>
      </c>
      <c r="C9" s="8">
        <v>36</v>
      </c>
      <c r="D9" s="8">
        <v>2763</v>
      </c>
      <c r="E9" s="31">
        <v>22</v>
      </c>
      <c r="F9" s="8">
        <v>242.84</v>
      </c>
      <c r="G9" s="8">
        <v>41849.870000000003</v>
      </c>
      <c r="H9" s="8">
        <v>65168.480000000003</v>
      </c>
      <c r="I9" s="8">
        <v>2962.203636364</v>
      </c>
      <c r="J9" s="8">
        <v>26835.974304069001</v>
      </c>
      <c r="K9" s="8">
        <v>41849.870000000003</v>
      </c>
      <c r="L9" s="8">
        <v>65168.480000000003</v>
      </c>
      <c r="M9" s="47">
        <v>15314574.300000001</v>
      </c>
      <c r="N9" s="8">
        <v>37644.589999999997</v>
      </c>
      <c r="O9" s="8">
        <v>35106.57</v>
      </c>
      <c r="P9" s="8">
        <v>37606.58</v>
      </c>
    </row>
    <row r="10" spans="1:17" s="5" customFormat="1" ht="18" customHeight="1" x14ac:dyDescent="0.2">
      <c r="A10" s="30" t="s">
        <v>160</v>
      </c>
      <c r="B10" s="8">
        <v>5233</v>
      </c>
      <c r="C10" s="8">
        <v>36</v>
      </c>
      <c r="D10" s="8">
        <v>2823</v>
      </c>
      <c r="E10" s="31">
        <v>21</v>
      </c>
      <c r="F10" s="8">
        <v>292</v>
      </c>
      <c r="G10" s="8">
        <v>45597</v>
      </c>
      <c r="H10" s="8">
        <v>67896</v>
      </c>
      <c r="I10" s="8">
        <v>3233</v>
      </c>
      <c r="J10" s="8">
        <v>23230</v>
      </c>
      <c r="K10" s="8">
        <v>45597</v>
      </c>
      <c r="L10" s="8">
        <v>67896</v>
      </c>
      <c r="M10" s="47">
        <v>15934696</v>
      </c>
      <c r="N10" s="8">
        <v>38989.65</v>
      </c>
      <c r="O10" s="8">
        <v>37128.99</v>
      </c>
      <c r="P10" s="8">
        <v>38645.07</v>
      </c>
    </row>
    <row r="11" spans="1:17" s="5" customFormat="1" ht="18" customHeight="1" x14ac:dyDescent="0.2">
      <c r="A11" s="30" t="s">
        <v>161</v>
      </c>
      <c r="B11" s="8">
        <v>5232</v>
      </c>
      <c r="C11" s="8">
        <v>36</v>
      </c>
      <c r="D11" s="8">
        <v>2763</v>
      </c>
      <c r="E11" s="31">
        <v>18</v>
      </c>
      <c r="F11" s="8">
        <v>297.68</v>
      </c>
      <c r="G11" s="8">
        <v>38742.959999999999</v>
      </c>
      <c r="H11" s="8">
        <v>62476.71</v>
      </c>
      <c r="I11" s="8">
        <v>3470.928333333</v>
      </c>
      <c r="J11" s="8">
        <v>20987.876242945</v>
      </c>
      <c r="K11" s="8">
        <v>38742.959999999999</v>
      </c>
      <c r="L11" s="8">
        <v>62476.7</v>
      </c>
      <c r="M11" s="47">
        <v>14486401.68</v>
      </c>
      <c r="N11" s="8">
        <v>38934.35</v>
      </c>
      <c r="O11" s="8">
        <v>35985.629999999997</v>
      </c>
      <c r="P11" s="8">
        <v>36227.14</v>
      </c>
    </row>
    <row r="12" spans="1:17" s="5" customFormat="1" ht="18" customHeight="1" x14ac:dyDescent="0.2">
      <c r="A12" s="30" t="s">
        <v>162</v>
      </c>
      <c r="B12" s="8">
        <v>5217</v>
      </c>
      <c r="C12" s="8">
        <v>36</v>
      </c>
      <c r="D12" s="8">
        <v>2660</v>
      </c>
      <c r="E12" s="31">
        <v>21</v>
      </c>
      <c r="F12" s="8">
        <v>337.3</v>
      </c>
      <c r="G12" s="8">
        <v>43932.5</v>
      </c>
      <c r="H12" s="8">
        <v>66384.710000000006</v>
      </c>
      <c r="I12" s="8">
        <v>3161.1766670000002</v>
      </c>
      <c r="J12" s="8">
        <v>19681.20664</v>
      </c>
      <c r="K12" s="8">
        <v>43932.5</v>
      </c>
      <c r="L12" s="8">
        <v>66384.7</v>
      </c>
      <c r="M12" s="47">
        <v>13845109.369999999</v>
      </c>
      <c r="N12" s="8">
        <v>36616.639999999999</v>
      </c>
      <c r="O12" s="8">
        <v>33291.58</v>
      </c>
      <c r="P12" s="8">
        <v>34442.050000000003</v>
      </c>
    </row>
    <row r="13" spans="1:17" s="5" customFormat="1" ht="18" customHeight="1" x14ac:dyDescent="0.2">
      <c r="A13" s="30" t="s">
        <v>163</v>
      </c>
      <c r="B13" s="8">
        <v>5216</v>
      </c>
      <c r="C13" s="8">
        <v>36</v>
      </c>
      <c r="D13" s="8">
        <v>2719</v>
      </c>
      <c r="E13" s="31">
        <v>20</v>
      </c>
      <c r="F13" s="8">
        <v>255.31</v>
      </c>
      <c r="G13" s="8">
        <v>38075.67</v>
      </c>
      <c r="H13" s="8">
        <v>59063.839999999997</v>
      </c>
      <c r="I13" s="8">
        <v>2953.192</v>
      </c>
      <c r="J13" s="8">
        <v>23134.166307626001</v>
      </c>
      <c r="K13" s="8">
        <v>38075.67</v>
      </c>
      <c r="L13" s="8">
        <v>59063.82</v>
      </c>
      <c r="M13" s="47">
        <v>14288775.859999999</v>
      </c>
      <c r="N13" s="8">
        <v>36389.22</v>
      </c>
      <c r="O13" s="8">
        <v>34303.379999999997</v>
      </c>
      <c r="P13" s="8">
        <v>36194.300000000003</v>
      </c>
    </row>
    <row r="14" spans="1:17" s="5" customFormat="1" ht="18" customHeight="1" x14ac:dyDescent="0.2">
      <c r="A14" s="30" t="s">
        <v>164</v>
      </c>
      <c r="B14" s="8">
        <v>5232</v>
      </c>
      <c r="C14" s="8">
        <v>36</v>
      </c>
      <c r="D14" s="8">
        <v>2756</v>
      </c>
      <c r="E14" s="31">
        <v>20</v>
      </c>
      <c r="F14" s="8">
        <v>249.04</v>
      </c>
      <c r="G14" s="8">
        <v>38058.080000000002</v>
      </c>
      <c r="H14" s="8">
        <v>50482.91</v>
      </c>
      <c r="I14" s="8">
        <v>2524.1455000000001</v>
      </c>
      <c r="J14" s="8">
        <v>20271.004657885998</v>
      </c>
      <c r="K14" s="8">
        <v>38058.080000000002</v>
      </c>
      <c r="L14" s="8">
        <v>50482.89</v>
      </c>
      <c r="M14" s="47">
        <v>14448465.689999999</v>
      </c>
      <c r="N14" s="8">
        <v>36554.99</v>
      </c>
      <c r="O14" s="8">
        <v>34426.29</v>
      </c>
      <c r="P14" s="8">
        <v>36068.33</v>
      </c>
    </row>
    <row r="15" spans="1:17" s="5" customFormat="1" ht="18" customHeight="1" x14ac:dyDescent="0.2">
      <c r="A15" s="30" t="s">
        <v>165</v>
      </c>
      <c r="B15" s="8">
        <v>5244</v>
      </c>
      <c r="C15" s="8">
        <v>36</v>
      </c>
      <c r="D15" s="8">
        <v>2663</v>
      </c>
      <c r="E15" s="31">
        <v>23</v>
      </c>
      <c r="F15" s="8">
        <v>274.63</v>
      </c>
      <c r="G15" s="8">
        <v>38852.44</v>
      </c>
      <c r="H15" s="8">
        <v>61332.33</v>
      </c>
      <c r="I15" s="8">
        <v>2666.623043478</v>
      </c>
      <c r="J15" s="8">
        <v>22332.713104905</v>
      </c>
      <c r="K15" s="8">
        <v>38852.44</v>
      </c>
      <c r="L15" s="8">
        <v>61332.31</v>
      </c>
      <c r="M15" s="47">
        <v>14099330.09</v>
      </c>
      <c r="N15" s="8">
        <v>36701.03</v>
      </c>
      <c r="O15" s="8">
        <v>35375.51</v>
      </c>
      <c r="P15" s="8">
        <v>36256.69</v>
      </c>
    </row>
    <row r="16" spans="1:17" s="5" customFormat="1" ht="18" customHeight="1" x14ac:dyDescent="0.2">
      <c r="A16" s="30" t="s">
        <v>166</v>
      </c>
      <c r="B16" s="8">
        <v>5251</v>
      </c>
      <c r="C16" s="8">
        <v>36</v>
      </c>
      <c r="D16" s="8">
        <v>2614</v>
      </c>
      <c r="E16" s="31">
        <v>20</v>
      </c>
      <c r="F16" s="8">
        <v>257.18</v>
      </c>
      <c r="G16" s="8">
        <v>42228.53</v>
      </c>
      <c r="H16" s="8">
        <v>50655.69</v>
      </c>
      <c r="I16" s="8">
        <v>2532.7845000000002</v>
      </c>
      <c r="J16" s="8">
        <v>19696.589937009001</v>
      </c>
      <c r="K16" s="8">
        <v>42228.53</v>
      </c>
      <c r="L16" s="8">
        <v>50655.67</v>
      </c>
      <c r="M16" s="47">
        <v>14041530.33</v>
      </c>
      <c r="N16" s="8">
        <v>37172.18</v>
      </c>
      <c r="O16" s="8">
        <v>35287.160000000003</v>
      </c>
      <c r="P16" s="8">
        <v>35867.440000000002</v>
      </c>
    </row>
    <row r="17" spans="1:8" s="5" customFormat="1" ht="19.5" customHeight="1" x14ac:dyDescent="0.2">
      <c r="A17" s="371" t="s">
        <v>105</v>
      </c>
      <c r="B17" s="371"/>
      <c r="C17" s="371"/>
      <c r="D17" s="371"/>
      <c r="E17" s="371"/>
      <c r="F17" s="371"/>
      <c r="G17" s="371"/>
      <c r="H17" s="371"/>
    </row>
    <row r="18" spans="1:8" s="5" customFormat="1" ht="18" customHeight="1" x14ac:dyDescent="0.2">
      <c r="A18" s="371" t="s">
        <v>293</v>
      </c>
      <c r="B18" s="371"/>
      <c r="C18" s="371"/>
      <c r="D18" s="371"/>
      <c r="E18" s="371"/>
      <c r="F18" s="371"/>
      <c r="G18" s="371"/>
      <c r="H18" s="371"/>
    </row>
    <row r="19" spans="1:8" s="5" customFormat="1" ht="24.6" customHeight="1" x14ac:dyDescent="0.2"/>
  </sheetData>
  <customSheetViews>
    <customSheetView guid="{B9B27D37-53F8-4AD8-9221-6458C3026417}" fitToPage="1">
      <selection sqref="A1:Q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Q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7">
    <mergeCell ref="N2:P2"/>
    <mergeCell ref="A17:H17"/>
    <mergeCell ref="A1:Q1"/>
    <mergeCell ref="A2:A3"/>
    <mergeCell ref="B2:B3"/>
    <mergeCell ref="C2:C3"/>
    <mergeCell ref="D2:D3"/>
    <mergeCell ref="E2:E3"/>
    <mergeCell ref="F2:F3"/>
    <mergeCell ref="G2:G3"/>
    <mergeCell ref="H2:H3"/>
    <mergeCell ref="I2:I3"/>
    <mergeCell ref="A18:H18"/>
    <mergeCell ref="J2:J3"/>
    <mergeCell ref="K2:K3"/>
    <mergeCell ref="L2:L3"/>
    <mergeCell ref="M2:M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9"/>
  <sheetViews>
    <sheetView zoomScaleNormal="100" workbookViewId="0">
      <selection sqref="A1:P1"/>
    </sheetView>
  </sheetViews>
  <sheetFormatPr defaultRowHeight="12.75" x14ac:dyDescent="0.2"/>
  <cols>
    <col min="1" max="16" width="14.7109375" bestFit="1" customWidth="1"/>
    <col min="17" max="17" width="4.7109375" bestFit="1" customWidth="1"/>
  </cols>
  <sheetData>
    <row r="1" spans="1:16" ht="14.25" customHeight="1" x14ac:dyDescent="0.2">
      <c r="A1" s="403" t="s">
        <v>294</v>
      </c>
      <c r="B1" s="403"/>
      <c r="C1" s="403"/>
      <c r="D1" s="403"/>
      <c r="E1" s="403"/>
      <c r="F1" s="403"/>
      <c r="G1" s="403"/>
      <c r="H1" s="403"/>
      <c r="I1" s="403"/>
      <c r="J1" s="403"/>
      <c r="K1" s="403"/>
      <c r="L1" s="403"/>
      <c r="M1" s="403"/>
      <c r="N1" s="403"/>
      <c r="O1" s="403"/>
      <c r="P1" s="403"/>
    </row>
    <row r="2" spans="1:16" s="5" customFormat="1" ht="18.75" customHeight="1" x14ac:dyDescent="0.2">
      <c r="A2" s="373" t="s">
        <v>147</v>
      </c>
      <c r="B2" s="373" t="s">
        <v>277</v>
      </c>
      <c r="C2" s="373" t="s">
        <v>278</v>
      </c>
      <c r="D2" s="373" t="s">
        <v>279</v>
      </c>
      <c r="E2" s="373" t="s">
        <v>280</v>
      </c>
      <c r="F2" s="373" t="s">
        <v>281</v>
      </c>
      <c r="G2" s="373" t="s">
        <v>282</v>
      </c>
      <c r="H2" s="379" t="s">
        <v>283</v>
      </c>
      <c r="I2" s="379" t="s">
        <v>284</v>
      </c>
      <c r="J2" s="379" t="s">
        <v>285</v>
      </c>
      <c r="K2" s="373" t="s">
        <v>286</v>
      </c>
      <c r="L2" s="379" t="s">
        <v>287</v>
      </c>
      <c r="M2" s="379" t="s">
        <v>288</v>
      </c>
      <c r="N2" s="375" t="s">
        <v>295</v>
      </c>
      <c r="O2" s="433"/>
      <c r="P2" s="376"/>
    </row>
    <row r="3" spans="1:16" s="5" customFormat="1" ht="21" customHeight="1" x14ac:dyDescent="0.2">
      <c r="A3" s="374"/>
      <c r="B3" s="374"/>
      <c r="C3" s="374"/>
      <c r="D3" s="374"/>
      <c r="E3" s="374"/>
      <c r="F3" s="374"/>
      <c r="G3" s="374"/>
      <c r="H3" s="380"/>
      <c r="I3" s="380"/>
      <c r="J3" s="380"/>
      <c r="K3" s="374"/>
      <c r="L3" s="380"/>
      <c r="M3" s="380"/>
      <c r="N3" s="9" t="s">
        <v>290</v>
      </c>
      <c r="O3" s="9" t="s">
        <v>291</v>
      </c>
      <c r="P3" s="9" t="s">
        <v>292</v>
      </c>
    </row>
    <row r="4" spans="1:16" s="5" customFormat="1" ht="18" customHeight="1" x14ac:dyDescent="0.2">
      <c r="A4" s="3" t="s">
        <v>69</v>
      </c>
      <c r="B4" s="11">
        <v>1931</v>
      </c>
      <c r="C4" s="11">
        <v>4</v>
      </c>
      <c r="D4" s="11">
        <v>1850</v>
      </c>
      <c r="E4" s="11">
        <v>246</v>
      </c>
      <c r="F4" s="26">
        <v>24913.764999999999</v>
      </c>
      <c r="G4" s="33">
        <v>3771836.1002600002</v>
      </c>
      <c r="H4" s="33">
        <v>7234825.6872836696</v>
      </c>
      <c r="I4" s="26">
        <v>29409.860517412999</v>
      </c>
      <c r="J4" s="26">
        <v>29039.470977614001</v>
      </c>
      <c r="K4" s="33">
        <v>3771836.1002600002</v>
      </c>
      <c r="L4" s="33">
        <v>7234825.6872836696</v>
      </c>
      <c r="M4" s="43">
        <v>14044151.5351595</v>
      </c>
      <c r="N4" s="26">
        <v>11172</v>
      </c>
      <c r="O4" s="26">
        <v>9075</v>
      </c>
      <c r="P4" s="26">
        <v>10114</v>
      </c>
    </row>
    <row r="5" spans="1:16" s="5" customFormat="1" ht="18" customHeight="1" x14ac:dyDescent="0.2">
      <c r="A5" s="3" t="s">
        <v>70</v>
      </c>
      <c r="B5" s="11">
        <v>1929</v>
      </c>
      <c r="C5" s="11">
        <v>4</v>
      </c>
      <c r="D5" s="11">
        <v>1917</v>
      </c>
      <c r="E5" s="11">
        <v>229</v>
      </c>
      <c r="F5" s="26">
        <v>26190.120930000001</v>
      </c>
      <c r="G5" s="33">
        <v>3396913.9049999998</v>
      </c>
      <c r="H5" s="33">
        <v>7251779.8320000004</v>
      </c>
      <c r="I5" s="26">
        <v>31667.16084</v>
      </c>
      <c r="J5" s="26">
        <v>27688.98949</v>
      </c>
      <c r="K5" s="33">
        <v>3396913.9049999998</v>
      </c>
      <c r="L5" s="33">
        <v>7251779.8320000004</v>
      </c>
      <c r="M5" s="43">
        <v>13871449.35</v>
      </c>
      <c r="N5" s="26">
        <v>11760.2</v>
      </c>
      <c r="O5" s="26">
        <v>10004.549999999999</v>
      </c>
      <c r="P5" s="26">
        <v>10792.5</v>
      </c>
    </row>
    <row r="6" spans="1:16" s="5" customFormat="1" ht="18" customHeight="1" x14ac:dyDescent="0.2">
      <c r="A6" s="3" t="s">
        <v>156</v>
      </c>
      <c r="B6" s="11">
        <v>1952</v>
      </c>
      <c r="C6" s="11">
        <v>4</v>
      </c>
      <c r="D6" s="11">
        <v>1817</v>
      </c>
      <c r="E6" s="11">
        <v>21</v>
      </c>
      <c r="F6" s="26">
        <v>2176.7930000000001</v>
      </c>
      <c r="G6" s="33">
        <v>298453.34999999998</v>
      </c>
      <c r="H6" s="33">
        <v>641440.34854174196</v>
      </c>
      <c r="I6" s="26">
        <v>30544.778501987999</v>
      </c>
      <c r="J6" s="26">
        <v>29467.221294028001</v>
      </c>
      <c r="K6" s="33">
        <v>298453.34999999998</v>
      </c>
      <c r="L6" s="33">
        <v>641440.34854174196</v>
      </c>
      <c r="M6" s="43">
        <v>15092002.3419351</v>
      </c>
      <c r="N6" s="26">
        <v>10759</v>
      </c>
      <c r="O6" s="26">
        <v>10111.299999999999</v>
      </c>
      <c r="P6" s="26">
        <v>10739.35</v>
      </c>
    </row>
    <row r="7" spans="1:16" s="5" customFormat="1" ht="18" customHeight="1" x14ac:dyDescent="0.2">
      <c r="A7" s="3" t="s">
        <v>157</v>
      </c>
      <c r="B7" s="11">
        <v>1941</v>
      </c>
      <c r="C7" s="11">
        <v>4</v>
      </c>
      <c r="D7" s="11">
        <v>1820</v>
      </c>
      <c r="E7" s="11">
        <v>22</v>
      </c>
      <c r="F7" s="26">
        <v>2467.6264799999999</v>
      </c>
      <c r="G7" s="33">
        <v>342154.59112</v>
      </c>
      <c r="H7" s="33">
        <v>700012.61409391603</v>
      </c>
      <c r="I7" s="26">
        <v>31818.755186087001</v>
      </c>
      <c r="J7" s="26">
        <v>28367.851446216999</v>
      </c>
      <c r="K7" s="33">
        <v>342154.59112</v>
      </c>
      <c r="L7" s="33">
        <v>700012.61409391603</v>
      </c>
      <c r="M7" s="43">
        <v>14693260.034404401</v>
      </c>
      <c r="N7" s="26">
        <v>10929.2</v>
      </c>
      <c r="O7" s="26">
        <v>10417.799999999999</v>
      </c>
      <c r="P7" s="26">
        <v>10736.15</v>
      </c>
    </row>
    <row r="8" spans="1:16" s="5" customFormat="1" ht="18" customHeight="1" x14ac:dyDescent="0.2">
      <c r="A8" s="3" t="s">
        <v>158</v>
      </c>
      <c r="B8" s="11">
        <v>1951</v>
      </c>
      <c r="C8" s="11">
        <v>4</v>
      </c>
      <c r="D8" s="11">
        <v>1833</v>
      </c>
      <c r="E8" s="11">
        <v>21</v>
      </c>
      <c r="F8" s="26">
        <v>2225.0549299999998</v>
      </c>
      <c r="G8" s="33">
        <v>280206.37320999999</v>
      </c>
      <c r="H8" s="33">
        <v>591696.23298905499</v>
      </c>
      <c r="I8" s="26">
        <v>28176.011094717</v>
      </c>
      <c r="J8" s="26">
        <v>26592.432618687999</v>
      </c>
      <c r="K8" s="33">
        <v>280206.37320999999</v>
      </c>
      <c r="L8" s="33">
        <v>591696.23298905499</v>
      </c>
      <c r="M8" s="43">
        <v>14329071.9605611</v>
      </c>
      <c r="N8" s="26">
        <v>10893.25</v>
      </c>
      <c r="O8" s="26">
        <v>10550.9</v>
      </c>
      <c r="P8" s="26">
        <v>10714.3</v>
      </c>
    </row>
    <row r="9" spans="1:16" s="5" customFormat="1" ht="18" customHeight="1" x14ac:dyDescent="0.2">
      <c r="A9" s="3" t="s">
        <v>159</v>
      </c>
      <c r="B9" s="11">
        <v>1938</v>
      </c>
      <c r="C9" s="11">
        <v>4</v>
      </c>
      <c r="D9" s="11">
        <v>1840</v>
      </c>
      <c r="E9" s="11">
        <v>22</v>
      </c>
      <c r="F9" s="26">
        <v>2351.8169899999998</v>
      </c>
      <c r="G9" s="33">
        <v>313395.72704000003</v>
      </c>
      <c r="H9" s="33">
        <v>662867.42388876202</v>
      </c>
      <c r="I9" s="26">
        <v>30130.337449489001</v>
      </c>
      <c r="J9" s="26">
        <v>28185.331881999999</v>
      </c>
      <c r="K9" s="33">
        <v>313395.72704000003</v>
      </c>
      <c r="L9" s="33">
        <v>662867.42388876202</v>
      </c>
      <c r="M9" s="43">
        <v>15128449.079213001</v>
      </c>
      <c r="N9" s="26">
        <v>11366</v>
      </c>
      <c r="O9" s="26">
        <v>10604.65</v>
      </c>
      <c r="P9" s="26">
        <v>11356.5</v>
      </c>
    </row>
    <row r="10" spans="1:16" s="5" customFormat="1" ht="18" customHeight="1" x14ac:dyDescent="0.2">
      <c r="A10" s="3" t="s">
        <v>160</v>
      </c>
      <c r="B10" s="11">
        <v>1916</v>
      </c>
      <c r="C10" s="11">
        <v>4</v>
      </c>
      <c r="D10" s="11">
        <v>1841</v>
      </c>
      <c r="E10" s="11">
        <v>21</v>
      </c>
      <c r="F10" s="26">
        <v>2408.0901399999998</v>
      </c>
      <c r="G10" s="33">
        <v>329844.69919999997</v>
      </c>
      <c r="H10" s="33">
        <v>705869.43028898397</v>
      </c>
      <c r="I10" s="26">
        <v>33612.830013760999</v>
      </c>
      <c r="J10" s="26">
        <v>29312.417278905999</v>
      </c>
      <c r="K10" s="33">
        <v>329844.69919999997</v>
      </c>
      <c r="L10" s="33">
        <v>705869.43028898397</v>
      </c>
      <c r="M10" s="43">
        <v>15730917.9876091</v>
      </c>
      <c r="N10" s="26">
        <v>11760.2</v>
      </c>
      <c r="O10" s="26">
        <v>11234.95</v>
      </c>
      <c r="P10" s="26">
        <v>11680.5</v>
      </c>
    </row>
    <row r="11" spans="1:16" s="5" customFormat="1" ht="18" customHeight="1" x14ac:dyDescent="0.2">
      <c r="A11" s="3" t="s">
        <v>161</v>
      </c>
      <c r="B11" s="11">
        <v>1912</v>
      </c>
      <c r="C11" s="11">
        <v>4</v>
      </c>
      <c r="D11" s="11">
        <v>1847</v>
      </c>
      <c r="E11" s="11">
        <v>18</v>
      </c>
      <c r="F11" s="26">
        <v>2405.32465</v>
      </c>
      <c r="G11" s="33">
        <v>303803.52635</v>
      </c>
      <c r="H11" s="33">
        <v>688318.88908100105</v>
      </c>
      <c r="I11" s="26">
        <v>38239.938282278003</v>
      </c>
      <c r="J11" s="26">
        <v>28616.465102996</v>
      </c>
      <c r="K11" s="33">
        <v>303803.52635</v>
      </c>
      <c r="L11" s="33">
        <v>688318.88908100105</v>
      </c>
      <c r="M11" s="43">
        <v>14292302.0378474</v>
      </c>
      <c r="N11" s="26">
        <v>11751.8</v>
      </c>
      <c r="O11" s="26">
        <v>10850.3</v>
      </c>
      <c r="P11" s="26">
        <v>10930.45</v>
      </c>
    </row>
    <row r="12" spans="1:16" s="5" customFormat="1" ht="18" customHeight="1" x14ac:dyDescent="0.2">
      <c r="A12" s="3" t="s">
        <v>162</v>
      </c>
      <c r="B12" s="11">
        <v>1921</v>
      </c>
      <c r="C12" s="11">
        <v>4</v>
      </c>
      <c r="D12" s="11">
        <v>1854</v>
      </c>
      <c r="E12" s="11">
        <v>21</v>
      </c>
      <c r="F12" s="26">
        <v>2888.8985600000001</v>
      </c>
      <c r="G12" s="33">
        <v>330715.65207000001</v>
      </c>
      <c r="H12" s="33">
        <v>745584.24846244103</v>
      </c>
      <c r="I12" s="26">
        <v>35504.011831545002</v>
      </c>
      <c r="J12" s="26">
        <v>25808.599124451001</v>
      </c>
      <c r="K12" s="33">
        <v>330715.65207000001</v>
      </c>
      <c r="L12" s="33">
        <v>745584.24846244103</v>
      </c>
      <c r="M12" s="43">
        <v>13693824.701621</v>
      </c>
      <c r="N12" s="26">
        <v>11035.65</v>
      </c>
      <c r="O12" s="26">
        <v>10004.549999999999</v>
      </c>
      <c r="P12" s="26">
        <v>10386.6</v>
      </c>
    </row>
    <row r="13" spans="1:16" s="5" customFormat="1" ht="18" customHeight="1" x14ac:dyDescent="0.2">
      <c r="A13" s="3" t="s">
        <v>163</v>
      </c>
      <c r="B13" s="11">
        <v>1922</v>
      </c>
      <c r="C13" s="11">
        <v>4</v>
      </c>
      <c r="D13" s="11">
        <v>1850</v>
      </c>
      <c r="E13" s="11">
        <v>20</v>
      </c>
      <c r="F13" s="26">
        <v>2304.4385600000001</v>
      </c>
      <c r="G13" s="33">
        <v>282181.66993999999</v>
      </c>
      <c r="H13" s="33">
        <v>610913.69520223397</v>
      </c>
      <c r="I13" s="26">
        <v>30545.684760111999</v>
      </c>
      <c r="J13" s="26">
        <v>26510.305191309999</v>
      </c>
      <c r="K13" s="33">
        <v>282181.66993999999</v>
      </c>
      <c r="L13" s="33">
        <v>610913.69520223397</v>
      </c>
      <c r="M13" s="43">
        <v>14122534.518440999</v>
      </c>
      <c r="N13" s="26">
        <v>10922.45</v>
      </c>
      <c r="O13" s="26">
        <v>10341.9</v>
      </c>
      <c r="P13" s="26">
        <v>10876.75</v>
      </c>
    </row>
    <row r="14" spans="1:16" s="5" customFormat="1" ht="18" customHeight="1" x14ac:dyDescent="0.2">
      <c r="A14" s="3" t="s">
        <v>164</v>
      </c>
      <c r="B14" s="11">
        <v>1923</v>
      </c>
      <c r="C14" s="11">
        <v>4</v>
      </c>
      <c r="D14" s="11">
        <v>1856</v>
      </c>
      <c r="E14" s="11">
        <v>20</v>
      </c>
      <c r="F14" s="26">
        <v>2198.85176</v>
      </c>
      <c r="G14" s="33">
        <v>287797.21000000002</v>
      </c>
      <c r="H14" s="33">
        <v>599917.42000000004</v>
      </c>
      <c r="I14" s="26">
        <v>29995.870999999999</v>
      </c>
      <c r="J14" s="26">
        <v>27283.213489572001</v>
      </c>
      <c r="K14" s="33">
        <v>287797.21000000002</v>
      </c>
      <c r="L14" s="33">
        <v>599917.42000000004</v>
      </c>
      <c r="M14" s="43">
        <v>14279082.5138386</v>
      </c>
      <c r="N14" s="26">
        <v>10985.15</v>
      </c>
      <c r="O14" s="26">
        <v>10333.85</v>
      </c>
      <c r="P14" s="26">
        <v>10862.55</v>
      </c>
    </row>
    <row r="15" spans="1:16" s="5" customFormat="1" ht="18" customHeight="1" x14ac:dyDescent="0.2">
      <c r="A15" s="3" t="s">
        <v>165</v>
      </c>
      <c r="B15" s="11">
        <v>1926</v>
      </c>
      <c r="C15" s="11">
        <v>4</v>
      </c>
      <c r="D15" s="11">
        <v>1854</v>
      </c>
      <c r="E15" s="11">
        <v>23</v>
      </c>
      <c r="F15" s="26">
        <v>2386.5066999999999</v>
      </c>
      <c r="G15" s="33">
        <v>281350.42936000001</v>
      </c>
      <c r="H15" s="33">
        <v>665889.12361964898</v>
      </c>
      <c r="I15" s="26">
        <v>28951.701026940998</v>
      </c>
      <c r="J15" s="26">
        <v>27902.252426931998</v>
      </c>
      <c r="K15" s="33">
        <v>281350.42936000001</v>
      </c>
      <c r="L15" s="33">
        <v>665889.12361964898</v>
      </c>
      <c r="M15" s="43">
        <v>13916642.7665119</v>
      </c>
      <c r="N15" s="26">
        <v>10987.45</v>
      </c>
      <c r="O15" s="26">
        <v>10583.65</v>
      </c>
      <c r="P15" s="26">
        <v>10830.95</v>
      </c>
    </row>
    <row r="16" spans="1:16" s="5" customFormat="1" ht="18" customHeight="1" x14ac:dyDescent="0.2">
      <c r="A16" s="3" t="s">
        <v>166</v>
      </c>
      <c r="B16" s="11">
        <v>1929</v>
      </c>
      <c r="C16" s="11">
        <v>4</v>
      </c>
      <c r="D16" s="11">
        <v>1859</v>
      </c>
      <c r="E16" s="11">
        <v>20</v>
      </c>
      <c r="F16" s="26">
        <v>2376.7193699999998</v>
      </c>
      <c r="G16" s="33">
        <v>347010.67670000001</v>
      </c>
      <c r="H16" s="33">
        <v>639270.40560000006</v>
      </c>
      <c r="I16" s="26">
        <v>31963.520280000001</v>
      </c>
      <c r="J16" s="26">
        <v>26897.17657</v>
      </c>
      <c r="K16" s="33">
        <v>347010.67670000001</v>
      </c>
      <c r="L16" s="33">
        <v>639270.40560000006</v>
      </c>
      <c r="M16" s="43">
        <v>13871449.35</v>
      </c>
      <c r="N16" s="26">
        <v>11118.1</v>
      </c>
      <c r="O16" s="26">
        <v>10585.65</v>
      </c>
      <c r="P16" s="26">
        <v>10792.5</v>
      </c>
    </row>
    <row r="17" spans="1:8" s="5" customFormat="1" ht="15" customHeight="1" x14ac:dyDescent="0.2">
      <c r="A17" s="391" t="s">
        <v>296</v>
      </c>
      <c r="B17" s="391"/>
      <c r="C17" s="391"/>
      <c r="D17" s="391"/>
      <c r="E17" s="391"/>
      <c r="F17" s="391"/>
      <c r="G17" s="391"/>
      <c r="H17" s="391"/>
    </row>
    <row r="18" spans="1:8" s="5" customFormat="1" ht="13.5" customHeight="1" x14ac:dyDescent="0.2">
      <c r="A18" s="391" t="s">
        <v>297</v>
      </c>
      <c r="B18" s="391"/>
      <c r="C18" s="391"/>
      <c r="D18" s="391"/>
      <c r="E18" s="391"/>
      <c r="F18" s="391"/>
      <c r="G18" s="391"/>
      <c r="H18" s="391"/>
    </row>
    <row r="19" spans="1:8" s="5" customFormat="1" ht="28.35" customHeight="1" x14ac:dyDescent="0.2"/>
  </sheetData>
  <customSheetViews>
    <customSheetView guid="{B9B27D37-53F8-4AD8-9221-6458C3026417}" fitToPage="1">
      <selection sqref="A1:P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P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7">
    <mergeCell ref="N2:P2"/>
    <mergeCell ref="A17:H17"/>
    <mergeCell ref="A1:P1"/>
    <mergeCell ref="A2:A3"/>
    <mergeCell ref="B2:B3"/>
    <mergeCell ref="C2:C3"/>
    <mergeCell ref="D2:D3"/>
    <mergeCell ref="E2:E3"/>
    <mergeCell ref="F2:F3"/>
    <mergeCell ref="G2:G3"/>
    <mergeCell ref="H2:H3"/>
    <mergeCell ref="I2:I3"/>
    <mergeCell ref="A18:H18"/>
    <mergeCell ref="J2:J3"/>
    <mergeCell ref="K2:K3"/>
    <mergeCell ref="L2:L3"/>
    <mergeCell ref="M2:M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9"/>
  <sheetViews>
    <sheetView zoomScaleNormal="100" workbookViewId="0">
      <selection sqref="A1:C1"/>
    </sheetView>
  </sheetViews>
  <sheetFormatPr defaultRowHeight="12.75" x14ac:dyDescent="0.2"/>
  <cols>
    <col min="1" max="16" width="14.7109375" bestFit="1" customWidth="1"/>
    <col min="17" max="17" width="4.7109375" bestFit="1" customWidth="1"/>
  </cols>
  <sheetData>
    <row r="1" spans="1:16" ht="31.5" customHeight="1" x14ac:dyDescent="0.2">
      <c r="A1" s="369" t="s">
        <v>22</v>
      </c>
      <c r="B1" s="369"/>
      <c r="C1" s="369"/>
    </row>
    <row r="2" spans="1:16" s="5" customFormat="1" ht="32.25" customHeight="1" x14ac:dyDescent="0.2">
      <c r="A2" s="428" t="s">
        <v>245</v>
      </c>
      <c r="B2" s="428" t="s">
        <v>277</v>
      </c>
      <c r="C2" s="428" t="s">
        <v>298</v>
      </c>
      <c r="D2" s="428" t="s">
        <v>299</v>
      </c>
      <c r="E2" s="428" t="s">
        <v>280</v>
      </c>
      <c r="F2" s="428" t="s">
        <v>281</v>
      </c>
      <c r="G2" s="428" t="s">
        <v>282</v>
      </c>
      <c r="H2" s="428" t="s">
        <v>300</v>
      </c>
      <c r="I2" s="428" t="s">
        <v>301</v>
      </c>
      <c r="J2" s="426" t="s">
        <v>285</v>
      </c>
      <c r="K2" s="428" t="s">
        <v>286</v>
      </c>
      <c r="L2" s="428" t="s">
        <v>302</v>
      </c>
      <c r="M2" s="428" t="s">
        <v>303</v>
      </c>
      <c r="N2" s="430" t="s">
        <v>304</v>
      </c>
      <c r="O2" s="431"/>
      <c r="P2" s="432"/>
    </row>
    <row r="3" spans="1:16" s="5" customFormat="1" ht="21" customHeight="1" x14ac:dyDescent="0.2">
      <c r="A3" s="429"/>
      <c r="B3" s="429"/>
      <c r="C3" s="429"/>
      <c r="D3" s="429"/>
      <c r="E3" s="429"/>
      <c r="F3" s="429"/>
      <c r="G3" s="429"/>
      <c r="H3" s="429"/>
      <c r="I3" s="429"/>
      <c r="J3" s="427"/>
      <c r="K3" s="429"/>
      <c r="L3" s="429"/>
      <c r="M3" s="429"/>
      <c r="N3" s="46" t="s">
        <v>290</v>
      </c>
      <c r="O3" s="46" t="s">
        <v>291</v>
      </c>
      <c r="P3" s="46" t="s">
        <v>292</v>
      </c>
    </row>
    <row r="4" spans="1:16" s="5" customFormat="1" ht="18" customHeight="1" x14ac:dyDescent="0.2">
      <c r="A4" s="30" t="s">
        <v>69</v>
      </c>
      <c r="B4" s="8">
        <v>270</v>
      </c>
      <c r="C4" s="8">
        <v>1326</v>
      </c>
      <c r="D4" s="8">
        <v>12</v>
      </c>
      <c r="E4" s="8">
        <v>246</v>
      </c>
      <c r="F4" s="8">
        <v>2.8230000000000002E-2</v>
      </c>
      <c r="G4" s="8">
        <v>151.78948</v>
      </c>
      <c r="H4" s="8">
        <v>192.7694075</v>
      </c>
      <c r="I4" s="8">
        <v>0.783615477</v>
      </c>
      <c r="J4" s="45">
        <v>682853.01969999995</v>
      </c>
      <c r="K4" s="8">
        <v>0</v>
      </c>
      <c r="L4" s="8">
        <v>0</v>
      </c>
      <c r="M4" s="47">
        <v>13896723.83</v>
      </c>
      <c r="N4" s="8">
        <v>21581.919999999998</v>
      </c>
      <c r="O4" s="8">
        <v>17684.5</v>
      </c>
      <c r="P4" s="8">
        <v>19686.18</v>
      </c>
    </row>
    <row r="5" spans="1:16" s="5" customFormat="1" ht="18" customHeight="1" x14ac:dyDescent="0.2">
      <c r="A5" s="30" t="s">
        <v>70</v>
      </c>
      <c r="B5" s="8">
        <v>287</v>
      </c>
      <c r="C5" s="8">
        <v>1311</v>
      </c>
      <c r="D5" s="8">
        <v>8</v>
      </c>
      <c r="E5" s="8">
        <v>229</v>
      </c>
      <c r="F5" s="8">
        <v>1.5630000000000002E-2</v>
      </c>
      <c r="G5" s="8">
        <v>11.42328</v>
      </c>
      <c r="H5" s="8">
        <v>24.514192755</v>
      </c>
      <c r="I5" s="8">
        <v>0.107048877</v>
      </c>
      <c r="J5" s="45">
        <v>156840.64462571999</v>
      </c>
      <c r="K5" s="8">
        <v>11.423170000000001</v>
      </c>
      <c r="L5" s="8">
        <v>24.508544029999999</v>
      </c>
      <c r="M5" s="47">
        <v>13687100.470000001</v>
      </c>
      <c r="N5" s="8">
        <v>22872.75</v>
      </c>
      <c r="O5" s="8">
        <v>19644.59</v>
      </c>
      <c r="P5" s="8">
        <v>21135.33</v>
      </c>
    </row>
    <row r="6" spans="1:16" s="5" customFormat="1" ht="18" customHeight="1" x14ac:dyDescent="0.2">
      <c r="A6" s="30" t="s">
        <v>156</v>
      </c>
      <c r="B6" s="8">
        <v>273</v>
      </c>
      <c r="C6" s="8">
        <v>1329</v>
      </c>
      <c r="D6" s="8">
        <v>5</v>
      </c>
      <c r="E6" s="8">
        <v>21</v>
      </c>
      <c r="F6" s="8">
        <v>1.6299999999999999E-3</v>
      </c>
      <c r="G6" s="8">
        <v>0.39826</v>
      </c>
      <c r="H6" s="8">
        <v>1.28800753</v>
      </c>
      <c r="I6" s="8">
        <v>6.1333691000000003E-2</v>
      </c>
      <c r="J6" s="8">
        <v>79019</v>
      </c>
      <c r="K6" s="8">
        <v>0</v>
      </c>
      <c r="L6" s="8">
        <v>0</v>
      </c>
      <c r="M6" s="47">
        <v>14855347.07</v>
      </c>
      <c r="N6" s="8">
        <v>21070.86</v>
      </c>
      <c r="O6" s="8">
        <v>19735.82</v>
      </c>
      <c r="P6" s="8">
        <v>21070.86</v>
      </c>
    </row>
    <row r="7" spans="1:16" s="5" customFormat="1" ht="18" customHeight="1" x14ac:dyDescent="0.2">
      <c r="A7" s="30" t="s">
        <v>157</v>
      </c>
      <c r="B7" s="8">
        <v>277</v>
      </c>
      <c r="C7" s="8">
        <v>1330</v>
      </c>
      <c r="D7" s="8">
        <v>4</v>
      </c>
      <c r="E7" s="8">
        <v>22</v>
      </c>
      <c r="F7" s="8">
        <v>1.99E-3</v>
      </c>
      <c r="G7" s="8">
        <v>0.91410000000000002</v>
      </c>
      <c r="H7" s="8">
        <v>1.89492975</v>
      </c>
      <c r="I7" s="8">
        <v>8.6133169999999995E-2</v>
      </c>
      <c r="J7" s="8">
        <v>95222.6005</v>
      </c>
      <c r="K7" s="8">
        <v>0</v>
      </c>
      <c r="L7" s="8">
        <v>0</v>
      </c>
      <c r="M7" s="47">
        <v>14469622.34</v>
      </c>
      <c r="N7" s="8">
        <v>21084.31</v>
      </c>
      <c r="O7" s="8">
        <v>20354.57</v>
      </c>
      <c r="P7" s="8">
        <v>20866.91</v>
      </c>
    </row>
    <row r="8" spans="1:16" s="5" customFormat="1" ht="18" customHeight="1" x14ac:dyDescent="0.2">
      <c r="A8" s="30" t="s">
        <v>158</v>
      </c>
      <c r="B8" s="8">
        <v>277</v>
      </c>
      <c r="C8" s="8">
        <v>1330</v>
      </c>
      <c r="D8" s="8">
        <v>3</v>
      </c>
      <c r="E8" s="8">
        <v>21</v>
      </c>
      <c r="F8" s="8">
        <v>2.4000000000000001E-4</v>
      </c>
      <c r="G8" s="8">
        <v>0.1237</v>
      </c>
      <c r="H8" s="8">
        <v>0.39319399999999999</v>
      </c>
      <c r="I8" s="8">
        <v>1.8723523999999998E-2</v>
      </c>
      <c r="J8" s="45">
        <v>163830.8333</v>
      </c>
      <c r="K8" s="8">
        <v>0</v>
      </c>
      <c r="L8" s="8">
        <v>0</v>
      </c>
      <c r="M8" s="47">
        <v>14088829</v>
      </c>
      <c r="N8" s="8">
        <v>21212.67</v>
      </c>
      <c r="O8" s="8">
        <v>20608.490000000002</v>
      </c>
      <c r="P8" s="8">
        <v>20874.72</v>
      </c>
    </row>
    <row r="9" spans="1:16" s="5" customFormat="1" ht="18" customHeight="1" x14ac:dyDescent="0.2">
      <c r="A9" s="30" t="s">
        <v>159</v>
      </c>
      <c r="B9" s="8">
        <v>277</v>
      </c>
      <c r="C9" s="8">
        <v>1329</v>
      </c>
      <c r="D9" s="8">
        <v>3</v>
      </c>
      <c r="E9" s="8">
        <v>22</v>
      </c>
      <c r="F9" s="8">
        <v>2.7999999999999998E-4</v>
      </c>
      <c r="G9" s="8">
        <v>0.15975</v>
      </c>
      <c r="H9" s="8">
        <v>0.40177689999999999</v>
      </c>
      <c r="I9" s="8">
        <v>1.8262586000000001E-2</v>
      </c>
      <c r="J9" s="45">
        <v>143491.75</v>
      </c>
      <c r="K9" s="8">
        <v>0.1598</v>
      </c>
      <c r="L9" s="8">
        <v>0.40179999999999999</v>
      </c>
      <c r="M9" s="47">
        <v>14873846.390000001</v>
      </c>
      <c r="N9" s="8">
        <v>22078.12</v>
      </c>
      <c r="O9" s="8">
        <v>20756.419999999998</v>
      </c>
      <c r="P9" s="8">
        <v>22078.12</v>
      </c>
    </row>
    <row r="10" spans="1:16" s="5" customFormat="1" ht="18" customHeight="1" x14ac:dyDescent="0.2">
      <c r="A10" s="30" t="s">
        <v>160</v>
      </c>
      <c r="B10" s="8">
        <v>278</v>
      </c>
      <c r="C10" s="8">
        <v>1329</v>
      </c>
      <c r="D10" s="8">
        <v>2</v>
      </c>
      <c r="E10" s="8">
        <v>21</v>
      </c>
      <c r="F10" s="8">
        <v>0</v>
      </c>
      <c r="G10" s="8">
        <v>0.31</v>
      </c>
      <c r="H10" s="8">
        <v>0.92</v>
      </c>
      <c r="I10" s="8">
        <v>0.04</v>
      </c>
      <c r="J10" s="45">
        <v>107218.3</v>
      </c>
      <c r="K10" s="8">
        <v>0.31</v>
      </c>
      <c r="L10" s="8">
        <v>0.92</v>
      </c>
      <c r="M10" s="47">
        <v>15483703.4</v>
      </c>
      <c r="N10" s="8">
        <v>22872.75</v>
      </c>
      <c r="O10" s="8">
        <v>21884.71</v>
      </c>
      <c r="P10" s="8">
        <v>22759.78</v>
      </c>
    </row>
    <row r="11" spans="1:16" s="5" customFormat="1" ht="18" customHeight="1" x14ac:dyDescent="0.2">
      <c r="A11" s="30" t="s">
        <v>161</v>
      </c>
      <c r="B11" s="8">
        <v>282</v>
      </c>
      <c r="C11" s="8">
        <v>1317</v>
      </c>
      <c r="D11" s="8">
        <v>2</v>
      </c>
      <c r="E11" s="8">
        <v>18</v>
      </c>
      <c r="F11" s="8">
        <v>8.9999999999999998E-4</v>
      </c>
      <c r="G11" s="8">
        <v>0.53949999999999998</v>
      </c>
      <c r="H11" s="8">
        <v>1.1962385</v>
      </c>
      <c r="I11" s="8">
        <v>6.6457693999999998E-2</v>
      </c>
      <c r="J11" s="45">
        <v>132915.38888888899</v>
      </c>
      <c r="K11" s="8">
        <v>0.53949999999999998</v>
      </c>
      <c r="L11" s="8">
        <v>1.1961999999999999</v>
      </c>
      <c r="M11" s="47">
        <v>14072760.82</v>
      </c>
      <c r="N11" s="8">
        <v>22605.73</v>
      </c>
      <c r="O11" s="8">
        <v>21418.2</v>
      </c>
      <c r="P11" s="8">
        <v>21418.2</v>
      </c>
    </row>
    <row r="12" spans="1:16" s="5" customFormat="1" ht="18" customHeight="1" x14ac:dyDescent="0.2">
      <c r="A12" s="30" t="s">
        <v>162</v>
      </c>
      <c r="B12" s="8">
        <v>281</v>
      </c>
      <c r="C12" s="8">
        <v>1320</v>
      </c>
      <c r="D12" s="8">
        <v>2</v>
      </c>
      <c r="E12" s="8">
        <v>21</v>
      </c>
      <c r="F12" s="8">
        <v>8.1999999999999998E-4</v>
      </c>
      <c r="G12" s="8">
        <v>0.39279999999999998</v>
      </c>
      <c r="H12" s="8">
        <v>0.99205849999999995</v>
      </c>
      <c r="I12" s="8">
        <v>4.7240880999999998E-2</v>
      </c>
      <c r="J12" s="45">
        <v>120982.743902439</v>
      </c>
      <c r="K12" s="8">
        <v>0.39279999999999998</v>
      </c>
      <c r="L12" s="8">
        <v>0.99205849999999995</v>
      </c>
      <c r="M12" s="47">
        <v>13489960.35</v>
      </c>
      <c r="N12" s="8">
        <v>21585.1</v>
      </c>
      <c r="O12" s="8">
        <v>19644.59</v>
      </c>
      <c r="P12" s="8">
        <v>20329.990000000002</v>
      </c>
    </row>
    <row r="13" spans="1:16" s="5" customFormat="1" ht="18" customHeight="1" x14ac:dyDescent="0.2">
      <c r="A13" s="30" t="s">
        <v>163</v>
      </c>
      <c r="B13" s="8">
        <v>282</v>
      </c>
      <c r="C13" s="8">
        <v>1319</v>
      </c>
      <c r="D13" s="8">
        <v>3</v>
      </c>
      <c r="E13" s="8">
        <v>20</v>
      </c>
      <c r="F13" s="8">
        <v>1.2700000000000001E-3</v>
      </c>
      <c r="G13" s="8">
        <v>0.87926000000000004</v>
      </c>
      <c r="H13" s="8">
        <v>1.7222751000000001</v>
      </c>
      <c r="I13" s="8">
        <v>8.6113755E-2</v>
      </c>
      <c r="J13" s="45">
        <v>135612.21259842499</v>
      </c>
      <c r="K13" s="8">
        <v>0.87926000000000004</v>
      </c>
      <c r="L13" s="8">
        <v>1.72</v>
      </c>
      <c r="M13" s="47">
        <v>13917651.140000001</v>
      </c>
      <c r="N13" s="8">
        <v>21349.05</v>
      </c>
      <c r="O13" s="8">
        <v>20309.95</v>
      </c>
      <c r="P13" s="8">
        <v>21349.05</v>
      </c>
    </row>
    <row r="14" spans="1:16" s="5" customFormat="1" ht="18" customHeight="1" x14ac:dyDescent="0.2">
      <c r="A14" s="30" t="s">
        <v>164</v>
      </c>
      <c r="B14" s="8">
        <v>282</v>
      </c>
      <c r="C14" s="8">
        <v>1318</v>
      </c>
      <c r="D14" s="8">
        <v>2</v>
      </c>
      <c r="E14" s="8">
        <v>20</v>
      </c>
      <c r="F14" s="8">
        <v>1.24E-3</v>
      </c>
      <c r="G14" s="8">
        <v>0.44600000000000001</v>
      </c>
      <c r="H14" s="8">
        <v>1.2421985</v>
      </c>
      <c r="I14" s="8">
        <v>6.2109925000000003E-2</v>
      </c>
      <c r="J14" s="45">
        <v>100177.29838709701</v>
      </c>
      <c r="K14" s="8">
        <v>0.44600000000000001</v>
      </c>
      <c r="L14" s="8">
        <v>1.2422</v>
      </c>
      <c r="M14" s="47">
        <v>14070347.699999999</v>
      </c>
      <c r="N14" s="8">
        <v>21498.26</v>
      </c>
      <c r="O14" s="8">
        <v>20597.849999999999</v>
      </c>
      <c r="P14" s="8">
        <v>21273.63</v>
      </c>
    </row>
    <row r="15" spans="1:16" s="5" customFormat="1" ht="18" customHeight="1" x14ac:dyDescent="0.2">
      <c r="A15" s="30" t="s">
        <v>165</v>
      </c>
      <c r="B15" s="8">
        <v>284</v>
      </c>
      <c r="C15" s="8">
        <v>1318</v>
      </c>
      <c r="D15" s="8">
        <v>6</v>
      </c>
      <c r="E15" s="8">
        <v>23</v>
      </c>
      <c r="F15" s="8">
        <v>3.7699999999999999E-3</v>
      </c>
      <c r="G15" s="8">
        <v>4.6701499999999996</v>
      </c>
      <c r="H15" s="8">
        <v>9.24335445</v>
      </c>
      <c r="I15" s="8">
        <v>0.401884976</v>
      </c>
      <c r="J15" s="45">
        <v>245181.815649867</v>
      </c>
      <c r="K15" s="8">
        <v>4.6701499999999996</v>
      </c>
      <c r="L15" s="8">
        <v>9.24335445</v>
      </c>
      <c r="M15" s="47">
        <v>13741805.369999999</v>
      </c>
      <c r="N15" s="8">
        <v>21515.91</v>
      </c>
      <c r="O15" s="8">
        <v>20909.05</v>
      </c>
      <c r="P15" s="8">
        <v>21284.45</v>
      </c>
    </row>
    <row r="16" spans="1:16" s="5" customFormat="1" ht="18" customHeight="1" x14ac:dyDescent="0.2">
      <c r="A16" s="30" t="s">
        <v>166</v>
      </c>
      <c r="B16" s="8">
        <v>287</v>
      </c>
      <c r="C16" s="8">
        <v>1311</v>
      </c>
      <c r="D16" s="8">
        <v>4</v>
      </c>
      <c r="E16" s="8">
        <v>20</v>
      </c>
      <c r="F16" s="8">
        <v>2.63E-3</v>
      </c>
      <c r="G16" s="8">
        <v>2.5879599999999998</v>
      </c>
      <c r="H16" s="8">
        <v>5.2180821750000002</v>
      </c>
      <c r="I16" s="8">
        <v>0.260904109</v>
      </c>
      <c r="J16" s="45">
        <v>198406.16634981</v>
      </c>
      <c r="K16" s="8">
        <v>2.5880000000000001</v>
      </c>
      <c r="L16" s="8">
        <v>5.2180999999999997</v>
      </c>
      <c r="M16" s="47">
        <v>13687100.470000001</v>
      </c>
      <c r="N16" s="8">
        <v>21745.26</v>
      </c>
      <c r="O16" s="8">
        <v>20799.89</v>
      </c>
      <c r="P16" s="8">
        <v>21135.33</v>
      </c>
    </row>
    <row r="17" spans="1:16" s="5" customFormat="1" ht="18" customHeight="1" x14ac:dyDescent="0.2">
      <c r="A17" s="371" t="s">
        <v>297</v>
      </c>
      <c r="B17" s="371"/>
      <c r="C17" s="371"/>
      <c r="D17" s="371"/>
      <c r="E17" s="371"/>
      <c r="F17" s="371"/>
      <c r="G17" s="371"/>
      <c r="H17" s="371"/>
      <c r="I17" s="371"/>
      <c r="J17" s="371"/>
      <c r="K17" s="371"/>
      <c r="L17" s="371"/>
      <c r="M17" s="371"/>
      <c r="N17" s="371"/>
      <c r="O17" s="371"/>
      <c r="P17" s="371"/>
    </row>
    <row r="18" spans="1:16" s="5" customFormat="1" ht="18" customHeight="1" x14ac:dyDescent="0.2">
      <c r="A18" s="371" t="s">
        <v>305</v>
      </c>
      <c r="B18" s="371"/>
      <c r="C18" s="371"/>
      <c r="D18" s="371"/>
      <c r="E18" s="371"/>
      <c r="F18" s="371"/>
      <c r="G18" s="371"/>
      <c r="H18" s="371"/>
      <c r="I18" s="371"/>
      <c r="J18" s="371"/>
      <c r="K18" s="371"/>
      <c r="L18" s="371"/>
      <c r="M18" s="371"/>
      <c r="N18" s="371"/>
      <c r="O18" s="371"/>
      <c r="P18" s="371"/>
    </row>
    <row r="19" spans="1:16" s="5" customFormat="1" ht="28.35" customHeight="1" x14ac:dyDescent="0.2"/>
  </sheetData>
  <customSheetViews>
    <customSheetView guid="{B9B27D37-53F8-4AD8-9221-6458C3026417}" fitToPage="1">
      <selection sqref="A1:C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C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17">
    <mergeCell ref="A1:C1"/>
    <mergeCell ref="A2:A3"/>
    <mergeCell ref="B2:B3"/>
    <mergeCell ref="C2:C3"/>
    <mergeCell ref="D2:D3"/>
    <mergeCell ref="L2:L3"/>
    <mergeCell ref="M2:M3"/>
    <mergeCell ref="N2:P2"/>
    <mergeCell ref="A17:P17"/>
    <mergeCell ref="A18:P18"/>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zoomScaleNormal="100" workbookViewId="0">
      <selection activeCell="E16" sqref="E16"/>
    </sheetView>
  </sheetViews>
  <sheetFormatPr defaultRowHeight="12.75" x14ac:dyDescent="0.2"/>
  <cols>
    <col min="1" max="1" width="6.42578125" bestFit="1" customWidth="1"/>
    <col min="2" max="2" width="36.28515625" bestFit="1" customWidth="1"/>
    <col min="3" max="4" width="13.5703125" bestFit="1" customWidth="1"/>
    <col min="5" max="5" width="10" bestFit="1" customWidth="1"/>
    <col min="6" max="6" width="17.140625" bestFit="1" customWidth="1"/>
    <col min="7" max="8" width="13.5703125" bestFit="1" customWidth="1"/>
    <col min="9" max="9" width="4.7109375" bestFit="1" customWidth="1"/>
  </cols>
  <sheetData>
    <row r="1" spans="1:8" ht="13.5" customHeight="1" x14ac:dyDescent="0.2">
      <c r="A1" s="408" t="s">
        <v>306</v>
      </c>
      <c r="B1" s="408"/>
      <c r="C1" s="408"/>
      <c r="D1" s="408"/>
      <c r="E1" s="408"/>
    </row>
    <row r="2" spans="1:8" s="5" customFormat="1" ht="19.5" customHeight="1" x14ac:dyDescent="0.2">
      <c r="A2" s="393" t="s">
        <v>307</v>
      </c>
      <c r="B2" s="394"/>
      <c r="C2" s="394"/>
      <c r="D2" s="394"/>
      <c r="E2" s="394"/>
      <c r="F2" s="394"/>
      <c r="G2" s="394"/>
      <c r="H2" s="395"/>
    </row>
    <row r="3" spans="1:8" s="5" customFormat="1" ht="15" customHeight="1" x14ac:dyDescent="0.2">
      <c r="A3" s="381" t="s">
        <v>308</v>
      </c>
      <c r="B3" s="381" t="s">
        <v>309</v>
      </c>
      <c r="C3" s="387" t="s">
        <v>252</v>
      </c>
      <c r="D3" s="388"/>
      <c r="E3" s="387" t="s">
        <v>253</v>
      </c>
      <c r="F3" s="388"/>
      <c r="G3" s="393" t="s">
        <v>254</v>
      </c>
      <c r="H3" s="395"/>
    </row>
    <row r="4" spans="1:8" s="5" customFormat="1" ht="18" customHeight="1" x14ac:dyDescent="0.2">
      <c r="A4" s="383"/>
      <c r="B4" s="383"/>
      <c r="C4" s="25" t="s">
        <v>69</v>
      </c>
      <c r="D4" s="25" t="s">
        <v>166</v>
      </c>
      <c r="E4" s="25" t="s">
        <v>69</v>
      </c>
      <c r="F4" s="25" t="s">
        <v>166</v>
      </c>
      <c r="G4" s="25" t="s">
        <v>69</v>
      </c>
      <c r="H4" s="25" t="s">
        <v>166</v>
      </c>
    </row>
    <row r="5" spans="1:8" s="5" customFormat="1" ht="18" customHeight="1" x14ac:dyDescent="0.2">
      <c r="A5" s="11">
        <v>1</v>
      </c>
      <c r="B5" s="3" t="s">
        <v>310</v>
      </c>
      <c r="C5" s="48">
        <v>2.930702776</v>
      </c>
      <c r="D5" s="48">
        <v>2.2956619310000002</v>
      </c>
      <c r="E5" s="48">
        <v>3.06</v>
      </c>
      <c r="F5" s="48">
        <v>1.95</v>
      </c>
      <c r="G5" s="49">
        <v>0</v>
      </c>
      <c r="H5" s="11">
        <v>0</v>
      </c>
    </row>
    <row r="6" spans="1:8" s="5" customFormat="1" ht="18" customHeight="1" x14ac:dyDescent="0.2">
      <c r="A6" s="11">
        <v>2</v>
      </c>
      <c r="B6" s="3" t="s">
        <v>311</v>
      </c>
      <c r="C6" s="48">
        <v>0.33716711799999999</v>
      </c>
      <c r="D6" s="48">
        <v>0.841200273</v>
      </c>
      <c r="E6" s="48">
        <v>4.42</v>
      </c>
      <c r="F6" s="48">
        <v>3.84</v>
      </c>
      <c r="G6" s="49">
        <v>0</v>
      </c>
      <c r="H6" s="11">
        <v>0</v>
      </c>
    </row>
    <row r="7" spans="1:8" s="5" customFormat="1" ht="18" customHeight="1" x14ac:dyDescent="0.2">
      <c r="A7" s="11">
        <v>3</v>
      </c>
      <c r="B7" s="3" t="s">
        <v>312</v>
      </c>
      <c r="C7" s="48">
        <v>0.882305487</v>
      </c>
      <c r="D7" s="48">
        <v>0.95442192800000003</v>
      </c>
      <c r="E7" s="48">
        <v>0.38</v>
      </c>
      <c r="F7" s="48">
        <v>0.21</v>
      </c>
      <c r="G7" s="49">
        <v>0</v>
      </c>
      <c r="H7" s="11">
        <v>0</v>
      </c>
    </row>
    <row r="8" spans="1:8" s="5" customFormat="1" ht="18" customHeight="1" x14ac:dyDescent="0.2">
      <c r="A8" s="11">
        <v>4</v>
      </c>
      <c r="B8" s="3" t="s">
        <v>313</v>
      </c>
      <c r="C8" s="48">
        <v>1.8744452000000002E-2</v>
      </c>
      <c r="D8" s="48">
        <v>1.9565045E-2</v>
      </c>
      <c r="E8" s="48">
        <v>0</v>
      </c>
      <c r="F8" s="48">
        <v>0</v>
      </c>
      <c r="G8" s="49">
        <v>0</v>
      </c>
      <c r="H8" s="11">
        <v>0</v>
      </c>
    </row>
    <row r="9" spans="1:8" s="5" customFormat="1" ht="18" customHeight="1" x14ac:dyDescent="0.2">
      <c r="A9" s="11">
        <v>5</v>
      </c>
      <c r="B9" s="3" t="s">
        <v>314</v>
      </c>
      <c r="C9" s="48">
        <v>1.0669645720000001</v>
      </c>
      <c r="D9" s="48">
        <v>1.1867363470000001</v>
      </c>
      <c r="E9" s="48">
        <v>0.9</v>
      </c>
      <c r="F9" s="48">
        <v>0.73</v>
      </c>
      <c r="G9" s="49">
        <v>0</v>
      </c>
      <c r="H9" s="11">
        <v>0</v>
      </c>
    </row>
    <row r="10" spans="1:8" s="5" customFormat="1" ht="18" customHeight="1" x14ac:dyDescent="0.2">
      <c r="A10" s="11">
        <v>6</v>
      </c>
      <c r="B10" s="3" t="s">
        <v>315</v>
      </c>
      <c r="C10" s="48">
        <v>0.11806655100000001</v>
      </c>
      <c r="D10" s="48">
        <v>0.104152102</v>
      </c>
      <c r="E10" s="48">
        <v>0.86</v>
      </c>
      <c r="F10" s="48">
        <v>0.78</v>
      </c>
      <c r="G10" s="49">
        <v>0</v>
      </c>
      <c r="H10" s="11">
        <v>0</v>
      </c>
    </row>
    <row r="11" spans="1:8" s="5" customFormat="1" ht="18" customHeight="1" x14ac:dyDescent="0.2">
      <c r="A11" s="11">
        <v>7</v>
      </c>
      <c r="B11" s="3" t="s">
        <v>316</v>
      </c>
      <c r="C11" s="48">
        <v>5.2256386000000002E-2</v>
      </c>
      <c r="D11" s="48">
        <v>4.8235267999999998E-2</v>
      </c>
      <c r="E11" s="48">
        <v>7.0000000000000007E-2</v>
      </c>
      <c r="F11" s="48">
        <v>0.04</v>
      </c>
      <c r="G11" s="49">
        <v>0</v>
      </c>
      <c r="H11" s="11">
        <v>0</v>
      </c>
    </row>
    <row r="12" spans="1:8" s="5" customFormat="1" ht="18" customHeight="1" x14ac:dyDescent="0.2">
      <c r="A12" s="11">
        <v>8</v>
      </c>
      <c r="B12" s="3" t="s">
        <v>317</v>
      </c>
      <c r="C12" s="48">
        <v>3.0446179039999999</v>
      </c>
      <c r="D12" s="48">
        <v>1.415911524</v>
      </c>
      <c r="E12" s="48">
        <v>6.79</v>
      </c>
      <c r="F12" s="48">
        <v>7.18</v>
      </c>
      <c r="G12" s="49">
        <v>4.28</v>
      </c>
      <c r="H12" s="11">
        <v>39.39</v>
      </c>
    </row>
    <row r="13" spans="1:8" s="5" customFormat="1" ht="18" customHeight="1" x14ac:dyDescent="0.2">
      <c r="A13" s="11">
        <v>9</v>
      </c>
      <c r="B13" s="3" t="s">
        <v>318</v>
      </c>
      <c r="C13" s="48">
        <v>6.3264664999999998E-2</v>
      </c>
      <c r="D13" s="48">
        <v>3.7615883000000003E-2</v>
      </c>
      <c r="E13" s="48">
        <v>0</v>
      </c>
      <c r="F13" s="48">
        <v>0</v>
      </c>
      <c r="G13" s="49">
        <v>0</v>
      </c>
      <c r="H13" s="11">
        <v>0</v>
      </c>
    </row>
    <row r="14" spans="1:8" s="5" customFormat="1" ht="18" customHeight="1" x14ac:dyDescent="0.2">
      <c r="A14" s="11">
        <v>10</v>
      </c>
      <c r="B14" s="3" t="s">
        <v>319</v>
      </c>
      <c r="C14" s="48">
        <v>0.34063164400000001</v>
      </c>
      <c r="D14" s="48">
        <v>0.86081589599999997</v>
      </c>
      <c r="E14" s="48">
        <v>3.51</v>
      </c>
      <c r="F14" s="48">
        <v>3.17</v>
      </c>
      <c r="G14" s="49">
        <v>7.0000000000000007E-2</v>
      </c>
      <c r="H14" s="11">
        <v>0</v>
      </c>
    </row>
    <row r="15" spans="1:8" s="5" customFormat="1" ht="18" customHeight="1" x14ac:dyDescent="0.2">
      <c r="A15" s="11">
        <v>11</v>
      </c>
      <c r="B15" s="3" t="s">
        <v>320</v>
      </c>
      <c r="C15" s="48">
        <v>0.39403013199999998</v>
      </c>
      <c r="D15" s="48">
        <v>0.234311566</v>
      </c>
      <c r="E15" s="48">
        <v>0.53</v>
      </c>
      <c r="F15" s="48">
        <v>0.36</v>
      </c>
      <c r="G15" s="49">
        <v>0.24</v>
      </c>
      <c r="H15" s="11">
        <v>0</v>
      </c>
    </row>
    <row r="16" spans="1:8" s="5" customFormat="1" ht="18" customHeight="1" x14ac:dyDescent="0.2">
      <c r="A16" s="11">
        <v>12</v>
      </c>
      <c r="B16" s="3" t="s">
        <v>321</v>
      </c>
      <c r="C16" s="48">
        <v>0.64179046799999995</v>
      </c>
      <c r="D16" s="48">
        <v>0.52402183599999996</v>
      </c>
      <c r="E16" s="48">
        <v>0.48</v>
      </c>
      <c r="F16" s="48">
        <v>0.27</v>
      </c>
      <c r="G16" s="49">
        <v>0.35</v>
      </c>
      <c r="H16" s="11">
        <v>0</v>
      </c>
    </row>
    <row r="17" spans="1:8" s="5" customFormat="1" ht="18" customHeight="1" x14ac:dyDescent="0.2">
      <c r="A17" s="11">
        <v>13</v>
      </c>
      <c r="B17" s="3" t="s">
        <v>322</v>
      </c>
      <c r="C17" s="48">
        <v>0.31841882199999999</v>
      </c>
      <c r="D17" s="48">
        <v>0.343445795</v>
      </c>
      <c r="E17" s="48">
        <v>0.1</v>
      </c>
      <c r="F17" s="48">
        <v>0.08</v>
      </c>
      <c r="G17" s="49">
        <v>0</v>
      </c>
      <c r="H17" s="11">
        <v>0</v>
      </c>
    </row>
    <row r="18" spans="1:8" s="5" customFormat="1" ht="18" customHeight="1" x14ac:dyDescent="0.2">
      <c r="A18" s="11">
        <v>14</v>
      </c>
      <c r="B18" s="3" t="s">
        <v>323</v>
      </c>
      <c r="C18" s="48">
        <v>3.5633992409999999</v>
      </c>
      <c r="D18" s="48">
        <v>2.5807241740000002</v>
      </c>
      <c r="E18" s="48">
        <v>5.04</v>
      </c>
      <c r="F18" s="48">
        <v>4.79</v>
      </c>
      <c r="G18" s="49">
        <v>1.74</v>
      </c>
      <c r="H18" s="11">
        <v>0</v>
      </c>
    </row>
    <row r="19" spans="1:8" s="5" customFormat="1" ht="18" customHeight="1" x14ac:dyDescent="0.2">
      <c r="A19" s="11">
        <v>15</v>
      </c>
      <c r="B19" s="3" t="s">
        <v>324</v>
      </c>
      <c r="C19" s="48">
        <v>9.6457717999999998E-2</v>
      </c>
      <c r="D19" s="48">
        <v>9.8824062000000004E-2</v>
      </c>
      <c r="E19" s="48">
        <v>0.1</v>
      </c>
      <c r="F19" s="48">
        <v>0.17</v>
      </c>
      <c r="G19" s="49">
        <v>0</v>
      </c>
      <c r="H19" s="11">
        <v>0</v>
      </c>
    </row>
    <row r="20" spans="1:8" s="5" customFormat="1" ht="18" customHeight="1" x14ac:dyDescent="0.2">
      <c r="A20" s="11">
        <v>16</v>
      </c>
      <c r="B20" s="3" t="s">
        <v>325</v>
      </c>
      <c r="C20" s="48">
        <v>1.7104917000000001E-2</v>
      </c>
      <c r="D20" s="48">
        <v>1.6285134999999999E-2</v>
      </c>
      <c r="E20" s="48">
        <v>0</v>
      </c>
      <c r="F20" s="48">
        <v>0</v>
      </c>
      <c r="G20" s="49">
        <v>0</v>
      </c>
      <c r="H20" s="11">
        <v>0</v>
      </c>
    </row>
    <row r="21" spans="1:8" s="5" customFormat="1" ht="18" customHeight="1" x14ac:dyDescent="0.2">
      <c r="A21" s="11">
        <v>17</v>
      </c>
      <c r="B21" s="3" t="s">
        <v>326</v>
      </c>
      <c r="C21" s="48">
        <v>58.372785507000003</v>
      </c>
      <c r="D21" s="48">
        <v>51.154746312999997</v>
      </c>
      <c r="E21" s="48">
        <v>62.05</v>
      </c>
      <c r="F21" s="48">
        <v>63.94</v>
      </c>
      <c r="G21" s="49">
        <v>40.090000000000003</v>
      </c>
      <c r="H21" s="11">
        <v>45.65</v>
      </c>
    </row>
    <row r="22" spans="1:8" s="5" customFormat="1" ht="18" customHeight="1" x14ac:dyDescent="0.2">
      <c r="A22" s="11">
        <v>18</v>
      </c>
      <c r="B22" s="3" t="s">
        <v>327</v>
      </c>
      <c r="C22" s="48">
        <v>5.9410905E-2</v>
      </c>
      <c r="D22" s="48">
        <v>5.0551975999999998E-2</v>
      </c>
      <c r="E22" s="48">
        <v>0</v>
      </c>
      <c r="F22" s="48">
        <v>0</v>
      </c>
      <c r="G22" s="49">
        <v>0</v>
      </c>
      <c r="H22" s="11">
        <v>0</v>
      </c>
    </row>
    <row r="23" spans="1:8" s="5" customFormat="1" ht="18" customHeight="1" x14ac:dyDescent="0.2">
      <c r="A23" s="11">
        <v>19</v>
      </c>
      <c r="B23" s="3" t="s">
        <v>328</v>
      </c>
      <c r="C23" s="48">
        <v>0.34794498200000001</v>
      </c>
      <c r="D23" s="48">
        <v>0.33044794500000002</v>
      </c>
      <c r="E23" s="48">
        <v>0.13</v>
      </c>
      <c r="F23" s="48">
        <v>0.08</v>
      </c>
      <c r="G23" s="49">
        <v>0</v>
      </c>
      <c r="H23" s="11">
        <v>0</v>
      </c>
    </row>
    <row r="24" spans="1:8" s="5" customFormat="1" ht="18" customHeight="1" x14ac:dyDescent="0.2">
      <c r="A24" s="11">
        <v>20</v>
      </c>
      <c r="B24" s="3" t="s">
        <v>329</v>
      </c>
      <c r="C24" s="48">
        <v>1.744805167</v>
      </c>
      <c r="D24" s="48">
        <v>1.990818982</v>
      </c>
      <c r="E24" s="48">
        <v>1.3</v>
      </c>
      <c r="F24" s="48">
        <v>1.08</v>
      </c>
      <c r="G24" s="49">
        <v>0</v>
      </c>
      <c r="H24" s="11">
        <v>0</v>
      </c>
    </row>
    <row r="25" spans="1:8" s="5" customFormat="1" ht="18" customHeight="1" x14ac:dyDescent="0.2">
      <c r="A25" s="11">
        <v>21</v>
      </c>
      <c r="B25" s="3" t="s">
        <v>330</v>
      </c>
      <c r="C25" s="48">
        <v>25.589130586</v>
      </c>
      <c r="D25" s="48">
        <v>34.911506019999997</v>
      </c>
      <c r="E25" s="48">
        <v>10.26</v>
      </c>
      <c r="F25" s="48">
        <v>11.33</v>
      </c>
      <c r="G25" s="49">
        <v>53.24</v>
      </c>
      <c r="H25" s="11">
        <v>14.97</v>
      </c>
    </row>
    <row r="26" spans="1:8" s="5" customFormat="1" ht="18" customHeight="1" x14ac:dyDescent="0.2">
      <c r="A26" s="30"/>
      <c r="B26" s="30" t="s">
        <v>150</v>
      </c>
      <c r="C26" s="50">
        <v>99.999999999999986</v>
      </c>
      <c r="D26" s="50">
        <v>100.00000000099998</v>
      </c>
      <c r="E26" s="51">
        <v>99.97999999999999</v>
      </c>
      <c r="F26" s="50">
        <v>100</v>
      </c>
      <c r="G26" s="51">
        <v>100.01</v>
      </c>
      <c r="H26" s="50">
        <v>100.01</v>
      </c>
    </row>
    <row r="27" spans="1:8" s="5" customFormat="1" ht="14.25" customHeight="1" x14ac:dyDescent="0.2">
      <c r="A27" s="434" t="s">
        <v>882</v>
      </c>
      <c r="B27" s="435"/>
      <c r="C27" s="435"/>
      <c r="D27" s="435"/>
      <c r="E27" s="436"/>
    </row>
    <row r="28" spans="1:8" s="5" customFormat="1" ht="24" customHeight="1" x14ac:dyDescent="0.2">
      <c r="A28" s="434" t="s">
        <v>331</v>
      </c>
      <c r="B28" s="435"/>
      <c r="C28" s="435"/>
      <c r="D28" s="435"/>
      <c r="E28" s="436"/>
    </row>
    <row r="29" spans="1:8" s="5" customFormat="1" ht="13.5" customHeight="1" x14ac:dyDescent="0.2">
      <c r="A29" s="434" t="s">
        <v>244</v>
      </c>
      <c r="B29" s="435"/>
      <c r="C29" s="435"/>
      <c r="D29" s="435"/>
      <c r="E29" s="436"/>
    </row>
    <row r="30" spans="1:8" s="5" customFormat="1" ht="28.35" customHeight="1" x14ac:dyDescent="0.2"/>
  </sheetData>
  <customSheetViews>
    <customSheetView guid="{B9B27D37-53F8-4AD8-9221-6458C3026417}" fitToPage="1">
      <selection activeCell="E16" sqref="E1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activeCell="E16" sqref="E16"/>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10">
    <mergeCell ref="A27:E27"/>
    <mergeCell ref="A28:E28"/>
    <mergeCell ref="A29:E29"/>
    <mergeCell ref="A1:E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9"/>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403" t="s">
        <v>24</v>
      </c>
      <c r="B1" s="403"/>
      <c r="C1" s="403"/>
      <c r="D1" s="403"/>
      <c r="E1" s="403"/>
      <c r="F1" s="403"/>
    </row>
    <row r="2" spans="1:6" s="5" customFormat="1" ht="18" customHeight="1" x14ac:dyDescent="0.2">
      <c r="A2" s="381" t="s">
        <v>147</v>
      </c>
      <c r="B2" s="387" t="s">
        <v>332</v>
      </c>
      <c r="C2" s="424"/>
      <c r="D2" s="424"/>
      <c r="E2" s="424"/>
      <c r="F2" s="388"/>
    </row>
    <row r="3" spans="1:6" s="5" customFormat="1" ht="18" customHeight="1" x14ac:dyDescent="0.2">
      <c r="A3" s="383"/>
      <c r="B3" s="25" t="s">
        <v>333</v>
      </c>
      <c r="C3" s="25" t="s">
        <v>334</v>
      </c>
      <c r="D3" s="25" t="s">
        <v>97</v>
      </c>
      <c r="E3" s="25" t="s">
        <v>335</v>
      </c>
      <c r="F3" s="25" t="s">
        <v>330</v>
      </c>
    </row>
    <row r="4" spans="1:6" s="5" customFormat="1" ht="18" customHeight="1" x14ac:dyDescent="0.2">
      <c r="A4" s="3" t="s">
        <v>69</v>
      </c>
      <c r="B4" s="48">
        <v>16.664204309999999</v>
      </c>
      <c r="C4" s="48">
        <v>15.729892521</v>
      </c>
      <c r="D4" s="48">
        <v>8.2295987089999993</v>
      </c>
      <c r="E4" s="48">
        <v>0.14340144399999999</v>
      </c>
      <c r="F4" s="48">
        <v>59.232903014999998</v>
      </c>
    </row>
    <row r="5" spans="1:6" s="5" customFormat="1" ht="18" customHeight="1" x14ac:dyDescent="0.2">
      <c r="A5" s="3" t="s">
        <v>70</v>
      </c>
      <c r="B5" s="48">
        <v>22.860909091</v>
      </c>
      <c r="C5" s="48">
        <v>12.405454545</v>
      </c>
      <c r="D5" s="48">
        <v>8.1818181820000007</v>
      </c>
      <c r="E5" s="48">
        <v>5.2727272999999998E-2</v>
      </c>
      <c r="F5" s="48">
        <v>56.498181817999999</v>
      </c>
    </row>
    <row r="6" spans="1:6" s="5" customFormat="1" ht="18" customHeight="1" x14ac:dyDescent="0.2">
      <c r="A6" s="3" t="s">
        <v>156</v>
      </c>
      <c r="B6" s="48">
        <v>19.98</v>
      </c>
      <c r="C6" s="48">
        <v>15.4</v>
      </c>
      <c r="D6" s="48">
        <v>8.0299999999999994</v>
      </c>
      <c r="E6" s="48">
        <v>0.05</v>
      </c>
      <c r="F6" s="48">
        <v>56.54</v>
      </c>
    </row>
    <row r="7" spans="1:6" s="5" customFormat="1" ht="18" customHeight="1" x14ac:dyDescent="0.2">
      <c r="A7" s="3" t="s">
        <v>157</v>
      </c>
      <c r="B7" s="48">
        <v>21.77</v>
      </c>
      <c r="C7" s="48">
        <v>15.09</v>
      </c>
      <c r="D7" s="48">
        <v>9.4700000000000006</v>
      </c>
      <c r="E7" s="48">
        <v>0.05</v>
      </c>
      <c r="F7" s="48">
        <v>53.62</v>
      </c>
    </row>
    <row r="8" spans="1:6" s="5" customFormat="1" ht="18" customHeight="1" x14ac:dyDescent="0.2">
      <c r="A8" s="3" t="s">
        <v>158</v>
      </c>
      <c r="B8" s="48">
        <v>18.97</v>
      </c>
      <c r="C8" s="48">
        <v>18.77</v>
      </c>
      <c r="D8" s="48">
        <v>8.1999999999999993</v>
      </c>
      <c r="E8" s="48">
        <v>0.12</v>
      </c>
      <c r="F8" s="48">
        <v>53.94</v>
      </c>
    </row>
    <row r="9" spans="1:6" s="5" customFormat="1" ht="18" customHeight="1" x14ac:dyDescent="0.2">
      <c r="A9" s="3" t="s">
        <v>159</v>
      </c>
      <c r="B9" s="48">
        <v>20.54</v>
      </c>
      <c r="C9" s="48">
        <v>15.82</v>
      </c>
      <c r="D9" s="48">
        <v>7.9</v>
      </c>
      <c r="E9" s="48">
        <v>0.04</v>
      </c>
      <c r="F9" s="48">
        <v>55.7</v>
      </c>
    </row>
    <row r="10" spans="1:6" s="5" customFormat="1" ht="18" customHeight="1" x14ac:dyDescent="0.2">
      <c r="A10" s="3" t="s">
        <v>160</v>
      </c>
      <c r="B10" s="48">
        <v>22.8</v>
      </c>
      <c r="C10" s="48">
        <v>10.49</v>
      </c>
      <c r="D10" s="48">
        <v>7.1</v>
      </c>
      <c r="E10" s="48">
        <v>0.06</v>
      </c>
      <c r="F10" s="48">
        <v>59.55</v>
      </c>
    </row>
    <row r="11" spans="1:6" s="5" customFormat="1" ht="18" customHeight="1" x14ac:dyDescent="0.2">
      <c r="A11" s="3" t="s">
        <v>161</v>
      </c>
      <c r="B11" s="48">
        <v>24.6</v>
      </c>
      <c r="C11" s="48">
        <v>12.03</v>
      </c>
      <c r="D11" s="48">
        <v>7.67</v>
      </c>
      <c r="E11" s="48">
        <v>0.04</v>
      </c>
      <c r="F11" s="48">
        <v>55.67</v>
      </c>
    </row>
    <row r="12" spans="1:6" s="5" customFormat="1" ht="18" customHeight="1" x14ac:dyDescent="0.2">
      <c r="A12" s="3" t="s">
        <v>162</v>
      </c>
      <c r="B12" s="48">
        <v>26.14</v>
      </c>
      <c r="C12" s="48">
        <v>9.5299999999999994</v>
      </c>
      <c r="D12" s="48">
        <v>8.43</v>
      </c>
      <c r="E12" s="48">
        <v>0.05</v>
      </c>
      <c r="F12" s="48">
        <v>55.85</v>
      </c>
    </row>
    <row r="13" spans="1:6" s="5" customFormat="1" ht="18" customHeight="1" x14ac:dyDescent="0.2">
      <c r="A13" s="3" t="s">
        <v>163</v>
      </c>
      <c r="B13" s="48">
        <v>22.08</v>
      </c>
      <c r="C13" s="48">
        <v>13.98</v>
      </c>
      <c r="D13" s="48">
        <v>9.73</v>
      </c>
      <c r="E13" s="48">
        <v>0.03</v>
      </c>
      <c r="F13" s="48">
        <v>54.18</v>
      </c>
    </row>
    <row r="14" spans="1:6" s="5" customFormat="1" ht="18" customHeight="1" x14ac:dyDescent="0.2">
      <c r="A14" s="3" t="s">
        <v>164</v>
      </c>
      <c r="B14" s="48">
        <v>26.71</v>
      </c>
      <c r="C14" s="48">
        <v>8.9600000000000009</v>
      </c>
      <c r="D14" s="48">
        <v>5.83</v>
      </c>
      <c r="E14" s="48">
        <v>0.04</v>
      </c>
      <c r="F14" s="48">
        <v>58.46</v>
      </c>
    </row>
    <row r="15" spans="1:6" s="5" customFormat="1" ht="18" customHeight="1" x14ac:dyDescent="0.2">
      <c r="A15" s="3" t="s">
        <v>165</v>
      </c>
      <c r="B15" s="48">
        <v>23.06</v>
      </c>
      <c r="C15" s="48">
        <v>8.89</v>
      </c>
      <c r="D15" s="48">
        <v>11.98</v>
      </c>
      <c r="E15" s="48">
        <v>0.05</v>
      </c>
      <c r="F15" s="48">
        <v>56.02</v>
      </c>
    </row>
    <row r="16" spans="1:6" s="5" customFormat="1" ht="18" customHeight="1" x14ac:dyDescent="0.2">
      <c r="A16" s="3" t="s">
        <v>166</v>
      </c>
      <c r="B16" s="48">
        <v>24.78</v>
      </c>
      <c r="C16" s="48">
        <v>7.89</v>
      </c>
      <c r="D16" s="48">
        <v>5.66</v>
      </c>
      <c r="E16" s="48">
        <v>0.05</v>
      </c>
      <c r="F16" s="48">
        <v>61.62</v>
      </c>
    </row>
    <row r="17" spans="1:5" s="5" customFormat="1" ht="15" customHeight="1" x14ac:dyDescent="0.2">
      <c r="A17" s="371" t="s">
        <v>105</v>
      </c>
      <c r="B17" s="371"/>
      <c r="C17" s="371"/>
      <c r="D17" s="371"/>
      <c r="E17" s="371"/>
    </row>
    <row r="18" spans="1:5" s="5" customFormat="1" ht="13.5" customHeight="1" x14ac:dyDescent="0.2">
      <c r="A18" s="371" t="s">
        <v>336</v>
      </c>
      <c r="B18" s="371"/>
      <c r="C18" s="371"/>
      <c r="D18" s="371"/>
      <c r="E18" s="371"/>
    </row>
    <row r="19" spans="1:5" s="5" customFormat="1" ht="28.35" customHeight="1" x14ac:dyDescent="0.2"/>
  </sheetData>
  <customSheetViews>
    <customSheetView guid="{B9B27D37-53F8-4AD8-9221-6458C3026417}" fitToPage="1">
      <selection sqref="A1:F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F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5">
    <mergeCell ref="A1:F1"/>
    <mergeCell ref="A2:A3"/>
    <mergeCell ref="B2:F2"/>
    <mergeCell ref="A17:E17"/>
    <mergeCell ref="A18:E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F19"/>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8" customHeight="1" x14ac:dyDescent="0.2">
      <c r="A1" s="403" t="s">
        <v>25</v>
      </c>
      <c r="B1" s="403"/>
      <c r="C1" s="403"/>
      <c r="D1" s="403"/>
      <c r="E1" s="403"/>
      <c r="F1" s="403"/>
    </row>
    <row r="2" spans="1:6" s="5" customFormat="1" ht="18" customHeight="1" x14ac:dyDescent="0.2">
      <c r="A2" s="381" t="s">
        <v>337</v>
      </c>
      <c r="B2" s="387" t="s">
        <v>332</v>
      </c>
      <c r="C2" s="424"/>
      <c r="D2" s="424"/>
      <c r="E2" s="424"/>
      <c r="F2" s="388"/>
    </row>
    <row r="3" spans="1:6" s="5" customFormat="1" ht="18" customHeight="1" x14ac:dyDescent="0.2">
      <c r="A3" s="383"/>
      <c r="B3" s="25" t="s">
        <v>333</v>
      </c>
      <c r="C3" s="25" t="s">
        <v>334</v>
      </c>
      <c r="D3" s="25" t="s">
        <v>97</v>
      </c>
      <c r="E3" s="25" t="s">
        <v>335</v>
      </c>
      <c r="F3" s="25" t="s">
        <v>330</v>
      </c>
    </row>
    <row r="4" spans="1:6" s="5" customFormat="1" ht="18" customHeight="1" x14ac:dyDescent="0.2">
      <c r="A4" s="3" t="s">
        <v>69</v>
      </c>
      <c r="B4" s="48">
        <v>17.989999999999998</v>
      </c>
      <c r="C4" s="48">
        <v>16.09</v>
      </c>
      <c r="D4" s="48">
        <v>7.29</v>
      </c>
      <c r="E4" s="48">
        <v>0.49</v>
      </c>
      <c r="F4" s="48">
        <v>58.14</v>
      </c>
    </row>
    <row r="5" spans="1:6" s="5" customFormat="1" ht="18" customHeight="1" x14ac:dyDescent="0.2">
      <c r="A5" s="3" t="s">
        <v>70</v>
      </c>
      <c r="B5" s="48">
        <v>21.59</v>
      </c>
      <c r="C5" s="48">
        <v>15</v>
      </c>
      <c r="D5" s="48">
        <v>7.49</v>
      </c>
      <c r="E5" s="48">
        <v>0.23</v>
      </c>
      <c r="F5" s="48">
        <v>55.69</v>
      </c>
    </row>
    <row r="6" spans="1:6" s="5" customFormat="1" ht="18" customHeight="1" x14ac:dyDescent="0.2">
      <c r="A6" s="3" t="s">
        <v>156</v>
      </c>
      <c r="B6" s="48">
        <v>19.260000000000002</v>
      </c>
      <c r="C6" s="48">
        <v>14.05</v>
      </c>
      <c r="D6" s="48">
        <v>7.29</v>
      </c>
      <c r="E6" s="48">
        <v>0.37</v>
      </c>
      <c r="F6" s="48">
        <v>59.02</v>
      </c>
    </row>
    <row r="7" spans="1:6" s="5" customFormat="1" ht="18" customHeight="1" x14ac:dyDescent="0.2">
      <c r="A7" s="3" t="s">
        <v>157</v>
      </c>
      <c r="B7" s="48">
        <v>20.100000000000001</v>
      </c>
      <c r="C7" s="48">
        <v>16.420000000000002</v>
      </c>
      <c r="D7" s="48">
        <v>7.54</v>
      </c>
      <c r="E7" s="48">
        <v>0.3</v>
      </c>
      <c r="F7" s="48">
        <v>55.64</v>
      </c>
    </row>
    <row r="8" spans="1:6" s="5" customFormat="1" ht="18" customHeight="1" x14ac:dyDescent="0.2">
      <c r="A8" s="3" t="s">
        <v>158</v>
      </c>
      <c r="B8" s="48">
        <v>20.02</v>
      </c>
      <c r="C8" s="48">
        <v>17.25</v>
      </c>
      <c r="D8" s="48">
        <v>8.0299999999999994</v>
      </c>
      <c r="E8" s="48">
        <v>0.25</v>
      </c>
      <c r="F8" s="48">
        <v>54.45</v>
      </c>
    </row>
    <row r="9" spans="1:6" s="5" customFormat="1" ht="18" customHeight="1" x14ac:dyDescent="0.2">
      <c r="A9" s="3" t="s">
        <v>159</v>
      </c>
      <c r="B9" s="48">
        <v>22.16</v>
      </c>
      <c r="C9" s="48">
        <v>13.91</v>
      </c>
      <c r="D9" s="48">
        <v>7.87</v>
      </c>
      <c r="E9" s="48">
        <v>0.27</v>
      </c>
      <c r="F9" s="48">
        <v>55.79</v>
      </c>
    </row>
    <row r="10" spans="1:6" s="5" customFormat="1" ht="18" customHeight="1" x14ac:dyDescent="0.2">
      <c r="A10" s="3" t="s">
        <v>160</v>
      </c>
      <c r="B10" s="48">
        <v>21.82</v>
      </c>
      <c r="C10" s="48">
        <v>13.3</v>
      </c>
      <c r="D10" s="48">
        <v>7.25</v>
      </c>
      <c r="E10" s="48">
        <v>0.28000000000000003</v>
      </c>
      <c r="F10" s="48">
        <v>57.35</v>
      </c>
    </row>
    <row r="11" spans="1:6" s="5" customFormat="1" ht="18" customHeight="1" x14ac:dyDescent="0.2">
      <c r="A11" s="3" t="s">
        <v>161</v>
      </c>
      <c r="B11" s="48">
        <v>22.72</v>
      </c>
      <c r="C11" s="48">
        <v>16.149999999999999</v>
      </c>
      <c r="D11" s="48">
        <v>7.44</v>
      </c>
      <c r="E11" s="48">
        <v>0.24</v>
      </c>
      <c r="F11" s="48">
        <v>53.45</v>
      </c>
    </row>
    <row r="12" spans="1:6" s="5" customFormat="1" ht="18" customHeight="1" x14ac:dyDescent="0.2">
      <c r="A12" s="3" t="s">
        <v>162</v>
      </c>
      <c r="B12" s="48">
        <v>22.71</v>
      </c>
      <c r="C12" s="48">
        <v>15.83</v>
      </c>
      <c r="D12" s="48">
        <v>8.1199999999999992</v>
      </c>
      <c r="E12" s="48">
        <v>0.12</v>
      </c>
      <c r="F12" s="48">
        <v>53.22</v>
      </c>
    </row>
    <row r="13" spans="1:6" s="5" customFormat="1" ht="18" customHeight="1" x14ac:dyDescent="0.2">
      <c r="A13" s="3" t="s">
        <v>163</v>
      </c>
      <c r="B13" s="48">
        <v>21.26</v>
      </c>
      <c r="C13" s="48">
        <v>15.34</v>
      </c>
      <c r="D13" s="48">
        <v>7.38</v>
      </c>
      <c r="E13" s="48">
        <v>0.17</v>
      </c>
      <c r="F13" s="48">
        <v>55.85</v>
      </c>
    </row>
    <row r="14" spans="1:6" s="5" customFormat="1" ht="18" customHeight="1" x14ac:dyDescent="0.2">
      <c r="A14" s="3" t="s">
        <v>164</v>
      </c>
      <c r="B14" s="48">
        <v>22.84</v>
      </c>
      <c r="C14" s="48">
        <v>13.06</v>
      </c>
      <c r="D14" s="48">
        <v>7.32</v>
      </c>
      <c r="E14" s="48">
        <v>0.18</v>
      </c>
      <c r="F14" s="48">
        <v>56.6</v>
      </c>
    </row>
    <row r="15" spans="1:6" s="5" customFormat="1" ht="18" customHeight="1" x14ac:dyDescent="0.2">
      <c r="A15" s="3" t="s">
        <v>165</v>
      </c>
      <c r="B15" s="48">
        <v>22.03</v>
      </c>
      <c r="C15" s="48">
        <v>14.31</v>
      </c>
      <c r="D15" s="48">
        <v>6.84</v>
      </c>
      <c r="E15" s="48">
        <v>0.17</v>
      </c>
      <c r="F15" s="48">
        <v>56.65</v>
      </c>
    </row>
    <row r="16" spans="1:6" s="5" customFormat="1" ht="18" customHeight="1" x14ac:dyDescent="0.2">
      <c r="A16" s="3" t="s">
        <v>166</v>
      </c>
      <c r="B16" s="48">
        <v>22.61</v>
      </c>
      <c r="C16" s="48">
        <v>15.43</v>
      </c>
      <c r="D16" s="48">
        <v>7.32</v>
      </c>
      <c r="E16" s="48">
        <v>0.18</v>
      </c>
      <c r="F16" s="48">
        <v>54.46</v>
      </c>
    </row>
    <row r="17" spans="1:6" s="5" customFormat="1" ht="15" customHeight="1" x14ac:dyDescent="0.2">
      <c r="A17" s="371" t="s">
        <v>338</v>
      </c>
      <c r="B17" s="371"/>
      <c r="C17" s="371"/>
      <c r="D17" s="371"/>
      <c r="E17" s="371"/>
      <c r="F17" s="371"/>
    </row>
    <row r="18" spans="1:6" s="5" customFormat="1" ht="13.5" customHeight="1" x14ac:dyDescent="0.2">
      <c r="A18" s="371" t="s">
        <v>297</v>
      </c>
      <c r="B18" s="371"/>
      <c r="C18" s="371"/>
      <c r="D18" s="371"/>
      <c r="E18" s="371"/>
      <c r="F18" s="371"/>
    </row>
    <row r="19" spans="1:6" s="5" customFormat="1" ht="25.35" customHeight="1" x14ac:dyDescent="0.2"/>
  </sheetData>
  <customSheetViews>
    <customSheetView guid="{B9B27D37-53F8-4AD8-9221-6458C3026417}" fitToPage="1">
      <selection sqref="A1:F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F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5">
    <mergeCell ref="A1:F1"/>
    <mergeCell ref="A2:A3"/>
    <mergeCell ref="B2:F2"/>
    <mergeCell ref="A17:F17"/>
    <mergeCell ref="A18:F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9"/>
  <sheetViews>
    <sheetView zoomScaleNormal="100" workbookViewId="0">
      <selection activeCell="E9" sqref="E9"/>
    </sheetView>
  </sheetViews>
  <sheetFormatPr defaultRowHeight="12.75" x14ac:dyDescent="0.2"/>
  <cols>
    <col min="1" max="6" width="14.7109375" bestFit="1" customWidth="1"/>
    <col min="7" max="7" width="4.7109375" bestFit="1" customWidth="1"/>
  </cols>
  <sheetData>
    <row r="1" spans="1:6" ht="21" customHeight="1" x14ac:dyDescent="0.2">
      <c r="A1" s="369" t="s">
        <v>26</v>
      </c>
      <c r="B1" s="369"/>
      <c r="C1" s="369"/>
      <c r="D1" s="369"/>
    </row>
    <row r="2" spans="1:6" s="5" customFormat="1" ht="18.75" customHeight="1" x14ac:dyDescent="0.2">
      <c r="A2" s="437" t="s">
        <v>147</v>
      </c>
      <c r="B2" s="439" t="s">
        <v>332</v>
      </c>
      <c r="C2" s="440"/>
      <c r="D2" s="440"/>
      <c r="E2" s="440"/>
      <c r="F2" s="441"/>
    </row>
    <row r="3" spans="1:6" s="5" customFormat="1" ht="18" customHeight="1" x14ac:dyDescent="0.2">
      <c r="A3" s="438"/>
      <c r="B3" s="2" t="s">
        <v>333</v>
      </c>
      <c r="C3" s="2" t="s">
        <v>334</v>
      </c>
      <c r="D3" s="2" t="s">
        <v>97</v>
      </c>
      <c r="E3" s="2" t="s">
        <v>335</v>
      </c>
      <c r="F3" s="2" t="s">
        <v>330</v>
      </c>
    </row>
    <row r="4" spans="1:6" s="5" customFormat="1" ht="18" customHeight="1" x14ac:dyDescent="0.2">
      <c r="A4" s="30" t="s">
        <v>69</v>
      </c>
      <c r="B4" s="31">
        <v>0</v>
      </c>
      <c r="C4" s="31">
        <v>0</v>
      </c>
      <c r="D4" s="31">
        <v>0</v>
      </c>
      <c r="E4" s="31">
        <v>0</v>
      </c>
      <c r="F4" s="31">
        <v>100</v>
      </c>
    </row>
    <row r="5" spans="1:6" s="5" customFormat="1" ht="18" customHeight="1" x14ac:dyDescent="0.2">
      <c r="A5" s="30" t="s">
        <v>70</v>
      </c>
      <c r="B5" s="31">
        <v>0</v>
      </c>
      <c r="C5" s="31">
        <v>0</v>
      </c>
      <c r="D5" s="31">
        <v>0</v>
      </c>
      <c r="E5" s="31">
        <v>0</v>
      </c>
      <c r="F5" s="31">
        <v>100</v>
      </c>
    </row>
    <row r="6" spans="1:6" s="5" customFormat="1" ht="18" customHeight="1" x14ac:dyDescent="0.2">
      <c r="A6" s="30" t="s">
        <v>156</v>
      </c>
      <c r="B6" s="31">
        <v>0</v>
      </c>
      <c r="C6" s="31">
        <v>0</v>
      </c>
      <c r="D6" s="31">
        <v>0</v>
      </c>
      <c r="E6" s="31">
        <v>0</v>
      </c>
      <c r="F6" s="31">
        <v>100</v>
      </c>
    </row>
    <row r="7" spans="1:6" s="5" customFormat="1" ht="18" customHeight="1" x14ac:dyDescent="0.2">
      <c r="A7" s="30" t="s">
        <v>157</v>
      </c>
      <c r="B7" s="31">
        <v>0</v>
      </c>
      <c r="C7" s="31">
        <v>0</v>
      </c>
      <c r="D7" s="31">
        <v>0</v>
      </c>
      <c r="E7" s="31">
        <v>0</v>
      </c>
      <c r="F7" s="31">
        <v>100</v>
      </c>
    </row>
    <row r="8" spans="1:6" s="5" customFormat="1" ht="18" customHeight="1" x14ac:dyDescent="0.2">
      <c r="A8" s="30" t="s">
        <v>158</v>
      </c>
      <c r="B8" s="31">
        <v>0</v>
      </c>
      <c r="C8" s="31">
        <v>0</v>
      </c>
      <c r="D8" s="31">
        <v>0</v>
      </c>
      <c r="E8" s="31">
        <v>0</v>
      </c>
      <c r="F8" s="31">
        <v>100</v>
      </c>
    </row>
    <row r="9" spans="1:6" s="5" customFormat="1" ht="18" customHeight="1" x14ac:dyDescent="0.2">
      <c r="A9" s="30" t="s">
        <v>159</v>
      </c>
      <c r="B9" s="31">
        <v>0</v>
      </c>
      <c r="C9" s="31">
        <v>0</v>
      </c>
      <c r="D9" s="31">
        <v>0</v>
      </c>
      <c r="E9" s="31">
        <v>0</v>
      </c>
      <c r="F9" s="31">
        <v>100</v>
      </c>
    </row>
    <row r="10" spans="1:6" s="5" customFormat="1" ht="18" customHeight="1" x14ac:dyDescent="0.2">
      <c r="A10" s="30" t="s">
        <v>160</v>
      </c>
      <c r="B10" s="31">
        <v>0</v>
      </c>
      <c r="C10" s="31">
        <v>0</v>
      </c>
      <c r="D10" s="31">
        <v>0</v>
      </c>
      <c r="E10" s="31">
        <v>0</v>
      </c>
      <c r="F10" s="31">
        <v>100</v>
      </c>
    </row>
    <row r="11" spans="1:6" s="5" customFormat="1" ht="18" customHeight="1" x14ac:dyDescent="0.2">
      <c r="A11" s="30" t="s">
        <v>161</v>
      </c>
      <c r="B11" s="31">
        <v>0</v>
      </c>
      <c r="C11" s="31">
        <v>0</v>
      </c>
      <c r="D11" s="31">
        <v>0</v>
      </c>
      <c r="E11" s="31">
        <v>0</v>
      </c>
      <c r="F11" s="31">
        <v>100</v>
      </c>
    </row>
    <row r="12" spans="1:6" s="5" customFormat="1" ht="18" customHeight="1" x14ac:dyDescent="0.2">
      <c r="A12" s="30" t="s">
        <v>162</v>
      </c>
      <c r="B12" s="31">
        <v>0</v>
      </c>
      <c r="C12" s="31">
        <v>0</v>
      </c>
      <c r="D12" s="31">
        <v>0</v>
      </c>
      <c r="E12" s="31">
        <v>0</v>
      </c>
      <c r="F12" s="31">
        <v>100</v>
      </c>
    </row>
    <row r="13" spans="1:6" s="5" customFormat="1" ht="18" customHeight="1" x14ac:dyDescent="0.2">
      <c r="A13" s="30" t="s">
        <v>163</v>
      </c>
      <c r="B13" s="31">
        <v>0</v>
      </c>
      <c r="C13" s="31">
        <v>0</v>
      </c>
      <c r="D13" s="31">
        <v>0</v>
      </c>
      <c r="E13" s="31">
        <v>0</v>
      </c>
      <c r="F13" s="31">
        <v>100</v>
      </c>
    </row>
    <row r="14" spans="1:6" s="5" customFormat="1" ht="18" customHeight="1" x14ac:dyDescent="0.2">
      <c r="A14" s="30" t="s">
        <v>164</v>
      </c>
      <c r="B14" s="31">
        <v>0</v>
      </c>
      <c r="C14" s="31">
        <v>0</v>
      </c>
      <c r="D14" s="31">
        <v>0</v>
      </c>
      <c r="E14" s="31">
        <v>0</v>
      </c>
      <c r="F14" s="31">
        <v>100</v>
      </c>
    </row>
    <row r="15" spans="1:6" s="5" customFormat="1" ht="18" customHeight="1" x14ac:dyDescent="0.2">
      <c r="A15" s="30" t="s">
        <v>165</v>
      </c>
      <c r="B15" s="31">
        <v>0</v>
      </c>
      <c r="C15" s="31">
        <v>0</v>
      </c>
      <c r="D15" s="31">
        <v>0</v>
      </c>
      <c r="E15" s="31">
        <v>0</v>
      </c>
      <c r="F15" s="31">
        <v>100</v>
      </c>
    </row>
    <row r="16" spans="1:6" s="5" customFormat="1" ht="18" customHeight="1" x14ac:dyDescent="0.2">
      <c r="A16" s="30" t="s">
        <v>166</v>
      </c>
      <c r="B16" s="31">
        <v>0</v>
      </c>
      <c r="C16" s="31">
        <v>0</v>
      </c>
      <c r="D16" s="31">
        <v>0</v>
      </c>
      <c r="E16" s="31">
        <v>0</v>
      </c>
      <c r="F16" s="31">
        <v>100</v>
      </c>
    </row>
    <row r="17" spans="1:6" s="5" customFormat="1" ht="18" customHeight="1" x14ac:dyDescent="0.2">
      <c r="A17" s="442" t="s">
        <v>297</v>
      </c>
      <c r="B17" s="443"/>
      <c r="C17" s="443"/>
      <c r="D17" s="443"/>
      <c r="E17" s="443"/>
      <c r="F17" s="444"/>
    </row>
    <row r="18" spans="1:6" s="5" customFormat="1" ht="18" customHeight="1" x14ac:dyDescent="0.2">
      <c r="A18" s="442" t="s">
        <v>339</v>
      </c>
      <c r="B18" s="443"/>
      <c r="C18" s="443"/>
      <c r="D18" s="443"/>
      <c r="E18" s="443"/>
      <c r="F18" s="444"/>
    </row>
    <row r="19" spans="1:6" s="5" customFormat="1" ht="28.35" customHeight="1" x14ac:dyDescent="0.2"/>
  </sheetData>
  <customSheetViews>
    <customSheetView guid="{B9B27D37-53F8-4AD8-9221-6458C3026417}" fitToPage="1">
      <selection activeCell="E9" sqref="E9"/>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activeCell="E9" sqref="E9"/>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5">
    <mergeCell ref="A1:D1"/>
    <mergeCell ref="A2:A3"/>
    <mergeCell ref="B2:F2"/>
    <mergeCell ref="A17:F17"/>
    <mergeCell ref="A18:F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40"/>
  <sheetViews>
    <sheetView zoomScaleNormal="100" workbookViewId="0">
      <selection sqref="A1:K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372" t="s">
        <v>340</v>
      </c>
      <c r="B1" s="372"/>
      <c r="C1" s="372"/>
      <c r="D1" s="372"/>
      <c r="E1" s="372"/>
      <c r="F1" s="372"/>
      <c r="G1" s="372"/>
      <c r="H1" s="372"/>
      <c r="I1" s="372"/>
      <c r="J1" s="372"/>
      <c r="K1" s="372"/>
    </row>
    <row r="2" spans="1:11" s="5" customFormat="1" ht="58.5" customHeight="1" x14ac:dyDescent="0.2">
      <c r="A2" s="9" t="s">
        <v>128</v>
      </c>
      <c r="B2" s="9" t="s">
        <v>341</v>
      </c>
      <c r="C2" s="16" t="s">
        <v>342</v>
      </c>
      <c r="D2" s="16" t="s">
        <v>343</v>
      </c>
      <c r="E2" s="9" t="s">
        <v>344</v>
      </c>
      <c r="F2" s="9" t="s">
        <v>345</v>
      </c>
      <c r="G2" s="9" t="s">
        <v>346</v>
      </c>
      <c r="H2" s="17" t="s">
        <v>347</v>
      </c>
      <c r="I2" s="17" t="s">
        <v>348</v>
      </c>
      <c r="J2" s="17" t="s">
        <v>349</v>
      </c>
    </row>
    <row r="3" spans="1:11" s="5" customFormat="1" ht="15" customHeight="1" x14ac:dyDescent="0.2">
      <c r="A3" s="18">
        <v>1</v>
      </c>
      <c r="B3" s="19" t="s">
        <v>350</v>
      </c>
      <c r="C3" s="52">
        <v>544.39</v>
      </c>
      <c r="D3" s="53">
        <v>446947.87</v>
      </c>
      <c r="E3" s="23">
        <v>12.28</v>
      </c>
      <c r="F3" s="54">
        <v>0.71</v>
      </c>
      <c r="G3" s="54">
        <v>0.32</v>
      </c>
      <c r="H3" s="54">
        <v>0.99</v>
      </c>
      <c r="I3" s="54">
        <v>0.05</v>
      </c>
      <c r="J3" s="54">
        <v>0.03</v>
      </c>
    </row>
    <row r="4" spans="1:11" s="5" customFormat="1" ht="15" customHeight="1" x14ac:dyDescent="0.2">
      <c r="A4" s="18">
        <v>2</v>
      </c>
      <c r="B4" s="19" t="s">
        <v>351</v>
      </c>
      <c r="C4" s="52">
        <v>6338.67</v>
      </c>
      <c r="D4" s="53">
        <v>397773.8</v>
      </c>
      <c r="E4" s="23">
        <v>10.92</v>
      </c>
      <c r="F4" s="54">
        <v>1.46</v>
      </c>
      <c r="G4" s="54">
        <v>0.45</v>
      </c>
      <c r="H4" s="54">
        <v>1.7</v>
      </c>
      <c r="I4" s="54">
        <v>0.36</v>
      </c>
      <c r="J4" s="54">
        <v>0.02</v>
      </c>
    </row>
    <row r="5" spans="1:11" s="5" customFormat="1" ht="15" customHeight="1" x14ac:dyDescent="0.2">
      <c r="A5" s="18">
        <v>3</v>
      </c>
      <c r="B5" s="19" t="s">
        <v>352</v>
      </c>
      <c r="C5" s="52">
        <v>344.06</v>
      </c>
      <c r="D5" s="53">
        <v>316366.78999999998</v>
      </c>
      <c r="E5" s="23">
        <v>8.69</v>
      </c>
      <c r="F5" s="54">
        <v>1.23</v>
      </c>
      <c r="G5" s="54">
        <v>0.46</v>
      </c>
      <c r="H5" s="54">
        <v>1.42</v>
      </c>
      <c r="I5" s="54">
        <v>-4.26</v>
      </c>
      <c r="J5" s="54">
        <v>0.04</v>
      </c>
    </row>
    <row r="6" spans="1:11" s="5" customFormat="1" ht="15" customHeight="1" x14ac:dyDescent="0.2">
      <c r="A6" s="18">
        <v>4</v>
      </c>
      <c r="B6" s="19" t="s">
        <v>353</v>
      </c>
      <c r="C6" s="52">
        <v>2184.33</v>
      </c>
      <c r="D6" s="53">
        <v>278927.17</v>
      </c>
      <c r="E6" s="23">
        <v>7.66</v>
      </c>
      <c r="F6" s="54">
        <v>0.87</v>
      </c>
      <c r="G6" s="54">
        <v>0.02</v>
      </c>
      <c r="H6" s="54">
        <v>4.5</v>
      </c>
      <c r="I6" s="54">
        <v>-2.09</v>
      </c>
      <c r="J6" s="54">
        <v>0.03</v>
      </c>
    </row>
    <row r="7" spans="1:11" s="5" customFormat="1" ht="15" customHeight="1" x14ac:dyDescent="0.2">
      <c r="A7" s="18">
        <v>5</v>
      </c>
      <c r="B7" s="19" t="s">
        <v>354</v>
      </c>
      <c r="C7" s="52">
        <v>1225.08</v>
      </c>
      <c r="D7" s="53">
        <v>235368.54</v>
      </c>
      <c r="E7" s="23">
        <v>6.46</v>
      </c>
      <c r="F7" s="54">
        <v>0.93</v>
      </c>
      <c r="G7" s="54">
        <v>0.33</v>
      </c>
      <c r="H7" s="54">
        <v>1.28</v>
      </c>
      <c r="I7" s="54">
        <v>-0.93</v>
      </c>
      <c r="J7" s="54">
        <v>0.04</v>
      </c>
    </row>
    <row r="8" spans="1:11" s="5" customFormat="1" ht="15" customHeight="1" x14ac:dyDescent="0.2">
      <c r="A8" s="18">
        <v>6</v>
      </c>
      <c r="B8" s="19" t="s">
        <v>355</v>
      </c>
      <c r="C8" s="52">
        <v>1288.6600000000001</v>
      </c>
      <c r="D8" s="53">
        <v>223739.68</v>
      </c>
      <c r="E8" s="23">
        <v>6.14</v>
      </c>
      <c r="F8" s="54">
        <v>1.28</v>
      </c>
      <c r="G8" s="54">
        <v>0.27</v>
      </c>
      <c r="H8" s="54">
        <v>1.94</v>
      </c>
      <c r="I8" s="54">
        <v>-4.24</v>
      </c>
      <c r="J8" s="54">
        <v>0.03</v>
      </c>
    </row>
    <row r="9" spans="1:11" s="5" customFormat="1" ht="15" customHeight="1" x14ac:dyDescent="0.2">
      <c r="A9" s="18">
        <v>7</v>
      </c>
      <c r="B9" s="19" t="s">
        <v>356</v>
      </c>
      <c r="C9" s="52">
        <v>375.24</v>
      </c>
      <c r="D9" s="53">
        <v>208478.76</v>
      </c>
      <c r="E9" s="23">
        <v>5.73</v>
      </c>
      <c r="F9" s="54">
        <v>-0.03</v>
      </c>
      <c r="G9" s="54">
        <v>0</v>
      </c>
      <c r="H9" s="54">
        <v>4.7300000000000004</v>
      </c>
      <c r="I9" s="54">
        <v>-1.51</v>
      </c>
      <c r="J9" s="54">
        <v>0.03</v>
      </c>
    </row>
    <row r="10" spans="1:11" s="5" customFormat="1" ht="15" customHeight="1" x14ac:dyDescent="0.2">
      <c r="A10" s="18">
        <v>8</v>
      </c>
      <c r="B10" s="19" t="s">
        <v>357</v>
      </c>
      <c r="C10" s="52">
        <v>280.52</v>
      </c>
      <c r="D10" s="53">
        <v>157731.59</v>
      </c>
      <c r="E10" s="23">
        <v>4.33</v>
      </c>
      <c r="F10" s="54">
        <v>1</v>
      </c>
      <c r="G10" s="54">
        <v>0.34</v>
      </c>
      <c r="H10" s="54">
        <v>1.34</v>
      </c>
      <c r="I10" s="54">
        <v>-1.44</v>
      </c>
      <c r="J10" s="54">
        <v>0.04</v>
      </c>
    </row>
    <row r="11" spans="1:11" s="5" customFormat="1" ht="15" customHeight="1" x14ac:dyDescent="0.2">
      <c r="A11" s="18">
        <v>9</v>
      </c>
      <c r="B11" s="19" t="s">
        <v>358</v>
      </c>
      <c r="C11" s="52">
        <v>954.02</v>
      </c>
      <c r="D11" s="53">
        <v>143094.9</v>
      </c>
      <c r="E11" s="23">
        <v>3.93</v>
      </c>
      <c r="F11" s="54">
        <v>0.99</v>
      </c>
      <c r="G11" s="54">
        <v>0.25</v>
      </c>
      <c r="H11" s="54">
        <v>1.57</v>
      </c>
      <c r="I11" s="54">
        <v>-3.26</v>
      </c>
      <c r="J11" s="54">
        <v>0.04</v>
      </c>
    </row>
    <row r="12" spans="1:11" s="5" customFormat="1" ht="15" customHeight="1" x14ac:dyDescent="0.2">
      <c r="A12" s="18">
        <v>10</v>
      </c>
      <c r="B12" s="19" t="s">
        <v>359</v>
      </c>
      <c r="C12" s="52">
        <v>514.17999999999995</v>
      </c>
      <c r="D12" s="53">
        <v>125489.49</v>
      </c>
      <c r="E12" s="23">
        <v>3.45</v>
      </c>
      <c r="F12" s="54">
        <v>1.21</v>
      </c>
      <c r="G12" s="54">
        <v>0.26</v>
      </c>
      <c r="H12" s="54">
        <v>1.85</v>
      </c>
      <c r="I12" s="54">
        <v>-1.88</v>
      </c>
      <c r="J12" s="54">
        <v>0.03</v>
      </c>
    </row>
    <row r="13" spans="1:11" s="5" customFormat="1" ht="15" customHeight="1" x14ac:dyDescent="0.2">
      <c r="A13" s="18">
        <v>11</v>
      </c>
      <c r="B13" s="19" t="s">
        <v>360</v>
      </c>
      <c r="C13" s="52">
        <v>216.46</v>
      </c>
      <c r="D13" s="53">
        <v>123665.73</v>
      </c>
      <c r="E13" s="23">
        <v>3.4</v>
      </c>
      <c r="F13" s="54">
        <v>0.77</v>
      </c>
      <c r="G13" s="54">
        <v>0.21</v>
      </c>
      <c r="H13" s="54">
        <v>1.33</v>
      </c>
      <c r="I13" s="54">
        <v>-1.75</v>
      </c>
      <c r="J13" s="54">
        <v>0.04</v>
      </c>
    </row>
    <row r="14" spans="1:11" s="5" customFormat="1" ht="15" customHeight="1" x14ac:dyDescent="0.2">
      <c r="A14" s="18">
        <v>12</v>
      </c>
      <c r="B14" s="19" t="s">
        <v>361</v>
      </c>
      <c r="C14" s="52">
        <v>892.46</v>
      </c>
      <c r="D14" s="53">
        <v>101111.12</v>
      </c>
      <c r="E14" s="23">
        <v>2.78</v>
      </c>
      <c r="F14" s="54">
        <v>1.36</v>
      </c>
      <c r="G14" s="54">
        <v>0.32</v>
      </c>
      <c r="H14" s="54">
        <v>1.89</v>
      </c>
      <c r="I14" s="54">
        <v>-8.0399999999999991</v>
      </c>
      <c r="J14" s="54">
        <v>0.03</v>
      </c>
    </row>
    <row r="15" spans="1:11" s="5" customFormat="1" ht="15" customHeight="1" x14ac:dyDescent="0.2">
      <c r="A15" s="18">
        <v>13</v>
      </c>
      <c r="B15" s="19" t="s">
        <v>362</v>
      </c>
      <c r="C15" s="52">
        <v>151.04</v>
      </c>
      <c r="D15" s="52">
        <v>90810.99</v>
      </c>
      <c r="E15" s="23">
        <v>2.4900000000000002</v>
      </c>
      <c r="F15" s="54">
        <v>1.1100000000000001</v>
      </c>
      <c r="G15" s="54">
        <v>0.3</v>
      </c>
      <c r="H15" s="54">
        <v>1.6</v>
      </c>
      <c r="I15" s="54">
        <v>3.08</v>
      </c>
      <c r="J15" s="54">
        <v>0.04</v>
      </c>
    </row>
    <row r="16" spans="1:11" s="5" customFormat="1" ht="15" customHeight="1" x14ac:dyDescent="0.2">
      <c r="A16" s="18">
        <v>14</v>
      </c>
      <c r="B16" s="19" t="s">
        <v>363</v>
      </c>
      <c r="C16" s="52">
        <v>602.64</v>
      </c>
      <c r="D16" s="52">
        <v>74073.850000000006</v>
      </c>
      <c r="E16" s="23">
        <v>2.0299999999999998</v>
      </c>
      <c r="F16" s="54">
        <v>0.93</v>
      </c>
      <c r="G16" s="54">
        <v>0.22</v>
      </c>
      <c r="H16" s="54">
        <v>1.55</v>
      </c>
      <c r="I16" s="54">
        <v>-2.13</v>
      </c>
      <c r="J16" s="54">
        <v>0.05</v>
      </c>
    </row>
    <row r="17" spans="1:10" s="5" customFormat="1" ht="15" customHeight="1" x14ac:dyDescent="0.2">
      <c r="A17" s="18">
        <v>15</v>
      </c>
      <c r="B17" s="19" t="s">
        <v>364</v>
      </c>
      <c r="C17" s="52">
        <v>95.92</v>
      </c>
      <c r="D17" s="52">
        <v>63342.89</v>
      </c>
      <c r="E17" s="23">
        <v>1.74</v>
      </c>
      <c r="F17" s="54">
        <v>1</v>
      </c>
      <c r="G17" s="54">
        <v>0.28999999999999998</v>
      </c>
      <c r="H17" s="54">
        <v>1.45</v>
      </c>
      <c r="I17" s="54">
        <v>-0.54</v>
      </c>
      <c r="J17" s="54">
        <v>0.06</v>
      </c>
    </row>
    <row r="18" spans="1:10" s="5" customFormat="1" ht="15" customHeight="1" x14ac:dyDescent="0.2">
      <c r="A18" s="18">
        <v>16</v>
      </c>
      <c r="B18" s="19" t="s">
        <v>365</v>
      </c>
      <c r="C18" s="52">
        <v>115.59</v>
      </c>
      <c r="D18" s="52">
        <v>62572.88</v>
      </c>
      <c r="E18" s="23">
        <v>1.72</v>
      </c>
      <c r="F18" s="54">
        <v>1.33</v>
      </c>
      <c r="G18" s="54">
        <v>0.23</v>
      </c>
      <c r="H18" s="54">
        <v>2.16</v>
      </c>
      <c r="I18" s="54">
        <v>3</v>
      </c>
      <c r="J18" s="54">
        <v>0.04</v>
      </c>
    </row>
    <row r="19" spans="1:10" s="5" customFormat="1" ht="15" customHeight="1" x14ac:dyDescent="0.2">
      <c r="A19" s="18">
        <v>17</v>
      </c>
      <c r="B19" s="19" t="s">
        <v>366</v>
      </c>
      <c r="C19" s="52">
        <v>621.6</v>
      </c>
      <c r="D19" s="52">
        <v>60235.05</v>
      </c>
      <c r="E19" s="23">
        <v>1.65</v>
      </c>
      <c r="F19" s="54">
        <v>1.23</v>
      </c>
      <c r="G19" s="54">
        <v>0.31</v>
      </c>
      <c r="H19" s="54">
        <v>1.73</v>
      </c>
      <c r="I19" s="54">
        <v>-5.03</v>
      </c>
      <c r="J19" s="54">
        <v>0.05</v>
      </c>
    </row>
    <row r="20" spans="1:10" s="5" customFormat="1" ht="15" customHeight="1" x14ac:dyDescent="0.2">
      <c r="A20" s="18">
        <v>18</v>
      </c>
      <c r="B20" s="19" t="s">
        <v>367</v>
      </c>
      <c r="C20" s="52">
        <v>271.25</v>
      </c>
      <c r="D20" s="52">
        <v>58641.67</v>
      </c>
      <c r="E20" s="23">
        <v>1.61</v>
      </c>
      <c r="F20" s="54">
        <v>0.5</v>
      </c>
      <c r="G20" s="54">
        <v>0.05</v>
      </c>
      <c r="H20" s="54">
        <v>1.73</v>
      </c>
      <c r="I20" s="54">
        <v>4.78</v>
      </c>
      <c r="J20" s="54">
        <v>0.06</v>
      </c>
    </row>
    <row r="21" spans="1:10" s="5" customFormat="1" ht="15" customHeight="1" x14ac:dyDescent="0.2">
      <c r="A21" s="18">
        <v>19</v>
      </c>
      <c r="B21" s="19" t="s">
        <v>368</v>
      </c>
      <c r="C21" s="52">
        <v>239.93</v>
      </c>
      <c r="D21" s="52">
        <v>48088.09</v>
      </c>
      <c r="E21" s="23">
        <v>1.32</v>
      </c>
      <c r="F21" s="54">
        <v>0.77</v>
      </c>
      <c r="G21" s="54">
        <v>7.0000000000000007E-2</v>
      </c>
      <c r="H21" s="54">
        <v>2.27</v>
      </c>
      <c r="I21" s="54">
        <v>4.6500000000000004</v>
      </c>
      <c r="J21" s="54">
        <v>0.04</v>
      </c>
    </row>
    <row r="22" spans="1:10" s="5" customFormat="1" ht="15" customHeight="1" x14ac:dyDescent="0.2">
      <c r="A22" s="18">
        <v>20</v>
      </c>
      <c r="B22" s="19" t="s">
        <v>369</v>
      </c>
      <c r="C22" s="52">
        <v>8245.4599999999991</v>
      </c>
      <c r="D22" s="52">
        <v>44351.53</v>
      </c>
      <c r="E22" s="23">
        <v>1.22</v>
      </c>
      <c r="F22" s="54">
        <v>0.65</v>
      </c>
      <c r="G22" s="54">
        <v>0.16</v>
      </c>
      <c r="H22" s="54">
        <v>1.28</v>
      </c>
      <c r="I22" s="54">
        <v>1.18</v>
      </c>
      <c r="J22" s="54">
        <v>0.09</v>
      </c>
    </row>
    <row r="23" spans="1:10" s="5" customFormat="1" ht="15" customHeight="1" x14ac:dyDescent="0.2">
      <c r="A23" s="18">
        <v>21</v>
      </c>
      <c r="B23" s="19" t="s">
        <v>370</v>
      </c>
      <c r="C23" s="52">
        <v>462.57</v>
      </c>
      <c r="D23" s="52">
        <v>42761.88</v>
      </c>
      <c r="E23" s="23">
        <v>1.17</v>
      </c>
      <c r="F23" s="54">
        <v>1.1100000000000001</v>
      </c>
      <c r="G23" s="54">
        <v>0.05</v>
      </c>
      <c r="H23" s="54">
        <v>4.07</v>
      </c>
      <c r="I23" s="54">
        <v>18.989999999999998</v>
      </c>
      <c r="J23" s="54">
        <v>0.04</v>
      </c>
    </row>
    <row r="24" spans="1:10" s="5" customFormat="1" ht="15" customHeight="1" x14ac:dyDescent="0.2">
      <c r="A24" s="18">
        <v>22</v>
      </c>
      <c r="B24" s="19" t="s">
        <v>371</v>
      </c>
      <c r="C24" s="52">
        <v>5231.59</v>
      </c>
      <c r="D24" s="52">
        <v>42021.18</v>
      </c>
      <c r="E24" s="23">
        <v>1.1499999999999999</v>
      </c>
      <c r="F24" s="54">
        <v>0.56999999999999995</v>
      </c>
      <c r="G24" s="54">
        <v>0.13</v>
      </c>
      <c r="H24" s="54">
        <v>1.27</v>
      </c>
      <c r="I24" s="54">
        <v>-3.23</v>
      </c>
      <c r="J24" s="54">
        <v>0.11</v>
      </c>
    </row>
    <row r="25" spans="1:10" s="5" customFormat="1" ht="15" customHeight="1" x14ac:dyDescent="0.2">
      <c r="A25" s="18">
        <v>23</v>
      </c>
      <c r="B25" s="19" t="s">
        <v>372</v>
      </c>
      <c r="C25" s="52">
        <v>6416.62</v>
      </c>
      <c r="D25" s="52">
        <v>42010.879999999997</v>
      </c>
      <c r="E25" s="23">
        <v>1.1499999999999999</v>
      </c>
      <c r="F25" s="54">
        <v>1.01</v>
      </c>
      <c r="G25" s="54">
        <v>0.18</v>
      </c>
      <c r="H25" s="54">
        <v>1.88</v>
      </c>
      <c r="I25" s="54">
        <v>5.01</v>
      </c>
      <c r="J25" s="54">
        <v>7.0000000000000007E-2</v>
      </c>
    </row>
    <row r="26" spans="1:10" s="5" customFormat="1" ht="15" customHeight="1" x14ac:dyDescent="0.2">
      <c r="A26" s="18">
        <v>24</v>
      </c>
      <c r="B26" s="19" t="s">
        <v>373</v>
      </c>
      <c r="C26" s="52">
        <v>1998.7</v>
      </c>
      <c r="D26" s="52">
        <v>41942.120000000003</v>
      </c>
      <c r="E26" s="23">
        <v>1.1499999999999999</v>
      </c>
      <c r="F26" s="54">
        <v>1.1599999999999999</v>
      </c>
      <c r="G26" s="54">
        <v>0.18</v>
      </c>
      <c r="H26" s="54">
        <v>2.16</v>
      </c>
      <c r="I26" s="54">
        <v>3.52</v>
      </c>
      <c r="J26" s="54">
        <v>7.0000000000000007E-2</v>
      </c>
    </row>
    <row r="27" spans="1:10" s="5" customFormat="1" ht="15" customHeight="1" x14ac:dyDescent="0.2">
      <c r="A27" s="18">
        <v>25</v>
      </c>
      <c r="B27" s="19" t="s">
        <v>374</v>
      </c>
      <c r="C27" s="52">
        <v>289.37</v>
      </c>
      <c r="D27" s="52">
        <v>39392.58</v>
      </c>
      <c r="E27" s="23">
        <v>1.08</v>
      </c>
      <c r="F27" s="54">
        <v>0.97</v>
      </c>
      <c r="G27" s="54">
        <v>0.22</v>
      </c>
      <c r="H27" s="54">
        <v>1.62</v>
      </c>
      <c r="I27" s="54">
        <v>13.44</v>
      </c>
      <c r="J27" s="54">
        <v>0.05</v>
      </c>
    </row>
    <row r="28" spans="1:10" s="5" customFormat="1" ht="15" customHeight="1" x14ac:dyDescent="0.2">
      <c r="A28" s="18">
        <v>26</v>
      </c>
      <c r="B28" s="19" t="s">
        <v>375</v>
      </c>
      <c r="C28" s="52">
        <v>1145.9000000000001</v>
      </c>
      <c r="D28" s="52">
        <v>38404.300000000003</v>
      </c>
      <c r="E28" s="23">
        <v>1.05</v>
      </c>
      <c r="F28" s="54">
        <v>1.29</v>
      </c>
      <c r="G28" s="54">
        <v>0.26</v>
      </c>
      <c r="H28" s="54">
        <v>1.99</v>
      </c>
      <c r="I28" s="54">
        <v>5.33</v>
      </c>
      <c r="J28" s="54">
        <v>0.04</v>
      </c>
    </row>
    <row r="29" spans="1:10" s="5" customFormat="1" ht="15" customHeight="1" x14ac:dyDescent="0.2">
      <c r="A29" s="18">
        <v>27</v>
      </c>
      <c r="B29" s="19" t="s">
        <v>376</v>
      </c>
      <c r="C29" s="52">
        <v>39.950000000000003</v>
      </c>
      <c r="D29" s="52">
        <v>34202.449999999997</v>
      </c>
      <c r="E29" s="23">
        <v>0.94</v>
      </c>
      <c r="F29" s="54">
        <v>0.94</v>
      </c>
      <c r="G29" s="54">
        <v>0.19</v>
      </c>
      <c r="H29" s="54">
        <v>1.71</v>
      </c>
      <c r="I29" s="54">
        <v>0.88</v>
      </c>
      <c r="J29" s="54">
        <v>0.06</v>
      </c>
    </row>
    <row r="30" spans="1:10" s="5" customFormat="1" ht="15" customHeight="1" x14ac:dyDescent="0.2">
      <c r="A30" s="18">
        <v>28</v>
      </c>
      <c r="B30" s="19" t="s">
        <v>377</v>
      </c>
      <c r="C30" s="52">
        <v>577.47</v>
      </c>
      <c r="D30" s="52">
        <v>32351.439999999999</v>
      </c>
      <c r="E30" s="23">
        <v>0.89</v>
      </c>
      <c r="F30" s="54">
        <v>1.43</v>
      </c>
      <c r="G30" s="54">
        <v>0.19</v>
      </c>
      <c r="H30" s="54">
        <v>2.57</v>
      </c>
      <c r="I30" s="54">
        <v>-1.88</v>
      </c>
      <c r="J30" s="54">
        <v>0.05</v>
      </c>
    </row>
    <row r="31" spans="1:10" s="5" customFormat="1" ht="15" customHeight="1" x14ac:dyDescent="0.2">
      <c r="A31" s="18">
        <v>29</v>
      </c>
      <c r="B31" s="19" t="s">
        <v>378</v>
      </c>
      <c r="C31" s="52">
        <v>371.72</v>
      </c>
      <c r="D31" s="52">
        <v>31484.63</v>
      </c>
      <c r="E31" s="23">
        <v>0.86</v>
      </c>
      <c r="F31" s="54">
        <v>1.32</v>
      </c>
      <c r="G31" s="54">
        <v>0.15</v>
      </c>
      <c r="H31" s="54">
        <v>2.64</v>
      </c>
      <c r="I31" s="54">
        <v>-14.23</v>
      </c>
      <c r="J31" s="54">
        <v>0.06</v>
      </c>
    </row>
    <row r="32" spans="1:10" s="5" customFormat="1" ht="15" customHeight="1" x14ac:dyDescent="0.2">
      <c r="A32" s="18">
        <v>30</v>
      </c>
      <c r="B32" s="19" t="s">
        <v>379</v>
      </c>
      <c r="C32" s="52">
        <v>6207.41</v>
      </c>
      <c r="D32" s="52">
        <v>31184.16</v>
      </c>
      <c r="E32" s="23">
        <v>0.86</v>
      </c>
      <c r="F32" s="54">
        <v>0.41</v>
      </c>
      <c r="G32" s="54">
        <v>0.05</v>
      </c>
      <c r="H32" s="54">
        <v>1.52</v>
      </c>
      <c r="I32" s="54">
        <v>1.42</v>
      </c>
      <c r="J32" s="54">
        <v>7.0000000000000007E-2</v>
      </c>
    </row>
    <row r="33" spans="1:10" s="5" customFormat="1" ht="15" customHeight="1" x14ac:dyDescent="0.2">
      <c r="A33" s="18">
        <v>31</v>
      </c>
      <c r="B33" s="19" t="s">
        <v>380</v>
      </c>
      <c r="C33" s="52">
        <v>101.7</v>
      </c>
      <c r="D33" s="52">
        <v>4451.9399999999996</v>
      </c>
      <c r="E33" s="23">
        <v>0.12</v>
      </c>
      <c r="F33" s="54">
        <v>1.4</v>
      </c>
      <c r="G33" s="54">
        <v>0.22</v>
      </c>
      <c r="H33" s="54">
        <v>2.37</v>
      </c>
      <c r="I33" s="54">
        <v>-6.61</v>
      </c>
      <c r="J33" s="54">
        <v>0.15</v>
      </c>
    </row>
    <row r="34" spans="1:10" s="5" customFormat="1" ht="24.75" customHeight="1" x14ac:dyDescent="0.2">
      <c r="A34" s="434" t="s">
        <v>1020</v>
      </c>
      <c r="B34" s="435"/>
      <c r="C34" s="435"/>
      <c r="D34" s="435"/>
      <c r="E34" s="435"/>
      <c r="F34" s="435"/>
      <c r="G34" s="435"/>
      <c r="H34" s="435"/>
      <c r="I34" s="435"/>
      <c r="J34" s="436"/>
    </row>
    <row r="35" spans="1:10" s="5" customFormat="1" ht="24" customHeight="1" x14ac:dyDescent="0.2">
      <c r="A35" s="434" t="s">
        <v>381</v>
      </c>
      <c r="B35" s="435"/>
      <c r="C35" s="435"/>
      <c r="D35" s="435"/>
      <c r="E35" s="435"/>
      <c r="F35" s="435"/>
      <c r="G35" s="435"/>
      <c r="H35" s="435"/>
      <c r="I35" s="435"/>
      <c r="J35" s="436"/>
    </row>
    <row r="36" spans="1:10" s="5" customFormat="1" ht="13.5" customHeight="1" x14ac:dyDescent="0.2">
      <c r="A36" s="434" t="s">
        <v>382</v>
      </c>
      <c r="B36" s="435"/>
      <c r="C36" s="435"/>
      <c r="D36" s="435"/>
      <c r="E36" s="435"/>
      <c r="F36" s="435"/>
      <c r="G36" s="435"/>
      <c r="H36" s="435"/>
      <c r="I36" s="435"/>
      <c r="J36" s="436"/>
    </row>
    <row r="37" spans="1:10" s="5" customFormat="1" ht="24" customHeight="1" x14ac:dyDescent="0.2">
      <c r="A37" s="434" t="s">
        <v>383</v>
      </c>
      <c r="B37" s="435"/>
      <c r="C37" s="435"/>
      <c r="D37" s="435"/>
      <c r="E37" s="435"/>
      <c r="F37" s="435"/>
      <c r="G37" s="435"/>
      <c r="H37" s="435"/>
      <c r="I37" s="435"/>
      <c r="J37" s="436"/>
    </row>
    <row r="38" spans="1:10" s="5" customFormat="1" ht="13.5" customHeight="1" x14ac:dyDescent="0.2">
      <c r="A38" s="434" t="s">
        <v>384</v>
      </c>
      <c r="B38" s="435"/>
      <c r="C38" s="435"/>
      <c r="D38" s="435"/>
      <c r="E38" s="435"/>
      <c r="F38" s="435"/>
      <c r="G38" s="435"/>
      <c r="H38" s="435"/>
      <c r="I38" s="435"/>
      <c r="J38" s="436"/>
    </row>
    <row r="39" spans="1:10" s="5" customFormat="1" ht="13.5" customHeight="1" x14ac:dyDescent="0.2">
      <c r="A39" s="434" t="s">
        <v>385</v>
      </c>
      <c r="B39" s="435"/>
      <c r="C39" s="435"/>
      <c r="D39" s="435"/>
      <c r="E39" s="435"/>
      <c r="F39" s="435"/>
      <c r="G39" s="435"/>
      <c r="H39" s="435"/>
      <c r="I39" s="435"/>
      <c r="J39" s="436"/>
    </row>
    <row r="40" spans="1:10" s="5" customFormat="1" ht="27.6" customHeight="1" x14ac:dyDescent="0.2"/>
  </sheetData>
  <customSheetViews>
    <customSheetView guid="{B9B27D37-53F8-4AD8-9221-6458C3026417}"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zoomScaleNormal="100" workbookViewId="0">
      <selection sqref="A1:K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372" t="s">
        <v>386</v>
      </c>
      <c r="B1" s="372"/>
      <c r="C1" s="372"/>
      <c r="D1" s="372"/>
      <c r="E1" s="372"/>
      <c r="F1" s="372"/>
      <c r="G1" s="372"/>
      <c r="H1" s="372"/>
      <c r="I1" s="372"/>
      <c r="J1" s="372"/>
      <c r="K1" s="372"/>
    </row>
    <row r="2" spans="1:11" s="5" customFormat="1" ht="58.5" customHeight="1" x14ac:dyDescent="0.2">
      <c r="A2" s="9" t="s">
        <v>387</v>
      </c>
      <c r="B2" s="9" t="s">
        <v>341</v>
      </c>
      <c r="C2" s="16" t="s">
        <v>388</v>
      </c>
      <c r="D2" s="16" t="s">
        <v>343</v>
      </c>
      <c r="E2" s="9" t="s">
        <v>344</v>
      </c>
      <c r="F2" s="9" t="s">
        <v>345</v>
      </c>
      <c r="G2" s="9" t="s">
        <v>346</v>
      </c>
      <c r="H2" s="17" t="s">
        <v>347</v>
      </c>
      <c r="I2" s="17" t="s">
        <v>348</v>
      </c>
      <c r="J2" s="17" t="s">
        <v>349</v>
      </c>
    </row>
    <row r="3" spans="1:11" s="5" customFormat="1" ht="15" customHeight="1" x14ac:dyDescent="0.2">
      <c r="A3" s="18">
        <v>1</v>
      </c>
      <c r="B3" s="19" t="s">
        <v>389</v>
      </c>
      <c r="C3" s="52">
        <v>543.70000000000005</v>
      </c>
      <c r="D3" s="53">
        <v>446176.6</v>
      </c>
      <c r="E3" s="54">
        <v>10.33</v>
      </c>
      <c r="F3" s="54">
        <v>0.68</v>
      </c>
      <c r="G3" s="54">
        <v>0.28999999999999998</v>
      </c>
      <c r="H3" s="54">
        <v>0.79</v>
      </c>
      <c r="I3" s="54">
        <v>-0.12</v>
      </c>
      <c r="J3" s="54">
        <v>0.02</v>
      </c>
    </row>
    <row r="4" spans="1:11" s="5" customFormat="1" ht="27" customHeight="1" x14ac:dyDescent="0.2">
      <c r="A4" s="18">
        <v>2</v>
      </c>
      <c r="B4" s="19" t="s">
        <v>390</v>
      </c>
      <c r="C4" s="52">
        <v>6338.56</v>
      </c>
      <c r="D4" s="53">
        <v>421366.6</v>
      </c>
      <c r="E4" s="54">
        <v>9.76</v>
      </c>
      <c r="F4" s="54">
        <v>1.41</v>
      </c>
      <c r="G4" s="54">
        <v>0.43</v>
      </c>
      <c r="H4" s="54">
        <v>1.41</v>
      </c>
      <c r="I4" s="54">
        <v>0.32</v>
      </c>
      <c r="J4" s="54">
        <v>0.02</v>
      </c>
    </row>
    <row r="5" spans="1:11" s="5" customFormat="1" ht="39" customHeight="1" x14ac:dyDescent="0.2">
      <c r="A5" s="18">
        <v>3</v>
      </c>
      <c r="B5" s="19" t="s">
        <v>391</v>
      </c>
      <c r="C5" s="52">
        <v>343.31</v>
      </c>
      <c r="D5" s="53">
        <v>303408.82</v>
      </c>
      <c r="E5" s="54">
        <v>7.03</v>
      </c>
      <c r="F5" s="54">
        <v>1.21</v>
      </c>
      <c r="G5" s="54">
        <v>0.44</v>
      </c>
      <c r="H5" s="54">
        <v>1.1499999999999999</v>
      </c>
      <c r="I5" s="54">
        <v>-4.22</v>
      </c>
      <c r="J5" s="54">
        <v>0.02</v>
      </c>
    </row>
    <row r="6" spans="1:11" s="5" customFormat="1" ht="15" customHeight="1" x14ac:dyDescent="0.2">
      <c r="A6" s="18">
        <v>4</v>
      </c>
      <c r="B6" s="19" t="s">
        <v>392</v>
      </c>
      <c r="C6" s="52">
        <v>2184.3000000000002</v>
      </c>
      <c r="D6" s="53">
        <v>279084.40999999997</v>
      </c>
      <c r="E6" s="54">
        <v>6.46</v>
      </c>
      <c r="F6" s="54">
        <v>0.65</v>
      </c>
      <c r="G6" s="54">
        <v>0.12</v>
      </c>
      <c r="H6" s="54">
        <v>1.26</v>
      </c>
      <c r="I6" s="54">
        <v>-2.0299999999999998</v>
      </c>
      <c r="J6" s="54">
        <v>0.02</v>
      </c>
    </row>
    <row r="7" spans="1:11" s="5" customFormat="1" ht="15" customHeight="1" x14ac:dyDescent="0.2">
      <c r="A7" s="18">
        <v>5</v>
      </c>
      <c r="B7" s="19" t="s">
        <v>393</v>
      </c>
      <c r="C7" s="52">
        <v>1224.51</v>
      </c>
      <c r="D7" s="53">
        <v>236617.41</v>
      </c>
      <c r="E7" s="54">
        <v>5.48</v>
      </c>
      <c r="F7" s="54">
        <v>0.91</v>
      </c>
      <c r="G7" s="54">
        <v>0.31</v>
      </c>
      <c r="H7" s="54">
        <v>0.89</v>
      </c>
      <c r="I7" s="54">
        <v>-0.93</v>
      </c>
      <c r="J7" s="54">
        <v>0.03</v>
      </c>
    </row>
    <row r="8" spans="1:11" s="5" customFormat="1" ht="15" customHeight="1" x14ac:dyDescent="0.2">
      <c r="A8" s="18">
        <v>6</v>
      </c>
      <c r="B8" s="19" t="s">
        <v>394</v>
      </c>
      <c r="C8" s="52">
        <v>1288.02</v>
      </c>
      <c r="D8" s="53">
        <v>225500.21</v>
      </c>
      <c r="E8" s="54">
        <v>5.22</v>
      </c>
      <c r="F8" s="54">
        <v>1.26</v>
      </c>
      <c r="G8" s="54">
        <v>0.27</v>
      </c>
      <c r="H8" s="54">
        <v>1.3</v>
      </c>
      <c r="I8" s="54">
        <v>-3.92</v>
      </c>
      <c r="J8" s="54">
        <v>0.03</v>
      </c>
    </row>
    <row r="9" spans="1:11" s="5" customFormat="1" ht="27" customHeight="1" x14ac:dyDescent="0.2">
      <c r="A9" s="18">
        <v>7</v>
      </c>
      <c r="B9" s="19" t="s">
        <v>395</v>
      </c>
      <c r="C9" s="52">
        <v>375.24</v>
      </c>
      <c r="D9" s="53">
        <v>208394.69</v>
      </c>
      <c r="E9" s="54">
        <v>4.83</v>
      </c>
      <c r="F9" s="54">
        <v>0.45</v>
      </c>
      <c r="G9" s="54">
        <v>0.05</v>
      </c>
      <c r="H9" s="54">
        <v>1.71</v>
      </c>
      <c r="I9" s="54">
        <v>-1.52</v>
      </c>
      <c r="J9" s="54">
        <v>0.02</v>
      </c>
    </row>
    <row r="10" spans="1:11" s="5" customFormat="1" ht="27" customHeight="1" x14ac:dyDescent="0.2">
      <c r="A10" s="18">
        <v>8</v>
      </c>
      <c r="B10" s="19" t="s">
        <v>396</v>
      </c>
      <c r="C10" s="52">
        <v>953.59</v>
      </c>
      <c r="D10" s="53">
        <v>161952.49</v>
      </c>
      <c r="E10" s="54">
        <v>3.75</v>
      </c>
      <c r="F10" s="54">
        <v>0.96</v>
      </c>
      <c r="G10" s="54">
        <v>0.24</v>
      </c>
      <c r="H10" s="54">
        <v>1.08</v>
      </c>
      <c r="I10" s="54">
        <v>-3.4</v>
      </c>
      <c r="J10" s="54">
        <v>0.02</v>
      </c>
    </row>
    <row r="11" spans="1:11" s="5" customFormat="1" ht="15" customHeight="1" x14ac:dyDescent="0.2">
      <c r="A11" s="18">
        <v>9</v>
      </c>
      <c r="B11" s="19" t="s">
        <v>397</v>
      </c>
      <c r="C11" s="52">
        <v>280.44</v>
      </c>
      <c r="D11" s="53">
        <v>159544.06</v>
      </c>
      <c r="E11" s="54">
        <v>3.69</v>
      </c>
      <c r="F11" s="54">
        <v>1.01</v>
      </c>
      <c r="G11" s="54">
        <v>0.35</v>
      </c>
      <c r="H11" s="54">
        <v>1.2</v>
      </c>
      <c r="I11" s="54">
        <v>-1.62</v>
      </c>
      <c r="J11" s="54">
        <v>0.03</v>
      </c>
    </row>
    <row r="12" spans="1:11" s="5" customFormat="1" ht="15" customHeight="1" x14ac:dyDescent="0.2">
      <c r="A12" s="18">
        <v>10</v>
      </c>
      <c r="B12" s="19" t="s">
        <v>398</v>
      </c>
      <c r="C12" s="52">
        <v>513.98</v>
      </c>
      <c r="D12" s="53">
        <v>125818.44</v>
      </c>
      <c r="E12" s="54">
        <v>2.91</v>
      </c>
      <c r="F12" s="54">
        <v>1.21</v>
      </c>
      <c r="G12" s="54">
        <v>0.26</v>
      </c>
      <c r="H12" s="54">
        <v>0.9</v>
      </c>
      <c r="I12" s="54">
        <v>-1.82</v>
      </c>
      <c r="J12" s="54">
        <v>0.02</v>
      </c>
    </row>
    <row r="13" spans="1:11" s="5" customFormat="1" ht="27" customHeight="1" x14ac:dyDescent="0.2">
      <c r="A13" s="18">
        <v>11</v>
      </c>
      <c r="B13" s="19" t="s">
        <v>399</v>
      </c>
      <c r="C13" s="52">
        <v>216.46</v>
      </c>
      <c r="D13" s="53">
        <v>123769.11</v>
      </c>
      <c r="E13" s="54">
        <v>2.87</v>
      </c>
      <c r="F13" s="54">
        <v>0.77</v>
      </c>
      <c r="G13" s="54">
        <v>0.21</v>
      </c>
      <c r="H13" s="54">
        <v>0.93</v>
      </c>
      <c r="I13" s="54">
        <v>-1.74</v>
      </c>
      <c r="J13" s="54">
        <v>0.02</v>
      </c>
    </row>
    <row r="14" spans="1:11" s="5" customFormat="1" ht="15" customHeight="1" x14ac:dyDescent="0.2">
      <c r="A14" s="18">
        <v>12</v>
      </c>
      <c r="B14" s="19" t="s">
        <v>400</v>
      </c>
      <c r="C14" s="52">
        <v>892.46</v>
      </c>
      <c r="D14" s="53">
        <v>100848.73</v>
      </c>
      <c r="E14" s="54">
        <v>2.34</v>
      </c>
      <c r="F14" s="54">
        <v>1.37</v>
      </c>
      <c r="G14" s="54">
        <v>0.33</v>
      </c>
      <c r="H14" s="54">
        <v>1.33</v>
      </c>
      <c r="I14" s="54">
        <v>-8.3800000000000008</v>
      </c>
      <c r="J14" s="54">
        <v>0.02</v>
      </c>
    </row>
    <row r="15" spans="1:11" s="5" customFormat="1" ht="27" customHeight="1" x14ac:dyDescent="0.2">
      <c r="A15" s="18">
        <v>13</v>
      </c>
      <c r="B15" s="19" t="s">
        <v>401</v>
      </c>
      <c r="C15" s="52">
        <v>151.04</v>
      </c>
      <c r="D15" s="52">
        <v>90777.11</v>
      </c>
      <c r="E15" s="54">
        <v>2.1</v>
      </c>
      <c r="F15" s="54">
        <v>1.1000000000000001</v>
      </c>
      <c r="G15" s="54">
        <v>0.3</v>
      </c>
      <c r="H15" s="54">
        <v>1.6</v>
      </c>
      <c r="I15" s="54">
        <v>2.84</v>
      </c>
      <c r="J15" s="54">
        <v>0.02</v>
      </c>
    </row>
    <row r="16" spans="1:11" s="5" customFormat="1" ht="15" customHeight="1" x14ac:dyDescent="0.2">
      <c r="A16" s="18">
        <v>14</v>
      </c>
      <c r="B16" s="19" t="s">
        <v>402</v>
      </c>
      <c r="C16" s="52">
        <v>602.05999999999995</v>
      </c>
      <c r="D16" s="52">
        <v>75423.8</v>
      </c>
      <c r="E16" s="54">
        <v>1.75</v>
      </c>
      <c r="F16" s="54">
        <v>0.91</v>
      </c>
      <c r="G16" s="54">
        <v>0.22</v>
      </c>
      <c r="H16" s="54">
        <v>1.1000000000000001</v>
      </c>
      <c r="I16" s="54">
        <v>-2.11</v>
      </c>
      <c r="J16" s="54">
        <v>0.02</v>
      </c>
    </row>
    <row r="17" spans="1:10" s="5" customFormat="1" ht="15" customHeight="1" x14ac:dyDescent="0.2">
      <c r="A17" s="18">
        <v>15</v>
      </c>
      <c r="B17" s="19" t="s">
        <v>403</v>
      </c>
      <c r="C17" s="52">
        <v>95.92</v>
      </c>
      <c r="D17" s="52">
        <v>63349.64</v>
      </c>
      <c r="E17" s="54">
        <v>1.47</v>
      </c>
      <c r="F17" s="54">
        <v>0.98</v>
      </c>
      <c r="G17" s="54">
        <v>0.28999999999999998</v>
      </c>
      <c r="H17" s="54">
        <v>1.1499999999999999</v>
      </c>
      <c r="I17" s="54">
        <v>-0.52</v>
      </c>
      <c r="J17" s="54">
        <v>0.02</v>
      </c>
    </row>
    <row r="18" spans="1:10" s="5" customFormat="1" ht="15" customHeight="1" x14ac:dyDescent="0.2">
      <c r="A18" s="18">
        <v>16</v>
      </c>
      <c r="B18" s="19" t="s">
        <v>404</v>
      </c>
      <c r="C18" s="52">
        <v>115.59</v>
      </c>
      <c r="D18" s="52">
        <v>62772.57</v>
      </c>
      <c r="E18" s="54">
        <v>1.45</v>
      </c>
      <c r="F18" s="54">
        <v>1.45</v>
      </c>
      <c r="G18" s="54">
        <v>0.28000000000000003</v>
      </c>
      <c r="H18" s="54">
        <v>1.45</v>
      </c>
      <c r="I18" s="54">
        <v>2.88</v>
      </c>
      <c r="J18" s="54">
        <v>0.02</v>
      </c>
    </row>
    <row r="19" spans="1:10" s="5" customFormat="1" ht="27" customHeight="1" x14ac:dyDescent="0.2">
      <c r="A19" s="18">
        <v>17</v>
      </c>
      <c r="B19" s="19" t="s">
        <v>405</v>
      </c>
      <c r="C19" s="52">
        <v>621.6</v>
      </c>
      <c r="D19" s="52">
        <v>60223.35</v>
      </c>
      <c r="E19" s="54">
        <v>1.39</v>
      </c>
      <c r="F19" s="54">
        <v>1.22</v>
      </c>
      <c r="G19" s="54">
        <v>0.32</v>
      </c>
      <c r="H19" s="54">
        <v>1.66</v>
      </c>
      <c r="I19" s="54">
        <v>-5.0199999999999996</v>
      </c>
      <c r="J19" s="54">
        <v>0.02</v>
      </c>
    </row>
    <row r="20" spans="1:10" s="5" customFormat="1" ht="27" customHeight="1" x14ac:dyDescent="0.2">
      <c r="A20" s="18">
        <v>18</v>
      </c>
      <c r="B20" s="19" t="s">
        <v>406</v>
      </c>
      <c r="C20" s="52">
        <v>278.52</v>
      </c>
      <c r="D20" s="52">
        <v>58707.5</v>
      </c>
      <c r="E20" s="54">
        <v>1.36</v>
      </c>
      <c r="F20" s="54">
        <v>0.52</v>
      </c>
      <c r="G20" s="54">
        <v>0.06</v>
      </c>
      <c r="H20" s="54">
        <v>1.33</v>
      </c>
      <c r="I20" s="54">
        <v>4.84</v>
      </c>
      <c r="J20" s="54">
        <v>0.02</v>
      </c>
    </row>
    <row r="21" spans="1:10" s="5" customFormat="1" ht="15" customHeight="1" x14ac:dyDescent="0.2">
      <c r="A21" s="18">
        <v>19</v>
      </c>
      <c r="B21" s="19" t="s">
        <v>407</v>
      </c>
      <c r="C21" s="52">
        <v>490.6</v>
      </c>
      <c r="D21" s="52">
        <v>52130.44</v>
      </c>
      <c r="E21" s="54">
        <v>1.21</v>
      </c>
      <c r="F21" s="54">
        <v>0.71</v>
      </c>
      <c r="G21" s="54">
        <v>0.09</v>
      </c>
      <c r="H21" s="54">
        <v>1.94</v>
      </c>
      <c r="I21" s="54">
        <v>13.42</v>
      </c>
      <c r="J21" s="54">
        <v>0.02</v>
      </c>
    </row>
    <row r="22" spans="1:10" s="5" customFormat="1" ht="27" customHeight="1" x14ac:dyDescent="0.2">
      <c r="A22" s="18">
        <v>20</v>
      </c>
      <c r="B22" s="19" t="s">
        <v>408</v>
      </c>
      <c r="C22" s="52">
        <v>239.93</v>
      </c>
      <c r="D22" s="52">
        <v>49130.81</v>
      </c>
      <c r="E22" s="54">
        <v>1.1399999999999999</v>
      </c>
      <c r="F22" s="54">
        <v>0.83</v>
      </c>
      <c r="G22" s="54">
        <v>0.08</v>
      </c>
      <c r="H22" s="54">
        <v>1.87</v>
      </c>
      <c r="I22" s="54">
        <v>5.12</v>
      </c>
      <c r="J22" s="54">
        <v>0.02</v>
      </c>
    </row>
    <row r="23" spans="1:10" s="5" customFormat="1" ht="15" customHeight="1" x14ac:dyDescent="0.2">
      <c r="A23" s="18">
        <v>21</v>
      </c>
      <c r="B23" s="19" t="s">
        <v>409</v>
      </c>
      <c r="C23" s="52">
        <v>8245.4599999999991</v>
      </c>
      <c r="D23" s="52">
        <v>47751.55</v>
      </c>
      <c r="E23" s="54">
        <v>1.1100000000000001</v>
      </c>
      <c r="F23" s="54">
        <v>0.65</v>
      </c>
      <c r="G23" s="54">
        <v>0.16</v>
      </c>
      <c r="H23" s="54">
        <v>1.79</v>
      </c>
      <c r="I23" s="54">
        <v>1.1100000000000001</v>
      </c>
      <c r="J23" s="54">
        <v>0.04</v>
      </c>
    </row>
    <row r="24" spans="1:10" s="5" customFormat="1" ht="27" customHeight="1" x14ac:dyDescent="0.2">
      <c r="A24" s="18">
        <v>22</v>
      </c>
      <c r="B24" s="19" t="s">
        <v>410</v>
      </c>
      <c r="C24" s="52">
        <v>6416.62</v>
      </c>
      <c r="D24" s="52">
        <v>45783.85</v>
      </c>
      <c r="E24" s="54">
        <v>1.06</v>
      </c>
      <c r="F24" s="54">
        <v>1.03</v>
      </c>
      <c r="G24" s="54">
        <v>0.2</v>
      </c>
      <c r="H24" s="54">
        <v>2.0299999999999998</v>
      </c>
      <c r="I24" s="54">
        <v>5.24</v>
      </c>
      <c r="J24" s="54">
        <v>0.03</v>
      </c>
    </row>
    <row r="25" spans="1:10" s="5" customFormat="1" ht="15" customHeight="1" x14ac:dyDescent="0.2">
      <c r="A25" s="18">
        <v>23</v>
      </c>
      <c r="B25" s="19" t="s">
        <v>411</v>
      </c>
      <c r="C25" s="52">
        <v>88.78</v>
      </c>
      <c r="D25" s="52">
        <v>42777.440000000002</v>
      </c>
      <c r="E25" s="54">
        <v>0.99</v>
      </c>
      <c r="F25" s="54">
        <v>0.83</v>
      </c>
      <c r="G25" s="54">
        <v>0.15</v>
      </c>
      <c r="H25" s="54">
        <v>1.41</v>
      </c>
      <c r="I25" s="54">
        <v>2.95</v>
      </c>
      <c r="J25" s="54">
        <v>0.02</v>
      </c>
    </row>
    <row r="26" spans="1:10" s="5" customFormat="1" ht="15" customHeight="1" x14ac:dyDescent="0.2">
      <c r="A26" s="18">
        <v>24</v>
      </c>
      <c r="B26" s="19" t="s">
        <v>412</v>
      </c>
      <c r="C26" s="52">
        <v>462.39</v>
      </c>
      <c r="D26" s="52">
        <v>42752.63</v>
      </c>
      <c r="E26" s="54">
        <v>0.99</v>
      </c>
      <c r="F26" s="54">
        <v>1.0900000000000001</v>
      </c>
      <c r="G26" s="54">
        <v>0.05</v>
      </c>
      <c r="H26" s="54">
        <v>7.02</v>
      </c>
      <c r="I26" s="54">
        <v>19.09</v>
      </c>
      <c r="J26" s="54">
        <v>0.04</v>
      </c>
    </row>
    <row r="27" spans="1:10" s="5" customFormat="1" ht="39" customHeight="1" x14ac:dyDescent="0.2">
      <c r="A27" s="18">
        <v>25</v>
      </c>
      <c r="B27" s="19" t="s">
        <v>413</v>
      </c>
      <c r="C27" s="52">
        <v>5231.59</v>
      </c>
      <c r="D27" s="52">
        <v>42090.23</v>
      </c>
      <c r="E27" s="54">
        <v>0.97</v>
      </c>
      <c r="F27" s="54">
        <v>0.57999999999999996</v>
      </c>
      <c r="G27" s="54">
        <v>0.13</v>
      </c>
      <c r="H27" s="54">
        <v>1.43</v>
      </c>
      <c r="I27" s="54">
        <v>-3.05</v>
      </c>
      <c r="J27" s="54">
        <v>0.03</v>
      </c>
    </row>
    <row r="28" spans="1:10" s="5" customFormat="1" ht="15" customHeight="1" x14ac:dyDescent="0.2">
      <c r="A28" s="18">
        <v>26</v>
      </c>
      <c r="B28" s="19" t="s">
        <v>414</v>
      </c>
      <c r="C28" s="52">
        <v>1998.7</v>
      </c>
      <c r="D28" s="52">
        <v>41955.31</v>
      </c>
      <c r="E28" s="54">
        <v>0.97</v>
      </c>
      <c r="F28" s="54">
        <v>1.17</v>
      </c>
      <c r="G28" s="54">
        <v>0.19</v>
      </c>
      <c r="H28" s="54">
        <v>1.18</v>
      </c>
      <c r="I28" s="54">
        <v>3.8</v>
      </c>
      <c r="J28" s="54">
        <v>0.04</v>
      </c>
    </row>
    <row r="29" spans="1:10" s="5" customFormat="1" ht="15" customHeight="1" x14ac:dyDescent="0.2">
      <c r="A29" s="18">
        <v>27</v>
      </c>
      <c r="B29" s="19" t="s">
        <v>415</v>
      </c>
      <c r="C29" s="52">
        <v>904.82</v>
      </c>
      <c r="D29" s="52">
        <v>41723.65</v>
      </c>
      <c r="E29" s="54">
        <v>0.97</v>
      </c>
      <c r="F29" s="54">
        <v>0.5</v>
      </c>
      <c r="G29" s="54">
        <v>7.0000000000000007E-2</v>
      </c>
      <c r="H29" s="54">
        <v>1.39</v>
      </c>
      <c r="I29" s="54">
        <v>-0.08</v>
      </c>
      <c r="J29" s="54">
        <v>0.02</v>
      </c>
    </row>
    <row r="30" spans="1:10" s="5" customFormat="1" ht="15" customHeight="1" x14ac:dyDescent="0.2">
      <c r="A30" s="18">
        <v>28</v>
      </c>
      <c r="B30" s="19" t="s">
        <v>416</v>
      </c>
      <c r="C30" s="52">
        <v>274.64</v>
      </c>
      <c r="D30" s="52">
        <v>39933.96</v>
      </c>
      <c r="E30" s="54">
        <v>0.92</v>
      </c>
      <c r="F30" s="54">
        <v>1.1599999999999999</v>
      </c>
      <c r="G30" s="54">
        <v>0.3</v>
      </c>
      <c r="H30" s="54">
        <v>1.57</v>
      </c>
      <c r="I30" s="54">
        <v>8.73</v>
      </c>
      <c r="J30" s="54">
        <v>0.03</v>
      </c>
    </row>
    <row r="31" spans="1:10" s="5" customFormat="1" ht="15" customHeight="1" x14ac:dyDescent="0.2">
      <c r="A31" s="18">
        <v>29</v>
      </c>
      <c r="B31" s="19" t="s">
        <v>417</v>
      </c>
      <c r="C31" s="52">
        <v>289.37</v>
      </c>
      <c r="D31" s="52">
        <v>39448.879999999997</v>
      </c>
      <c r="E31" s="54">
        <v>0.91</v>
      </c>
      <c r="F31" s="54">
        <v>0.95</v>
      </c>
      <c r="G31" s="54">
        <v>0.22</v>
      </c>
      <c r="H31" s="54">
        <v>1.18</v>
      </c>
      <c r="I31" s="54">
        <v>13.55</v>
      </c>
      <c r="J31" s="54">
        <v>0.02</v>
      </c>
    </row>
    <row r="32" spans="1:10" s="5" customFormat="1" ht="15" customHeight="1" x14ac:dyDescent="0.2">
      <c r="A32" s="18">
        <v>30</v>
      </c>
      <c r="B32" s="19" t="s">
        <v>418</v>
      </c>
      <c r="C32" s="52">
        <v>79.569999999999993</v>
      </c>
      <c r="D32" s="52">
        <v>39079.550000000003</v>
      </c>
      <c r="E32" s="54">
        <v>0.91</v>
      </c>
      <c r="F32" s="54">
        <v>1.43</v>
      </c>
      <c r="G32" s="54">
        <v>0.34</v>
      </c>
      <c r="H32" s="54">
        <v>1.45</v>
      </c>
      <c r="I32" s="54">
        <v>6.08</v>
      </c>
      <c r="J32" s="54">
        <v>0.03</v>
      </c>
    </row>
    <row r="33" spans="1:10" s="5" customFormat="1" ht="15" customHeight="1" x14ac:dyDescent="0.2">
      <c r="A33" s="18">
        <v>31</v>
      </c>
      <c r="B33" s="19" t="s">
        <v>419</v>
      </c>
      <c r="C33" s="52">
        <v>6207.41</v>
      </c>
      <c r="D33" s="52">
        <v>38263.089999999997</v>
      </c>
      <c r="E33" s="54">
        <v>0.89</v>
      </c>
      <c r="F33" s="54">
        <v>0.47</v>
      </c>
      <c r="G33" s="54">
        <v>0.06</v>
      </c>
      <c r="H33" s="54">
        <v>1.61</v>
      </c>
      <c r="I33" s="54">
        <v>1.62</v>
      </c>
      <c r="J33" s="54">
        <v>0.03</v>
      </c>
    </row>
    <row r="34" spans="1:10" s="5" customFormat="1" ht="15" customHeight="1" x14ac:dyDescent="0.2">
      <c r="A34" s="18">
        <v>32</v>
      </c>
      <c r="B34" s="19" t="s">
        <v>420</v>
      </c>
      <c r="C34" s="52">
        <v>1126.6099999999999</v>
      </c>
      <c r="D34" s="52">
        <v>37775.43</v>
      </c>
      <c r="E34" s="54">
        <v>0.87</v>
      </c>
      <c r="F34" s="54">
        <v>1.35</v>
      </c>
      <c r="G34" s="54">
        <v>0.28999999999999998</v>
      </c>
      <c r="H34" s="54">
        <v>2.0699999999999998</v>
      </c>
      <c r="I34" s="54">
        <v>4.9800000000000004</v>
      </c>
      <c r="J34" s="54">
        <v>0.02</v>
      </c>
    </row>
    <row r="35" spans="1:10" s="5" customFormat="1" ht="27" customHeight="1" x14ac:dyDescent="0.2">
      <c r="A35" s="18">
        <v>33</v>
      </c>
      <c r="B35" s="19" t="s">
        <v>421</v>
      </c>
      <c r="C35" s="52">
        <v>9711.81</v>
      </c>
      <c r="D35" s="52">
        <v>35108.19</v>
      </c>
      <c r="E35" s="54">
        <v>0.81</v>
      </c>
      <c r="F35" s="54">
        <v>1.35</v>
      </c>
      <c r="G35" s="54">
        <v>0.19</v>
      </c>
      <c r="H35" s="54">
        <v>2.2599999999999998</v>
      </c>
      <c r="I35" s="54">
        <v>5.66</v>
      </c>
      <c r="J35" s="54">
        <v>0.04</v>
      </c>
    </row>
    <row r="36" spans="1:10" s="5" customFormat="1" ht="15" customHeight="1" x14ac:dyDescent="0.2">
      <c r="A36" s="18">
        <v>34</v>
      </c>
      <c r="B36" s="19" t="s">
        <v>422</v>
      </c>
      <c r="C36" s="52">
        <v>39.94</v>
      </c>
      <c r="D36" s="52">
        <v>34117.360000000001</v>
      </c>
      <c r="E36" s="54">
        <v>0.79</v>
      </c>
      <c r="F36" s="54">
        <v>0.94</v>
      </c>
      <c r="G36" s="54">
        <v>0.19</v>
      </c>
      <c r="H36" s="54">
        <v>2.2799999999999998</v>
      </c>
      <c r="I36" s="54">
        <v>0.54</v>
      </c>
      <c r="J36" s="54">
        <v>0.02</v>
      </c>
    </row>
    <row r="37" spans="1:10" s="5" customFormat="1" ht="15" customHeight="1" x14ac:dyDescent="0.2">
      <c r="A37" s="18">
        <v>35</v>
      </c>
      <c r="B37" s="19" t="s">
        <v>423</v>
      </c>
      <c r="C37" s="52">
        <v>577.47</v>
      </c>
      <c r="D37" s="52">
        <v>32278.68</v>
      </c>
      <c r="E37" s="54">
        <v>0.75</v>
      </c>
      <c r="F37" s="54">
        <v>1.41</v>
      </c>
      <c r="G37" s="54">
        <v>0.2</v>
      </c>
      <c r="H37" s="54">
        <v>4.38</v>
      </c>
      <c r="I37" s="54">
        <v>-2.0699999999999998</v>
      </c>
      <c r="J37" s="54">
        <v>0.03</v>
      </c>
    </row>
    <row r="38" spans="1:10" s="5" customFormat="1" ht="15" customHeight="1" x14ac:dyDescent="0.2">
      <c r="A38" s="18">
        <v>36</v>
      </c>
      <c r="B38" s="19" t="s">
        <v>424</v>
      </c>
      <c r="C38" s="52">
        <v>101.87</v>
      </c>
      <c r="D38" s="52">
        <v>32183.94</v>
      </c>
      <c r="E38" s="54">
        <v>0.75</v>
      </c>
      <c r="F38" s="54">
        <v>1.28</v>
      </c>
      <c r="G38" s="54">
        <v>0.23</v>
      </c>
      <c r="H38" s="54">
        <v>1.21</v>
      </c>
      <c r="I38" s="54">
        <v>11.58</v>
      </c>
      <c r="J38" s="54">
        <v>0.02</v>
      </c>
    </row>
    <row r="39" spans="1:10" s="5" customFormat="1" ht="27" customHeight="1" x14ac:dyDescent="0.2">
      <c r="A39" s="18">
        <v>37</v>
      </c>
      <c r="B39" s="19" t="s">
        <v>425</v>
      </c>
      <c r="C39" s="52">
        <v>83.02</v>
      </c>
      <c r="D39" s="52">
        <v>31899.14</v>
      </c>
      <c r="E39" s="54">
        <v>0.74</v>
      </c>
      <c r="F39" s="54">
        <v>0.57999999999999996</v>
      </c>
      <c r="G39" s="54">
        <v>0.06</v>
      </c>
      <c r="H39" s="54">
        <v>2.1</v>
      </c>
      <c r="I39" s="54">
        <v>-3.28</v>
      </c>
      <c r="J39" s="54">
        <v>0.03</v>
      </c>
    </row>
    <row r="40" spans="1:10" s="5" customFormat="1" ht="15" customHeight="1" x14ac:dyDescent="0.2">
      <c r="A40" s="18">
        <v>38</v>
      </c>
      <c r="B40" s="19" t="s">
        <v>426</v>
      </c>
      <c r="C40" s="52">
        <v>371.72</v>
      </c>
      <c r="D40" s="52">
        <v>31484.66</v>
      </c>
      <c r="E40" s="54">
        <v>0.73</v>
      </c>
      <c r="F40" s="54">
        <v>1.36</v>
      </c>
      <c r="G40" s="54">
        <v>0.18</v>
      </c>
      <c r="H40" s="54">
        <v>4.62</v>
      </c>
      <c r="I40" s="54">
        <v>-14.16</v>
      </c>
      <c r="J40" s="54">
        <v>0.03</v>
      </c>
    </row>
    <row r="41" spans="1:10" s="5" customFormat="1" ht="15" customHeight="1" x14ac:dyDescent="0.2">
      <c r="A41" s="18">
        <v>39</v>
      </c>
      <c r="B41" s="19" t="s">
        <v>427</v>
      </c>
      <c r="C41" s="52">
        <v>2255.0700000000002</v>
      </c>
      <c r="D41" s="52">
        <v>30849.37</v>
      </c>
      <c r="E41" s="54">
        <v>0.71</v>
      </c>
      <c r="F41" s="54">
        <v>0.79</v>
      </c>
      <c r="G41" s="54">
        <v>0.11</v>
      </c>
      <c r="H41" s="54">
        <v>1.71</v>
      </c>
      <c r="I41" s="54">
        <v>2.97</v>
      </c>
      <c r="J41" s="54">
        <v>0.02</v>
      </c>
    </row>
    <row r="42" spans="1:10" s="5" customFormat="1" ht="15" customHeight="1" x14ac:dyDescent="0.2">
      <c r="A42" s="18">
        <v>40</v>
      </c>
      <c r="B42" s="19" t="s">
        <v>428</v>
      </c>
      <c r="C42" s="52">
        <v>131.52000000000001</v>
      </c>
      <c r="D42" s="52">
        <v>30658.880000000001</v>
      </c>
      <c r="E42" s="54">
        <v>0.71</v>
      </c>
      <c r="F42" s="54">
        <v>1.1599999999999999</v>
      </c>
      <c r="G42" s="54">
        <v>0.26</v>
      </c>
      <c r="H42" s="54">
        <v>1.94</v>
      </c>
      <c r="I42" s="54">
        <v>7.77</v>
      </c>
      <c r="J42" s="54">
        <v>0.02</v>
      </c>
    </row>
    <row r="43" spans="1:10" s="5" customFormat="1" ht="27" customHeight="1" x14ac:dyDescent="0.2">
      <c r="A43" s="18">
        <v>41</v>
      </c>
      <c r="B43" s="19" t="s">
        <v>429</v>
      </c>
      <c r="C43" s="52">
        <v>224.55</v>
      </c>
      <c r="D43" s="52">
        <v>28571.34</v>
      </c>
      <c r="E43" s="54">
        <v>0.66</v>
      </c>
      <c r="F43" s="54">
        <v>1.5</v>
      </c>
      <c r="G43" s="54">
        <v>0.25</v>
      </c>
      <c r="H43" s="54">
        <v>1.87</v>
      </c>
      <c r="I43" s="54">
        <v>-6.12</v>
      </c>
      <c r="J43" s="54">
        <v>0.03</v>
      </c>
    </row>
    <row r="44" spans="1:10" s="5" customFormat="1" ht="15" customHeight="1" x14ac:dyDescent="0.2">
      <c r="A44" s="18">
        <v>42</v>
      </c>
      <c r="B44" s="19" t="s">
        <v>430</v>
      </c>
      <c r="C44" s="52">
        <v>241.72</v>
      </c>
      <c r="D44" s="52">
        <v>28538.19</v>
      </c>
      <c r="E44" s="54">
        <v>0.66</v>
      </c>
      <c r="F44" s="54">
        <v>1.31</v>
      </c>
      <c r="G44" s="54">
        <v>0.28000000000000003</v>
      </c>
      <c r="H44" s="54">
        <v>2.27</v>
      </c>
      <c r="I44" s="54">
        <v>2.37</v>
      </c>
      <c r="J44" s="54">
        <v>0.03</v>
      </c>
    </row>
    <row r="45" spans="1:10" s="5" customFormat="1" ht="15" customHeight="1" x14ac:dyDescent="0.2">
      <c r="A45" s="18">
        <v>43</v>
      </c>
      <c r="B45" s="19" t="s">
        <v>431</v>
      </c>
      <c r="C45" s="52">
        <v>161.08000000000001</v>
      </c>
      <c r="D45" s="52">
        <v>28138.63</v>
      </c>
      <c r="E45" s="54">
        <v>0.65</v>
      </c>
      <c r="F45" s="54">
        <v>0.82</v>
      </c>
      <c r="G45" s="54">
        <v>0.16</v>
      </c>
      <c r="H45" s="54">
        <v>1.38</v>
      </c>
      <c r="I45" s="54">
        <v>7.2</v>
      </c>
      <c r="J45" s="54">
        <v>0.02</v>
      </c>
    </row>
    <row r="46" spans="1:10" s="5" customFormat="1" ht="15" customHeight="1" x14ac:dyDescent="0.2">
      <c r="A46" s="18">
        <v>44</v>
      </c>
      <c r="B46" s="19" t="s">
        <v>432</v>
      </c>
      <c r="C46" s="52">
        <v>27.27</v>
      </c>
      <c r="D46" s="52">
        <v>27638.16</v>
      </c>
      <c r="E46" s="54">
        <v>0.64</v>
      </c>
      <c r="F46" s="54">
        <v>1.36</v>
      </c>
      <c r="G46" s="54">
        <v>0.27</v>
      </c>
      <c r="H46" s="54">
        <v>2.2799999999999998</v>
      </c>
      <c r="I46" s="54">
        <v>4.54</v>
      </c>
      <c r="J46" s="54">
        <v>0.02</v>
      </c>
    </row>
    <row r="47" spans="1:10" s="5" customFormat="1" ht="27" customHeight="1" x14ac:dyDescent="0.2">
      <c r="A47" s="18">
        <v>45</v>
      </c>
      <c r="B47" s="19" t="s">
        <v>433</v>
      </c>
      <c r="C47" s="52">
        <v>2169.25</v>
      </c>
      <c r="D47" s="52">
        <v>27092.560000000001</v>
      </c>
      <c r="E47" s="54">
        <v>0.63</v>
      </c>
      <c r="F47" s="54">
        <v>1.41</v>
      </c>
      <c r="G47" s="54">
        <v>0.17</v>
      </c>
      <c r="H47" s="54">
        <v>1.99</v>
      </c>
      <c r="I47" s="54">
        <v>-2.29</v>
      </c>
      <c r="J47" s="54">
        <v>0.03</v>
      </c>
    </row>
    <row r="48" spans="1:10" s="5" customFormat="1" ht="27" customHeight="1" x14ac:dyDescent="0.2">
      <c r="A48" s="18">
        <v>46</v>
      </c>
      <c r="B48" s="19" t="s">
        <v>434</v>
      </c>
      <c r="C48" s="52">
        <v>96.05</v>
      </c>
      <c r="D48" s="52">
        <v>25998.48</v>
      </c>
      <c r="E48" s="54">
        <v>0.6</v>
      </c>
      <c r="F48" s="54">
        <v>0.69</v>
      </c>
      <c r="G48" s="54">
        <v>0.04</v>
      </c>
      <c r="H48" s="54">
        <v>3.28</v>
      </c>
      <c r="I48" s="54">
        <v>22.75</v>
      </c>
      <c r="J48" s="54">
        <v>0.04</v>
      </c>
    </row>
    <row r="49" spans="1:10" s="5" customFormat="1" ht="39" customHeight="1" x14ac:dyDescent="0.2">
      <c r="A49" s="18">
        <v>47</v>
      </c>
      <c r="B49" s="19" t="s">
        <v>435</v>
      </c>
      <c r="C49" s="52">
        <v>414.19</v>
      </c>
      <c r="D49" s="52">
        <v>25643.15</v>
      </c>
      <c r="E49" s="54">
        <v>0.59</v>
      </c>
      <c r="F49" s="54">
        <v>1.4</v>
      </c>
      <c r="G49" s="54">
        <v>0.25</v>
      </c>
      <c r="H49" s="54">
        <v>2.58</v>
      </c>
      <c r="I49" s="54">
        <v>-3.78</v>
      </c>
      <c r="J49" s="54">
        <v>0.03</v>
      </c>
    </row>
    <row r="50" spans="1:10" s="5" customFormat="1" ht="15" customHeight="1" x14ac:dyDescent="0.2">
      <c r="A50" s="18">
        <v>48</v>
      </c>
      <c r="B50" s="19" t="s">
        <v>436</v>
      </c>
      <c r="C50" s="52">
        <v>1849.61</v>
      </c>
      <c r="D50" s="52">
        <v>24984.32</v>
      </c>
      <c r="E50" s="54">
        <v>0.57999999999999996</v>
      </c>
      <c r="F50" s="54">
        <v>0.17</v>
      </c>
      <c r="G50" s="54">
        <v>0.01</v>
      </c>
      <c r="H50" s="54">
        <v>2.66</v>
      </c>
      <c r="I50" s="54">
        <v>0.48</v>
      </c>
      <c r="J50" s="54">
        <v>0.03</v>
      </c>
    </row>
    <row r="51" spans="1:10" s="5" customFormat="1" ht="27" customHeight="1" x14ac:dyDescent="0.2">
      <c r="A51" s="18">
        <v>49</v>
      </c>
      <c r="B51" s="19" t="s">
        <v>437</v>
      </c>
      <c r="C51" s="52">
        <v>85.34</v>
      </c>
      <c r="D51" s="52">
        <v>21808.2</v>
      </c>
      <c r="E51" s="54">
        <v>0.51</v>
      </c>
      <c r="F51" s="54">
        <v>2.12</v>
      </c>
      <c r="G51" s="54">
        <v>0.26</v>
      </c>
      <c r="H51" s="54">
        <v>3.15</v>
      </c>
      <c r="I51" s="54">
        <v>-1.42</v>
      </c>
      <c r="J51" s="54">
        <v>0.04</v>
      </c>
    </row>
    <row r="52" spans="1:10" s="5" customFormat="1" ht="27" customHeight="1" x14ac:dyDescent="0.2">
      <c r="A52" s="18">
        <v>50</v>
      </c>
      <c r="B52" s="19" t="s">
        <v>438</v>
      </c>
      <c r="C52" s="52">
        <v>1523.82</v>
      </c>
      <c r="D52" s="52">
        <v>16676.939999999999</v>
      </c>
      <c r="E52" s="54">
        <v>0.39</v>
      </c>
      <c r="F52" s="54">
        <v>1.43</v>
      </c>
      <c r="G52" s="54">
        <v>0.13</v>
      </c>
      <c r="H52" s="54">
        <v>2.1</v>
      </c>
      <c r="I52" s="54">
        <v>-4.3499999999999996</v>
      </c>
      <c r="J52" s="54">
        <v>0.03</v>
      </c>
    </row>
    <row r="53" spans="1:10" s="5" customFormat="1" ht="24.75" customHeight="1" x14ac:dyDescent="0.2">
      <c r="A53" s="391" t="s">
        <v>1021</v>
      </c>
      <c r="B53" s="391"/>
      <c r="C53" s="391"/>
      <c r="D53" s="391"/>
      <c r="E53" s="391"/>
      <c r="F53" s="391"/>
      <c r="G53" s="391"/>
      <c r="H53" s="391"/>
      <c r="I53" s="391"/>
      <c r="J53" s="391"/>
    </row>
    <row r="54" spans="1:10" s="5" customFormat="1" ht="24" customHeight="1" x14ac:dyDescent="0.2">
      <c r="A54" s="391" t="s">
        <v>381</v>
      </c>
      <c r="B54" s="391"/>
      <c r="C54" s="391"/>
      <c r="D54" s="391"/>
      <c r="E54" s="391"/>
      <c r="F54" s="391"/>
      <c r="G54" s="391"/>
      <c r="H54" s="391"/>
      <c r="I54" s="391"/>
      <c r="J54" s="391"/>
    </row>
    <row r="55" spans="1:10" s="5" customFormat="1" ht="13.5" customHeight="1" x14ac:dyDescent="0.2">
      <c r="A55" s="391" t="s">
        <v>439</v>
      </c>
      <c r="B55" s="391"/>
      <c r="C55" s="391"/>
      <c r="D55" s="391"/>
      <c r="E55" s="391"/>
      <c r="F55" s="391"/>
      <c r="G55" s="391"/>
      <c r="H55" s="391"/>
      <c r="I55" s="391"/>
      <c r="J55" s="391"/>
    </row>
    <row r="56" spans="1:10" s="5" customFormat="1" ht="24" customHeight="1" x14ac:dyDescent="0.2">
      <c r="A56" s="391" t="s">
        <v>383</v>
      </c>
      <c r="B56" s="391"/>
      <c r="C56" s="391"/>
      <c r="D56" s="391"/>
      <c r="E56" s="391"/>
      <c r="F56" s="391"/>
      <c r="G56" s="391"/>
      <c r="H56" s="391"/>
      <c r="I56" s="391"/>
      <c r="J56" s="391"/>
    </row>
    <row r="57" spans="1:10" s="5" customFormat="1" ht="13.5" customHeight="1" x14ac:dyDescent="0.2">
      <c r="A57" s="391" t="s">
        <v>440</v>
      </c>
      <c r="B57" s="391"/>
      <c r="C57" s="391"/>
      <c r="D57" s="391"/>
      <c r="E57" s="391"/>
      <c r="F57" s="391"/>
      <c r="G57" s="391"/>
      <c r="H57" s="391"/>
      <c r="I57" s="391"/>
      <c r="J57" s="391"/>
    </row>
    <row r="58" spans="1:10" s="5" customFormat="1" ht="13.5" customHeight="1" x14ac:dyDescent="0.2">
      <c r="A58" s="391" t="s">
        <v>441</v>
      </c>
      <c r="B58" s="391"/>
      <c r="C58" s="391"/>
      <c r="D58" s="391"/>
      <c r="E58" s="391"/>
      <c r="F58" s="391"/>
      <c r="G58" s="391"/>
      <c r="H58" s="391"/>
      <c r="I58" s="391"/>
      <c r="J58" s="391"/>
    </row>
    <row r="59" spans="1:10" s="5" customFormat="1" ht="26.1" customHeight="1" x14ac:dyDescent="0.2"/>
  </sheetData>
  <customSheetViews>
    <customSheetView guid="{B9B27D37-53F8-4AD8-9221-6458C3026417}"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K49"/>
  <sheetViews>
    <sheetView topLeftCell="A13" zoomScaleNormal="100" workbookViewId="0">
      <selection activeCell="J12" sqref="J12"/>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446" t="s">
        <v>442</v>
      </c>
      <c r="B1" s="446"/>
    </row>
    <row r="2" spans="1:10" s="5" customFormat="1" ht="43.5" customHeight="1" x14ac:dyDescent="0.2">
      <c r="A2" s="46" t="s">
        <v>443</v>
      </c>
      <c r="B2" s="46" t="s">
        <v>341</v>
      </c>
      <c r="C2" s="46" t="s">
        <v>444</v>
      </c>
      <c r="D2" s="46" t="s">
        <v>445</v>
      </c>
      <c r="E2" s="46" t="s">
        <v>446</v>
      </c>
      <c r="F2" s="46" t="s">
        <v>345</v>
      </c>
      <c r="G2" s="46" t="s">
        <v>447</v>
      </c>
      <c r="H2" s="46" t="s">
        <v>448</v>
      </c>
      <c r="I2" s="46" t="s">
        <v>449</v>
      </c>
      <c r="J2" s="46" t="s">
        <v>450</v>
      </c>
    </row>
    <row r="3" spans="1:10" s="5" customFormat="1" ht="18" customHeight="1" x14ac:dyDescent="0.2">
      <c r="A3" s="55">
        <v>1</v>
      </c>
      <c r="B3" s="56" t="s">
        <v>457</v>
      </c>
      <c r="C3" s="57">
        <v>544.38955439999995</v>
      </c>
      <c r="D3" s="59">
        <v>444011.58975382999</v>
      </c>
      <c r="E3" s="58">
        <v>11.08</v>
      </c>
      <c r="F3" s="58">
        <v>0.67</v>
      </c>
      <c r="G3" s="58">
        <v>0.27</v>
      </c>
      <c r="H3" s="58">
        <v>0.88</v>
      </c>
      <c r="I3" s="58">
        <v>-0.12</v>
      </c>
      <c r="J3" s="58" t="s">
        <v>898</v>
      </c>
    </row>
    <row r="4" spans="1:10" s="5" customFormat="1" ht="18" customHeight="1" x14ac:dyDescent="0.2">
      <c r="A4" s="55">
        <v>2</v>
      </c>
      <c r="B4" s="56" t="s">
        <v>351</v>
      </c>
      <c r="C4" s="57">
        <v>6338.666013</v>
      </c>
      <c r="D4" s="59">
        <v>398928.698945835</v>
      </c>
      <c r="E4" s="58">
        <v>9.9600000000000009</v>
      </c>
      <c r="F4" s="58">
        <v>1.45</v>
      </c>
      <c r="G4" s="58">
        <v>0.44</v>
      </c>
      <c r="H4" s="58">
        <v>1.67</v>
      </c>
      <c r="I4" s="58">
        <v>0.32</v>
      </c>
      <c r="J4" s="58" t="s">
        <v>898</v>
      </c>
    </row>
    <row r="5" spans="1:10" s="5" customFormat="1" ht="18" customHeight="1" x14ac:dyDescent="0.2">
      <c r="A5" s="55">
        <v>3</v>
      </c>
      <c r="B5" s="56" t="s">
        <v>352</v>
      </c>
      <c r="C5" s="57">
        <v>344.04356300000001</v>
      </c>
      <c r="D5" s="59">
        <v>304728.98712980002</v>
      </c>
      <c r="E5" s="58">
        <v>7.61</v>
      </c>
      <c r="F5" s="58">
        <v>1.2</v>
      </c>
      <c r="G5" s="58">
        <v>0.41</v>
      </c>
      <c r="H5" s="58">
        <v>1.3</v>
      </c>
      <c r="I5" s="58">
        <v>-4.41</v>
      </c>
      <c r="J5" s="58" t="s">
        <v>898</v>
      </c>
    </row>
    <row r="6" spans="1:10" s="5" customFormat="1" ht="18" customHeight="1" x14ac:dyDescent="0.2">
      <c r="A6" s="55">
        <v>4</v>
      </c>
      <c r="B6" s="56" t="s">
        <v>460</v>
      </c>
      <c r="C6" s="57">
        <v>2184.326161</v>
      </c>
      <c r="D6" s="59">
        <v>278134.91000946</v>
      </c>
      <c r="E6" s="58">
        <v>6.94</v>
      </c>
      <c r="F6" s="58">
        <v>0.76</v>
      </c>
      <c r="G6" s="58">
        <v>0.15</v>
      </c>
      <c r="H6" s="58">
        <v>1.37</v>
      </c>
      <c r="I6" s="58">
        <v>-2.08</v>
      </c>
      <c r="J6" s="58" t="s">
        <v>898</v>
      </c>
    </row>
    <row r="7" spans="1:10" s="5" customFormat="1" ht="18" customHeight="1" x14ac:dyDescent="0.2">
      <c r="A7" s="55">
        <v>5</v>
      </c>
      <c r="B7" s="56" t="s">
        <v>467</v>
      </c>
      <c r="C7" s="57">
        <v>1224.6386184999999</v>
      </c>
      <c r="D7" s="59">
        <v>238033.452237675</v>
      </c>
      <c r="E7" s="58">
        <v>5.94</v>
      </c>
      <c r="F7" s="58">
        <v>0.95</v>
      </c>
      <c r="G7" s="58">
        <v>0.32</v>
      </c>
      <c r="H7" s="58">
        <v>1.2</v>
      </c>
      <c r="I7" s="58">
        <v>-0.94</v>
      </c>
      <c r="J7" s="58" t="s">
        <v>898</v>
      </c>
    </row>
    <row r="8" spans="1:10" s="5" customFormat="1" ht="18" customHeight="1" x14ac:dyDescent="0.2">
      <c r="A8" s="55">
        <v>6</v>
      </c>
      <c r="B8" s="56" t="s">
        <v>462</v>
      </c>
      <c r="C8" s="57">
        <v>1288.5280352</v>
      </c>
      <c r="D8" s="59">
        <v>225519.98697369499</v>
      </c>
      <c r="E8" s="58">
        <v>5.63</v>
      </c>
      <c r="F8" s="58">
        <v>1.22</v>
      </c>
      <c r="G8" s="58">
        <v>0.24</v>
      </c>
      <c r="H8" s="58">
        <v>1.65</v>
      </c>
      <c r="I8" s="58">
        <v>-4.08</v>
      </c>
      <c r="J8" s="58" t="s">
        <v>898</v>
      </c>
    </row>
    <row r="9" spans="1:10" s="5" customFormat="1" ht="18" customHeight="1" x14ac:dyDescent="0.2">
      <c r="A9" s="55">
        <v>7</v>
      </c>
      <c r="B9" s="56" t="s">
        <v>477</v>
      </c>
      <c r="C9" s="57">
        <v>382.85751820000002</v>
      </c>
      <c r="D9" s="59">
        <v>223144.70648379001</v>
      </c>
      <c r="E9" s="58">
        <v>5.57</v>
      </c>
      <c r="F9" s="58">
        <v>0.56000000000000005</v>
      </c>
      <c r="G9" s="58">
        <v>0.08</v>
      </c>
      <c r="H9" s="58">
        <v>1.34</v>
      </c>
      <c r="I9" s="58">
        <v>-1.55</v>
      </c>
      <c r="J9" s="58" t="s">
        <v>898</v>
      </c>
    </row>
    <row r="10" spans="1:10" s="5" customFormat="1" ht="18" customHeight="1" x14ac:dyDescent="0.2">
      <c r="A10" s="55">
        <v>8</v>
      </c>
      <c r="B10" s="56" t="s">
        <v>483</v>
      </c>
      <c r="C10" s="57">
        <v>280.4705012</v>
      </c>
      <c r="D10" s="59">
        <v>159009.551687475</v>
      </c>
      <c r="E10" s="58">
        <v>3.97</v>
      </c>
      <c r="F10" s="58">
        <v>1.03</v>
      </c>
      <c r="G10" s="58">
        <v>0.35</v>
      </c>
      <c r="H10" s="58">
        <v>1.24</v>
      </c>
      <c r="I10" s="58">
        <v>-1.65</v>
      </c>
      <c r="J10" s="58" t="s">
        <v>898</v>
      </c>
    </row>
    <row r="11" spans="1:10" s="5" customFormat="1" ht="18" customHeight="1" x14ac:dyDescent="0.2">
      <c r="A11" s="55">
        <v>9</v>
      </c>
      <c r="B11" s="56" t="s">
        <v>476</v>
      </c>
      <c r="C11" s="57">
        <v>954.01700049999999</v>
      </c>
      <c r="D11" s="59">
        <v>150906.39313785001</v>
      </c>
      <c r="E11" s="58">
        <v>3.77</v>
      </c>
      <c r="F11" s="58">
        <v>0.96</v>
      </c>
      <c r="G11" s="58">
        <v>0.23</v>
      </c>
      <c r="H11" s="58">
        <v>1.36</v>
      </c>
      <c r="I11" s="58">
        <v>-3.52</v>
      </c>
      <c r="J11" s="58" t="s">
        <v>898</v>
      </c>
    </row>
    <row r="12" spans="1:10" s="5" customFormat="1" ht="18" customHeight="1" x14ac:dyDescent="0.2">
      <c r="A12" s="55">
        <v>10</v>
      </c>
      <c r="B12" s="56" t="s">
        <v>452</v>
      </c>
      <c r="C12" s="57">
        <v>514.08436619999998</v>
      </c>
      <c r="D12" s="59">
        <v>140069.172642505</v>
      </c>
      <c r="E12" s="58">
        <v>3.5</v>
      </c>
      <c r="F12" s="58">
        <v>1.19</v>
      </c>
      <c r="G12" s="58">
        <v>0.24</v>
      </c>
      <c r="H12" s="58">
        <v>1.62</v>
      </c>
      <c r="I12" s="58">
        <v>-1.85</v>
      </c>
      <c r="J12" s="58" t="s">
        <v>898</v>
      </c>
    </row>
    <row r="13" spans="1:10" s="5" customFormat="1" ht="18" customHeight="1" x14ac:dyDescent="0.2">
      <c r="A13" s="55">
        <v>11</v>
      </c>
      <c r="B13" s="56" t="s">
        <v>468</v>
      </c>
      <c r="C13" s="57">
        <v>216.4648943</v>
      </c>
      <c r="D13" s="59">
        <v>123059.05526752499</v>
      </c>
      <c r="E13" s="58">
        <v>3.07</v>
      </c>
      <c r="F13" s="58">
        <v>0.79</v>
      </c>
      <c r="G13" s="58">
        <v>0.21</v>
      </c>
      <c r="H13" s="58">
        <v>0.99</v>
      </c>
      <c r="I13" s="58">
        <v>-1.77</v>
      </c>
      <c r="J13" s="58" t="s">
        <v>898</v>
      </c>
    </row>
    <row r="14" spans="1:10" s="5" customFormat="1" ht="18" customHeight="1" x14ac:dyDescent="0.2">
      <c r="A14" s="55">
        <v>12</v>
      </c>
      <c r="B14" s="56" t="s">
        <v>484</v>
      </c>
      <c r="C14" s="57">
        <v>892.46115339999994</v>
      </c>
      <c r="D14" s="59">
        <v>101453.64455668</v>
      </c>
      <c r="E14" s="58">
        <v>2.5299999999999998</v>
      </c>
      <c r="F14" s="58">
        <v>1.32</v>
      </c>
      <c r="G14" s="58">
        <v>0.28999999999999998</v>
      </c>
      <c r="H14" s="58">
        <v>1.45</v>
      </c>
      <c r="I14" s="58">
        <v>-9.14</v>
      </c>
      <c r="J14" s="58" t="s">
        <v>898</v>
      </c>
    </row>
    <row r="15" spans="1:10" s="5" customFormat="1" ht="18" customHeight="1" x14ac:dyDescent="0.2">
      <c r="A15" s="55">
        <v>13</v>
      </c>
      <c r="B15" s="56" t="s">
        <v>463</v>
      </c>
      <c r="C15" s="57">
        <v>151.04003</v>
      </c>
      <c r="D15" s="57">
        <v>90351.207711399999</v>
      </c>
      <c r="E15" s="58">
        <v>2.25</v>
      </c>
      <c r="F15" s="58">
        <v>1.1100000000000001</v>
      </c>
      <c r="G15" s="58">
        <v>0.28999999999999998</v>
      </c>
      <c r="H15" s="58">
        <v>1.95</v>
      </c>
      <c r="I15" s="58">
        <v>2.76</v>
      </c>
      <c r="J15" s="58" t="s">
        <v>898</v>
      </c>
    </row>
    <row r="16" spans="1:10" s="5" customFormat="1" ht="18" customHeight="1" x14ac:dyDescent="0.2">
      <c r="A16" s="55">
        <v>14</v>
      </c>
      <c r="B16" s="56" t="s">
        <v>485</v>
      </c>
      <c r="C16" s="57">
        <v>602.64295300000003</v>
      </c>
      <c r="D16" s="57">
        <v>74465.013171640006</v>
      </c>
      <c r="E16" s="58">
        <v>1.86</v>
      </c>
      <c r="F16" s="58">
        <v>0.9</v>
      </c>
      <c r="G16" s="58">
        <v>0.21</v>
      </c>
      <c r="H16" s="58">
        <v>1.36</v>
      </c>
      <c r="I16" s="58">
        <v>-2.15</v>
      </c>
      <c r="J16" s="58" t="s">
        <v>898</v>
      </c>
    </row>
    <row r="17" spans="1:10" s="5" customFormat="1" ht="18" customHeight="1" x14ac:dyDescent="0.2">
      <c r="A17" s="55">
        <v>15</v>
      </c>
      <c r="B17" s="56" t="s">
        <v>464</v>
      </c>
      <c r="C17" s="57">
        <v>95.919779000000005</v>
      </c>
      <c r="D17" s="57">
        <v>63629.326040159998</v>
      </c>
      <c r="E17" s="58">
        <v>1.59</v>
      </c>
      <c r="F17" s="58">
        <v>0.97</v>
      </c>
      <c r="G17" s="58">
        <v>0.28000000000000003</v>
      </c>
      <c r="H17" s="58">
        <v>1.26</v>
      </c>
      <c r="I17" s="58">
        <v>-0.53</v>
      </c>
      <c r="J17" s="58" t="s">
        <v>898</v>
      </c>
    </row>
    <row r="18" spans="1:10" s="5" customFormat="1" ht="18" customHeight="1" x14ac:dyDescent="0.2">
      <c r="A18" s="55">
        <v>16</v>
      </c>
      <c r="B18" s="56" t="s">
        <v>365</v>
      </c>
      <c r="C18" s="57">
        <v>115.5861776</v>
      </c>
      <c r="D18" s="57">
        <v>63253.270740599997</v>
      </c>
      <c r="E18" s="58">
        <v>1.58</v>
      </c>
      <c r="F18" s="58">
        <v>1.38</v>
      </c>
      <c r="G18" s="58">
        <v>0.24</v>
      </c>
      <c r="H18" s="58">
        <v>1.83</v>
      </c>
      <c r="I18" s="58">
        <v>2.8</v>
      </c>
      <c r="J18" s="58" t="s">
        <v>898</v>
      </c>
    </row>
    <row r="19" spans="1:10" s="5" customFormat="1" ht="18" customHeight="1" x14ac:dyDescent="0.2">
      <c r="A19" s="55">
        <v>17</v>
      </c>
      <c r="B19" s="56" t="s">
        <v>458</v>
      </c>
      <c r="C19" s="57">
        <v>278.50198879999999</v>
      </c>
      <c r="D19" s="57">
        <v>60988.379599979999</v>
      </c>
      <c r="E19" s="58">
        <v>1.52</v>
      </c>
      <c r="F19" s="58">
        <v>0.63</v>
      </c>
      <c r="G19" s="58">
        <v>0.08</v>
      </c>
      <c r="H19" s="58">
        <v>1.5</v>
      </c>
      <c r="I19" s="58">
        <v>4.62</v>
      </c>
      <c r="J19" s="58" t="s">
        <v>898</v>
      </c>
    </row>
    <row r="20" spans="1:10" s="5" customFormat="1" ht="18" customHeight="1" x14ac:dyDescent="0.2">
      <c r="A20" s="55">
        <v>18</v>
      </c>
      <c r="B20" s="56" t="s">
        <v>473</v>
      </c>
      <c r="C20" s="57">
        <v>621.596272</v>
      </c>
      <c r="D20" s="57">
        <v>60227.684151239999</v>
      </c>
      <c r="E20" s="58">
        <v>1.5</v>
      </c>
      <c r="F20" s="58">
        <v>1.23</v>
      </c>
      <c r="G20" s="58">
        <v>0.31</v>
      </c>
      <c r="H20" s="58">
        <v>1.72</v>
      </c>
      <c r="I20" s="58">
        <v>-5.29</v>
      </c>
      <c r="J20" s="58" t="s">
        <v>898</v>
      </c>
    </row>
    <row r="21" spans="1:10" s="5" customFormat="1" ht="18" customHeight="1" x14ac:dyDescent="0.2">
      <c r="A21" s="55">
        <v>19</v>
      </c>
      <c r="B21" s="56" t="s">
        <v>453</v>
      </c>
      <c r="C21" s="57">
        <v>490.71341899999999</v>
      </c>
      <c r="D21" s="57">
        <v>52154.932009010001</v>
      </c>
      <c r="E21" s="58">
        <v>1.3</v>
      </c>
      <c r="F21" s="58">
        <v>0.77</v>
      </c>
      <c r="G21" s="58">
        <v>0.1</v>
      </c>
      <c r="H21" s="58">
        <v>1.89</v>
      </c>
      <c r="I21" s="58">
        <v>11.84</v>
      </c>
      <c r="J21" s="58" t="s">
        <v>898</v>
      </c>
    </row>
    <row r="22" spans="1:10" s="5" customFormat="1" ht="18" customHeight="1" x14ac:dyDescent="0.2">
      <c r="A22" s="55">
        <v>20</v>
      </c>
      <c r="B22" s="56" t="s">
        <v>461</v>
      </c>
      <c r="C22" s="57">
        <v>239.92753300000001</v>
      </c>
      <c r="D22" s="57">
        <v>48717.805957295001</v>
      </c>
      <c r="E22" s="58">
        <v>1.22</v>
      </c>
      <c r="F22" s="58">
        <v>0.84</v>
      </c>
      <c r="G22" s="58">
        <v>0.08</v>
      </c>
      <c r="H22" s="58">
        <v>2.5499999999999998</v>
      </c>
      <c r="I22" s="58">
        <v>4.87</v>
      </c>
      <c r="J22" s="58" t="s">
        <v>898</v>
      </c>
    </row>
    <row r="23" spans="1:10" s="5" customFormat="1" ht="18" customHeight="1" x14ac:dyDescent="0.2">
      <c r="A23" s="55">
        <v>21</v>
      </c>
      <c r="B23" s="56" t="s">
        <v>459</v>
      </c>
      <c r="C23" s="57">
        <v>8245.4644000000008</v>
      </c>
      <c r="D23" s="57">
        <v>47830.347527749997</v>
      </c>
      <c r="E23" s="58">
        <v>1.19</v>
      </c>
      <c r="F23" s="58">
        <v>0.65</v>
      </c>
      <c r="G23" s="58">
        <v>0.16</v>
      </c>
      <c r="H23" s="58">
        <v>1.44</v>
      </c>
      <c r="I23" s="58">
        <v>1.1000000000000001</v>
      </c>
      <c r="J23" s="58" t="s">
        <v>898</v>
      </c>
    </row>
    <row r="24" spans="1:10" s="5" customFormat="1" ht="18" customHeight="1" x14ac:dyDescent="0.2">
      <c r="A24" s="55">
        <v>22</v>
      </c>
      <c r="B24" s="56" t="s">
        <v>451</v>
      </c>
      <c r="C24" s="57">
        <v>6416.6175899999998</v>
      </c>
      <c r="D24" s="57">
        <v>46285.015971749999</v>
      </c>
      <c r="E24" s="58">
        <v>1.1599999999999999</v>
      </c>
      <c r="F24" s="58">
        <v>1.02</v>
      </c>
      <c r="G24" s="58">
        <v>0.19</v>
      </c>
      <c r="H24" s="58">
        <v>1.74</v>
      </c>
      <c r="I24" s="58">
        <v>4.9800000000000004</v>
      </c>
      <c r="J24" s="58" t="s">
        <v>898</v>
      </c>
    </row>
    <row r="25" spans="1:10" s="5" customFormat="1" ht="18" customHeight="1" x14ac:dyDescent="0.2">
      <c r="A25" s="55">
        <v>23</v>
      </c>
      <c r="B25" s="56" t="s">
        <v>471</v>
      </c>
      <c r="C25" s="57">
        <v>462.57112619999998</v>
      </c>
      <c r="D25" s="57">
        <v>42866.550357690001</v>
      </c>
      <c r="E25" s="58">
        <v>1.07</v>
      </c>
      <c r="F25" s="58">
        <v>1.02</v>
      </c>
      <c r="G25" s="58">
        <v>0.04</v>
      </c>
      <c r="H25" s="58">
        <v>4.9400000000000004</v>
      </c>
      <c r="I25" s="58">
        <v>16.03</v>
      </c>
      <c r="J25" s="58" t="s">
        <v>898</v>
      </c>
    </row>
    <row r="26" spans="1:10" s="5" customFormat="1" ht="18" customHeight="1" x14ac:dyDescent="0.2">
      <c r="A26" s="55">
        <v>24</v>
      </c>
      <c r="B26" s="56" t="s">
        <v>475</v>
      </c>
      <c r="C26" s="57">
        <v>905.05558819999999</v>
      </c>
      <c r="D26" s="57">
        <v>42126.507094699999</v>
      </c>
      <c r="E26" s="58">
        <v>1.05</v>
      </c>
      <c r="F26" s="58">
        <v>0.56999999999999995</v>
      </c>
      <c r="G26" s="58">
        <v>0.09</v>
      </c>
      <c r="H26" s="58">
        <v>1.59</v>
      </c>
      <c r="I26" s="58">
        <v>-0.08</v>
      </c>
      <c r="J26" s="58" t="s">
        <v>898</v>
      </c>
    </row>
    <row r="27" spans="1:10" s="5" customFormat="1" ht="18" customHeight="1" x14ac:dyDescent="0.2">
      <c r="A27" s="55">
        <v>25</v>
      </c>
      <c r="B27" s="56" t="s">
        <v>470</v>
      </c>
      <c r="C27" s="57">
        <v>5231.5896480000001</v>
      </c>
      <c r="D27" s="57">
        <v>41766.830078895</v>
      </c>
      <c r="E27" s="58">
        <v>1.04</v>
      </c>
      <c r="F27" s="58">
        <v>0.59</v>
      </c>
      <c r="G27" s="58">
        <v>0.13</v>
      </c>
      <c r="H27" s="58">
        <v>1.32</v>
      </c>
      <c r="I27" s="58">
        <v>-3.14</v>
      </c>
      <c r="J27" s="58" t="s">
        <v>898</v>
      </c>
    </row>
    <row r="28" spans="1:10" s="5" customFormat="1" ht="18" customHeight="1" x14ac:dyDescent="0.2">
      <c r="A28" s="55">
        <v>26</v>
      </c>
      <c r="B28" s="56" t="s">
        <v>478</v>
      </c>
      <c r="C28" s="57">
        <v>1998.7000535</v>
      </c>
      <c r="D28" s="57">
        <v>41732.72643468</v>
      </c>
      <c r="E28" s="58">
        <v>1.04</v>
      </c>
      <c r="F28" s="58">
        <v>1.2</v>
      </c>
      <c r="G28" s="58">
        <v>0.19</v>
      </c>
      <c r="H28" s="58">
        <v>1.7</v>
      </c>
      <c r="I28" s="58">
        <v>3.66</v>
      </c>
      <c r="J28" s="58" t="s">
        <v>898</v>
      </c>
    </row>
    <row r="29" spans="1:10" s="5" customFormat="1" ht="18" customHeight="1" x14ac:dyDescent="0.2">
      <c r="A29" s="55">
        <v>27</v>
      </c>
      <c r="B29" s="56" t="s">
        <v>456</v>
      </c>
      <c r="C29" s="57">
        <v>1126.4910850000001</v>
      </c>
      <c r="D29" s="57">
        <v>38365.021671779999</v>
      </c>
      <c r="E29" s="58">
        <v>0.96</v>
      </c>
      <c r="F29" s="58">
        <v>1.37</v>
      </c>
      <c r="G29" s="58">
        <v>0.28000000000000003</v>
      </c>
      <c r="H29" s="58">
        <v>2.09</v>
      </c>
      <c r="I29" s="58">
        <v>4.75</v>
      </c>
      <c r="J29" s="58" t="s">
        <v>898</v>
      </c>
    </row>
    <row r="30" spans="1:10" s="5" customFormat="1" ht="18" customHeight="1" x14ac:dyDescent="0.2">
      <c r="A30" s="55">
        <v>28</v>
      </c>
      <c r="B30" s="56" t="s">
        <v>479</v>
      </c>
      <c r="C30" s="57">
        <v>6207.4091770000005</v>
      </c>
      <c r="D30" s="57">
        <v>38393.819716290003</v>
      </c>
      <c r="E30" s="58">
        <v>0.96</v>
      </c>
      <c r="F30" s="58">
        <v>0.41</v>
      </c>
      <c r="G30" s="58">
        <v>0.04</v>
      </c>
      <c r="H30" s="58">
        <v>1.28</v>
      </c>
      <c r="I30" s="58">
        <v>1.6</v>
      </c>
      <c r="J30" s="58" t="s">
        <v>898</v>
      </c>
    </row>
    <row r="31" spans="1:10" s="5" customFormat="1" ht="18" customHeight="1" x14ac:dyDescent="0.2">
      <c r="A31" s="55">
        <v>29</v>
      </c>
      <c r="B31" s="56" t="s">
        <v>472</v>
      </c>
      <c r="C31" s="57">
        <v>289.36702000000002</v>
      </c>
      <c r="D31" s="57">
        <v>36726.774731240002</v>
      </c>
      <c r="E31" s="58">
        <v>0.92</v>
      </c>
      <c r="F31" s="58">
        <v>0.98</v>
      </c>
      <c r="G31" s="58">
        <v>0.22</v>
      </c>
      <c r="H31" s="58">
        <v>1.46</v>
      </c>
      <c r="I31" s="58">
        <v>11.93</v>
      </c>
      <c r="J31" s="58" t="s">
        <v>898</v>
      </c>
    </row>
    <row r="32" spans="1:10" s="5" customFormat="1" ht="18" customHeight="1" x14ac:dyDescent="0.2">
      <c r="A32" s="55">
        <v>30</v>
      </c>
      <c r="B32" s="56" t="s">
        <v>376</v>
      </c>
      <c r="C32" s="57">
        <v>39.945376799999998</v>
      </c>
      <c r="D32" s="57">
        <v>34310.701472170003</v>
      </c>
      <c r="E32" s="58">
        <v>0.86</v>
      </c>
      <c r="F32" s="58">
        <v>0.96</v>
      </c>
      <c r="G32" s="58">
        <v>0.19</v>
      </c>
      <c r="H32" s="58">
        <v>2.21</v>
      </c>
      <c r="I32" s="58">
        <v>0.54</v>
      </c>
      <c r="J32" s="58" t="s">
        <v>898</v>
      </c>
    </row>
    <row r="33" spans="1:11" s="5" customFormat="1" ht="18" customHeight="1" x14ac:dyDescent="0.2">
      <c r="A33" s="55">
        <v>31</v>
      </c>
      <c r="B33" s="56" t="s">
        <v>469</v>
      </c>
      <c r="C33" s="57">
        <v>9711.8099280000006</v>
      </c>
      <c r="D33" s="57">
        <v>34630.454892779999</v>
      </c>
      <c r="E33" s="58">
        <v>0.86</v>
      </c>
      <c r="F33" s="58">
        <v>1.31</v>
      </c>
      <c r="G33" s="58">
        <v>0.17</v>
      </c>
      <c r="H33" s="58">
        <v>1.81</v>
      </c>
      <c r="I33" s="58">
        <v>5.36</v>
      </c>
      <c r="J33" s="58" t="s">
        <v>898</v>
      </c>
    </row>
    <row r="34" spans="1:11" s="5" customFormat="1" ht="18" customHeight="1" x14ac:dyDescent="0.2">
      <c r="A34" s="55">
        <v>32</v>
      </c>
      <c r="B34" s="56" t="s">
        <v>481</v>
      </c>
      <c r="C34" s="57">
        <v>85.541694000000007</v>
      </c>
      <c r="D34" s="57">
        <v>33323.2312819</v>
      </c>
      <c r="E34" s="58">
        <v>0.83</v>
      </c>
      <c r="F34" s="58">
        <v>0.61</v>
      </c>
      <c r="G34" s="58">
        <v>0.06</v>
      </c>
      <c r="H34" s="58">
        <v>1.82</v>
      </c>
      <c r="I34" s="58">
        <v>-3.39</v>
      </c>
      <c r="J34" s="58" t="s">
        <v>898</v>
      </c>
    </row>
    <row r="35" spans="1:11" s="5" customFormat="1" ht="18" customHeight="1" x14ac:dyDescent="0.2">
      <c r="A35" s="55">
        <v>33</v>
      </c>
      <c r="B35" s="56" t="s">
        <v>466</v>
      </c>
      <c r="C35" s="57">
        <v>577.46973879999996</v>
      </c>
      <c r="D35" s="57">
        <v>32137.892025329998</v>
      </c>
      <c r="E35" s="58">
        <v>0.8</v>
      </c>
      <c r="F35" s="58">
        <v>1.47</v>
      </c>
      <c r="G35" s="58">
        <v>0.21</v>
      </c>
      <c r="H35" s="58">
        <v>3.65</v>
      </c>
      <c r="I35" s="58">
        <v>-2.11</v>
      </c>
      <c r="J35" s="58" t="s">
        <v>898</v>
      </c>
    </row>
    <row r="36" spans="1:11" s="5" customFormat="1" ht="18" customHeight="1" x14ac:dyDescent="0.2">
      <c r="A36" s="55">
        <v>34</v>
      </c>
      <c r="B36" s="56" t="s">
        <v>378</v>
      </c>
      <c r="C36" s="57">
        <v>371.7196639</v>
      </c>
      <c r="D36" s="57">
        <v>31145.53078406</v>
      </c>
      <c r="E36" s="58">
        <v>0.78</v>
      </c>
      <c r="F36" s="58">
        <v>1.41</v>
      </c>
      <c r="G36" s="58">
        <v>0.19</v>
      </c>
      <c r="H36" s="58">
        <v>4.17</v>
      </c>
      <c r="I36" s="58">
        <v>-16.5</v>
      </c>
      <c r="J36" s="58" t="s">
        <v>898</v>
      </c>
    </row>
    <row r="37" spans="1:11" s="5" customFormat="1" ht="18" customHeight="1" x14ac:dyDescent="0.2">
      <c r="A37" s="55">
        <v>35</v>
      </c>
      <c r="B37" s="56" t="s">
        <v>480</v>
      </c>
      <c r="C37" s="57">
        <v>131.51967260000001</v>
      </c>
      <c r="D37" s="57">
        <v>30478.678487519999</v>
      </c>
      <c r="E37" s="58">
        <v>0.76</v>
      </c>
      <c r="F37" s="58">
        <v>1.1599999999999999</v>
      </c>
      <c r="G37" s="58">
        <v>0.25</v>
      </c>
      <c r="H37" s="58">
        <v>1.91</v>
      </c>
      <c r="I37" s="58">
        <v>7.21</v>
      </c>
      <c r="J37" s="58" t="s">
        <v>898</v>
      </c>
    </row>
    <row r="38" spans="1:11" s="5" customFormat="1" ht="18" customHeight="1" x14ac:dyDescent="0.2">
      <c r="A38" s="55">
        <v>36</v>
      </c>
      <c r="B38" s="56" t="s">
        <v>455</v>
      </c>
      <c r="C38" s="57">
        <v>224.55247320000001</v>
      </c>
      <c r="D38" s="57">
        <v>28632.563812125001</v>
      </c>
      <c r="E38" s="58">
        <v>0.71</v>
      </c>
      <c r="F38" s="58">
        <v>1.55</v>
      </c>
      <c r="G38" s="58">
        <v>0.26</v>
      </c>
      <c r="H38" s="58">
        <v>1.82</v>
      </c>
      <c r="I38" s="58">
        <v>-6.51</v>
      </c>
      <c r="J38" s="58" t="s">
        <v>898</v>
      </c>
    </row>
    <row r="39" spans="1:11" s="5" customFormat="1" ht="18" customHeight="1" x14ac:dyDescent="0.2">
      <c r="A39" s="55">
        <v>37</v>
      </c>
      <c r="B39" s="56" t="s">
        <v>482</v>
      </c>
      <c r="C39" s="57">
        <v>27.28257</v>
      </c>
      <c r="D39" s="57">
        <v>27455.764151930001</v>
      </c>
      <c r="E39" s="58">
        <v>0.69</v>
      </c>
      <c r="F39" s="58">
        <v>1.37</v>
      </c>
      <c r="G39" s="58">
        <v>0.26</v>
      </c>
      <c r="H39" s="58">
        <v>2.34</v>
      </c>
      <c r="I39" s="58">
        <v>4.3499999999999996</v>
      </c>
      <c r="J39" s="58" t="s">
        <v>898</v>
      </c>
    </row>
    <row r="40" spans="1:11" s="5" customFormat="1" ht="18" customHeight="1" x14ac:dyDescent="0.2">
      <c r="A40" s="55">
        <v>38</v>
      </c>
      <c r="B40" s="56" t="s">
        <v>474</v>
      </c>
      <c r="C40" s="57">
        <v>2169.2140439999998</v>
      </c>
      <c r="D40" s="57">
        <v>26269.122831684999</v>
      </c>
      <c r="E40" s="58">
        <v>0.66</v>
      </c>
      <c r="F40" s="58">
        <v>1.33</v>
      </c>
      <c r="G40" s="58">
        <v>0.15</v>
      </c>
      <c r="H40" s="58">
        <v>1.71</v>
      </c>
      <c r="I40" s="58">
        <v>-2.34</v>
      </c>
      <c r="J40" s="58" t="s">
        <v>898</v>
      </c>
    </row>
    <row r="41" spans="1:11" s="5" customFormat="1" ht="18" customHeight="1" x14ac:dyDescent="0.2">
      <c r="A41" s="55">
        <v>39</v>
      </c>
      <c r="B41" s="56" t="s">
        <v>454</v>
      </c>
      <c r="C41" s="57">
        <v>96.04665</v>
      </c>
      <c r="D41" s="57">
        <v>26168.16246096</v>
      </c>
      <c r="E41" s="58">
        <v>0.65</v>
      </c>
      <c r="F41" s="58">
        <v>0.71</v>
      </c>
      <c r="G41" s="58">
        <v>0.04</v>
      </c>
      <c r="H41" s="58">
        <v>6.29</v>
      </c>
      <c r="I41" s="58">
        <v>18.53</v>
      </c>
      <c r="J41" s="58" t="s">
        <v>898</v>
      </c>
    </row>
    <row r="42" spans="1:11" s="5" customFormat="1" ht="18" customHeight="1" x14ac:dyDescent="0.2">
      <c r="A42" s="55">
        <v>40</v>
      </c>
      <c r="B42" s="56" t="s">
        <v>465</v>
      </c>
      <c r="C42" s="57">
        <v>414.19035220000001</v>
      </c>
      <c r="D42" s="57">
        <v>25439.826598094998</v>
      </c>
      <c r="E42" s="58">
        <v>0.63</v>
      </c>
      <c r="F42" s="58">
        <v>1.4</v>
      </c>
      <c r="G42" s="58">
        <v>0.24</v>
      </c>
      <c r="H42" s="58">
        <v>3.2</v>
      </c>
      <c r="I42" s="58">
        <v>-3.93</v>
      </c>
      <c r="J42" s="58" t="s">
        <v>898</v>
      </c>
    </row>
    <row r="43" spans="1:11" s="5" customFormat="1" ht="18.75" customHeight="1" x14ac:dyDescent="0.2">
      <c r="A43" s="445"/>
      <c r="B43" s="445"/>
      <c r="C43" s="445"/>
      <c r="D43" s="445"/>
      <c r="E43" s="445"/>
      <c r="F43" s="445"/>
      <c r="G43" s="445"/>
      <c r="H43" s="445"/>
      <c r="I43" s="445"/>
      <c r="J43" s="445"/>
      <c r="K43" s="445"/>
    </row>
    <row r="44" spans="1:11" s="5" customFormat="1" ht="18" customHeight="1" x14ac:dyDescent="0.2">
      <c r="A44" s="445" t="s">
        <v>486</v>
      </c>
      <c r="B44" s="445"/>
      <c r="C44" s="445"/>
      <c r="D44" s="445"/>
      <c r="E44" s="445"/>
      <c r="F44" s="445"/>
      <c r="G44" s="445"/>
      <c r="H44" s="445"/>
      <c r="I44" s="445"/>
      <c r="J44" s="445"/>
      <c r="K44" s="445"/>
    </row>
    <row r="45" spans="1:11" s="5" customFormat="1" ht="18" customHeight="1" x14ac:dyDescent="0.2">
      <c r="A45" s="445" t="s">
        <v>487</v>
      </c>
      <c r="B45" s="445"/>
      <c r="C45" s="445"/>
      <c r="D45" s="445"/>
      <c r="E45" s="445"/>
      <c r="F45" s="445"/>
      <c r="G45" s="445"/>
      <c r="H45" s="445"/>
      <c r="I45" s="445"/>
      <c r="J45" s="445"/>
      <c r="K45" s="445"/>
    </row>
    <row r="46" spans="1:11" s="5" customFormat="1" ht="18" customHeight="1" x14ac:dyDescent="0.2">
      <c r="A46" s="445" t="s">
        <v>488</v>
      </c>
      <c r="B46" s="445"/>
      <c r="C46" s="445"/>
      <c r="D46" s="445"/>
      <c r="E46" s="445"/>
      <c r="F46" s="445"/>
      <c r="G46" s="445"/>
      <c r="H46" s="445"/>
      <c r="I46" s="445"/>
      <c r="J46" s="445"/>
      <c r="K46" s="445"/>
    </row>
    <row r="47" spans="1:11" s="5" customFormat="1" ht="18" customHeight="1" x14ac:dyDescent="0.2">
      <c r="A47" s="445" t="s">
        <v>489</v>
      </c>
      <c r="B47" s="445"/>
      <c r="C47" s="445"/>
      <c r="D47" s="445"/>
      <c r="E47" s="445"/>
      <c r="F47" s="445"/>
      <c r="G47" s="445"/>
      <c r="H47" s="445"/>
      <c r="I47" s="445"/>
      <c r="J47" s="445"/>
      <c r="K47" s="445"/>
    </row>
    <row r="48" spans="1:11" s="5" customFormat="1" ht="18" customHeight="1" x14ac:dyDescent="0.2">
      <c r="A48" s="445" t="s">
        <v>490</v>
      </c>
      <c r="B48" s="445"/>
      <c r="C48" s="445"/>
      <c r="D48" s="445"/>
      <c r="E48" s="445"/>
      <c r="F48" s="445"/>
      <c r="G48" s="445"/>
      <c r="H48" s="445"/>
      <c r="I48" s="445"/>
      <c r="J48" s="445"/>
      <c r="K48" s="445"/>
    </row>
    <row r="49" s="5" customFormat="1" ht="28.35" customHeight="1" x14ac:dyDescent="0.2"/>
  </sheetData>
  <customSheetViews>
    <customSheetView guid="{B9B27D37-53F8-4AD8-9221-6458C3026417}" fitToPage="1">
      <selection sqref="A1:B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B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20"/>
  <sheetViews>
    <sheetView zoomScaleNormal="100" workbookViewId="0">
      <selection sqref="A1:G1"/>
    </sheetView>
  </sheetViews>
  <sheetFormatPr defaultRowHeight="12.75" x14ac:dyDescent="0.2"/>
  <cols>
    <col min="1" max="10" width="10.7109375" bestFit="1" customWidth="1"/>
    <col min="11" max="11" width="4.7109375" bestFit="1" customWidth="1"/>
  </cols>
  <sheetData>
    <row r="1" spans="1:10" ht="15.75" customHeight="1" x14ac:dyDescent="0.2">
      <c r="A1" s="369" t="s">
        <v>491</v>
      </c>
      <c r="B1" s="369"/>
      <c r="C1" s="369"/>
      <c r="D1" s="369"/>
      <c r="E1" s="369"/>
      <c r="F1" s="369"/>
      <c r="G1" s="369"/>
    </row>
    <row r="2" spans="1:10" s="5" customFormat="1" ht="15" customHeight="1" x14ac:dyDescent="0.2">
      <c r="A2" s="373" t="s">
        <v>182</v>
      </c>
      <c r="B2" s="375" t="s">
        <v>252</v>
      </c>
      <c r="C2" s="433"/>
      <c r="D2" s="376"/>
      <c r="E2" s="375" t="s">
        <v>253</v>
      </c>
      <c r="F2" s="433"/>
      <c r="G2" s="376"/>
      <c r="H2" s="375" t="s">
        <v>254</v>
      </c>
      <c r="I2" s="433"/>
      <c r="J2" s="376"/>
    </row>
    <row r="3" spans="1:10" s="5" customFormat="1" ht="37.5" customHeight="1" x14ac:dyDescent="0.2">
      <c r="A3" s="374"/>
      <c r="B3" s="9" t="s">
        <v>492</v>
      </c>
      <c r="C3" s="9" t="s">
        <v>493</v>
      </c>
      <c r="D3" s="9" t="s">
        <v>494</v>
      </c>
      <c r="E3" s="9" t="s">
        <v>492</v>
      </c>
      <c r="F3" s="9" t="s">
        <v>493</v>
      </c>
      <c r="G3" s="9" t="s">
        <v>494</v>
      </c>
      <c r="H3" s="9" t="s">
        <v>492</v>
      </c>
      <c r="I3" s="9" t="s">
        <v>493</v>
      </c>
      <c r="J3" s="9" t="s">
        <v>494</v>
      </c>
    </row>
    <row r="4" spans="1:10" s="5" customFormat="1" ht="15.75" customHeight="1" x14ac:dyDescent="0.2">
      <c r="A4" s="3" t="s">
        <v>69</v>
      </c>
      <c r="B4" s="26">
        <v>703</v>
      </c>
      <c r="C4" s="26">
        <v>2691</v>
      </c>
      <c r="D4" s="60">
        <v>0.26124117400000002</v>
      </c>
      <c r="E4" s="26">
        <v>1202</v>
      </c>
      <c r="F4" s="26">
        <v>512</v>
      </c>
      <c r="G4" s="60">
        <v>2.3479999999999999</v>
      </c>
      <c r="H4" s="11">
        <v>1</v>
      </c>
      <c r="I4" s="11">
        <v>8</v>
      </c>
      <c r="J4" s="49">
        <v>0.13</v>
      </c>
    </row>
    <row r="5" spans="1:10" s="5" customFormat="1" ht="15.75" customHeight="1" x14ac:dyDescent="0.2">
      <c r="A5" s="3" t="s">
        <v>70</v>
      </c>
      <c r="B5" s="26">
        <v>1173</v>
      </c>
      <c r="C5" s="26">
        <v>2706</v>
      </c>
      <c r="D5" s="60">
        <v>0.43348115300000001</v>
      </c>
      <c r="E5" s="26">
        <v>595</v>
      </c>
      <c r="F5" s="26">
        <v>1264</v>
      </c>
      <c r="G5" s="60">
        <v>0.47</v>
      </c>
      <c r="H5" s="11">
        <v>2</v>
      </c>
      <c r="I5" s="11">
        <v>4</v>
      </c>
      <c r="J5" s="49">
        <v>0.5</v>
      </c>
    </row>
    <row r="6" spans="1:10" s="5" customFormat="1" ht="15.75" customHeight="1" x14ac:dyDescent="0.2">
      <c r="A6" s="3" t="s">
        <v>156</v>
      </c>
      <c r="B6" s="26">
        <v>1982</v>
      </c>
      <c r="C6" s="26">
        <v>1449</v>
      </c>
      <c r="D6" s="60">
        <v>1.3678398899999999</v>
      </c>
      <c r="E6" s="26">
        <v>1180</v>
      </c>
      <c r="F6" s="26">
        <v>659</v>
      </c>
      <c r="G6" s="60">
        <v>1.79</v>
      </c>
      <c r="H6" s="11">
        <v>2</v>
      </c>
      <c r="I6" s="11">
        <v>3</v>
      </c>
      <c r="J6" s="49">
        <v>0.67</v>
      </c>
    </row>
    <row r="7" spans="1:10" s="5" customFormat="1" ht="15.75" customHeight="1" x14ac:dyDescent="0.2">
      <c r="A7" s="3" t="s">
        <v>157</v>
      </c>
      <c r="B7" s="26">
        <v>992</v>
      </c>
      <c r="C7" s="26">
        <v>2448</v>
      </c>
      <c r="D7" s="60">
        <v>0.40522875800000002</v>
      </c>
      <c r="E7" s="26">
        <v>486</v>
      </c>
      <c r="F7" s="26">
        <v>1378</v>
      </c>
      <c r="G7" s="60">
        <v>0.35</v>
      </c>
      <c r="H7" s="11">
        <v>0</v>
      </c>
      <c r="I7" s="11">
        <v>4</v>
      </c>
      <c r="J7" s="49">
        <v>0</v>
      </c>
    </row>
    <row r="8" spans="1:10" s="5" customFormat="1" ht="15.75" customHeight="1" x14ac:dyDescent="0.2">
      <c r="A8" s="3" t="s">
        <v>158</v>
      </c>
      <c r="B8" s="26">
        <v>779</v>
      </c>
      <c r="C8" s="26">
        <v>2651</v>
      </c>
      <c r="D8" s="60">
        <v>0.28999999999999998</v>
      </c>
      <c r="E8" s="26">
        <v>361</v>
      </c>
      <c r="F8" s="26">
        <v>1517</v>
      </c>
      <c r="G8" s="60">
        <v>0.24</v>
      </c>
      <c r="H8" s="11">
        <v>0</v>
      </c>
      <c r="I8" s="11">
        <v>2</v>
      </c>
      <c r="J8" s="49">
        <v>0</v>
      </c>
    </row>
    <row r="9" spans="1:10" s="5" customFormat="1" ht="15.75" customHeight="1" x14ac:dyDescent="0.2">
      <c r="A9" s="3" t="s">
        <v>159</v>
      </c>
      <c r="B9" s="26">
        <v>842</v>
      </c>
      <c r="C9" s="26">
        <v>2579</v>
      </c>
      <c r="D9" s="60">
        <v>0.32648313299999998</v>
      </c>
      <c r="E9" s="26">
        <v>415</v>
      </c>
      <c r="F9" s="26">
        <v>1478</v>
      </c>
      <c r="G9" s="60">
        <v>0.28000000000000003</v>
      </c>
      <c r="H9" s="11">
        <v>1</v>
      </c>
      <c r="I9" s="11">
        <v>2</v>
      </c>
      <c r="J9" s="49">
        <v>0.5</v>
      </c>
    </row>
    <row r="10" spans="1:10" s="5" customFormat="1" ht="15.75" customHeight="1" x14ac:dyDescent="0.2">
      <c r="A10" s="3" t="s">
        <v>160</v>
      </c>
      <c r="B10" s="26">
        <v>2080</v>
      </c>
      <c r="C10" s="26">
        <v>1415</v>
      </c>
      <c r="D10" s="60">
        <v>1.4699646639999999</v>
      </c>
      <c r="E10" s="26">
        <v>1254</v>
      </c>
      <c r="F10" s="26">
        <v>637</v>
      </c>
      <c r="G10" s="60">
        <v>1.97</v>
      </c>
      <c r="H10" s="11">
        <v>0</v>
      </c>
      <c r="I10" s="11">
        <v>2</v>
      </c>
      <c r="J10" s="49">
        <v>0</v>
      </c>
    </row>
    <row r="11" spans="1:10" s="5" customFormat="1" ht="15.75" customHeight="1" x14ac:dyDescent="0.2">
      <c r="A11" s="3" t="s">
        <v>161</v>
      </c>
      <c r="B11" s="26">
        <v>1174</v>
      </c>
      <c r="C11" s="26">
        <v>2331</v>
      </c>
      <c r="D11" s="60">
        <v>0.50364650399999999</v>
      </c>
      <c r="E11" s="26">
        <v>532</v>
      </c>
      <c r="F11" s="26">
        <v>1361</v>
      </c>
      <c r="G11" s="60">
        <v>0.39</v>
      </c>
      <c r="H11" s="11">
        <v>1</v>
      </c>
      <c r="I11" s="11">
        <v>1</v>
      </c>
      <c r="J11" s="49">
        <v>1</v>
      </c>
    </row>
    <row r="12" spans="1:10" s="5" customFormat="1" ht="15.75" customHeight="1" x14ac:dyDescent="0.2">
      <c r="A12" s="3" t="s">
        <v>162</v>
      </c>
      <c r="B12" s="26">
        <v>481</v>
      </c>
      <c r="C12" s="26">
        <v>2973</v>
      </c>
      <c r="D12" s="60">
        <v>0.16178943800000001</v>
      </c>
      <c r="E12" s="26">
        <v>159</v>
      </c>
      <c r="F12" s="26">
        <v>1741</v>
      </c>
      <c r="G12" s="60">
        <v>0.09</v>
      </c>
      <c r="H12" s="11">
        <v>1</v>
      </c>
      <c r="I12" s="11">
        <v>0</v>
      </c>
      <c r="J12" s="49">
        <v>0</v>
      </c>
    </row>
    <row r="13" spans="1:10" s="5" customFormat="1" ht="15.75" customHeight="1" x14ac:dyDescent="0.2">
      <c r="A13" s="3" t="s">
        <v>163</v>
      </c>
      <c r="B13" s="26">
        <v>1984</v>
      </c>
      <c r="C13" s="26">
        <v>1457</v>
      </c>
      <c r="D13" s="60">
        <v>1.3617021279999999</v>
      </c>
      <c r="E13" s="26">
        <v>1210</v>
      </c>
      <c r="F13" s="26">
        <v>697</v>
      </c>
      <c r="G13" s="60">
        <v>1.74</v>
      </c>
      <c r="H13" s="11">
        <v>1</v>
      </c>
      <c r="I13" s="11">
        <v>1</v>
      </c>
      <c r="J13" s="49">
        <v>1</v>
      </c>
    </row>
    <row r="14" spans="1:10" s="5" customFormat="1" ht="15.75" customHeight="1" x14ac:dyDescent="0.2">
      <c r="A14" s="3" t="s">
        <v>164</v>
      </c>
      <c r="B14" s="26">
        <v>1314</v>
      </c>
      <c r="C14" s="26">
        <v>2095</v>
      </c>
      <c r="D14" s="60">
        <v>0.62720763700000004</v>
      </c>
      <c r="E14" s="26">
        <v>741</v>
      </c>
      <c r="F14" s="26">
        <v>1169</v>
      </c>
      <c r="G14" s="60">
        <v>0.63</v>
      </c>
      <c r="H14" s="11">
        <v>1</v>
      </c>
      <c r="I14" s="11">
        <v>0</v>
      </c>
      <c r="J14" s="49">
        <v>0</v>
      </c>
    </row>
    <row r="15" spans="1:10" s="5" customFormat="1" ht="15.75" customHeight="1" x14ac:dyDescent="0.2">
      <c r="A15" s="3" t="s">
        <v>165</v>
      </c>
      <c r="B15" s="26">
        <v>1672</v>
      </c>
      <c r="C15" s="26">
        <v>1219</v>
      </c>
      <c r="D15" s="60">
        <v>1.371616079</v>
      </c>
      <c r="E15" s="26">
        <v>789</v>
      </c>
      <c r="F15" s="26">
        <v>1120</v>
      </c>
      <c r="G15" s="60">
        <v>0.7</v>
      </c>
      <c r="H15" s="11">
        <v>1</v>
      </c>
      <c r="I15" s="11">
        <v>2</v>
      </c>
      <c r="J15" s="49">
        <v>0.5</v>
      </c>
    </row>
    <row r="16" spans="1:10" s="5" customFormat="1" ht="15.75" customHeight="1" x14ac:dyDescent="0.2">
      <c r="A16" s="3" t="s">
        <v>166</v>
      </c>
      <c r="B16" s="26">
        <v>558</v>
      </c>
      <c r="C16" s="26">
        <v>2335</v>
      </c>
      <c r="D16" s="60">
        <v>0.23897216299999999</v>
      </c>
      <c r="E16" s="26">
        <v>325</v>
      </c>
      <c r="F16" s="26">
        <v>1588</v>
      </c>
      <c r="G16" s="60">
        <v>0.2</v>
      </c>
      <c r="H16" s="11">
        <v>1</v>
      </c>
      <c r="I16" s="11">
        <v>3</v>
      </c>
      <c r="J16" s="49">
        <v>0.33</v>
      </c>
    </row>
    <row r="17" spans="1:6" s="5" customFormat="1" ht="19.5" customHeight="1" x14ac:dyDescent="0.2">
      <c r="A17" s="371" t="s">
        <v>250</v>
      </c>
      <c r="B17" s="371"/>
      <c r="C17" s="371"/>
      <c r="D17" s="371"/>
      <c r="E17" s="371"/>
      <c r="F17" s="371"/>
    </row>
    <row r="18" spans="1:6" s="5" customFormat="1" ht="18" customHeight="1" x14ac:dyDescent="0.2">
      <c r="A18" s="371" t="s">
        <v>1031</v>
      </c>
      <c r="B18" s="371"/>
      <c r="C18" s="371"/>
      <c r="D18" s="371"/>
      <c r="E18" s="371"/>
      <c r="F18" s="371"/>
    </row>
    <row r="19" spans="1:6" s="5" customFormat="1" ht="18" customHeight="1" x14ac:dyDescent="0.2">
      <c r="A19" s="371" t="s">
        <v>244</v>
      </c>
      <c r="B19" s="371"/>
      <c r="C19" s="371"/>
      <c r="D19" s="371"/>
      <c r="E19" s="371"/>
      <c r="F19" s="371"/>
    </row>
    <row r="20" spans="1:6" s="5" customFormat="1" ht="27.6" customHeight="1" x14ac:dyDescent="0.2"/>
  </sheetData>
  <customSheetViews>
    <customSheetView guid="{B9B27D37-53F8-4AD8-9221-6458C3026417}" fitToPage="1">
      <selection sqref="A1:G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G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8">
    <mergeCell ref="H2:J2"/>
    <mergeCell ref="A17:F17"/>
    <mergeCell ref="A18:F18"/>
    <mergeCell ref="A19:F19"/>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FFC000"/>
    <pageSetUpPr fitToPage="1"/>
  </sheetPr>
  <dimension ref="A1:J19"/>
  <sheetViews>
    <sheetView zoomScaleNormal="100" workbookViewId="0">
      <selection activeCell="C5" sqref="C5"/>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369" t="s">
        <v>495</v>
      </c>
      <c r="B1" s="369"/>
      <c r="C1" s="369"/>
      <c r="D1" s="369"/>
      <c r="E1" s="369"/>
      <c r="F1" s="369"/>
      <c r="G1" s="369"/>
    </row>
    <row r="2" spans="1:10" s="5" customFormat="1" ht="27.75" customHeight="1" x14ac:dyDescent="0.2">
      <c r="A2" s="381" t="s">
        <v>496</v>
      </c>
      <c r="B2" s="375" t="s">
        <v>252</v>
      </c>
      <c r="C2" s="433"/>
      <c r="D2" s="376"/>
      <c r="E2" s="375" t="s">
        <v>253</v>
      </c>
      <c r="F2" s="433"/>
      <c r="G2" s="376"/>
      <c r="H2" s="375" t="s">
        <v>254</v>
      </c>
      <c r="I2" s="433"/>
      <c r="J2" s="376"/>
    </row>
    <row r="3" spans="1:10" s="5" customFormat="1" ht="39" customHeight="1" x14ac:dyDescent="0.2">
      <c r="A3" s="383"/>
      <c r="B3" s="9" t="s">
        <v>497</v>
      </c>
      <c r="C3" s="9" t="s">
        <v>299</v>
      </c>
      <c r="D3" s="9" t="s">
        <v>498</v>
      </c>
      <c r="E3" s="9" t="s">
        <v>497</v>
      </c>
      <c r="F3" s="9" t="s">
        <v>299</v>
      </c>
      <c r="G3" s="9" t="s">
        <v>498</v>
      </c>
      <c r="H3" s="9" t="s">
        <v>497</v>
      </c>
      <c r="I3" s="9" t="s">
        <v>299</v>
      </c>
      <c r="J3" s="9" t="s">
        <v>498</v>
      </c>
    </row>
    <row r="4" spans="1:10" s="5" customFormat="1" ht="18" customHeight="1" x14ac:dyDescent="0.2">
      <c r="A4" s="3" t="s">
        <v>69</v>
      </c>
      <c r="B4" s="26">
        <v>5619</v>
      </c>
      <c r="C4" s="26">
        <v>2794</v>
      </c>
      <c r="D4" s="61">
        <v>49.724150204662756</v>
      </c>
      <c r="E4" s="26">
        <v>1931</v>
      </c>
      <c r="F4" s="26">
        <v>1850</v>
      </c>
      <c r="G4" s="61">
        <v>95.805282237182809</v>
      </c>
      <c r="H4" s="11">
        <v>270</v>
      </c>
      <c r="I4" s="11">
        <v>12</v>
      </c>
      <c r="J4" s="49">
        <v>4.4444444444444446</v>
      </c>
    </row>
    <row r="5" spans="1:10" s="5" customFormat="1" ht="18" customHeight="1" x14ac:dyDescent="0.2">
      <c r="A5" s="3" t="s">
        <v>70</v>
      </c>
      <c r="B5" s="26">
        <v>5251</v>
      </c>
      <c r="C5" s="26">
        <v>2614</v>
      </c>
      <c r="D5" s="61">
        <v>49.780994096362598</v>
      </c>
      <c r="E5" s="26">
        <v>1929</v>
      </c>
      <c r="F5" s="26">
        <v>1917</v>
      </c>
      <c r="G5" s="61">
        <v>99.377916018662518</v>
      </c>
      <c r="H5" s="11">
        <v>287</v>
      </c>
      <c r="I5" s="11">
        <v>8</v>
      </c>
      <c r="J5" s="49">
        <v>2.7874564459930316</v>
      </c>
    </row>
    <row r="6" spans="1:10" s="5" customFormat="1" ht="18" customHeight="1" x14ac:dyDescent="0.2">
      <c r="A6" s="3" t="s">
        <v>156</v>
      </c>
      <c r="B6" s="26">
        <v>5638</v>
      </c>
      <c r="C6" s="26">
        <v>2768</v>
      </c>
      <c r="D6" s="61">
        <v>49.095423909187659</v>
      </c>
      <c r="E6" s="26">
        <v>1952</v>
      </c>
      <c r="F6" s="26">
        <v>1817</v>
      </c>
      <c r="G6" s="61">
        <v>93.084016393442624</v>
      </c>
      <c r="H6" s="11">
        <v>273</v>
      </c>
      <c r="I6" s="11">
        <v>5</v>
      </c>
      <c r="J6" s="49">
        <v>1.8315018315018317</v>
      </c>
    </row>
    <row r="7" spans="1:10" s="5" customFormat="1" ht="18" customHeight="1" x14ac:dyDescent="0.2">
      <c r="A7" s="3" t="s">
        <v>157</v>
      </c>
      <c r="B7" s="26">
        <v>5450</v>
      </c>
      <c r="C7" s="26">
        <v>2755</v>
      </c>
      <c r="D7" s="61">
        <v>50.550458715596328</v>
      </c>
      <c r="E7" s="26">
        <v>1941</v>
      </c>
      <c r="F7" s="26">
        <v>1820</v>
      </c>
      <c r="G7" s="61">
        <v>93.766099948480161</v>
      </c>
      <c r="H7" s="11">
        <v>277</v>
      </c>
      <c r="I7" s="11">
        <v>4</v>
      </c>
      <c r="J7" s="49">
        <v>1.4440433212996391</v>
      </c>
    </row>
    <row r="8" spans="1:10" s="5" customFormat="1" ht="18" customHeight="1" x14ac:dyDescent="0.2">
      <c r="A8" s="3" t="s">
        <v>158</v>
      </c>
      <c r="B8" s="26">
        <v>5458</v>
      </c>
      <c r="C8" s="26">
        <v>2698</v>
      </c>
      <c r="D8" s="61">
        <v>49.432026383290584</v>
      </c>
      <c r="E8" s="26">
        <v>1951</v>
      </c>
      <c r="F8" s="26">
        <v>1833</v>
      </c>
      <c r="G8" s="61">
        <v>93.951819579702715</v>
      </c>
      <c r="H8" s="11">
        <v>277</v>
      </c>
      <c r="I8" s="11">
        <v>3</v>
      </c>
      <c r="J8" s="49">
        <v>1.0830324909747291</v>
      </c>
    </row>
    <row r="9" spans="1:10" s="5" customFormat="1" ht="18" customHeight="1" x14ac:dyDescent="0.2">
      <c r="A9" s="3" t="s">
        <v>159</v>
      </c>
      <c r="B9" s="26">
        <v>5240</v>
      </c>
      <c r="C9" s="26">
        <v>2763</v>
      </c>
      <c r="D9" s="61">
        <v>52.729007633587784</v>
      </c>
      <c r="E9" s="26">
        <v>1938</v>
      </c>
      <c r="F9" s="26">
        <v>1840</v>
      </c>
      <c r="G9" s="61">
        <v>94.943240454076374</v>
      </c>
      <c r="H9" s="11">
        <v>277</v>
      </c>
      <c r="I9" s="11">
        <v>3</v>
      </c>
      <c r="J9" s="49">
        <v>1.0830324909747291</v>
      </c>
    </row>
    <row r="10" spans="1:10" s="5" customFormat="1" ht="18" customHeight="1" x14ac:dyDescent="0.2">
      <c r="A10" s="3" t="s">
        <v>160</v>
      </c>
      <c r="B10" s="26">
        <v>5233</v>
      </c>
      <c r="C10" s="26">
        <v>2823</v>
      </c>
      <c r="D10" s="61">
        <v>53.946111217274982</v>
      </c>
      <c r="E10" s="26">
        <v>1916</v>
      </c>
      <c r="F10" s="26">
        <v>1841</v>
      </c>
      <c r="G10" s="61">
        <v>96.085594989561585</v>
      </c>
      <c r="H10" s="11">
        <v>278</v>
      </c>
      <c r="I10" s="11">
        <v>2</v>
      </c>
      <c r="J10" s="49">
        <v>0.71942446043165476</v>
      </c>
    </row>
    <row r="11" spans="1:10" s="5" customFormat="1" ht="18" customHeight="1" x14ac:dyDescent="0.2">
      <c r="A11" s="3" t="s">
        <v>161</v>
      </c>
      <c r="B11" s="26">
        <v>5232</v>
      </c>
      <c r="C11" s="26">
        <v>2763</v>
      </c>
      <c r="D11" s="61">
        <v>52.809633027522942</v>
      </c>
      <c r="E11" s="26">
        <v>1912</v>
      </c>
      <c r="F11" s="26">
        <v>1847</v>
      </c>
      <c r="G11" s="61">
        <v>96.60041841004184</v>
      </c>
      <c r="H11" s="11">
        <v>282</v>
      </c>
      <c r="I11" s="11">
        <v>2</v>
      </c>
      <c r="J11" s="49">
        <v>0.70921985815602839</v>
      </c>
    </row>
    <row r="12" spans="1:10" s="5" customFormat="1" ht="18" customHeight="1" x14ac:dyDescent="0.2">
      <c r="A12" s="3" t="s">
        <v>162</v>
      </c>
      <c r="B12" s="26">
        <v>5217</v>
      </c>
      <c r="C12" s="26">
        <v>2660</v>
      </c>
      <c r="D12" s="61">
        <v>50.987157370136096</v>
      </c>
      <c r="E12" s="26">
        <v>1921</v>
      </c>
      <c r="F12" s="26">
        <v>1854</v>
      </c>
      <c r="G12" s="61">
        <v>96.512233211868818</v>
      </c>
      <c r="H12" s="11">
        <v>281</v>
      </c>
      <c r="I12" s="11">
        <v>2</v>
      </c>
      <c r="J12" s="49">
        <v>0.71174377224199281</v>
      </c>
    </row>
    <row r="13" spans="1:10" s="5" customFormat="1" ht="18" customHeight="1" x14ac:dyDescent="0.2">
      <c r="A13" s="3" t="s">
        <v>163</v>
      </c>
      <c r="B13" s="26">
        <v>5216</v>
      </c>
      <c r="C13" s="26">
        <v>2719</v>
      </c>
      <c r="D13" s="61">
        <v>52.12806748466258</v>
      </c>
      <c r="E13" s="26">
        <v>1922</v>
      </c>
      <c r="F13" s="26">
        <v>1850</v>
      </c>
      <c r="G13" s="61">
        <v>96.253902185223723</v>
      </c>
      <c r="H13" s="11">
        <v>282</v>
      </c>
      <c r="I13" s="11">
        <v>3</v>
      </c>
      <c r="J13" s="49">
        <v>1.0638297872340425</v>
      </c>
    </row>
    <row r="14" spans="1:10" s="5" customFormat="1" ht="18" customHeight="1" x14ac:dyDescent="0.2">
      <c r="A14" s="3" t="s">
        <v>164</v>
      </c>
      <c r="B14" s="26">
        <v>5232</v>
      </c>
      <c r="C14" s="26">
        <v>2756</v>
      </c>
      <c r="D14" s="61">
        <v>52.675840978593271</v>
      </c>
      <c r="E14" s="26">
        <v>1923</v>
      </c>
      <c r="F14" s="26">
        <v>1856</v>
      </c>
      <c r="G14" s="61">
        <v>96.51586063442538</v>
      </c>
      <c r="H14" s="11">
        <v>282</v>
      </c>
      <c r="I14" s="11">
        <v>2</v>
      </c>
      <c r="J14" s="49">
        <v>0.70921985815602839</v>
      </c>
    </row>
    <row r="15" spans="1:10" s="5" customFormat="1" ht="18" customHeight="1" x14ac:dyDescent="0.2">
      <c r="A15" s="3" t="s">
        <v>165</v>
      </c>
      <c r="B15" s="26">
        <v>5244</v>
      </c>
      <c r="C15" s="26">
        <v>2663</v>
      </c>
      <c r="D15" s="61">
        <v>50.781845919145688</v>
      </c>
      <c r="E15" s="26">
        <v>1926</v>
      </c>
      <c r="F15" s="26">
        <v>1854</v>
      </c>
      <c r="G15" s="61">
        <v>96.261682242990659</v>
      </c>
      <c r="H15" s="11">
        <v>284</v>
      </c>
      <c r="I15" s="11">
        <v>6</v>
      </c>
      <c r="J15" s="49">
        <v>2.112676056338028</v>
      </c>
    </row>
    <row r="16" spans="1:10" s="5" customFormat="1" ht="18" customHeight="1" x14ac:dyDescent="0.2">
      <c r="A16" s="3" t="s">
        <v>166</v>
      </c>
      <c r="B16" s="26">
        <v>5251</v>
      </c>
      <c r="C16" s="26">
        <v>2614</v>
      </c>
      <c r="D16" s="61">
        <v>49.780994096362598</v>
      </c>
      <c r="E16" s="26">
        <v>1929</v>
      </c>
      <c r="F16" s="26">
        <v>1859</v>
      </c>
      <c r="G16" s="61">
        <v>96.371176775531367</v>
      </c>
      <c r="H16" s="11">
        <v>287</v>
      </c>
      <c r="I16" s="11">
        <v>4</v>
      </c>
      <c r="J16" s="49">
        <v>1.3937282229965158</v>
      </c>
    </row>
    <row r="17" spans="1:7" s="5" customFormat="1" ht="15" customHeight="1" x14ac:dyDescent="0.2">
      <c r="A17" s="391" t="s">
        <v>105</v>
      </c>
      <c r="B17" s="391"/>
      <c r="C17" s="391"/>
      <c r="D17" s="391"/>
      <c r="E17" s="391"/>
      <c r="F17" s="391"/>
      <c r="G17" s="391"/>
    </row>
    <row r="18" spans="1:7" s="5" customFormat="1" ht="13.5" customHeight="1" x14ac:dyDescent="0.2">
      <c r="A18" s="391" t="s">
        <v>244</v>
      </c>
      <c r="B18" s="391"/>
      <c r="C18" s="391"/>
      <c r="D18" s="391"/>
      <c r="E18" s="391"/>
      <c r="F18" s="391"/>
      <c r="G18" s="391"/>
    </row>
    <row r="19" spans="1:7" s="5" customFormat="1" ht="28.35" customHeight="1" x14ac:dyDescent="0.2"/>
  </sheetData>
  <customSheetViews>
    <customSheetView guid="{B9B27D37-53F8-4AD8-9221-6458C3026417}"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H2:J2"/>
    <mergeCell ref="A17:G17"/>
    <mergeCell ref="A18:G18"/>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9"/>
  <sheetViews>
    <sheetView zoomScaleNormal="100" workbookViewId="0">
      <selection sqref="A1:C1"/>
    </sheetView>
  </sheetViews>
  <sheetFormatPr defaultRowHeight="12.75" x14ac:dyDescent="0.2"/>
  <cols>
    <col min="1" max="8" width="14.7109375" bestFit="1" customWidth="1"/>
    <col min="9" max="9" width="4.7109375" bestFit="1" customWidth="1"/>
  </cols>
  <sheetData>
    <row r="1" spans="1:8" ht="15.75" customHeight="1" x14ac:dyDescent="0.2">
      <c r="A1" s="403" t="s">
        <v>32</v>
      </c>
      <c r="B1" s="403"/>
      <c r="C1" s="403"/>
    </row>
    <row r="2" spans="1:8" s="5" customFormat="1" ht="38.25" customHeight="1" x14ac:dyDescent="0.2">
      <c r="A2" s="7" t="s">
        <v>147</v>
      </c>
      <c r="B2" s="9" t="s">
        <v>499</v>
      </c>
      <c r="C2" s="9" t="s">
        <v>500</v>
      </c>
      <c r="D2" s="9" t="s">
        <v>501</v>
      </c>
      <c r="E2" s="9" t="s">
        <v>502</v>
      </c>
      <c r="F2" s="9" t="s">
        <v>503</v>
      </c>
      <c r="G2" s="9" t="s">
        <v>504</v>
      </c>
      <c r="H2" s="9" t="s">
        <v>505</v>
      </c>
    </row>
    <row r="3" spans="1:8" s="5" customFormat="1" ht="18" customHeight="1" x14ac:dyDescent="0.2">
      <c r="A3" s="3" t="s">
        <v>69</v>
      </c>
      <c r="B3" s="62">
        <v>0.62895618399999997</v>
      </c>
      <c r="C3" s="62">
        <v>0.64056250100000001</v>
      </c>
      <c r="D3" s="62">
        <v>0.66757020700000003</v>
      </c>
      <c r="E3" s="62">
        <v>0.62811668600000004</v>
      </c>
      <c r="F3" s="62">
        <v>0.85157352799999997</v>
      </c>
      <c r="G3" s="62">
        <v>0.67059787299999996</v>
      </c>
      <c r="H3" s="62">
        <v>0.61</v>
      </c>
    </row>
    <row r="4" spans="1:8" s="5" customFormat="1" ht="18" customHeight="1" x14ac:dyDescent="0.2">
      <c r="A4" s="3" t="s">
        <v>70</v>
      </c>
      <c r="B4" s="62">
        <v>0.77126826000000004</v>
      </c>
      <c r="C4" s="62">
        <v>0.79957472200000002</v>
      </c>
      <c r="D4" s="62">
        <v>0.80741109</v>
      </c>
      <c r="E4" s="62">
        <v>0.78857444600000004</v>
      </c>
      <c r="F4" s="62">
        <v>1.024911283</v>
      </c>
      <c r="G4" s="62">
        <v>0.81026933300000004</v>
      </c>
      <c r="H4" s="62">
        <v>0.77</v>
      </c>
    </row>
    <row r="5" spans="1:8" s="5" customFormat="1" ht="18" customHeight="1" x14ac:dyDescent="0.2">
      <c r="A5" s="3" t="s">
        <v>156</v>
      </c>
      <c r="B5" s="62">
        <v>0.52530155499999998</v>
      </c>
      <c r="C5" s="62">
        <v>0.55400269000000002</v>
      </c>
      <c r="D5" s="62">
        <v>0.57040782999999995</v>
      </c>
      <c r="E5" s="62">
        <v>0.55273866999999999</v>
      </c>
      <c r="F5" s="62">
        <v>0.71717695000000004</v>
      </c>
      <c r="G5" s="62">
        <v>0.56593656000000003</v>
      </c>
      <c r="H5" s="62">
        <v>0.51</v>
      </c>
    </row>
    <row r="6" spans="1:8" s="5" customFormat="1" ht="18" customHeight="1" x14ac:dyDescent="0.2">
      <c r="A6" s="3" t="s">
        <v>157</v>
      </c>
      <c r="B6" s="62">
        <v>0.62292829800000005</v>
      </c>
      <c r="C6" s="62">
        <v>0.63978355600000003</v>
      </c>
      <c r="D6" s="62">
        <v>0.64843868999999998</v>
      </c>
      <c r="E6" s="62">
        <v>0.62695381100000003</v>
      </c>
      <c r="F6" s="62">
        <v>0.90619294699999997</v>
      </c>
      <c r="G6" s="62">
        <v>0.62984196599999998</v>
      </c>
      <c r="H6" s="62">
        <v>0.61</v>
      </c>
    </row>
    <row r="7" spans="1:8" s="5" customFormat="1" ht="18" customHeight="1" x14ac:dyDescent="0.2">
      <c r="A7" s="3" t="s">
        <v>158</v>
      </c>
      <c r="B7" s="62">
        <v>0.57180230499999996</v>
      </c>
      <c r="C7" s="62">
        <v>0.63142487700000005</v>
      </c>
      <c r="D7" s="62">
        <v>0.70787998399999996</v>
      </c>
      <c r="E7" s="62">
        <v>0.59100799999999998</v>
      </c>
      <c r="F7" s="62">
        <v>0.92202700000000004</v>
      </c>
      <c r="G7" s="62">
        <v>0.70483799999999996</v>
      </c>
      <c r="H7" s="62">
        <v>0.61</v>
      </c>
    </row>
    <row r="8" spans="1:8" s="5" customFormat="1" ht="18" customHeight="1" x14ac:dyDescent="0.2">
      <c r="A8" s="3" t="s">
        <v>159</v>
      </c>
      <c r="B8" s="62">
        <v>0.435031061</v>
      </c>
      <c r="C8" s="62">
        <v>0.51490879300000003</v>
      </c>
      <c r="D8" s="62">
        <v>0.59273496199999998</v>
      </c>
      <c r="E8" s="62">
        <v>0.45078600000000002</v>
      </c>
      <c r="F8" s="62">
        <v>1.033442</v>
      </c>
      <c r="G8" s="62">
        <v>0.58802299999999996</v>
      </c>
      <c r="H8" s="62">
        <v>0.49</v>
      </c>
    </row>
    <row r="9" spans="1:8" s="5" customFormat="1" ht="18" customHeight="1" x14ac:dyDescent="0.2">
      <c r="A9" s="3" t="s">
        <v>160</v>
      </c>
      <c r="B9" s="62">
        <v>0.56999999999999995</v>
      </c>
      <c r="C9" s="62">
        <v>0.52</v>
      </c>
      <c r="D9" s="62">
        <v>0.5</v>
      </c>
      <c r="E9" s="62">
        <v>0.53057206099999998</v>
      </c>
      <c r="F9" s="62">
        <v>0.60905242800000003</v>
      </c>
      <c r="G9" s="62">
        <v>0.49882522800000001</v>
      </c>
      <c r="H9" s="62">
        <v>0.54</v>
      </c>
    </row>
    <row r="10" spans="1:8" s="5" customFormat="1" ht="18" customHeight="1" x14ac:dyDescent="0.2">
      <c r="A10" s="3" t="s">
        <v>161</v>
      </c>
      <c r="B10" s="62">
        <v>0.801920517</v>
      </c>
      <c r="C10" s="62">
        <v>0.9021091</v>
      </c>
      <c r="D10" s="62">
        <v>0.91517672100000003</v>
      </c>
      <c r="E10" s="62">
        <v>0.81117910199999999</v>
      </c>
      <c r="F10" s="62">
        <v>1.371243097</v>
      </c>
      <c r="G10" s="62">
        <v>0.88858409199999999</v>
      </c>
      <c r="H10" s="62">
        <v>0.74</v>
      </c>
    </row>
    <row r="11" spans="1:8" s="5" customFormat="1" ht="18" customHeight="1" x14ac:dyDescent="0.2">
      <c r="A11" s="3" t="s">
        <v>162</v>
      </c>
      <c r="B11" s="62">
        <v>1.3835235770000001</v>
      </c>
      <c r="C11" s="62">
        <v>1.4828015059999999</v>
      </c>
      <c r="D11" s="62">
        <v>1.4839574310000001</v>
      </c>
      <c r="E11" s="62">
        <v>1.4352761030000001</v>
      </c>
      <c r="F11" s="62">
        <v>1.5371641170000001</v>
      </c>
      <c r="G11" s="62">
        <v>1.4605864829999999</v>
      </c>
      <c r="H11" s="62">
        <v>1.42</v>
      </c>
    </row>
    <row r="12" spans="1:8" s="5" customFormat="1" ht="18" customHeight="1" x14ac:dyDescent="0.2">
      <c r="A12" s="3" t="s">
        <v>163</v>
      </c>
      <c r="B12" s="62">
        <v>0.732257991</v>
      </c>
      <c r="C12" s="62">
        <v>0.68136122200000004</v>
      </c>
      <c r="D12" s="62">
        <v>0.62558667599999995</v>
      </c>
      <c r="E12" s="62">
        <v>0.69818841200000004</v>
      </c>
      <c r="F12" s="62">
        <v>0.67054524999999998</v>
      </c>
      <c r="G12" s="62">
        <v>0.61284143099999999</v>
      </c>
      <c r="H12" s="62">
        <v>0.73</v>
      </c>
    </row>
    <row r="13" spans="1:8" s="5" customFormat="1" ht="18" customHeight="1" x14ac:dyDescent="0.2">
      <c r="A13" s="3" t="s">
        <v>164</v>
      </c>
      <c r="B13" s="62">
        <v>0.98</v>
      </c>
      <c r="C13" s="62">
        <v>0.99</v>
      </c>
      <c r="D13" s="62">
        <v>0.98</v>
      </c>
      <c r="E13" s="62">
        <v>0.94618976700000001</v>
      </c>
      <c r="F13" s="62">
        <v>1.1118053510000001</v>
      </c>
      <c r="G13" s="62">
        <v>0.96192311600000002</v>
      </c>
      <c r="H13" s="62">
        <v>0.96</v>
      </c>
    </row>
    <row r="14" spans="1:8" s="5" customFormat="1" ht="18" customHeight="1" x14ac:dyDescent="0.2">
      <c r="A14" s="3" t="s">
        <v>165</v>
      </c>
      <c r="B14" s="62">
        <v>0.72240236199999996</v>
      </c>
      <c r="C14" s="62">
        <v>0.68511411799999999</v>
      </c>
      <c r="D14" s="62">
        <v>0.64364120800000002</v>
      </c>
      <c r="E14" s="62">
        <v>0.70031621099999997</v>
      </c>
      <c r="F14" s="62">
        <v>0.61039542999999996</v>
      </c>
      <c r="G14" s="62">
        <v>0.62365836600000002</v>
      </c>
      <c r="H14" s="62">
        <v>0.72</v>
      </c>
    </row>
    <row r="15" spans="1:8" s="5" customFormat="1" ht="18" customHeight="1" x14ac:dyDescent="0.2">
      <c r="A15" s="3" t="s">
        <v>166</v>
      </c>
      <c r="B15" s="62">
        <v>0.62378925399999996</v>
      </c>
      <c r="C15" s="62">
        <v>0.63968296400000002</v>
      </c>
      <c r="D15" s="62">
        <v>0.61909495000000003</v>
      </c>
      <c r="E15" s="62">
        <v>0.60709751499999998</v>
      </c>
      <c r="F15" s="62">
        <v>0.93888965400000002</v>
      </c>
      <c r="G15" s="62">
        <v>0.59989952400000002</v>
      </c>
      <c r="H15" s="62">
        <v>0.62</v>
      </c>
    </row>
    <row r="16" spans="1:8" s="5" customFormat="1" ht="19.5" customHeight="1" x14ac:dyDescent="0.2">
      <c r="A16" s="371" t="s">
        <v>1032</v>
      </c>
      <c r="B16" s="371"/>
      <c r="C16" s="371"/>
      <c r="D16" s="371"/>
      <c r="E16" s="371"/>
      <c r="F16" s="371"/>
      <c r="G16" s="371"/>
    </row>
    <row r="17" spans="1:7" s="5" customFormat="1" ht="18" customHeight="1" x14ac:dyDescent="0.2">
      <c r="A17" s="371" t="s">
        <v>105</v>
      </c>
      <c r="B17" s="371"/>
      <c r="C17" s="371"/>
      <c r="D17" s="371"/>
      <c r="E17" s="371"/>
      <c r="F17" s="371"/>
      <c r="G17" s="371"/>
    </row>
    <row r="18" spans="1:7" s="5" customFormat="1" ht="18" customHeight="1" x14ac:dyDescent="0.2">
      <c r="A18" s="371" t="s">
        <v>506</v>
      </c>
      <c r="B18" s="371"/>
      <c r="C18" s="371"/>
      <c r="D18" s="371"/>
      <c r="E18" s="371"/>
      <c r="F18" s="371"/>
      <c r="G18" s="371"/>
    </row>
    <row r="19" spans="1:7" s="5" customFormat="1" ht="27.6" customHeight="1" x14ac:dyDescent="0.2"/>
  </sheetData>
  <customSheetViews>
    <customSheetView guid="{B9B27D37-53F8-4AD8-9221-6458C3026417}" fitToPage="1">
      <selection sqref="A1:C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C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4">
    <mergeCell ref="A1:C1"/>
    <mergeCell ref="A16:G16"/>
    <mergeCell ref="A17:G17"/>
    <mergeCell ref="A18:G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topLeftCell="F1" zoomScaleNormal="100" workbookViewId="0">
      <selection activeCell="N20" sqref="N20"/>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403" t="s">
        <v>33</v>
      </c>
      <c r="B1" s="403"/>
      <c r="C1" s="403"/>
      <c r="D1" s="403"/>
      <c r="E1" s="403"/>
      <c r="F1" s="403"/>
      <c r="G1" s="403"/>
      <c r="H1" s="403"/>
      <c r="I1" s="403"/>
      <c r="J1" s="403"/>
      <c r="K1" s="403"/>
    </row>
    <row r="2" spans="1:16" s="5" customFormat="1" ht="18.75" customHeight="1" x14ac:dyDescent="0.2">
      <c r="A2" s="7" t="s">
        <v>182</v>
      </c>
      <c r="B2" s="387" t="s">
        <v>252</v>
      </c>
      <c r="C2" s="424"/>
      <c r="D2" s="424"/>
      <c r="E2" s="424"/>
      <c r="F2" s="388"/>
      <c r="G2" s="393" t="s">
        <v>253</v>
      </c>
      <c r="H2" s="394"/>
      <c r="I2" s="394"/>
      <c r="J2" s="394"/>
      <c r="K2" s="395"/>
      <c r="L2" s="393" t="s">
        <v>254</v>
      </c>
      <c r="M2" s="394"/>
      <c r="N2" s="394"/>
      <c r="O2" s="394"/>
      <c r="P2" s="395"/>
    </row>
    <row r="3" spans="1:16" s="5" customFormat="1" ht="18" customHeight="1" x14ac:dyDescent="0.2">
      <c r="A3" s="7" t="s">
        <v>507</v>
      </c>
      <c r="B3" s="25" t="s">
        <v>508</v>
      </c>
      <c r="C3" s="25" t="s">
        <v>509</v>
      </c>
      <c r="D3" s="25" t="s">
        <v>510</v>
      </c>
      <c r="E3" s="25" t="s">
        <v>511</v>
      </c>
      <c r="F3" s="25" t="s">
        <v>512</v>
      </c>
      <c r="G3" s="25" t="s">
        <v>508</v>
      </c>
      <c r="H3" s="25" t="s">
        <v>509</v>
      </c>
      <c r="I3" s="25" t="s">
        <v>510</v>
      </c>
      <c r="J3" s="25" t="s">
        <v>511</v>
      </c>
      <c r="K3" s="25" t="s">
        <v>512</v>
      </c>
      <c r="L3" s="25" t="s">
        <v>508</v>
      </c>
      <c r="M3" s="25" t="s">
        <v>509</v>
      </c>
      <c r="N3" s="25" t="s">
        <v>510</v>
      </c>
      <c r="O3" s="25" t="s">
        <v>511</v>
      </c>
      <c r="P3" s="25" t="s">
        <v>512</v>
      </c>
    </row>
    <row r="4" spans="1:16" s="5" customFormat="1" ht="18" customHeight="1" x14ac:dyDescent="0.2">
      <c r="A4" s="387" t="s">
        <v>513</v>
      </c>
      <c r="B4" s="424"/>
      <c r="C4" s="424"/>
      <c r="D4" s="424"/>
      <c r="E4" s="424"/>
      <c r="F4" s="424"/>
      <c r="G4" s="424"/>
      <c r="H4" s="424"/>
      <c r="I4" s="424"/>
      <c r="J4" s="424"/>
      <c r="K4" s="388"/>
      <c r="L4" s="25"/>
      <c r="M4" s="25"/>
      <c r="N4" s="25"/>
      <c r="O4" s="25"/>
      <c r="P4" s="25"/>
    </row>
    <row r="5" spans="1:16" s="5" customFormat="1" ht="16.5" customHeight="1" x14ac:dyDescent="0.2">
      <c r="A5" s="3" t="s">
        <v>69</v>
      </c>
      <c r="B5" s="48">
        <v>10.6509</v>
      </c>
      <c r="C5" s="48">
        <v>15.7315</v>
      </c>
      <c r="D5" s="48">
        <v>26.2105</v>
      </c>
      <c r="E5" s="48">
        <v>36.85</v>
      </c>
      <c r="F5" s="48">
        <v>51.739199999999997</v>
      </c>
      <c r="G5" s="48">
        <v>9.08</v>
      </c>
      <c r="H5" s="48">
        <v>15.48</v>
      </c>
      <c r="I5" s="48">
        <v>29.1</v>
      </c>
      <c r="J5" s="48">
        <v>43.05</v>
      </c>
      <c r="K5" s="48">
        <v>61.3</v>
      </c>
      <c r="L5" s="15">
        <v>95.083077450000005</v>
      </c>
      <c r="M5" s="15">
        <v>99.385843160999997</v>
      </c>
      <c r="N5" s="15">
        <v>100</v>
      </c>
      <c r="O5" s="15">
        <v>100</v>
      </c>
      <c r="P5" s="15">
        <v>100</v>
      </c>
    </row>
    <row r="6" spans="1:16" s="5" customFormat="1" ht="16.5" customHeight="1" x14ac:dyDescent="0.2">
      <c r="A6" s="3" t="s">
        <v>70</v>
      </c>
      <c r="B6" s="48">
        <v>9.7075999999999993</v>
      </c>
      <c r="C6" s="48">
        <v>16.3386</v>
      </c>
      <c r="D6" s="48">
        <v>30.728400000000001</v>
      </c>
      <c r="E6" s="48">
        <v>43.944699999999997</v>
      </c>
      <c r="F6" s="48">
        <v>59.814999999999998</v>
      </c>
      <c r="G6" s="48">
        <v>11.7</v>
      </c>
      <c r="H6" s="48">
        <v>20.37</v>
      </c>
      <c r="I6" s="48">
        <v>36.79</v>
      </c>
      <c r="J6" s="48">
        <v>52.64</v>
      </c>
      <c r="K6" s="48">
        <v>70.91</v>
      </c>
      <c r="L6" s="15">
        <v>99.98</v>
      </c>
      <c r="M6" s="15">
        <v>100</v>
      </c>
      <c r="N6" s="15">
        <v>100</v>
      </c>
      <c r="O6" s="15">
        <v>100</v>
      </c>
      <c r="P6" s="15">
        <v>100</v>
      </c>
    </row>
    <row r="7" spans="1:16" s="5" customFormat="1" ht="16.5" customHeight="1" x14ac:dyDescent="0.2">
      <c r="A7" s="3" t="s">
        <v>156</v>
      </c>
      <c r="B7" s="48">
        <v>12.2928</v>
      </c>
      <c r="C7" s="48">
        <v>17.739799999999999</v>
      </c>
      <c r="D7" s="48">
        <v>29.526499999999999</v>
      </c>
      <c r="E7" s="48">
        <v>41.944200000000002</v>
      </c>
      <c r="F7" s="48">
        <v>57.418900000000001</v>
      </c>
      <c r="G7" s="48">
        <v>11.12</v>
      </c>
      <c r="H7" s="48">
        <v>18.71</v>
      </c>
      <c r="I7" s="48">
        <v>33.69</v>
      </c>
      <c r="J7" s="48">
        <v>48.43</v>
      </c>
      <c r="K7" s="48">
        <v>66</v>
      </c>
      <c r="L7" s="15">
        <v>100</v>
      </c>
      <c r="M7" s="15">
        <v>100</v>
      </c>
      <c r="N7" s="15">
        <v>100</v>
      </c>
      <c r="O7" s="15">
        <v>100</v>
      </c>
      <c r="P7" s="15">
        <v>100</v>
      </c>
    </row>
    <row r="8" spans="1:16" s="5" customFormat="1" ht="16.5" customHeight="1" x14ac:dyDescent="0.2">
      <c r="A8" s="3" t="s">
        <v>157</v>
      </c>
      <c r="B8" s="48">
        <v>16.0047</v>
      </c>
      <c r="C8" s="48">
        <v>22.1846</v>
      </c>
      <c r="D8" s="48">
        <v>34.213700000000003</v>
      </c>
      <c r="E8" s="48">
        <v>47.360700000000001</v>
      </c>
      <c r="F8" s="48">
        <v>63.240099999999998</v>
      </c>
      <c r="G8" s="48">
        <v>10.73</v>
      </c>
      <c r="H8" s="48">
        <v>17.68</v>
      </c>
      <c r="I8" s="48">
        <v>33.46</v>
      </c>
      <c r="J8" s="48">
        <v>50.7</v>
      </c>
      <c r="K8" s="48">
        <v>69.34</v>
      </c>
      <c r="L8" s="15">
        <v>100</v>
      </c>
      <c r="M8" s="15">
        <v>100</v>
      </c>
      <c r="N8" s="15">
        <v>100</v>
      </c>
      <c r="O8" s="15">
        <v>100</v>
      </c>
      <c r="P8" s="15">
        <v>100</v>
      </c>
    </row>
    <row r="9" spans="1:16" s="5" customFormat="1" ht="16.5" customHeight="1" x14ac:dyDescent="0.2">
      <c r="A9" s="3" t="s">
        <v>158</v>
      </c>
      <c r="B9" s="48">
        <v>14.417999999999999</v>
      </c>
      <c r="C9" s="48">
        <v>21.3154</v>
      </c>
      <c r="D9" s="48">
        <v>34.880400000000002</v>
      </c>
      <c r="E9" s="48">
        <v>48.684600000000003</v>
      </c>
      <c r="F9" s="48">
        <v>64.090800000000002</v>
      </c>
      <c r="G9" s="48">
        <v>11.87</v>
      </c>
      <c r="H9" s="48">
        <v>19.809999999999999</v>
      </c>
      <c r="I9" s="48">
        <v>35.57</v>
      </c>
      <c r="J9" s="48">
        <v>51.85</v>
      </c>
      <c r="K9" s="48">
        <v>69.66</v>
      </c>
      <c r="L9" s="15">
        <v>100</v>
      </c>
      <c r="M9" s="15">
        <v>100</v>
      </c>
      <c r="N9" s="15">
        <v>100</v>
      </c>
      <c r="O9" s="15">
        <v>100</v>
      </c>
      <c r="P9" s="15">
        <v>100</v>
      </c>
    </row>
    <row r="10" spans="1:16" s="5" customFormat="1" ht="16.5" customHeight="1" x14ac:dyDescent="0.2">
      <c r="A10" s="3" t="s">
        <v>159</v>
      </c>
      <c r="B10" s="48">
        <v>11.193544166000001</v>
      </c>
      <c r="C10" s="48">
        <v>17.857199999999999</v>
      </c>
      <c r="D10" s="48">
        <v>31.321400000000001</v>
      </c>
      <c r="E10" s="48">
        <v>45.393099999999997</v>
      </c>
      <c r="F10" s="48">
        <v>62.705800000000004</v>
      </c>
      <c r="G10" s="48">
        <v>11.77</v>
      </c>
      <c r="H10" s="48">
        <v>19.760000000000002</v>
      </c>
      <c r="I10" s="48">
        <v>36.049999999999997</v>
      </c>
      <c r="J10" s="48">
        <v>53.32</v>
      </c>
      <c r="K10" s="48">
        <v>71.63</v>
      </c>
      <c r="L10" s="15">
        <v>100</v>
      </c>
      <c r="M10" s="15">
        <v>100</v>
      </c>
      <c r="N10" s="15">
        <v>100</v>
      </c>
      <c r="O10" s="15">
        <v>100</v>
      </c>
      <c r="P10" s="15">
        <v>100</v>
      </c>
    </row>
    <row r="11" spans="1:16" s="5" customFormat="1" ht="16.5" customHeight="1" x14ac:dyDescent="0.2">
      <c r="A11" s="3" t="s">
        <v>160</v>
      </c>
      <c r="B11" s="48">
        <v>9.7654999999999994</v>
      </c>
      <c r="C11" s="48">
        <v>16.369599999999998</v>
      </c>
      <c r="D11" s="48">
        <v>30.014299999999999</v>
      </c>
      <c r="E11" s="48">
        <v>43.505899999999997</v>
      </c>
      <c r="F11" s="48">
        <v>58.996400000000001</v>
      </c>
      <c r="G11" s="48">
        <v>11.8</v>
      </c>
      <c r="H11" s="48">
        <v>19.29</v>
      </c>
      <c r="I11" s="48">
        <v>34.700000000000003</v>
      </c>
      <c r="J11" s="48">
        <v>50.06</v>
      </c>
      <c r="K11" s="48">
        <v>68.72</v>
      </c>
      <c r="L11" s="15">
        <v>100</v>
      </c>
      <c r="M11" s="15">
        <v>100</v>
      </c>
      <c r="N11" s="15">
        <v>100</v>
      </c>
      <c r="O11" s="15">
        <v>100</v>
      </c>
      <c r="P11" s="15">
        <v>100</v>
      </c>
    </row>
    <row r="12" spans="1:16" s="5" customFormat="1" ht="16.5" customHeight="1" x14ac:dyDescent="0.2">
      <c r="A12" s="3" t="s">
        <v>161</v>
      </c>
      <c r="B12" s="48">
        <v>12.5556</v>
      </c>
      <c r="C12" s="48">
        <v>20.303100000000001</v>
      </c>
      <c r="D12" s="48">
        <v>33.552199999999999</v>
      </c>
      <c r="E12" s="48">
        <v>48.441499999999998</v>
      </c>
      <c r="F12" s="48">
        <v>63.673099999999998</v>
      </c>
      <c r="G12" s="48">
        <v>14.53</v>
      </c>
      <c r="H12" s="48">
        <v>23.48</v>
      </c>
      <c r="I12" s="48">
        <v>40.86</v>
      </c>
      <c r="J12" s="48">
        <v>56.55</v>
      </c>
      <c r="K12" s="48">
        <v>73.8</v>
      </c>
      <c r="L12" s="15">
        <v>100</v>
      </c>
      <c r="M12" s="15">
        <v>100</v>
      </c>
      <c r="N12" s="15">
        <v>100</v>
      </c>
      <c r="O12" s="15">
        <v>100</v>
      </c>
      <c r="P12" s="15">
        <v>100</v>
      </c>
    </row>
    <row r="13" spans="1:16" s="5" customFormat="1" ht="16.5" customHeight="1" x14ac:dyDescent="0.2">
      <c r="A13" s="3" t="s">
        <v>162</v>
      </c>
      <c r="B13" s="48">
        <v>13.922599999999999</v>
      </c>
      <c r="C13" s="48">
        <v>23.026499999999999</v>
      </c>
      <c r="D13" s="48">
        <v>38.7791</v>
      </c>
      <c r="E13" s="48">
        <v>53.623699999999999</v>
      </c>
      <c r="F13" s="48">
        <v>69.436599999999999</v>
      </c>
      <c r="G13" s="48">
        <v>15.69</v>
      </c>
      <c r="H13" s="48">
        <v>26.3</v>
      </c>
      <c r="I13" s="48">
        <v>44.3</v>
      </c>
      <c r="J13" s="48">
        <v>59.47</v>
      </c>
      <c r="K13" s="48">
        <v>77.27</v>
      </c>
      <c r="L13" s="15">
        <v>100</v>
      </c>
      <c r="M13" s="15">
        <v>100</v>
      </c>
      <c r="N13" s="15">
        <v>100</v>
      </c>
      <c r="O13" s="15">
        <v>100</v>
      </c>
      <c r="P13" s="15">
        <v>100</v>
      </c>
    </row>
    <row r="14" spans="1:16" s="5" customFormat="1" ht="16.5" customHeight="1" x14ac:dyDescent="0.2">
      <c r="A14" s="3" t="s">
        <v>163</v>
      </c>
      <c r="B14" s="48">
        <v>14.148199999999999</v>
      </c>
      <c r="C14" s="48">
        <v>22.821200000000001</v>
      </c>
      <c r="D14" s="48">
        <v>39.092799999999997</v>
      </c>
      <c r="E14" s="48">
        <v>52.922400000000003</v>
      </c>
      <c r="F14" s="48">
        <v>69.330100000000002</v>
      </c>
      <c r="G14" s="48">
        <v>14.04</v>
      </c>
      <c r="H14" s="48">
        <v>23.66</v>
      </c>
      <c r="I14" s="48">
        <v>41.31</v>
      </c>
      <c r="J14" s="48">
        <v>57.7</v>
      </c>
      <c r="K14" s="48">
        <v>76.08</v>
      </c>
      <c r="L14" s="15">
        <v>100</v>
      </c>
      <c r="M14" s="15">
        <v>100</v>
      </c>
      <c r="N14" s="15">
        <v>100</v>
      </c>
      <c r="O14" s="15">
        <v>100</v>
      </c>
      <c r="P14" s="15">
        <v>100</v>
      </c>
    </row>
    <row r="15" spans="1:16" s="5" customFormat="1" ht="16.5" customHeight="1" x14ac:dyDescent="0.2">
      <c r="A15" s="3" t="s">
        <v>164</v>
      </c>
      <c r="B15" s="48">
        <v>13.0364</v>
      </c>
      <c r="C15" s="48">
        <v>20.781500000000001</v>
      </c>
      <c r="D15" s="48">
        <v>36.414000000000001</v>
      </c>
      <c r="E15" s="48">
        <v>50.500100000000003</v>
      </c>
      <c r="F15" s="48">
        <v>66.538200000000003</v>
      </c>
      <c r="G15" s="48">
        <v>13.88</v>
      </c>
      <c r="H15" s="48">
        <v>23.03</v>
      </c>
      <c r="I15" s="48">
        <v>39.67</v>
      </c>
      <c r="J15" s="48">
        <v>56.21</v>
      </c>
      <c r="K15" s="48">
        <v>75.47</v>
      </c>
      <c r="L15" s="15">
        <v>100</v>
      </c>
      <c r="M15" s="15">
        <v>100</v>
      </c>
      <c r="N15" s="15">
        <v>100</v>
      </c>
      <c r="O15" s="15">
        <v>100</v>
      </c>
      <c r="P15" s="15">
        <v>100</v>
      </c>
    </row>
    <row r="16" spans="1:16" s="5" customFormat="1" ht="16.5" customHeight="1" x14ac:dyDescent="0.2">
      <c r="A16" s="3" t="s">
        <v>165</v>
      </c>
      <c r="B16" s="48">
        <v>13.8971</v>
      </c>
      <c r="C16" s="48">
        <v>22.781400000000001</v>
      </c>
      <c r="D16" s="48">
        <v>40.713700000000003</v>
      </c>
      <c r="E16" s="48">
        <v>54.134999999999998</v>
      </c>
      <c r="F16" s="48">
        <v>68.730400000000003</v>
      </c>
      <c r="G16" s="48">
        <v>15.58</v>
      </c>
      <c r="H16" s="48">
        <v>25.65</v>
      </c>
      <c r="I16" s="48">
        <v>44.31</v>
      </c>
      <c r="J16" s="48">
        <v>59.28</v>
      </c>
      <c r="K16" s="48">
        <v>76.83</v>
      </c>
      <c r="L16" s="15">
        <v>100</v>
      </c>
      <c r="M16" s="15">
        <v>100</v>
      </c>
      <c r="N16" s="15">
        <v>100</v>
      </c>
      <c r="O16" s="15">
        <v>100</v>
      </c>
      <c r="P16" s="15">
        <v>100</v>
      </c>
    </row>
    <row r="17" spans="1:16" s="5" customFormat="1" ht="16.5" customHeight="1" x14ac:dyDescent="0.2">
      <c r="A17" s="3" t="s">
        <v>166</v>
      </c>
      <c r="B17" s="48">
        <v>14.7561</v>
      </c>
      <c r="C17" s="48">
        <v>22.864100000000001</v>
      </c>
      <c r="D17" s="48">
        <v>38.684199999999997</v>
      </c>
      <c r="E17" s="48">
        <v>53.540300000000002</v>
      </c>
      <c r="F17" s="48">
        <v>68.638999999999996</v>
      </c>
      <c r="G17" s="48">
        <v>14.56</v>
      </c>
      <c r="H17" s="48">
        <v>23.12</v>
      </c>
      <c r="I17" s="48">
        <v>42.42</v>
      </c>
      <c r="J17" s="48">
        <v>58.73</v>
      </c>
      <c r="K17" s="48">
        <v>76.95</v>
      </c>
      <c r="L17" s="15">
        <v>100</v>
      </c>
      <c r="M17" s="15">
        <v>100</v>
      </c>
      <c r="N17" s="15">
        <v>100</v>
      </c>
      <c r="O17" s="15">
        <v>100</v>
      </c>
      <c r="P17" s="15">
        <v>100</v>
      </c>
    </row>
    <row r="18" spans="1:16" s="5" customFormat="1" ht="18" customHeight="1" x14ac:dyDescent="0.2">
      <c r="A18" s="387" t="s">
        <v>514</v>
      </c>
      <c r="B18" s="424"/>
      <c r="C18" s="424"/>
      <c r="D18" s="424"/>
      <c r="E18" s="424"/>
      <c r="F18" s="424"/>
      <c r="G18" s="424"/>
      <c r="H18" s="424"/>
      <c r="I18" s="424"/>
      <c r="J18" s="424"/>
      <c r="K18" s="424"/>
      <c r="L18" s="424"/>
      <c r="M18" s="424"/>
      <c r="N18" s="424"/>
      <c r="O18" s="424"/>
      <c r="P18" s="388"/>
    </row>
    <row r="19" spans="1:16" s="5" customFormat="1" ht="18" customHeight="1" x14ac:dyDescent="0.2">
      <c r="A19" s="3" t="s">
        <v>69</v>
      </c>
      <c r="B19" s="48">
        <v>21.16</v>
      </c>
      <c r="C19" s="48">
        <v>33.31</v>
      </c>
      <c r="D19" s="48">
        <v>55.24</v>
      </c>
      <c r="E19" s="48">
        <v>70.510000000000005</v>
      </c>
      <c r="F19" s="48">
        <v>82.76</v>
      </c>
      <c r="G19" s="48">
        <v>19.75</v>
      </c>
      <c r="H19" s="48">
        <v>30.91</v>
      </c>
      <c r="I19" s="48">
        <v>51.52</v>
      </c>
      <c r="J19" s="48">
        <v>68.45</v>
      </c>
      <c r="K19" s="48">
        <v>82.01</v>
      </c>
      <c r="L19" s="15">
        <v>98.021427915999993</v>
      </c>
      <c r="M19" s="15">
        <v>99.910060935999994</v>
      </c>
      <c r="N19" s="15">
        <v>100</v>
      </c>
      <c r="O19" s="15">
        <v>100</v>
      </c>
      <c r="P19" s="15">
        <v>100</v>
      </c>
    </row>
    <row r="20" spans="1:16" s="5" customFormat="1" ht="18" customHeight="1" x14ac:dyDescent="0.2">
      <c r="A20" s="3" t="s">
        <v>70</v>
      </c>
      <c r="B20" s="48">
        <v>24.61</v>
      </c>
      <c r="C20" s="48">
        <v>39.21</v>
      </c>
      <c r="D20" s="48">
        <v>60.42</v>
      </c>
      <c r="E20" s="48">
        <v>73.02</v>
      </c>
      <c r="F20" s="48">
        <v>84.3</v>
      </c>
      <c r="G20" s="48">
        <v>22.42</v>
      </c>
      <c r="H20" s="48">
        <v>34.31</v>
      </c>
      <c r="I20" s="48">
        <v>54.59</v>
      </c>
      <c r="J20" s="48">
        <v>72.290000000000006</v>
      </c>
      <c r="K20" s="48">
        <v>85.66</v>
      </c>
      <c r="L20" s="15">
        <v>99.22</v>
      </c>
      <c r="M20" s="15">
        <v>100</v>
      </c>
      <c r="N20" s="15">
        <v>100</v>
      </c>
      <c r="O20" s="15">
        <v>100</v>
      </c>
      <c r="P20" s="15">
        <v>100</v>
      </c>
    </row>
    <row r="21" spans="1:16" s="5" customFormat="1" ht="18" customHeight="1" x14ac:dyDescent="0.2">
      <c r="A21" s="3" t="s">
        <v>156</v>
      </c>
      <c r="B21" s="48">
        <v>21.3</v>
      </c>
      <c r="C21" s="48">
        <v>35.75</v>
      </c>
      <c r="D21" s="48">
        <v>56.43</v>
      </c>
      <c r="E21" s="48">
        <v>69.87</v>
      </c>
      <c r="F21" s="48">
        <v>82.75</v>
      </c>
      <c r="G21" s="48">
        <v>21.68</v>
      </c>
      <c r="H21" s="48">
        <v>34</v>
      </c>
      <c r="I21" s="48">
        <v>53.56</v>
      </c>
      <c r="J21" s="48">
        <v>69.45</v>
      </c>
      <c r="K21" s="48">
        <v>83.74</v>
      </c>
      <c r="L21" s="15">
        <v>100</v>
      </c>
      <c r="M21" s="15">
        <v>100</v>
      </c>
      <c r="N21" s="15">
        <v>100</v>
      </c>
      <c r="O21" s="15">
        <v>100</v>
      </c>
      <c r="P21" s="15">
        <v>100</v>
      </c>
    </row>
    <row r="22" spans="1:16" s="5" customFormat="1" ht="18" customHeight="1" x14ac:dyDescent="0.2">
      <c r="A22" s="3" t="s">
        <v>157</v>
      </c>
      <c r="B22" s="48">
        <v>22.52</v>
      </c>
      <c r="C22" s="48">
        <v>36.07</v>
      </c>
      <c r="D22" s="48">
        <v>58.22</v>
      </c>
      <c r="E22" s="48">
        <v>72.16</v>
      </c>
      <c r="F22" s="48">
        <v>83.89</v>
      </c>
      <c r="G22" s="48">
        <v>20.99</v>
      </c>
      <c r="H22" s="48">
        <v>32.5</v>
      </c>
      <c r="I22" s="48">
        <v>53.74</v>
      </c>
      <c r="J22" s="48">
        <v>70.680000000000007</v>
      </c>
      <c r="K22" s="48">
        <v>84.75</v>
      </c>
      <c r="L22" s="15">
        <v>100</v>
      </c>
      <c r="M22" s="15">
        <v>100</v>
      </c>
      <c r="N22" s="15">
        <v>100</v>
      </c>
      <c r="O22" s="15">
        <v>100</v>
      </c>
      <c r="P22" s="15">
        <v>100</v>
      </c>
    </row>
    <row r="23" spans="1:16" s="5" customFormat="1" ht="18" customHeight="1" x14ac:dyDescent="0.2">
      <c r="A23" s="3" t="s">
        <v>158</v>
      </c>
      <c r="B23" s="48">
        <v>24.45</v>
      </c>
      <c r="C23" s="48">
        <v>37.880000000000003</v>
      </c>
      <c r="D23" s="48">
        <v>60.4</v>
      </c>
      <c r="E23" s="48">
        <v>73.42</v>
      </c>
      <c r="F23" s="48">
        <v>84.53</v>
      </c>
      <c r="G23" s="48">
        <v>20.98</v>
      </c>
      <c r="H23" s="48">
        <v>31.59</v>
      </c>
      <c r="I23" s="48">
        <v>53.71</v>
      </c>
      <c r="J23" s="48">
        <v>71.010000000000005</v>
      </c>
      <c r="K23" s="48">
        <v>84.83</v>
      </c>
      <c r="L23" s="15">
        <v>100</v>
      </c>
      <c r="M23" s="15">
        <v>100</v>
      </c>
      <c r="N23" s="15">
        <v>100</v>
      </c>
      <c r="O23" s="15">
        <v>100</v>
      </c>
      <c r="P23" s="15">
        <v>100</v>
      </c>
    </row>
    <row r="24" spans="1:16" s="5" customFormat="1" ht="18" customHeight="1" x14ac:dyDescent="0.2">
      <c r="A24" s="3" t="s">
        <v>159</v>
      </c>
      <c r="B24" s="48">
        <v>24.59</v>
      </c>
      <c r="C24" s="48">
        <v>38.53</v>
      </c>
      <c r="D24" s="48">
        <v>62.3</v>
      </c>
      <c r="E24" s="48">
        <v>74.86</v>
      </c>
      <c r="F24" s="48">
        <v>85.14</v>
      </c>
      <c r="G24" s="48">
        <v>22.48</v>
      </c>
      <c r="H24" s="48">
        <v>33.979999999999997</v>
      </c>
      <c r="I24" s="48">
        <v>54.11</v>
      </c>
      <c r="J24" s="48">
        <v>71.53</v>
      </c>
      <c r="K24" s="48">
        <v>85.43</v>
      </c>
      <c r="L24" s="15">
        <v>100</v>
      </c>
      <c r="M24" s="15">
        <v>100</v>
      </c>
      <c r="N24" s="15">
        <v>100</v>
      </c>
      <c r="O24" s="15">
        <v>100</v>
      </c>
      <c r="P24" s="15">
        <v>100</v>
      </c>
    </row>
    <row r="25" spans="1:16" s="5" customFormat="1" ht="18" customHeight="1" x14ac:dyDescent="0.2">
      <c r="A25" s="3" t="s">
        <v>160</v>
      </c>
      <c r="B25" s="48">
        <v>24.99</v>
      </c>
      <c r="C25" s="48">
        <v>39.36</v>
      </c>
      <c r="D25" s="48">
        <v>60.58</v>
      </c>
      <c r="E25" s="48">
        <v>72.87</v>
      </c>
      <c r="F25" s="48">
        <v>83.58</v>
      </c>
      <c r="G25" s="48">
        <v>22.39</v>
      </c>
      <c r="H25" s="48">
        <v>34.47</v>
      </c>
      <c r="I25" s="48">
        <v>54.08</v>
      </c>
      <c r="J25" s="48">
        <v>71.55</v>
      </c>
      <c r="K25" s="48">
        <v>84.95</v>
      </c>
      <c r="L25" s="15">
        <v>100</v>
      </c>
      <c r="M25" s="15">
        <v>100</v>
      </c>
      <c r="N25" s="15">
        <v>100</v>
      </c>
      <c r="O25" s="15">
        <v>100</v>
      </c>
      <c r="P25" s="15">
        <v>100</v>
      </c>
    </row>
    <row r="26" spans="1:16" s="5" customFormat="1" ht="18" customHeight="1" x14ac:dyDescent="0.2">
      <c r="A26" s="3" t="s">
        <v>161</v>
      </c>
      <c r="B26" s="48">
        <v>35.19</v>
      </c>
      <c r="C26" s="48">
        <v>48.65</v>
      </c>
      <c r="D26" s="48">
        <v>68.510000000000005</v>
      </c>
      <c r="E26" s="48">
        <v>79.22</v>
      </c>
      <c r="F26" s="48">
        <v>87.85</v>
      </c>
      <c r="G26" s="48">
        <v>22.18</v>
      </c>
      <c r="H26" s="48">
        <v>34.76</v>
      </c>
      <c r="I26" s="48">
        <v>56.02</v>
      </c>
      <c r="J26" s="48">
        <v>73.83</v>
      </c>
      <c r="K26" s="48">
        <v>86.6</v>
      </c>
      <c r="L26" s="15">
        <v>100</v>
      </c>
      <c r="M26" s="15">
        <v>100</v>
      </c>
      <c r="N26" s="15">
        <v>100</v>
      </c>
      <c r="O26" s="15">
        <v>100</v>
      </c>
      <c r="P26" s="15">
        <v>100</v>
      </c>
    </row>
    <row r="27" spans="1:16" s="5" customFormat="1" ht="18" customHeight="1" x14ac:dyDescent="0.2">
      <c r="A27" s="3" t="s">
        <v>162</v>
      </c>
      <c r="B27" s="48">
        <v>30.33</v>
      </c>
      <c r="C27" s="48">
        <v>45.74</v>
      </c>
      <c r="D27" s="48">
        <v>67.58</v>
      </c>
      <c r="E27" s="48">
        <v>78.180000000000007</v>
      </c>
      <c r="F27" s="48">
        <v>86.79</v>
      </c>
      <c r="G27" s="48">
        <v>22.75</v>
      </c>
      <c r="H27" s="48">
        <v>35.36</v>
      </c>
      <c r="I27" s="48">
        <v>56.27</v>
      </c>
      <c r="J27" s="48">
        <v>74.040000000000006</v>
      </c>
      <c r="K27" s="48">
        <v>87.22</v>
      </c>
      <c r="L27" s="15">
        <v>100</v>
      </c>
      <c r="M27" s="15">
        <v>100</v>
      </c>
      <c r="N27" s="15">
        <v>100</v>
      </c>
      <c r="O27" s="15">
        <v>100</v>
      </c>
      <c r="P27" s="15">
        <v>100</v>
      </c>
    </row>
    <row r="28" spans="1:16" s="5" customFormat="1" ht="18" customHeight="1" x14ac:dyDescent="0.2">
      <c r="A28" s="3" t="s">
        <v>163</v>
      </c>
      <c r="B28" s="48">
        <v>29.75</v>
      </c>
      <c r="C28" s="48">
        <v>43.72</v>
      </c>
      <c r="D28" s="48">
        <v>64.680000000000007</v>
      </c>
      <c r="E28" s="48">
        <v>76.63</v>
      </c>
      <c r="F28" s="48">
        <v>86.58</v>
      </c>
      <c r="G28" s="48">
        <v>23.19</v>
      </c>
      <c r="H28" s="48">
        <v>35.4</v>
      </c>
      <c r="I28" s="48">
        <v>55.99</v>
      </c>
      <c r="J28" s="48">
        <v>73.78</v>
      </c>
      <c r="K28" s="48">
        <v>86.45</v>
      </c>
      <c r="L28" s="15">
        <v>100</v>
      </c>
      <c r="M28" s="15">
        <v>100</v>
      </c>
      <c r="N28" s="15">
        <v>100</v>
      </c>
      <c r="O28" s="15">
        <v>100</v>
      </c>
      <c r="P28" s="15">
        <v>100</v>
      </c>
    </row>
    <row r="29" spans="1:16" s="5" customFormat="1" ht="18" customHeight="1" x14ac:dyDescent="0.2">
      <c r="A29" s="3" t="s">
        <v>164</v>
      </c>
      <c r="B29" s="48">
        <v>30.99</v>
      </c>
      <c r="C29" s="48">
        <v>45.28</v>
      </c>
      <c r="D29" s="48">
        <v>64.3</v>
      </c>
      <c r="E29" s="48">
        <v>75.92</v>
      </c>
      <c r="F29" s="48">
        <v>85.57</v>
      </c>
      <c r="G29" s="48">
        <v>25.39</v>
      </c>
      <c r="H29" s="48">
        <v>38.200000000000003</v>
      </c>
      <c r="I29" s="48">
        <v>56.99</v>
      </c>
      <c r="J29" s="48">
        <v>74.2</v>
      </c>
      <c r="K29" s="48">
        <v>86.7</v>
      </c>
      <c r="L29" s="15">
        <v>100</v>
      </c>
      <c r="M29" s="15">
        <v>100</v>
      </c>
      <c r="N29" s="15">
        <v>100</v>
      </c>
      <c r="O29" s="15">
        <v>100</v>
      </c>
      <c r="P29" s="15">
        <v>100</v>
      </c>
    </row>
    <row r="30" spans="1:16" s="5" customFormat="1" ht="18" customHeight="1" x14ac:dyDescent="0.2">
      <c r="A30" s="3" t="s">
        <v>165</v>
      </c>
      <c r="B30" s="48">
        <v>28.14</v>
      </c>
      <c r="C30" s="48">
        <v>43.11</v>
      </c>
      <c r="D30" s="48">
        <v>63.62</v>
      </c>
      <c r="E30" s="48">
        <v>75.510000000000005</v>
      </c>
      <c r="F30" s="48">
        <v>85.09</v>
      </c>
      <c r="G30" s="48">
        <v>24.78</v>
      </c>
      <c r="H30" s="48">
        <v>36.44</v>
      </c>
      <c r="I30" s="48">
        <v>56.42</v>
      </c>
      <c r="J30" s="48">
        <v>74.010000000000005</v>
      </c>
      <c r="K30" s="48">
        <v>86.5</v>
      </c>
      <c r="L30" s="15">
        <v>100</v>
      </c>
      <c r="M30" s="15">
        <v>100</v>
      </c>
      <c r="N30" s="15">
        <v>100</v>
      </c>
      <c r="O30" s="15">
        <v>100</v>
      </c>
      <c r="P30" s="15">
        <v>100</v>
      </c>
    </row>
    <row r="31" spans="1:16" s="5" customFormat="1" ht="18" customHeight="1" x14ac:dyDescent="0.2">
      <c r="A31" s="3" t="s">
        <v>166</v>
      </c>
      <c r="B31" s="48">
        <v>30.89</v>
      </c>
      <c r="C31" s="48">
        <v>48.68</v>
      </c>
      <c r="D31" s="48">
        <v>67.83</v>
      </c>
      <c r="E31" s="48">
        <v>77.84</v>
      </c>
      <c r="F31" s="48">
        <v>86.26</v>
      </c>
      <c r="G31" s="48">
        <v>24.11</v>
      </c>
      <c r="H31" s="48">
        <v>36.15</v>
      </c>
      <c r="I31" s="48">
        <v>56.76</v>
      </c>
      <c r="J31" s="48">
        <v>74.959999999999994</v>
      </c>
      <c r="K31" s="48">
        <v>87.23</v>
      </c>
      <c r="L31" s="15">
        <v>100</v>
      </c>
      <c r="M31" s="15">
        <v>100</v>
      </c>
      <c r="N31" s="15">
        <v>100</v>
      </c>
      <c r="O31" s="15">
        <v>100</v>
      </c>
      <c r="P31" s="15">
        <v>100</v>
      </c>
    </row>
    <row r="32" spans="1:16" s="5" customFormat="1" ht="15" customHeight="1" x14ac:dyDescent="0.2">
      <c r="A32" s="391" t="s">
        <v>105</v>
      </c>
      <c r="B32" s="391"/>
      <c r="C32" s="391"/>
      <c r="D32" s="391"/>
      <c r="E32" s="391"/>
      <c r="F32" s="391"/>
      <c r="G32" s="391"/>
      <c r="H32" s="391"/>
      <c r="I32" s="391"/>
      <c r="J32" s="391"/>
      <c r="K32" s="391"/>
    </row>
    <row r="33" spans="1:11" s="5" customFormat="1" ht="13.5" customHeight="1" x14ac:dyDescent="0.2">
      <c r="A33" s="391" t="s">
        <v>1022</v>
      </c>
      <c r="B33" s="391"/>
      <c r="C33" s="391"/>
      <c r="D33" s="391"/>
      <c r="E33" s="391"/>
      <c r="F33" s="391"/>
      <c r="G33" s="391"/>
      <c r="H33" s="391"/>
      <c r="I33" s="391"/>
      <c r="J33" s="391"/>
      <c r="K33" s="391"/>
    </row>
    <row r="34" spans="1:11" s="5" customFormat="1" ht="13.5" customHeight="1" x14ac:dyDescent="0.2">
      <c r="A34" s="391" t="s">
        <v>244</v>
      </c>
      <c r="B34" s="391"/>
      <c r="C34" s="391"/>
      <c r="D34" s="391"/>
      <c r="E34" s="391"/>
      <c r="F34" s="391"/>
      <c r="G34" s="391"/>
      <c r="H34" s="391"/>
      <c r="I34" s="391"/>
      <c r="J34" s="391"/>
      <c r="K34" s="391"/>
    </row>
    <row r="35" spans="1:11" s="5" customFormat="1" ht="28.35" customHeight="1" x14ac:dyDescent="0.2"/>
  </sheetData>
  <customSheetViews>
    <customSheetView guid="{B9B27D37-53F8-4AD8-9221-6458C3026417}" fitToPage="1" topLeftCell="A22">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A22">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9">
    <mergeCell ref="A34:K34"/>
    <mergeCell ref="A1:K1"/>
    <mergeCell ref="B2:F2"/>
    <mergeCell ref="G2:K2"/>
    <mergeCell ref="L2:P2"/>
    <mergeCell ref="A4:K4"/>
    <mergeCell ref="A18:P18"/>
    <mergeCell ref="A32:K32"/>
    <mergeCell ref="A33:K3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8"/>
  <sheetViews>
    <sheetView zoomScaleNormal="100" workbookViewId="0">
      <selection sqref="A1:I1"/>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403" t="s">
        <v>34</v>
      </c>
      <c r="B1" s="403"/>
      <c r="C1" s="403"/>
      <c r="D1" s="403"/>
      <c r="E1" s="403"/>
      <c r="F1" s="403"/>
      <c r="G1" s="403"/>
      <c r="H1" s="403"/>
      <c r="I1" s="403"/>
    </row>
    <row r="2" spans="1:17" s="5" customFormat="1" ht="88.5" customHeight="1" x14ac:dyDescent="0.2">
      <c r="A2" s="9" t="s">
        <v>515</v>
      </c>
      <c r="B2" s="9" t="s">
        <v>516</v>
      </c>
      <c r="C2" s="9" t="s">
        <v>517</v>
      </c>
      <c r="D2" s="9" t="s">
        <v>518</v>
      </c>
      <c r="E2" s="9" t="s">
        <v>519</v>
      </c>
      <c r="F2" s="10" t="s">
        <v>283</v>
      </c>
      <c r="G2" s="10" t="s">
        <v>520</v>
      </c>
      <c r="H2" s="9" t="s">
        <v>521</v>
      </c>
      <c r="I2" s="9" t="s">
        <v>522</v>
      </c>
      <c r="J2" s="9" t="s">
        <v>523</v>
      </c>
      <c r="K2" s="10" t="s">
        <v>524</v>
      </c>
      <c r="L2" s="9" t="s">
        <v>525</v>
      </c>
      <c r="M2" s="9" t="s">
        <v>526</v>
      </c>
      <c r="N2" s="9" t="s">
        <v>527</v>
      </c>
      <c r="O2" s="10" t="s">
        <v>528</v>
      </c>
      <c r="P2" s="10" t="s">
        <v>529</v>
      </c>
      <c r="Q2" s="10" t="s">
        <v>530</v>
      </c>
    </row>
    <row r="3" spans="1:17" s="5" customFormat="1" ht="18" customHeight="1" x14ac:dyDescent="0.2">
      <c r="A3" s="3" t="s">
        <v>69</v>
      </c>
      <c r="B3" s="35">
        <v>3585.8250400000002</v>
      </c>
      <c r="C3" s="33">
        <v>771564</v>
      </c>
      <c r="D3" s="33">
        <v>308291.02649999998</v>
      </c>
      <c r="E3" s="63">
        <v>39.786918739999997</v>
      </c>
      <c r="F3" s="33">
        <v>1082968.22</v>
      </c>
      <c r="G3" s="33">
        <v>395999.2928</v>
      </c>
      <c r="H3" s="64">
        <v>36.430340389999998</v>
      </c>
      <c r="I3" s="33">
        <v>307998.30359999998</v>
      </c>
      <c r="J3" s="63">
        <v>99.891063650000007</v>
      </c>
      <c r="K3" s="33">
        <v>395846.0048</v>
      </c>
      <c r="L3" s="48">
        <v>99.946962459999995</v>
      </c>
      <c r="M3" s="26">
        <v>624.55445229999998</v>
      </c>
      <c r="N3" s="62">
        <v>0.20111173099999999</v>
      </c>
      <c r="O3" s="33">
        <v>150247.0436</v>
      </c>
      <c r="P3" s="33">
        <v>308291.02649999998</v>
      </c>
      <c r="Q3" s="26">
        <v>192.27</v>
      </c>
    </row>
    <row r="4" spans="1:17" s="5" customFormat="1" ht="18" customHeight="1" x14ac:dyDescent="0.2">
      <c r="A4" s="3" t="s">
        <v>70</v>
      </c>
      <c r="B4" s="35">
        <v>2889.3352100000002</v>
      </c>
      <c r="C4" s="33">
        <v>467066</v>
      </c>
      <c r="D4" s="33">
        <v>173348.30578</v>
      </c>
      <c r="E4" s="63">
        <v>36.975224332000003</v>
      </c>
      <c r="F4" s="33">
        <v>694612.69</v>
      </c>
      <c r="G4" s="33">
        <v>221180.09629086</v>
      </c>
      <c r="H4" s="64">
        <v>31.612916741999999</v>
      </c>
      <c r="I4" s="33">
        <v>173050.44026</v>
      </c>
      <c r="J4" s="63">
        <v>99.811814923</v>
      </c>
      <c r="K4" s="33">
        <v>221179.60929722001</v>
      </c>
      <c r="L4" s="48">
        <v>99.993636363999997</v>
      </c>
      <c r="M4" s="26">
        <v>422.24007</v>
      </c>
      <c r="N4" s="62">
        <v>0.22819441300000001</v>
      </c>
      <c r="O4" s="26">
        <v>92100.413686999993</v>
      </c>
      <c r="P4" s="33">
        <v>172734.75012000001</v>
      </c>
      <c r="Q4" s="26">
        <v>205.82</v>
      </c>
    </row>
    <row r="5" spans="1:17" s="5" customFormat="1" ht="18" customHeight="1" x14ac:dyDescent="0.2">
      <c r="A5" s="3" t="s">
        <v>156</v>
      </c>
      <c r="B5" s="35">
        <v>233.87</v>
      </c>
      <c r="C5" s="26">
        <v>47331</v>
      </c>
      <c r="D5" s="26">
        <v>20197.58972</v>
      </c>
      <c r="E5" s="63">
        <v>42.673067799000002</v>
      </c>
      <c r="F5" s="26">
        <v>71629.66</v>
      </c>
      <c r="G5" s="26">
        <v>26176.786090150999</v>
      </c>
      <c r="H5" s="64">
        <v>36.544618653999997</v>
      </c>
      <c r="I5" s="26">
        <v>20197.589520000001</v>
      </c>
      <c r="J5" s="63">
        <v>99.99</v>
      </c>
      <c r="K5" s="26">
        <v>26176.773862950999</v>
      </c>
      <c r="L5" s="48">
        <v>99.99</v>
      </c>
      <c r="M5" s="26">
        <v>37.665529999999997</v>
      </c>
      <c r="N5" s="62">
        <v>0.18648527300000001</v>
      </c>
      <c r="O5" s="26">
        <v>11283.395250400001</v>
      </c>
      <c r="P5" s="26">
        <v>20197.58972</v>
      </c>
      <c r="Q5" s="26">
        <v>193.4</v>
      </c>
    </row>
    <row r="6" spans="1:17" s="5" customFormat="1" ht="18" customHeight="1" x14ac:dyDescent="0.2">
      <c r="A6" s="3" t="s">
        <v>157</v>
      </c>
      <c r="B6" s="35">
        <v>258.01627999999999</v>
      </c>
      <c r="C6" s="26">
        <v>51333</v>
      </c>
      <c r="D6" s="26">
        <v>20552.438119999999</v>
      </c>
      <c r="E6" s="63">
        <v>40.037477101</v>
      </c>
      <c r="F6" s="26">
        <v>75360.5</v>
      </c>
      <c r="G6" s="26">
        <v>24720.48749177</v>
      </c>
      <c r="H6" s="64">
        <v>32.802977013000003</v>
      </c>
      <c r="I6" s="26">
        <v>20552.437620000001</v>
      </c>
      <c r="J6" s="63">
        <v>99.99</v>
      </c>
      <c r="K6" s="26">
        <v>24720.45209802</v>
      </c>
      <c r="L6" s="48">
        <v>99.99</v>
      </c>
      <c r="M6" s="26">
        <v>41.71</v>
      </c>
      <c r="N6" s="62">
        <v>0.2</v>
      </c>
      <c r="O6" s="26">
        <v>10687.1962936</v>
      </c>
      <c r="P6" s="26">
        <v>20552.437620000001</v>
      </c>
      <c r="Q6" s="26">
        <v>194.65</v>
      </c>
    </row>
    <row r="7" spans="1:17" s="5" customFormat="1" ht="18" customHeight="1" x14ac:dyDescent="0.2">
      <c r="A7" s="3" t="s">
        <v>158</v>
      </c>
      <c r="B7" s="35">
        <v>191.17866000000001</v>
      </c>
      <c r="C7" s="26">
        <v>41060</v>
      </c>
      <c r="D7" s="26">
        <v>16823.90796</v>
      </c>
      <c r="E7" s="63">
        <v>40.973959960999998</v>
      </c>
      <c r="F7" s="26">
        <v>64162.59</v>
      </c>
      <c r="G7" s="26">
        <v>25439.471076090998</v>
      </c>
      <c r="H7" s="64">
        <v>39.648447912999998</v>
      </c>
      <c r="I7" s="26">
        <v>16823.905439999999</v>
      </c>
      <c r="J7" s="63">
        <v>99.99</v>
      </c>
      <c r="K7" s="26">
        <v>25439.430610595999</v>
      </c>
      <c r="L7" s="48">
        <v>99.99</v>
      </c>
      <c r="M7" s="26">
        <v>45.003810000000001</v>
      </c>
      <c r="N7" s="62">
        <v>0.2</v>
      </c>
      <c r="O7" s="26">
        <v>11203.598082300001</v>
      </c>
      <c r="P7" s="26">
        <v>16823.90796</v>
      </c>
      <c r="Q7" s="26">
        <v>195.86</v>
      </c>
    </row>
    <row r="8" spans="1:17" s="5" customFormat="1" ht="18" customHeight="1" x14ac:dyDescent="0.2">
      <c r="A8" s="3" t="s">
        <v>159</v>
      </c>
      <c r="B8" s="35">
        <v>242.83</v>
      </c>
      <c r="C8" s="26">
        <v>41852</v>
      </c>
      <c r="D8" s="26">
        <v>16416.385269999999</v>
      </c>
      <c r="E8" s="63">
        <v>39.224852503999998</v>
      </c>
      <c r="F8" s="26">
        <v>65168.480000000003</v>
      </c>
      <c r="G8" s="26">
        <v>22564.464908550999</v>
      </c>
      <c r="H8" s="64">
        <v>34.624813879999998</v>
      </c>
      <c r="I8" s="26">
        <v>16367.01683</v>
      </c>
      <c r="J8" s="63">
        <v>99.699273383000005</v>
      </c>
      <c r="K8" s="26">
        <v>22564.422886051001</v>
      </c>
      <c r="L8" s="48">
        <v>99.99</v>
      </c>
      <c r="M8" s="26">
        <v>49.368040000000001</v>
      </c>
      <c r="N8" s="62">
        <v>0.2</v>
      </c>
      <c r="O8" s="26">
        <v>7788.4970395</v>
      </c>
      <c r="P8" s="26">
        <v>16416.385269999999</v>
      </c>
      <c r="Q8" s="26">
        <v>197.1</v>
      </c>
    </row>
    <row r="9" spans="1:17" s="5" customFormat="1" ht="18" customHeight="1" x14ac:dyDescent="0.2">
      <c r="A9" s="3" t="s">
        <v>160</v>
      </c>
      <c r="B9" s="35">
        <v>292</v>
      </c>
      <c r="C9" s="26">
        <v>45597</v>
      </c>
      <c r="D9" s="26">
        <v>16677</v>
      </c>
      <c r="E9" s="63">
        <v>36.6</v>
      </c>
      <c r="F9" s="26">
        <v>67896</v>
      </c>
      <c r="G9" s="26">
        <v>21673</v>
      </c>
      <c r="H9" s="64">
        <v>31.9</v>
      </c>
      <c r="I9" s="26">
        <v>16641</v>
      </c>
      <c r="J9" s="63">
        <v>99.8</v>
      </c>
      <c r="K9" s="26">
        <v>21673</v>
      </c>
      <c r="L9" s="48">
        <v>100</v>
      </c>
      <c r="M9" s="26">
        <v>36.700000000000003</v>
      </c>
      <c r="N9" s="62">
        <v>0.2</v>
      </c>
      <c r="O9" s="26">
        <v>8022.42</v>
      </c>
      <c r="P9" s="26">
        <v>16677.490000000002</v>
      </c>
      <c r="Q9" s="26">
        <v>198</v>
      </c>
    </row>
    <row r="10" spans="1:17" s="5" customFormat="1" ht="18" customHeight="1" x14ac:dyDescent="0.2">
      <c r="A10" s="3" t="s">
        <v>161</v>
      </c>
      <c r="B10" s="35">
        <v>297.69</v>
      </c>
      <c r="C10" s="26">
        <v>38742</v>
      </c>
      <c r="D10" s="26">
        <v>12866.714</v>
      </c>
      <c r="E10" s="63">
        <v>33.211279748000003</v>
      </c>
      <c r="F10" s="26">
        <v>62476.71</v>
      </c>
      <c r="G10" s="26">
        <v>17771.124954879</v>
      </c>
      <c r="H10" s="64">
        <v>28.444399448999999</v>
      </c>
      <c r="I10" s="26">
        <v>12839.386850000001</v>
      </c>
      <c r="J10" s="63">
        <v>99.787613605000004</v>
      </c>
      <c r="K10" s="26">
        <v>17770.992020778998</v>
      </c>
      <c r="L10" s="48">
        <v>99.99</v>
      </c>
      <c r="M10" s="26">
        <v>27.32715</v>
      </c>
      <c r="N10" s="62">
        <v>0.21283843499999999</v>
      </c>
      <c r="O10" s="26">
        <v>7103.2562042999998</v>
      </c>
      <c r="P10" s="26">
        <v>12866.714</v>
      </c>
      <c r="Q10" s="26">
        <v>199.51</v>
      </c>
    </row>
    <row r="11" spans="1:17" s="5" customFormat="1" ht="18" customHeight="1" x14ac:dyDescent="0.2">
      <c r="A11" s="3" t="s">
        <v>162</v>
      </c>
      <c r="B11" s="35">
        <v>337.3</v>
      </c>
      <c r="C11" s="26">
        <v>43930</v>
      </c>
      <c r="D11" s="26">
        <v>13624.225549999999</v>
      </c>
      <c r="E11" s="63">
        <v>31.013488618</v>
      </c>
      <c r="F11" s="26">
        <v>66384.710000000006</v>
      </c>
      <c r="G11" s="26">
        <v>17968.004992303999</v>
      </c>
      <c r="H11" s="64">
        <v>27.066481110000002</v>
      </c>
      <c r="I11" s="26">
        <v>13589.708629999999</v>
      </c>
      <c r="J11" s="63">
        <v>99.746650407000004</v>
      </c>
      <c r="K11" s="26">
        <v>17967.852268554001</v>
      </c>
      <c r="L11" s="48">
        <v>99.99</v>
      </c>
      <c r="M11" s="26">
        <v>34.51437</v>
      </c>
      <c r="N11" s="62">
        <v>0.253974319</v>
      </c>
      <c r="O11" s="26">
        <v>8200.0929624</v>
      </c>
      <c r="P11" s="26">
        <v>13624.225549999999</v>
      </c>
      <c r="Q11" s="26">
        <v>200.75</v>
      </c>
    </row>
    <row r="12" spans="1:17" s="5" customFormat="1" ht="18" customHeight="1" x14ac:dyDescent="0.2">
      <c r="A12" s="3" t="s">
        <v>163</v>
      </c>
      <c r="B12" s="35">
        <v>255.31027</v>
      </c>
      <c r="C12" s="26">
        <v>38077</v>
      </c>
      <c r="D12" s="26">
        <v>13214.226919999999</v>
      </c>
      <c r="E12" s="63">
        <v>34.703960186000003</v>
      </c>
      <c r="F12" s="26">
        <v>59063.839999999997</v>
      </c>
      <c r="G12" s="26">
        <v>19645.851595757998</v>
      </c>
      <c r="H12" s="64">
        <v>33.262062872999998</v>
      </c>
      <c r="I12" s="26">
        <v>13190.033600000001</v>
      </c>
      <c r="J12" s="63">
        <v>99.816914601999997</v>
      </c>
      <c r="K12" s="26">
        <v>19645.851595757998</v>
      </c>
      <c r="L12" s="48">
        <v>100</v>
      </c>
      <c r="M12" s="26">
        <v>24.19332</v>
      </c>
      <c r="N12" s="62">
        <v>0.183421216</v>
      </c>
      <c r="O12" s="26">
        <v>8400.7760166000007</v>
      </c>
      <c r="P12" s="26">
        <v>13214</v>
      </c>
      <c r="Q12" s="26">
        <v>201.98</v>
      </c>
    </row>
    <row r="13" spans="1:17" s="5" customFormat="1" ht="18" customHeight="1" x14ac:dyDescent="0.2">
      <c r="A13" s="3" t="s">
        <v>164</v>
      </c>
      <c r="B13" s="35">
        <v>249.07</v>
      </c>
      <c r="C13" s="26">
        <v>38061</v>
      </c>
      <c r="D13" s="26">
        <v>14037.03</v>
      </c>
      <c r="E13" s="63">
        <v>36.880000000000003</v>
      </c>
      <c r="F13" s="26">
        <v>50482.91</v>
      </c>
      <c r="G13" s="26">
        <v>13424.54</v>
      </c>
      <c r="H13" s="64">
        <v>26.59</v>
      </c>
      <c r="I13" s="26">
        <v>14013.38</v>
      </c>
      <c r="J13" s="63">
        <v>99.83</v>
      </c>
      <c r="K13" s="26">
        <v>13424.54</v>
      </c>
      <c r="L13" s="48">
        <v>100</v>
      </c>
      <c r="M13" s="26">
        <v>23.65</v>
      </c>
      <c r="N13" s="62">
        <v>0.17</v>
      </c>
      <c r="O13" s="26">
        <v>5438.8</v>
      </c>
      <c r="P13" s="26">
        <v>14037</v>
      </c>
      <c r="Q13" s="26">
        <v>203.28</v>
      </c>
    </row>
    <row r="14" spans="1:17" s="5" customFormat="1" ht="18" customHeight="1" x14ac:dyDescent="0.2">
      <c r="A14" s="3" t="s">
        <v>165</v>
      </c>
      <c r="B14" s="35">
        <v>274.60000000000002</v>
      </c>
      <c r="C14" s="26">
        <v>38852</v>
      </c>
      <c r="D14" s="26">
        <v>14128.8</v>
      </c>
      <c r="E14" s="63">
        <v>36.365695459999998</v>
      </c>
      <c r="F14" s="26">
        <v>61332</v>
      </c>
      <c r="G14" s="26">
        <v>17263</v>
      </c>
      <c r="H14" s="64">
        <v>28.146807539000001</v>
      </c>
      <c r="I14" s="26">
        <v>14095.2</v>
      </c>
      <c r="J14" s="63">
        <v>99.762187871999998</v>
      </c>
      <c r="K14" s="26">
        <v>17263</v>
      </c>
      <c r="L14" s="48">
        <v>100</v>
      </c>
      <c r="M14" s="26">
        <v>33.6</v>
      </c>
      <c r="N14" s="62">
        <v>0.238379023</v>
      </c>
      <c r="O14" s="26">
        <v>6891</v>
      </c>
      <c r="P14" s="26">
        <v>14129</v>
      </c>
      <c r="Q14" s="26">
        <v>204.53</v>
      </c>
    </row>
    <row r="15" spans="1:17" s="5" customFormat="1" ht="18" customHeight="1" x14ac:dyDescent="0.2">
      <c r="A15" s="3" t="s">
        <v>166</v>
      </c>
      <c r="B15" s="35">
        <v>257.2</v>
      </c>
      <c r="C15" s="26">
        <v>42231</v>
      </c>
      <c r="D15" s="26">
        <v>14809.498240000001</v>
      </c>
      <c r="E15" s="63">
        <v>35.067836991999997</v>
      </c>
      <c r="F15" s="26">
        <v>50655.69</v>
      </c>
      <c r="G15" s="26">
        <v>14533.204898647</v>
      </c>
      <c r="H15" s="64">
        <v>28.690172612000001</v>
      </c>
      <c r="I15" s="26">
        <v>14740.946900000001</v>
      </c>
      <c r="J15" s="63">
        <v>99.537112339000004</v>
      </c>
      <c r="K15" s="26">
        <v>14533.204898647</v>
      </c>
      <c r="L15" s="48">
        <v>100</v>
      </c>
      <c r="M15" s="26">
        <v>68.551339999999996</v>
      </c>
      <c r="N15" s="62">
        <v>0.465040275</v>
      </c>
      <c r="O15" s="26">
        <v>7081.3812120000002</v>
      </c>
      <c r="P15" s="26">
        <v>14196</v>
      </c>
      <c r="Q15" s="26">
        <v>205.82</v>
      </c>
    </row>
    <row r="16" spans="1:17" s="5" customFormat="1" ht="15" customHeight="1" x14ac:dyDescent="0.2">
      <c r="A16" s="391" t="s">
        <v>105</v>
      </c>
      <c r="B16" s="391"/>
      <c r="C16" s="391"/>
      <c r="D16" s="391"/>
    </row>
    <row r="17" spans="1:4" s="5" customFormat="1" ht="13.5" customHeight="1" x14ac:dyDescent="0.2">
      <c r="A17" s="391" t="s">
        <v>385</v>
      </c>
      <c r="B17" s="391"/>
      <c r="C17" s="391"/>
      <c r="D17" s="391"/>
    </row>
    <row r="18" spans="1:4" s="5" customFormat="1" ht="28.35" customHeight="1" x14ac:dyDescent="0.2"/>
  </sheetData>
  <customSheetViews>
    <customSheetView guid="{B9B27D37-53F8-4AD8-9221-6458C3026417}"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3">
    <mergeCell ref="A1:I1"/>
    <mergeCell ref="A16:D16"/>
    <mergeCell ref="A17:D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Normal="100" workbookViewId="0">
      <selection sqref="A1:I1"/>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369" t="s">
        <v>531</v>
      </c>
      <c r="B1" s="369"/>
      <c r="C1" s="369"/>
      <c r="D1" s="369"/>
      <c r="E1" s="369"/>
      <c r="F1" s="369"/>
      <c r="G1" s="369"/>
      <c r="H1" s="369"/>
      <c r="I1" s="369"/>
    </row>
    <row r="2" spans="1:17" s="5" customFormat="1" ht="76.5" customHeight="1" x14ac:dyDescent="0.2">
      <c r="A2" s="9" t="s">
        <v>515</v>
      </c>
      <c r="B2" s="9" t="s">
        <v>516</v>
      </c>
      <c r="C2" s="9" t="s">
        <v>517</v>
      </c>
      <c r="D2" s="9" t="s">
        <v>518</v>
      </c>
      <c r="E2" s="9" t="s">
        <v>519</v>
      </c>
      <c r="F2" s="10" t="s">
        <v>283</v>
      </c>
      <c r="G2" s="10" t="s">
        <v>532</v>
      </c>
      <c r="H2" s="9" t="s">
        <v>521</v>
      </c>
      <c r="I2" s="9" t="s">
        <v>522</v>
      </c>
      <c r="J2" s="9" t="s">
        <v>523</v>
      </c>
      <c r="K2" s="10" t="s">
        <v>524</v>
      </c>
      <c r="L2" s="9" t="s">
        <v>525</v>
      </c>
      <c r="M2" s="9" t="s">
        <v>526</v>
      </c>
      <c r="N2" s="9" t="s">
        <v>527</v>
      </c>
      <c r="O2" s="10" t="s">
        <v>528</v>
      </c>
      <c r="P2" s="10" t="s">
        <v>529</v>
      </c>
      <c r="Q2" s="10" t="s">
        <v>530</v>
      </c>
    </row>
    <row r="3" spans="1:17" s="5" customFormat="1" ht="18" customHeight="1" x14ac:dyDescent="0.2">
      <c r="A3" s="3" t="s">
        <v>69</v>
      </c>
      <c r="B3" s="35">
        <v>24800.641230000001</v>
      </c>
      <c r="C3" s="33">
        <v>3710851.7220000001</v>
      </c>
      <c r="D3" s="33">
        <v>952812.1274</v>
      </c>
      <c r="E3" s="48">
        <v>25.67637294</v>
      </c>
      <c r="F3" s="33">
        <v>7198786.977</v>
      </c>
      <c r="G3" s="33">
        <v>2019893.321</v>
      </c>
      <c r="H3" s="48">
        <v>28.058801129999999</v>
      </c>
      <c r="I3" s="33">
        <v>951307.85930000001</v>
      </c>
      <c r="J3" s="15">
        <v>100</v>
      </c>
      <c r="K3" s="33">
        <v>2018374.7879999999</v>
      </c>
      <c r="L3" s="48">
        <v>100</v>
      </c>
      <c r="M3" s="35">
        <v>1504.2680800000001</v>
      </c>
      <c r="N3" s="48">
        <v>0.15812631699999999</v>
      </c>
      <c r="O3" s="33">
        <v>509415.17</v>
      </c>
      <c r="P3" s="33">
        <v>2019893.321</v>
      </c>
      <c r="Q3" s="26">
        <v>224.59</v>
      </c>
    </row>
    <row r="4" spans="1:17" s="5" customFormat="1" ht="18" customHeight="1" x14ac:dyDescent="0.2">
      <c r="A4" s="3" t="s">
        <v>70</v>
      </c>
      <c r="B4" s="35">
        <v>26139.7955</v>
      </c>
      <c r="C4" s="33">
        <v>3331612.8169999998</v>
      </c>
      <c r="D4" s="33">
        <v>761377.63560000004</v>
      </c>
      <c r="E4" s="48">
        <v>22.853124820000001</v>
      </c>
      <c r="F4" s="33">
        <v>7232114.9239999996</v>
      </c>
      <c r="G4" s="33">
        <v>1771952.4609999999</v>
      </c>
      <c r="H4" s="48">
        <v>24.501165690000001</v>
      </c>
      <c r="I4" s="33">
        <v>760359.23369999998</v>
      </c>
      <c r="J4" s="15">
        <v>100</v>
      </c>
      <c r="K4" s="33">
        <v>1770739.9469999999</v>
      </c>
      <c r="L4" s="48">
        <v>100</v>
      </c>
      <c r="M4" s="35">
        <v>1018.40192</v>
      </c>
      <c r="N4" s="48">
        <v>0.133936944</v>
      </c>
      <c r="O4" s="33">
        <v>477981.62699999998</v>
      </c>
      <c r="P4" s="33">
        <v>1771952.4609999999</v>
      </c>
      <c r="Q4" s="26">
        <v>268.67</v>
      </c>
    </row>
    <row r="5" spans="1:17" s="5" customFormat="1" ht="18" customHeight="1" x14ac:dyDescent="0.2">
      <c r="A5" s="3" t="s">
        <v>156</v>
      </c>
      <c r="B5" s="35">
        <v>2091.9330500000001</v>
      </c>
      <c r="C5" s="33">
        <v>285047.8947</v>
      </c>
      <c r="D5" s="26">
        <v>68755.397330000007</v>
      </c>
      <c r="E5" s="48">
        <v>24.120647304999999</v>
      </c>
      <c r="F5" s="33">
        <v>611743.01260000002</v>
      </c>
      <c r="G5" s="33">
        <v>162383.75839999999</v>
      </c>
      <c r="H5" s="48">
        <v>26.544440245000001</v>
      </c>
      <c r="I5" s="26">
        <v>68661.862710000001</v>
      </c>
      <c r="J5" s="15">
        <v>100</v>
      </c>
      <c r="K5" s="33">
        <v>162274.3309</v>
      </c>
      <c r="L5" s="48">
        <v>100</v>
      </c>
      <c r="M5" s="35">
        <v>93.534620000000004</v>
      </c>
      <c r="N5" s="48">
        <v>0.136039676</v>
      </c>
      <c r="O5" s="26">
        <v>39790.5</v>
      </c>
      <c r="P5" s="33">
        <v>162383.75839999999</v>
      </c>
      <c r="Q5" s="26">
        <v>234.74</v>
      </c>
    </row>
    <row r="6" spans="1:17" s="5" customFormat="1" ht="18" customHeight="1" x14ac:dyDescent="0.2">
      <c r="A6" s="3" t="s">
        <v>157</v>
      </c>
      <c r="B6" s="35">
        <v>2516.6104500000001</v>
      </c>
      <c r="C6" s="33">
        <v>337019.64679999999</v>
      </c>
      <c r="D6" s="26">
        <v>74791.656520000004</v>
      </c>
      <c r="E6" s="48">
        <v>22.192076109999999</v>
      </c>
      <c r="F6" s="33">
        <v>713497.522</v>
      </c>
      <c r="G6" s="33">
        <v>181517.31140000001</v>
      </c>
      <c r="H6" s="48">
        <v>25.440496400000001</v>
      </c>
      <c r="I6" s="26">
        <v>74680.475860000006</v>
      </c>
      <c r="J6" s="15">
        <v>100</v>
      </c>
      <c r="K6" s="33">
        <v>181406.20019999999</v>
      </c>
      <c r="L6" s="48">
        <v>100</v>
      </c>
      <c r="M6" s="35">
        <v>111.18066</v>
      </c>
      <c r="N6" s="48">
        <v>0.14887513599999999</v>
      </c>
      <c r="O6" s="26">
        <v>46574.98</v>
      </c>
      <c r="P6" s="33">
        <v>181517.31140000001</v>
      </c>
      <c r="Q6" s="26">
        <v>244.12</v>
      </c>
    </row>
    <row r="7" spans="1:17" s="5" customFormat="1" ht="18" customHeight="1" x14ac:dyDescent="0.2">
      <c r="A7" s="3" t="s">
        <v>158</v>
      </c>
      <c r="B7" s="35">
        <v>2264.94</v>
      </c>
      <c r="C7" s="33">
        <v>284355.01</v>
      </c>
      <c r="D7" s="26">
        <v>67803.93475</v>
      </c>
      <c r="E7" s="48">
        <v>23.84</v>
      </c>
      <c r="F7" s="33">
        <v>612853.34</v>
      </c>
      <c r="G7" s="33">
        <v>167170.23000000001</v>
      </c>
      <c r="H7" s="48">
        <v>27.28</v>
      </c>
      <c r="I7" s="26">
        <v>67690.399999999994</v>
      </c>
      <c r="J7" s="15">
        <v>100</v>
      </c>
      <c r="K7" s="33">
        <v>167072.69039999999</v>
      </c>
      <c r="L7" s="48">
        <v>100</v>
      </c>
      <c r="M7" s="35">
        <v>113.53</v>
      </c>
      <c r="N7" s="48">
        <v>0.17</v>
      </c>
      <c r="O7" s="26">
        <v>46530.21</v>
      </c>
      <c r="P7" s="33">
        <v>167170.22779999999</v>
      </c>
      <c r="Q7" s="26">
        <v>247.37</v>
      </c>
    </row>
    <row r="8" spans="1:17" s="5" customFormat="1" ht="18" customHeight="1" x14ac:dyDescent="0.2">
      <c r="A8" s="3" t="s">
        <v>159</v>
      </c>
      <c r="B8" s="35">
        <v>2335.9820500000001</v>
      </c>
      <c r="C8" s="33">
        <v>301754.08600000001</v>
      </c>
      <c r="D8" s="26">
        <v>72846.147580000004</v>
      </c>
      <c r="E8" s="48">
        <v>24.140898490000001</v>
      </c>
      <c r="F8" s="33">
        <v>660330.6496</v>
      </c>
      <c r="G8" s="33">
        <v>168312.96460000001</v>
      </c>
      <c r="H8" s="48">
        <v>25.489194640000001</v>
      </c>
      <c r="I8" s="26">
        <v>72755.537179999999</v>
      </c>
      <c r="J8" s="15">
        <v>100</v>
      </c>
      <c r="K8" s="33">
        <v>168201.77739999999</v>
      </c>
      <c r="L8" s="48">
        <v>100</v>
      </c>
      <c r="M8" s="35">
        <v>90.610399999999998</v>
      </c>
      <c r="N8" s="48">
        <v>0.124540899</v>
      </c>
      <c r="O8" s="26">
        <v>41899.58</v>
      </c>
      <c r="P8" s="33">
        <v>168312.96460000001</v>
      </c>
      <c r="Q8" s="26">
        <v>250.14</v>
      </c>
    </row>
    <row r="9" spans="1:17" s="5" customFormat="1" ht="18" customHeight="1" x14ac:dyDescent="0.2">
      <c r="A9" s="3" t="s">
        <v>160</v>
      </c>
      <c r="B9" s="35">
        <v>2385.8870999999999</v>
      </c>
      <c r="C9" s="33">
        <v>318996.96039999998</v>
      </c>
      <c r="D9" s="26">
        <v>67313.940340000001</v>
      </c>
      <c r="E9" s="48">
        <v>21.101749770000001</v>
      </c>
      <c r="F9" s="33">
        <v>687997.78729999997</v>
      </c>
      <c r="G9" s="33">
        <v>164691.1887</v>
      </c>
      <c r="H9" s="48">
        <v>23.93774977</v>
      </c>
      <c r="I9" s="26">
        <v>67212.050369999997</v>
      </c>
      <c r="J9" s="15">
        <v>100</v>
      </c>
      <c r="K9" s="33">
        <v>164590.08369999999</v>
      </c>
      <c r="L9" s="48">
        <v>100</v>
      </c>
      <c r="M9" s="35">
        <v>101.88997000000001</v>
      </c>
      <c r="N9" s="48">
        <v>0.151594795</v>
      </c>
      <c r="O9" s="26">
        <v>38165.31</v>
      </c>
      <c r="P9" s="33">
        <v>164691.1887</v>
      </c>
      <c r="Q9" s="26">
        <v>252.23</v>
      </c>
    </row>
    <row r="10" spans="1:17" s="5" customFormat="1" ht="18" customHeight="1" x14ac:dyDescent="0.2">
      <c r="A10" s="3" t="s">
        <v>161</v>
      </c>
      <c r="B10" s="35">
        <v>2337.34</v>
      </c>
      <c r="C10" s="33">
        <v>294001.06</v>
      </c>
      <c r="D10" s="26">
        <v>63774.87</v>
      </c>
      <c r="E10" s="48">
        <v>21.692055828000001</v>
      </c>
      <c r="F10" s="33">
        <v>683237.09</v>
      </c>
      <c r="G10" s="33">
        <v>164549.18</v>
      </c>
      <c r="H10" s="48">
        <v>24.083760545000001</v>
      </c>
      <c r="I10" s="26">
        <v>63686.22</v>
      </c>
      <c r="J10" s="15">
        <v>100</v>
      </c>
      <c r="K10" s="33">
        <v>164450.74509167401</v>
      </c>
      <c r="L10" s="48">
        <v>100</v>
      </c>
      <c r="M10" s="35">
        <v>88.656890000000004</v>
      </c>
      <c r="N10" s="48">
        <v>0.13901538899999999</v>
      </c>
      <c r="O10" s="26">
        <v>44990.416980315997</v>
      </c>
      <c r="P10" s="33">
        <v>164549.18489969501</v>
      </c>
      <c r="Q10" s="26">
        <v>253.23</v>
      </c>
    </row>
    <row r="11" spans="1:17" s="5" customFormat="1" ht="18" customHeight="1" x14ac:dyDescent="0.2">
      <c r="A11" s="3" t="s">
        <v>162</v>
      </c>
      <c r="B11" s="35">
        <v>2915.9512199999999</v>
      </c>
      <c r="C11" s="33">
        <v>331328.21149999998</v>
      </c>
      <c r="D11" s="26">
        <v>73057.433980000002</v>
      </c>
      <c r="E11" s="48">
        <v>22.04986821</v>
      </c>
      <c r="F11" s="33">
        <v>757984.96140000003</v>
      </c>
      <c r="G11" s="33">
        <v>180012.3939</v>
      </c>
      <c r="H11" s="48">
        <v>23.748808090000001</v>
      </c>
      <c r="I11" s="26">
        <v>72976.559439999997</v>
      </c>
      <c r="J11" s="15">
        <v>100</v>
      </c>
      <c r="K11" s="33">
        <v>179895.61489999999</v>
      </c>
      <c r="L11" s="48">
        <v>100</v>
      </c>
      <c r="M11" s="35">
        <v>80.874539999999996</v>
      </c>
      <c r="N11" s="48">
        <v>0.11082262599999999</v>
      </c>
      <c r="O11" s="26">
        <v>53537.09</v>
      </c>
      <c r="P11" s="33">
        <v>180012.3939</v>
      </c>
      <c r="Q11" s="26">
        <v>256.22000000000003</v>
      </c>
    </row>
    <row r="12" spans="1:17" s="5" customFormat="1" ht="18" customHeight="1" x14ac:dyDescent="0.2">
      <c r="A12" s="3" t="s">
        <v>163</v>
      </c>
      <c r="B12" s="35">
        <v>2305.6019700000002</v>
      </c>
      <c r="C12" s="33">
        <v>274964.75270000001</v>
      </c>
      <c r="D12" s="26">
        <v>61598.032480000002</v>
      </c>
      <c r="E12" s="48">
        <v>22.402155860000001</v>
      </c>
      <c r="F12" s="33">
        <v>598236.36930000002</v>
      </c>
      <c r="G12" s="33">
        <v>140142.73360000001</v>
      </c>
      <c r="H12" s="48">
        <v>23.42598023</v>
      </c>
      <c r="I12" s="26">
        <v>61533.701789999999</v>
      </c>
      <c r="J12" s="15">
        <v>100</v>
      </c>
      <c r="K12" s="33">
        <v>140081.0079</v>
      </c>
      <c r="L12" s="48">
        <v>100</v>
      </c>
      <c r="M12" s="35">
        <v>64.330690000000004</v>
      </c>
      <c r="N12" s="48">
        <v>0.10454545699999999</v>
      </c>
      <c r="O12" s="26">
        <v>39138.839999999997</v>
      </c>
      <c r="P12" s="33">
        <v>140142.73360000001</v>
      </c>
      <c r="Q12" s="26">
        <v>258.73</v>
      </c>
    </row>
    <row r="13" spans="1:17" s="5" customFormat="1" ht="18" customHeight="1" x14ac:dyDescent="0.2">
      <c r="A13" s="3" t="s">
        <v>164</v>
      </c>
      <c r="B13" s="35">
        <v>2301.8102699999999</v>
      </c>
      <c r="C13" s="33">
        <v>299885.03330000001</v>
      </c>
      <c r="D13" s="26">
        <v>73133.802609999999</v>
      </c>
      <c r="E13" s="48">
        <v>24.38727995</v>
      </c>
      <c r="F13" s="33">
        <v>635303.82720000006</v>
      </c>
      <c r="G13" s="33">
        <v>147710.95379999999</v>
      </c>
      <c r="H13" s="48">
        <v>23.250442939999999</v>
      </c>
      <c r="I13" s="26">
        <v>73048.470060000007</v>
      </c>
      <c r="J13" s="15">
        <v>100</v>
      </c>
      <c r="K13" s="33">
        <v>147513.70860000001</v>
      </c>
      <c r="L13" s="48">
        <v>100</v>
      </c>
      <c r="M13" s="35">
        <v>85.332549999999998</v>
      </c>
      <c r="N13" s="48">
        <v>0.11681634</v>
      </c>
      <c r="O13" s="26">
        <v>39421.4</v>
      </c>
      <c r="P13" s="33">
        <v>147710.95379999999</v>
      </c>
      <c r="Q13" s="26">
        <v>261.36</v>
      </c>
    </row>
    <row r="14" spans="1:17" s="5" customFormat="1" ht="18" customHeight="1" x14ac:dyDescent="0.2">
      <c r="A14" s="3" t="s">
        <v>165</v>
      </c>
      <c r="B14" s="35">
        <v>2287.8983899999998</v>
      </c>
      <c r="C14" s="33">
        <v>267820.94620000001</v>
      </c>
      <c r="D14" s="26">
        <v>59430.083050000001</v>
      </c>
      <c r="E14" s="48">
        <v>22.1902297</v>
      </c>
      <c r="F14" s="33">
        <v>634124.52949999995</v>
      </c>
      <c r="G14" s="33">
        <v>140250.57810000001</v>
      </c>
      <c r="H14" s="48">
        <v>22.117197999999998</v>
      </c>
      <c r="I14" s="26">
        <v>59341.484920000003</v>
      </c>
      <c r="J14" s="15">
        <v>100</v>
      </c>
      <c r="K14" s="33">
        <v>140158.959</v>
      </c>
      <c r="L14" s="48">
        <v>100</v>
      </c>
      <c r="M14" s="35">
        <v>88.598129999999998</v>
      </c>
      <c r="N14" s="48">
        <v>0.1493022</v>
      </c>
      <c r="O14" s="26">
        <v>38529.99</v>
      </c>
      <c r="P14" s="33">
        <v>140250.57810000001</v>
      </c>
      <c r="Q14" s="26">
        <v>263.83999999999997</v>
      </c>
    </row>
    <row r="15" spans="1:17" s="5" customFormat="1" ht="18" customHeight="1" x14ac:dyDescent="0.2">
      <c r="A15" s="3" t="s">
        <v>166</v>
      </c>
      <c r="B15" s="35">
        <v>2395.8344299999999</v>
      </c>
      <c r="C15" s="33">
        <v>336439.21220000001</v>
      </c>
      <c r="D15" s="26">
        <v>78872.332469999994</v>
      </c>
      <c r="E15" s="48">
        <v>23.443263930000001</v>
      </c>
      <c r="F15" s="33">
        <v>636805.82979999995</v>
      </c>
      <c r="G15" s="33">
        <v>155211.1654</v>
      </c>
      <c r="H15" s="48">
        <v>24.373389509999999</v>
      </c>
      <c r="I15" s="26">
        <v>78772.468819999995</v>
      </c>
      <c r="J15" s="15">
        <v>100</v>
      </c>
      <c r="K15" s="33">
        <v>155094.82870000001</v>
      </c>
      <c r="L15" s="48">
        <v>100</v>
      </c>
      <c r="M15" s="35">
        <v>99.863650000000007</v>
      </c>
      <c r="N15" s="48">
        <v>0.12677481299999999</v>
      </c>
      <c r="O15" s="26">
        <v>49403.31</v>
      </c>
      <c r="P15" s="33">
        <v>155211.1654</v>
      </c>
      <c r="Q15" s="26">
        <v>268.67</v>
      </c>
    </row>
    <row r="16" spans="1:17" s="5" customFormat="1" ht="15" customHeight="1" x14ac:dyDescent="0.2">
      <c r="A16" s="371" t="s">
        <v>105</v>
      </c>
      <c r="B16" s="371"/>
      <c r="C16" s="371"/>
      <c r="D16" s="371"/>
    </row>
    <row r="17" spans="1:4" s="5" customFormat="1" ht="13.5" customHeight="1" x14ac:dyDescent="0.2">
      <c r="A17" s="371" t="s">
        <v>441</v>
      </c>
      <c r="B17" s="371"/>
      <c r="C17" s="371"/>
      <c r="D17" s="371"/>
    </row>
    <row r="18" spans="1:4" s="5" customFormat="1" ht="26.85" customHeight="1" x14ac:dyDescent="0.2"/>
  </sheetData>
  <customSheetViews>
    <customSheetView guid="{B9B27D37-53F8-4AD8-9221-6458C3026417}"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3">
    <mergeCell ref="A1:I1"/>
    <mergeCell ref="A16:D16"/>
    <mergeCell ref="A17:D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8"/>
  <sheetViews>
    <sheetView zoomScaleNormal="100" workbookViewId="0">
      <selection sqref="A1:C1"/>
    </sheetView>
  </sheetViews>
  <sheetFormatPr defaultRowHeight="12.75" x14ac:dyDescent="0.2"/>
  <cols>
    <col min="1" max="15" width="14.7109375" bestFit="1" customWidth="1"/>
    <col min="16" max="16" width="4.7109375" bestFit="1" customWidth="1"/>
  </cols>
  <sheetData>
    <row r="1" spans="1:15" ht="14.25" customHeight="1" x14ac:dyDescent="0.2">
      <c r="A1" s="369" t="s">
        <v>533</v>
      </c>
      <c r="B1" s="369"/>
      <c r="C1" s="369"/>
    </row>
    <row r="2" spans="1:15" s="5" customFormat="1" ht="71.25" customHeight="1" x14ac:dyDescent="0.2">
      <c r="A2" s="46" t="s">
        <v>534</v>
      </c>
      <c r="B2" s="46" t="s">
        <v>516</v>
      </c>
      <c r="C2" s="46" t="s">
        <v>282</v>
      </c>
      <c r="D2" s="46" t="s">
        <v>518</v>
      </c>
      <c r="E2" s="46" t="s">
        <v>519</v>
      </c>
      <c r="F2" s="46" t="s">
        <v>300</v>
      </c>
      <c r="G2" s="46" t="s">
        <v>535</v>
      </c>
      <c r="H2" s="46" t="s">
        <v>521</v>
      </c>
      <c r="I2" s="46" t="s">
        <v>522</v>
      </c>
      <c r="J2" s="46" t="s">
        <v>523</v>
      </c>
      <c r="K2" s="46" t="s">
        <v>536</v>
      </c>
      <c r="L2" s="46" t="s">
        <v>525</v>
      </c>
      <c r="M2" s="46" t="s">
        <v>537</v>
      </c>
      <c r="N2" s="46" t="s">
        <v>538</v>
      </c>
      <c r="O2" s="46" t="s">
        <v>539</v>
      </c>
    </row>
    <row r="3" spans="1:15" s="5" customFormat="1" ht="18" customHeight="1" x14ac:dyDescent="0.2">
      <c r="A3" s="65" t="s">
        <v>69</v>
      </c>
      <c r="B3" s="66">
        <v>2.8230000000000002E-2</v>
      </c>
      <c r="C3" s="67">
        <v>151.78948</v>
      </c>
      <c r="D3" s="67">
        <v>28.12238</v>
      </c>
      <c r="E3" s="68">
        <v>18.527225990000002</v>
      </c>
      <c r="F3" s="67">
        <v>192.76668190000001</v>
      </c>
      <c r="G3" s="67">
        <v>43.622502480000001</v>
      </c>
      <c r="H3" s="68">
        <v>22.62968996</v>
      </c>
      <c r="I3" s="67">
        <v>28.12238</v>
      </c>
      <c r="J3" s="68">
        <v>100</v>
      </c>
      <c r="K3" s="67">
        <v>43.622502480000001</v>
      </c>
      <c r="L3" s="66">
        <v>100</v>
      </c>
      <c r="M3" s="67">
        <v>43.626681929999997</v>
      </c>
      <c r="N3" s="67">
        <v>43.622502480000001</v>
      </c>
      <c r="O3" s="67">
        <v>0.32</v>
      </c>
    </row>
    <row r="4" spans="1:15" s="5" customFormat="1" ht="18" customHeight="1" x14ac:dyDescent="0.2">
      <c r="A4" s="65" t="s">
        <v>70</v>
      </c>
      <c r="B4" s="66">
        <v>1.567E-2</v>
      </c>
      <c r="C4" s="67">
        <v>11.42328</v>
      </c>
      <c r="D4" s="67">
        <v>11.42328</v>
      </c>
      <c r="E4" s="68">
        <v>100</v>
      </c>
      <c r="F4" s="67">
        <v>24.514194255</v>
      </c>
      <c r="G4" s="67">
        <v>24.514194255</v>
      </c>
      <c r="H4" s="68">
        <v>100</v>
      </c>
      <c r="I4" s="67">
        <v>11.42328</v>
      </c>
      <c r="J4" s="68">
        <v>100</v>
      </c>
      <c r="K4" s="67">
        <v>24.514194255</v>
      </c>
      <c r="L4" s="66">
        <v>100</v>
      </c>
      <c r="M4" s="67">
        <v>24.514194255</v>
      </c>
      <c r="N4" s="67">
        <v>24.514194255</v>
      </c>
      <c r="O4" s="67">
        <v>0.32</v>
      </c>
    </row>
    <row r="5" spans="1:15" s="5" customFormat="1" ht="18" customHeight="1" x14ac:dyDescent="0.2">
      <c r="A5" s="65" t="s">
        <v>156</v>
      </c>
      <c r="B5" s="66">
        <v>1.6299999999999999E-3</v>
      </c>
      <c r="C5" s="67">
        <v>0.39826</v>
      </c>
      <c r="D5" s="67">
        <v>0.39826</v>
      </c>
      <c r="E5" s="68">
        <v>100</v>
      </c>
      <c r="F5" s="67">
        <v>1.28800753</v>
      </c>
      <c r="G5" s="67">
        <v>1.28800753</v>
      </c>
      <c r="H5" s="68">
        <v>100</v>
      </c>
      <c r="I5" s="67">
        <v>0.39826</v>
      </c>
      <c r="J5" s="68">
        <v>100</v>
      </c>
      <c r="K5" s="67">
        <v>1.28800753</v>
      </c>
      <c r="L5" s="66">
        <v>100</v>
      </c>
      <c r="M5" s="67">
        <v>1.28800753</v>
      </c>
      <c r="N5" s="67">
        <v>1.28800753</v>
      </c>
      <c r="O5" s="67">
        <v>0.32</v>
      </c>
    </row>
    <row r="6" spans="1:15" s="5" customFormat="1" ht="18" customHeight="1" x14ac:dyDescent="0.2">
      <c r="A6" s="65" t="s">
        <v>157</v>
      </c>
      <c r="B6" s="66">
        <v>2E-3</v>
      </c>
      <c r="C6" s="67">
        <v>0.91410000000000002</v>
      </c>
      <c r="D6" s="67">
        <v>0.91410000000000002</v>
      </c>
      <c r="E6" s="68">
        <v>100</v>
      </c>
      <c r="F6" s="67">
        <v>1.89492975</v>
      </c>
      <c r="G6" s="67">
        <v>1.89492975</v>
      </c>
      <c r="H6" s="68">
        <v>100</v>
      </c>
      <c r="I6" s="67">
        <v>0.91410000000000002</v>
      </c>
      <c r="J6" s="68">
        <v>100</v>
      </c>
      <c r="K6" s="67">
        <v>1.89492975</v>
      </c>
      <c r="L6" s="66">
        <v>100</v>
      </c>
      <c r="M6" s="67">
        <v>1.89492975</v>
      </c>
      <c r="N6" s="67">
        <v>1.89492975</v>
      </c>
      <c r="O6" s="67">
        <v>0.32</v>
      </c>
    </row>
    <row r="7" spans="1:15" s="5" customFormat="1" ht="18" customHeight="1" x14ac:dyDescent="0.2">
      <c r="A7" s="65" t="s">
        <v>158</v>
      </c>
      <c r="B7" s="66">
        <v>2.0000000000000001E-4</v>
      </c>
      <c r="C7" s="67">
        <v>0.1237</v>
      </c>
      <c r="D7" s="67">
        <v>0.1237</v>
      </c>
      <c r="E7" s="68">
        <v>100</v>
      </c>
      <c r="F7" s="67">
        <v>0.39319999999999999</v>
      </c>
      <c r="G7" s="67">
        <v>0.39319999999999999</v>
      </c>
      <c r="H7" s="68">
        <v>100</v>
      </c>
      <c r="I7" s="67">
        <v>0.1237</v>
      </c>
      <c r="J7" s="68">
        <v>100</v>
      </c>
      <c r="K7" s="67">
        <v>0.39319999999999999</v>
      </c>
      <c r="L7" s="66">
        <v>100</v>
      </c>
      <c r="M7" s="67">
        <v>0.39319999999999999</v>
      </c>
      <c r="N7" s="67">
        <v>0.39319999999999999</v>
      </c>
      <c r="O7" s="67">
        <v>0.32</v>
      </c>
    </row>
    <row r="8" spans="1:15" s="5" customFormat="1" ht="18" customHeight="1" x14ac:dyDescent="0.2">
      <c r="A8" s="65" t="s">
        <v>159</v>
      </c>
      <c r="B8" s="66">
        <v>2.9999999999999997E-4</v>
      </c>
      <c r="C8" s="67">
        <v>0.1598</v>
      </c>
      <c r="D8" s="67">
        <v>0.1598</v>
      </c>
      <c r="E8" s="68">
        <v>100</v>
      </c>
      <c r="F8" s="67">
        <v>0.40179999999999999</v>
      </c>
      <c r="G8" s="67">
        <v>0.40179999999999999</v>
      </c>
      <c r="H8" s="68">
        <v>100</v>
      </c>
      <c r="I8" s="67">
        <v>0.1598</v>
      </c>
      <c r="J8" s="68">
        <v>100</v>
      </c>
      <c r="K8" s="67">
        <v>0.40179999999999999</v>
      </c>
      <c r="L8" s="66">
        <v>100</v>
      </c>
      <c r="M8" s="67">
        <v>0.40179999999999999</v>
      </c>
      <c r="N8" s="67">
        <v>0.40179999999999999</v>
      </c>
      <c r="O8" s="67">
        <v>0.32</v>
      </c>
    </row>
    <row r="9" spans="1:15" s="5" customFormat="1" ht="18" customHeight="1" x14ac:dyDescent="0.2">
      <c r="A9" s="65" t="s">
        <v>160</v>
      </c>
      <c r="B9" s="66">
        <v>8.5999999999999998E-4</v>
      </c>
      <c r="C9" s="67">
        <v>0.31180000000000002</v>
      </c>
      <c r="D9" s="67">
        <v>0.31180000000000002</v>
      </c>
      <c r="E9" s="68">
        <v>100</v>
      </c>
      <c r="F9" s="67">
        <v>0.92210000000000003</v>
      </c>
      <c r="G9" s="67">
        <v>0.92210000000000003</v>
      </c>
      <c r="H9" s="68">
        <v>100</v>
      </c>
      <c r="I9" s="67">
        <v>0.31180000000000002</v>
      </c>
      <c r="J9" s="68">
        <v>100</v>
      </c>
      <c r="K9" s="67">
        <v>0.92210000000000003</v>
      </c>
      <c r="L9" s="66">
        <v>100</v>
      </c>
      <c r="M9" s="67">
        <v>0.92210000000000003</v>
      </c>
      <c r="N9" s="67">
        <v>0.92210000000000003</v>
      </c>
      <c r="O9" s="67">
        <v>0.32</v>
      </c>
    </row>
    <row r="10" spans="1:15" s="5" customFormat="1" ht="18" customHeight="1" x14ac:dyDescent="0.2">
      <c r="A10" s="65" t="s">
        <v>161</v>
      </c>
      <c r="B10" s="66">
        <v>8.9999999999999998E-4</v>
      </c>
      <c r="C10" s="67">
        <v>0.53949999999999998</v>
      </c>
      <c r="D10" s="67">
        <v>0.53949999999999998</v>
      </c>
      <c r="E10" s="68">
        <v>100</v>
      </c>
      <c r="F10" s="67">
        <v>1.1962385</v>
      </c>
      <c r="G10" s="67">
        <v>1.1962385</v>
      </c>
      <c r="H10" s="68">
        <v>100</v>
      </c>
      <c r="I10" s="67">
        <v>0.53949999999999998</v>
      </c>
      <c r="J10" s="68">
        <v>100</v>
      </c>
      <c r="K10" s="67">
        <v>1.1962385</v>
      </c>
      <c r="L10" s="66">
        <v>100</v>
      </c>
      <c r="M10" s="67">
        <v>1.1962385</v>
      </c>
      <c r="N10" s="67">
        <v>1.1962385</v>
      </c>
      <c r="O10" s="67">
        <v>0.32</v>
      </c>
    </row>
    <row r="11" spans="1:15" s="5" customFormat="1" ht="18" customHeight="1" x14ac:dyDescent="0.2">
      <c r="A11" s="65" t="s">
        <v>162</v>
      </c>
      <c r="B11" s="66">
        <v>8.1999999999999998E-4</v>
      </c>
      <c r="C11" s="67">
        <v>0.39279999999999998</v>
      </c>
      <c r="D11" s="67">
        <v>0.39279999999999998</v>
      </c>
      <c r="E11" s="68">
        <v>100</v>
      </c>
      <c r="F11" s="67">
        <v>0.99205849999999995</v>
      </c>
      <c r="G11" s="67">
        <v>0.99205849999999995</v>
      </c>
      <c r="H11" s="68">
        <v>100</v>
      </c>
      <c r="I11" s="67">
        <v>0.39279999999999998</v>
      </c>
      <c r="J11" s="68">
        <v>100</v>
      </c>
      <c r="K11" s="67">
        <v>0.99205849999999995</v>
      </c>
      <c r="L11" s="66">
        <v>100</v>
      </c>
      <c r="M11" s="67">
        <v>0.99205849999999995</v>
      </c>
      <c r="N11" s="67">
        <v>0.99205849999999995</v>
      </c>
      <c r="O11" s="67">
        <v>0.32</v>
      </c>
    </row>
    <row r="12" spans="1:15" s="5" customFormat="1" ht="18" customHeight="1" x14ac:dyDescent="0.2">
      <c r="A12" s="65" t="s">
        <v>163</v>
      </c>
      <c r="B12" s="66">
        <v>1.2999999999999999E-3</v>
      </c>
      <c r="C12" s="67">
        <v>0.87926000000000004</v>
      </c>
      <c r="D12" s="67">
        <v>0.87926000000000004</v>
      </c>
      <c r="E12" s="68">
        <v>100</v>
      </c>
      <c r="F12" s="67">
        <v>1.7222751000000001</v>
      </c>
      <c r="G12" s="67">
        <v>1.7222751000000001</v>
      </c>
      <c r="H12" s="68">
        <v>100</v>
      </c>
      <c r="I12" s="67">
        <v>0.87926000000000004</v>
      </c>
      <c r="J12" s="68">
        <v>100</v>
      </c>
      <c r="K12" s="67">
        <v>1.7222751000000001</v>
      </c>
      <c r="L12" s="66">
        <v>100</v>
      </c>
      <c r="M12" s="67">
        <v>1.7222751000000001</v>
      </c>
      <c r="N12" s="67">
        <v>1.7222751000000001</v>
      </c>
      <c r="O12" s="67">
        <v>0.32</v>
      </c>
    </row>
    <row r="13" spans="1:15" s="5" customFormat="1" ht="18" customHeight="1" x14ac:dyDescent="0.2">
      <c r="A13" s="65" t="s">
        <v>164</v>
      </c>
      <c r="B13" s="66">
        <v>1.24E-3</v>
      </c>
      <c r="C13" s="67">
        <v>0.44600000000000001</v>
      </c>
      <c r="D13" s="67">
        <v>0.44600000000000001</v>
      </c>
      <c r="E13" s="68">
        <v>100</v>
      </c>
      <c r="F13" s="67">
        <v>1.2422</v>
      </c>
      <c r="G13" s="67">
        <v>1.2422</v>
      </c>
      <c r="H13" s="68">
        <v>100</v>
      </c>
      <c r="I13" s="67">
        <v>0.44600000000000001</v>
      </c>
      <c r="J13" s="68">
        <v>100</v>
      </c>
      <c r="K13" s="67">
        <v>1.2422</v>
      </c>
      <c r="L13" s="66">
        <v>100</v>
      </c>
      <c r="M13" s="67">
        <v>1.2422</v>
      </c>
      <c r="N13" s="67">
        <v>1.2422</v>
      </c>
      <c r="O13" s="67">
        <v>0.32</v>
      </c>
    </row>
    <row r="14" spans="1:15" s="5" customFormat="1" ht="18" customHeight="1" x14ac:dyDescent="0.2">
      <c r="A14" s="65" t="s">
        <v>165</v>
      </c>
      <c r="B14" s="66">
        <v>3.7699999999999999E-3</v>
      </c>
      <c r="C14" s="67">
        <v>4.6701499999999996</v>
      </c>
      <c r="D14" s="67">
        <v>4.6701499999999996</v>
      </c>
      <c r="E14" s="68">
        <v>100</v>
      </c>
      <c r="F14" s="67">
        <v>9.24335445</v>
      </c>
      <c r="G14" s="67">
        <v>9.24335445</v>
      </c>
      <c r="H14" s="68">
        <v>100</v>
      </c>
      <c r="I14" s="67">
        <v>4.6701499999999996</v>
      </c>
      <c r="J14" s="68">
        <v>100</v>
      </c>
      <c r="K14" s="67">
        <v>9.24335445</v>
      </c>
      <c r="L14" s="66">
        <v>100</v>
      </c>
      <c r="M14" s="67">
        <v>9.24335445</v>
      </c>
      <c r="N14" s="67">
        <v>9.24335445</v>
      </c>
      <c r="O14" s="67">
        <v>0.32</v>
      </c>
    </row>
    <row r="15" spans="1:15" s="5" customFormat="1" ht="18" customHeight="1" x14ac:dyDescent="0.2">
      <c r="A15" s="65" t="s">
        <v>166</v>
      </c>
      <c r="B15" s="66">
        <v>2.63E-3</v>
      </c>
      <c r="C15" s="67">
        <v>2.5879599999999998</v>
      </c>
      <c r="D15" s="67">
        <v>2.5879599999999998</v>
      </c>
      <c r="E15" s="68">
        <v>100</v>
      </c>
      <c r="F15" s="67">
        <v>5.2180821750000002</v>
      </c>
      <c r="G15" s="67">
        <v>5.2180821750000002</v>
      </c>
      <c r="H15" s="68">
        <v>100</v>
      </c>
      <c r="I15" s="67">
        <v>2.5879599999999998</v>
      </c>
      <c r="J15" s="68">
        <v>100</v>
      </c>
      <c r="K15" s="67">
        <v>5.2180821750000002</v>
      </c>
      <c r="L15" s="66">
        <v>100</v>
      </c>
      <c r="M15" s="67">
        <v>5.2180821750000002</v>
      </c>
      <c r="N15" s="67">
        <v>5.2180821750000002</v>
      </c>
      <c r="O15" s="67">
        <v>0.32</v>
      </c>
    </row>
    <row r="16" spans="1:15" s="5" customFormat="1" ht="18" customHeight="1" x14ac:dyDescent="0.2">
      <c r="A16" s="447" t="s">
        <v>540</v>
      </c>
      <c r="B16" s="447"/>
      <c r="C16" s="447"/>
      <c r="D16" s="447"/>
      <c r="E16" s="447"/>
      <c r="F16" s="447"/>
      <c r="G16" s="447"/>
      <c r="H16" s="447"/>
      <c r="I16" s="447"/>
      <c r="J16" s="447"/>
      <c r="K16" s="447"/>
      <c r="L16" s="447"/>
      <c r="M16" s="447"/>
      <c r="N16" s="447"/>
      <c r="O16" s="447"/>
    </row>
    <row r="17" spans="1:15" s="5" customFormat="1" ht="17.25" customHeight="1" x14ac:dyDescent="0.2">
      <c r="A17" s="447" t="s">
        <v>490</v>
      </c>
      <c r="B17" s="447"/>
      <c r="C17" s="447"/>
      <c r="D17" s="447"/>
      <c r="E17" s="447"/>
      <c r="F17" s="447"/>
      <c r="G17" s="447"/>
      <c r="H17" s="447"/>
      <c r="I17" s="447"/>
      <c r="J17" s="447"/>
      <c r="K17" s="447"/>
      <c r="L17" s="447"/>
      <c r="M17" s="447"/>
      <c r="N17" s="447"/>
      <c r="O17" s="447"/>
    </row>
    <row r="18" spans="1:15" s="5" customFormat="1" ht="28.35" customHeight="1" x14ac:dyDescent="0.2"/>
  </sheetData>
  <customSheetViews>
    <customSheetView guid="{B9B27D37-53F8-4AD8-9221-6458C3026417}" fitToPage="1">
      <selection sqref="A1:C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C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3">
    <mergeCell ref="A1:C1"/>
    <mergeCell ref="A16:O16"/>
    <mergeCell ref="A17:O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1"/>
  <sheetViews>
    <sheetView topLeftCell="E1" zoomScaleNormal="100" workbookViewId="0">
      <selection sqref="A1:R1"/>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369" t="s">
        <v>37</v>
      </c>
      <c r="B1" s="369"/>
      <c r="C1" s="369"/>
      <c r="D1" s="369"/>
      <c r="E1" s="369"/>
      <c r="F1" s="369"/>
      <c r="G1" s="369"/>
      <c r="H1" s="369"/>
      <c r="I1" s="369"/>
      <c r="J1" s="369"/>
      <c r="K1" s="369"/>
      <c r="L1" s="369"/>
      <c r="M1" s="369"/>
      <c r="N1" s="369"/>
      <c r="O1" s="369"/>
      <c r="P1" s="369"/>
      <c r="Q1" s="369"/>
      <c r="R1" s="369"/>
    </row>
    <row r="2" spans="1:18" s="5" customFormat="1" ht="25.5" customHeight="1" x14ac:dyDescent="0.2">
      <c r="A2" s="373" t="s">
        <v>541</v>
      </c>
      <c r="B2" s="373" t="s">
        <v>280</v>
      </c>
      <c r="C2" s="396" t="s">
        <v>542</v>
      </c>
      <c r="D2" s="397"/>
      <c r="E2" s="396" t="s">
        <v>543</v>
      </c>
      <c r="F2" s="397"/>
      <c r="G2" s="393" t="s">
        <v>544</v>
      </c>
      <c r="H2" s="394"/>
      <c r="I2" s="394"/>
      <c r="J2" s="395"/>
      <c r="K2" s="393" t="s">
        <v>545</v>
      </c>
      <c r="L2" s="394"/>
      <c r="M2" s="394"/>
      <c r="N2" s="395"/>
      <c r="O2" s="396" t="s">
        <v>150</v>
      </c>
      <c r="P2" s="397"/>
      <c r="Q2" s="449" t="s">
        <v>546</v>
      </c>
      <c r="R2" s="450"/>
    </row>
    <row r="3" spans="1:18" s="5" customFormat="1" ht="13.5" customHeight="1" x14ac:dyDescent="0.2">
      <c r="A3" s="448"/>
      <c r="B3" s="448"/>
      <c r="C3" s="398"/>
      <c r="D3" s="399"/>
      <c r="E3" s="398"/>
      <c r="F3" s="399"/>
      <c r="G3" s="393" t="s">
        <v>547</v>
      </c>
      <c r="H3" s="395"/>
      <c r="I3" s="393" t="s">
        <v>548</v>
      </c>
      <c r="J3" s="395"/>
      <c r="K3" s="393" t="s">
        <v>547</v>
      </c>
      <c r="L3" s="395"/>
      <c r="M3" s="393" t="s">
        <v>548</v>
      </c>
      <c r="N3" s="395"/>
      <c r="O3" s="398"/>
      <c r="P3" s="399"/>
      <c r="Q3" s="451"/>
      <c r="R3" s="452"/>
    </row>
    <row r="4" spans="1:18" s="5" customFormat="1" ht="39" customHeight="1" x14ac:dyDescent="0.2">
      <c r="A4" s="374"/>
      <c r="B4" s="374"/>
      <c r="C4" s="17" t="s">
        <v>549</v>
      </c>
      <c r="D4" s="16" t="s">
        <v>550</v>
      </c>
      <c r="E4" s="17" t="s">
        <v>549</v>
      </c>
      <c r="F4" s="16" t="s">
        <v>550</v>
      </c>
      <c r="G4" s="17" t="s">
        <v>549</v>
      </c>
      <c r="H4" s="16" t="s">
        <v>550</v>
      </c>
      <c r="I4" s="17" t="s">
        <v>549</v>
      </c>
      <c r="J4" s="16" t="s">
        <v>550</v>
      </c>
      <c r="K4" s="17" t="s">
        <v>549</v>
      </c>
      <c r="L4" s="16" t="s">
        <v>550</v>
      </c>
      <c r="M4" s="17" t="s">
        <v>549</v>
      </c>
      <c r="N4" s="16" t="s">
        <v>550</v>
      </c>
      <c r="O4" s="17" t="s">
        <v>549</v>
      </c>
      <c r="P4" s="16" t="s">
        <v>550</v>
      </c>
      <c r="Q4" s="17" t="s">
        <v>551</v>
      </c>
      <c r="R4" s="16" t="s">
        <v>550</v>
      </c>
    </row>
    <row r="5" spans="1:18" s="5" customFormat="1" ht="15" customHeight="1" x14ac:dyDescent="0.2">
      <c r="A5" s="3" t="s">
        <v>69</v>
      </c>
      <c r="B5" s="11">
        <v>246</v>
      </c>
      <c r="C5" s="26">
        <v>44117</v>
      </c>
      <c r="D5" s="26">
        <v>3217.5382433750001</v>
      </c>
      <c r="E5" s="26">
        <v>467</v>
      </c>
      <c r="F5" s="26">
        <v>36.725538004999997</v>
      </c>
      <c r="G5" s="26">
        <v>82</v>
      </c>
      <c r="H5" s="26">
        <v>5.9207460000000003</v>
      </c>
      <c r="I5" s="26">
        <v>32</v>
      </c>
      <c r="J5" s="26">
        <v>2.284462875</v>
      </c>
      <c r="K5" s="26">
        <v>3</v>
      </c>
      <c r="L5" s="26">
        <v>0.17921999999999999</v>
      </c>
      <c r="M5" s="26">
        <v>0</v>
      </c>
      <c r="N5" s="26">
        <v>0</v>
      </c>
      <c r="O5" s="26">
        <v>44701</v>
      </c>
      <c r="P5" s="26">
        <v>3262.6482102549999</v>
      </c>
      <c r="Q5" s="26">
        <v>2</v>
      </c>
      <c r="R5" s="26">
        <v>0.12</v>
      </c>
    </row>
    <row r="6" spans="1:18" s="5" customFormat="1" ht="15" customHeight="1" x14ac:dyDescent="0.2">
      <c r="A6" s="3" t="s">
        <v>70</v>
      </c>
      <c r="B6" s="11">
        <v>229</v>
      </c>
      <c r="C6" s="26">
        <v>379</v>
      </c>
      <c r="D6" s="26">
        <v>33.550221874999998</v>
      </c>
      <c r="E6" s="26">
        <v>179</v>
      </c>
      <c r="F6" s="26">
        <v>11.238144589999999</v>
      </c>
      <c r="G6" s="26">
        <v>0</v>
      </c>
      <c r="H6" s="26">
        <v>0</v>
      </c>
      <c r="I6" s="26">
        <v>0</v>
      </c>
      <c r="J6" s="26">
        <v>0</v>
      </c>
      <c r="K6" s="26">
        <v>2</v>
      </c>
      <c r="L6" s="26">
        <v>7.5679999999999997E-2</v>
      </c>
      <c r="M6" s="26">
        <v>0</v>
      </c>
      <c r="N6" s="26">
        <v>0</v>
      </c>
      <c r="O6" s="26">
        <v>560</v>
      </c>
      <c r="P6" s="26">
        <v>44.864046465000001</v>
      </c>
      <c r="Q6" s="26">
        <v>3</v>
      </c>
      <c r="R6" s="26">
        <v>0.21</v>
      </c>
    </row>
    <row r="7" spans="1:18" s="5" customFormat="1" ht="15" customHeight="1" x14ac:dyDescent="0.2">
      <c r="A7" s="3" t="s">
        <v>156</v>
      </c>
      <c r="B7" s="11">
        <v>21</v>
      </c>
      <c r="C7" s="26">
        <v>20</v>
      </c>
      <c r="D7" s="26">
        <v>1.702080625</v>
      </c>
      <c r="E7" s="26">
        <v>39</v>
      </c>
      <c r="F7" s="26">
        <v>2.5485901599999998</v>
      </c>
      <c r="G7" s="26">
        <v>0</v>
      </c>
      <c r="H7" s="26">
        <v>0</v>
      </c>
      <c r="I7" s="26">
        <v>0</v>
      </c>
      <c r="J7" s="26">
        <v>0</v>
      </c>
      <c r="K7" s="26">
        <v>0</v>
      </c>
      <c r="L7" s="26">
        <v>0</v>
      </c>
      <c r="M7" s="26">
        <v>0</v>
      </c>
      <c r="N7" s="26">
        <v>0</v>
      </c>
      <c r="O7" s="26">
        <v>59</v>
      </c>
      <c r="P7" s="26">
        <v>4.2506707849999996</v>
      </c>
      <c r="Q7" s="26">
        <v>2</v>
      </c>
      <c r="R7" s="26">
        <v>0.13</v>
      </c>
    </row>
    <row r="8" spans="1:18" s="5" customFormat="1" ht="15" customHeight="1" x14ac:dyDescent="0.2">
      <c r="A8" s="3" t="s">
        <v>157</v>
      </c>
      <c r="B8" s="11">
        <v>22</v>
      </c>
      <c r="C8" s="26">
        <v>6</v>
      </c>
      <c r="D8" s="26">
        <v>0.52782562499999996</v>
      </c>
      <c r="E8" s="26">
        <v>33</v>
      </c>
      <c r="F8" s="26">
        <v>2.0079963049999998</v>
      </c>
      <c r="G8" s="26">
        <v>0</v>
      </c>
      <c r="H8" s="26">
        <v>0</v>
      </c>
      <c r="I8" s="26">
        <v>0</v>
      </c>
      <c r="J8" s="26">
        <v>0</v>
      </c>
      <c r="K8" s="26">
        <v>2</v>
      </c>
      <c r="L8" s="26">
        <v>7.5679999999999997E-2</v>
      </c>
      <c r="M8" s="26">
        <v>0</v>
      </c>
      <c r="N8" s="26">
        <v>0</v>
      </c>
      <c r="O8" s="26">
        <v>41</v>
      </c>
      <c r="P8" s="26">
        <v>2.6115019300000002</v>
      </c>
      <c r="Q8" s="26">
        <v>4</v>
      </c>
      <c r="R8" s="26">
        <v>0.23</v>
      </c>
    </row>
    <row r="9" spans="1:18" s="5" customFormat="1" ht="15" customHeight="1" x14ac:dyDescent="0.2">
      <c r="A9" s="3" t="s">
        <v>158</v>
      </c>
      <c r="B9" s="11">
        <v>21</v>
      </c>
      <c r="C9" s="26">
        <v>331</v>
      </c>
      <c r="D9" s="26">
        <v>29.3028175</v>
      </c>
      <c r="E9" s="26">
        <v>21</v>
      </c>
      <c r="F9" s="26">
        <v>1.249884105</v>
      </c>
      <c r="G9" s="26">
        <v>0</v>
      </c>
      <c r="H9" s="26">
        <v>0</v>
      </c>
      <c r="I9" s="26">
        <v>0</v>
      </c>
      <c r="J9" s="26">
        <v>0</v>
      </c>
      <c r="K9" s="26">
        <v>0</v>
      </c>
      <c r="L9" s="26">
        <v>0</v>
      </c>
      <c r="M9" s="26">
        <v>0</v>
      </c>
      <c r="N9" s="26">
        <v>0</v>
      </c>
      <c r="O9" s="26">
        <v>352</v>
      </c>
      <c r="P9" s="26">
        <v>30.552701604999999</v>
      </c>
      <c r="Q9" s="26">
        <v>11</v>
      </c>
      <c r="R9" s="26">
        <v>0.90134248500000003</v>
      </c>
    </row>
    <row r="10" spans="1:18" s="5" customFormat="1" ht="15" customHeight="1" x14ac:dyDescent="0.2">
      <c r="A10" s="3" t="s">
        <v>159</v>
      </c>
      <c r="B10" s="11">
        <v>22</v>
      </c>
      <c r="C10" s="26">
        <v>20</v>
      </c>
      <c r="D10" s="26">
        <v>1.838100625</v>
      </c>
      <c r="E10" s="26">
        <v>22</v>
      </c>
      <c r="F10" s="26">
        <v>1.342100415</v>
      </c>
      <c r="G10" s="26">
        <v>0</v>
      </c>
      <c r="H10" s="26">
        <v>0</v>
      </c>
      <c r="I10" s="26">
        <v>0</v>
      </c>
      <c r="J10" s="26">
        <v>0</v>
      </c>
      <c r="K10" s="26">
        <v>0</v>
      </c>
      <c r="L10" s="26">
        <v>0</v>
      </c>
      <c r="M10" s="26">
        <v>0</v>
      </c>
      <c r="N10" s="26">
        <v>0</v>
      </c>
      <c r="O10" s="26">
        <v>42</v>
      </c>
      <c r="P10" s="26">
        <v>3.18020104</v>
      </c>
      <c r="Q10" s="26">
        <v>3</v>
      </c>
      <c r="R10" s="26">
        <v>0.17589257999999999</v>
      </c>
    </row>
    <row r="11" spans="1:18" s="5" customFormat="1" ht="15" customHeight="1" x14ac:dyDescent="0.2">
      <c r="A11" s="3" t="s">
        <v>160</v>
      </c>
      <c r="B11" s="11">
        <v>21</v>
      </c>
      <c r="C11" s="26">
        <v>0</v>
      </c>
      <c r="D11" s="26">
        <v>0</v>
      </c>
      <c r="E11" s="26">
        <v>16</v>
      </c>
      <c r="F11" s="26">
        <v>1.00513187</v>
      </c>
      <c r="G11" s="26">
        <v>0</v>
      </c>
      <c r="H11" s="26">
        <v>0</v>
      </c>
      <c r="I11" s="26">
        <v>0</v>
      </c>
      <c r="J11" s="26">
        <v>0</v>
      </c>
      <c r="K11" s="26">
        <v>0</v>
      </c>
      <c r="L11" s="26">
        <v>0</v>
      </c>
      <c r="M11" s="26">
        <v>0</v>
      </c>
      <c r="N11" s="26">
        <v>0</v>
      </c>
      <c r="O11" s="26">
        <v>16</v>
      </c>
      <c r="P11" s="26">
        <v>1.00513187</v>
      </c>
      <c r="Q11" s="26">
        <v>3</v>
      </c>
      <c r="R11" s="26">
        <v>0.20286813000000001</v>
      </c>
    </row>
    <row r="12" spans="1:18" s="5" customFormat="1" ht="15" customHeight="1" x14ac:dyDescent="0.2">
      <c r="A12" s="3" t="s">
        <v>161</v>
      </c>
      <c r="B12" s="11">
        <v>18</v>
      </c>
      <c r="C12" s="26">
        <v>0</v>
      </c>
      <c r="D12" s="26">
        <v>0</v>
      </c>
      <c r="E12" s="26">
        <v>14</v>
      </c>
      <c r="F12" s="26">
        <v>0.93372739000000005</v>
      </c>
      <c r="G12" s="26">
        <v>0</v>
      </c>
      <c r="H12" s="26">
        <v>0</v>
      </c>
      <c r="I12" s="26">
        <v>0</v>
      </c>
      <c r="J12" s="26">
        <v>0</v>
      </c>
      <c r="K12" s="26">
        <v>0</v>
      </c>
      <c r="L12" s="26">
        <v>0</v>
      </c>
      <c r="M12" s="26">
        <v>0</v>
      </c>
      <c r="N12" s="26">
        <v>0</v>
      </c>
      <c r="O12" s="26">
        <v>14</v>
      </c>
      <c r="P12" s="26">
        <v>0.93372739000000005</v>
      </c>
      <c r="Q12" s="26">
        <v>3</v>
      </c>
      <c r="R12" s="26">
        <v>0.18461427</v>
      </c>
    </row>
    <row r="13" spans="1:18" s="5" customFormat="1" ht="15" customHeight="1" x14ac:dyDescent="0.2">
      <c r="A13" s="3" t="s">
        <v>162</v>
      </c>
      <c r="B13" s="11">
        <v>21</v>
      </c>
      <c r="C13" s="26">
        <v>0</v>
      </c>
      <c r="D13" s="26">
        <v>0</v>
      </c>
      <c r="E13" s="26">
        <v>5</v>
      </c>
      <c r="F13" s="26">
        <v>0.286846235</v>
      </c>
      <c r="G13" s="26">
        <v>0</v>
      </c>
      <c r="H13" s="26">
        <v>0</v>
      </c>
      <c r="I13" s="26">
        <v>0</v>
      </c>
      <c r="J13" s="26">
        <v>0</v>
      </c>
      <c r="K13" s="26">
        <v>0</v>
      </c>
      <c r="L13" s="26">
        <v>0</v>
      </c>
      <c r="M13" s="26">
        <v>0</v>
      </c>
      <c r="N13" s="26">
        <v>0</v>
      </c>
      <c r="O13" s="26">
        <v>5</v>
      </c>
      <c r="P13" s="26">
        <v>0.286846235</v>
      </c>
      <c r="Q13" s="26">
        <v>2</v>
      </c>
      <c r="R13" s="26">
        <v>0.12</v>
      </c>
    </row>
    <row r="14" spans="1:18" s="5" customFormat="1" ht="15" customHeight="1" x14ac:dyDescent="0.2">
      <c r="A14" s="3" t="s">
        <v>163</v>
      </c>
      <c r="B14" s="11">
        <v>20</v>
      </c>
      <c r="C14" s="26">
        <v>0</v>
      </c>
      <c r="D14" s="26">
        <v>0</v>
      </c>
      <c r="E14" s="26">
        <v>4</v>
      </c>
      <c r="F14" s="26">
        <v>0.24654329999999999</v>
      </c>
      <c r="G14" s="26">
        <v>0</v>
      </c>
      <c r="H14" s="26">
        <v>0</v>
      </c>
      <c r="I14" s="26">
        <v>0</v>
      </c>
      <c r="J14" s="26">
        <v>0</v>
      </c>
      <c r="K14" s="26">
        <v>0</v>
      </c>
      <c r="L14" s="26">
        <v>0</v>
      </c>
      <c r="M14" s="26">
        <v>0</v>
      </c>
      <c r="N14" s="26">
        <v>0</v>
      </c>
      <c r="O14" s="26">
        <v>4</v>
      </c>
      <c r="P14" s="26">
        <v>0.24654329999999999</v>
      </c>
      <c r="Q14" s="26">
        <v>2</v>
      </c>
      <c r="R14" s="26">
        <v>0.12</v>
      </c>
    </row>
    <row r="15" spans="1:18" s="5" customFormat="1" ht="15" customHeight="1" x14ac:dyDescent="0.2">
      <c r="A15" s="3" t="s">
        <v>164</v>
      </c>
      <c r="B15" s="11">
        <v>20</v>
      </c>
      <c r="C15" s="26">
        <v>0</v>
      </c>
      <c r="D15" s="26">
        <v>0</v>
      </c>
      <c r="E15" s="26">
        <v>9</v>
      </c>
      <c r="F15" s="26">
        <v>0.55091330000000005</v>
      </c>
      <c r="G15" s="26">
        <v>0</v>
      </c>
      <c r="H15" s="26">
        <v>0</v>
      </c>
      <c r="I15" s="26">
        <v>0</v>
      </c>
      <c r="J15" s="26">
        <v>0</v>
      </c>
      <c r="K15" s="26">
        <v>0</v>
      </c>
      <c r="L15" s="26">
        <v>0</v>
      </c>
      <c r="M15" s="26">
        <v>0</v>
      </c>
      <c r="N15" s="26">
        <v>0</v>
      </c>
      <c r="O15" s="26">
        <v>9</v>
      </c>
      <c r="P15" s="26">
        <v>0.55091330000000005</v>
      </c>
      <c r="Q15" s="26">
        <v>3</v>
      </c>
      <c r="R15" s="26">
        <v>0.18</v>
      </c>
    </row>
    <row r="16" spans="1:18" s="5" customFormat="1" ht="15" customHeight="1" x14ac:dyDescent="0.2">
      <c r="A16" s="3" t="s">
        <v>165</v>
      </c>
      <c r="B16" s="11">
        <v>23</v>
      </c>
      <c r="C16" s="26">
        <v>2</v>
      </c>
      <c r="D16" s="26">
        <v>0.17939749999999999</v>
      </c>
      <c r="E16" s="26">
        <v>5</v>
      </c>
      <c r="F16" s="26">
        <v>0.28869165000000002</v>
      </c>
      <c r="G16" s="26">
        <v>0</v>
      </c>
      <c r="H16" s="26">
        <v>0</v>
      </c>
      <c r="I16" s="26">
        <v>0</v>
      </c>
      <c r="J16" s="26">
        <v>0</v>
      </c>
      <c r="K16" s="26">
        <v>0</v>
      </c>
      <c r="L16" s="26">
        <v>0</v>
      </c>
      <c r="M16" s="26">
        <v>0</v>
      </c>
      <c r="N16" s="26">
        <v>0</v>
      </c>
      <c r="O16" s="26">
        <v>7</v>
      </c>
      <c r="P16" s="26">
        <v>0.46808915000000001</v>
      </c>
      <c r="Q16" s="26">
        <v>2</v>
      </c>
      <c r="R16" s="26">
        <v>0.11847229500000001</v>
      </c>
    </row>
    <row r="17" spans="1:18" s="5" customFormat="1" ht="15" customHeight="1" x14ac:dyDescent="0.2">
      <c r="A17" s="3" t="s">
        <v>166</v>
      </c>
      <c r="B17" s="11">
        <v>20</v>
      </c>
      <c r="C17" s="26">
        <v>0</v>
      </c>
      <c r="D17" s="26">
        <v>0</v>
      </c>
      <c r="E17" s="26">
        <v>11</v>
      </c>
      <c r="F17" s="26">
        <v>0.77771986000000004</v>
      </c>
      <c r="G17" s="26">
        <v>0</v>
      </c>
      <c r="H17" s="26">
        <v>0</v>
      </c>
      <c r="I17" s="26">
        <v>0</v>
      </c>
      <c r="J17" s="26">
        <v>0</v>
      </c>
      <c r="K17" s="26">
        <v>0</v>
      </c>
      <c r="L17" s="26">
        <v>0</v>
      </c>
      <c r="M17" s="26">
        <v>0</v>
      </c>
      <c r="N17" s="26">
        <v>0</v>
      </c>
      <c r="O17" s="26">
        <v>11</v>
      </c>
      <c r="P17" s="26">
        <v>0.77771986000000004</v>
      </c>
      <c r="Q17" s="26">
        <v>3</v>
      </c>
      <c r="R17" s="26">
        <v>0.21</v>
      </c>
    </row>
    <row r="18" spans="1:18" s="5" customFormat="1" ht="14.25" customHeight="1" x14ac:dyDescent="0.2">
      <c r="A18" s="371" t="s">
        <v>105</v>
      </c>
      <c r="B18" s="371"/>
      <c r="C18" s="371"/>
      <c r="D18" s="371"/>
      <c r="E18" s="371"/>
      <c r="F18" s="371"/>
      <c r="G18" s="371"/>
      <c r="H18" s="371"/>
      <c r="I18" s="371"/>
      <c r="J18" s="371"/>
    </row>
    <row r="19" spans="1:18" s="5" customFormat="1" ht="13.5" customHeight="1" x14ac:dyDescent="0.2">
      <c r="A19" s="371" t="s">
        <v>1033</v>
      </c>
      <c r="B19" s="371"/>
      <c r="C19" s="371"/>
      <c r="D19" s="371"/>
      <c r="E19" s="371"/>
      <c r="F19" s="371"/>
      <c r="G19" s="371"/>
      <c r="H19" s="371"/>
      <c r="I19" s="371"/>
      <c r="J19" s="371"/>
    </row>
    <row r="20" spans="1:18" s="5" customFormat="1" ht="13.5" customHeight="1" x14ac:dyDescent="0.2">
      <c r="A20" s="371" t="s">
        <v>385</v>
      </c>
      <c r="B20" s="371"/>
      <c r="C20" s="371"/>
      <c r="D20" s="371"/>
      <c r="E20" s="371"/>
      <c r="F20" s="371"/>
      <c r="G20" s="371"/>
      <c r="H20" s="371"/>
      <c r="I20" s="371"/>
      <c r="J20" s="371"/>
    </row>
    <row r="21" spans="1:18" s="5" customFormat="1" ht="28.35" customHeight="1" x14ac:dyDescent="0.2"/>
  </sheetData>
  <customSheetViews>
    <customSheetView guid="{B9B27D37-53F8-4AD8-9221-6458C3026417}" fitToPage="1" topLeftCell="E1">
      <selection sqref="A1:R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E1">
      <selection sqref="A1:R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6">
    <mergeCell ref="A20:J20"/>
    <mergeCell ref="A1:R1"/>
    <mergeCell ref="A2:A4"/>
    <mergeCell ref="B2:B4"/>
    <mergeCell ref="C2:D3"/>
    <mergeCell ref="E2:F3"/>
    <mergeCell ref="G2:J2"/>
    <mergeCell ref="K2:N2"/>
    <mergeCell ref="O2:P3"/>
    <mergeCell ref="Q2:R3"/>
    <mergeCell ref="G3:H3"/>
    <mergeCell ref="I3:J3"/>
    <mergeCell ref="K3:L3"/>
    <mergeCell ref="M3:N3"/>
    <mergeCell ref="A18:J18"/>
    <mergeCell ref="A19:J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1"/>
  <sheetViews>
    <sheetView zoomScaleNormal="100" workbookViewId="0">
      <selection sqref="A1:N1"/>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369" t="s">
        <v>552</v>
      </c>
      <c r="B1" s="369"/>
      <c r="C1" s="369"/>
      <c r="D1" s="369"/>
      <c r="E1" s="369"/>
      <c r="F1" s="369"/>
      <c r="G1" s="369"/>
      <c r="H1" s="369"/>
      <c r="I1" s="369"/>
      <c r="J1" s="369"/>
      <c r="K1" s="369"/>
      <c r="L1" s="369"/>
      <c r="M1" s="369"/>
      <c r="N1" s="369"/>
    </row>
    <row r="2" spans="1:18" s="5" customFormat="1" ht="25.5" customHeight="1" x14ac:dyDescent="0.2">
      <c r="A2" s="373" t="s">
        <v>541</v>
      </c>
      <c r="B2" s="373" t="s">
        <v>280</v>
      </c>
      <c r="C2" s="396" t="s">
        <v>542</v>
      </c>
      <c r="D2" s="397"/>
      <c r="E2" s="396" t="s">
        <v>543</v>
      </c>
      <c r="F2" s="397"/>
      <c r="G2" s="393" t="s">
        <v>544</v>
      </c>
      <c r="H2" s="394"/>
      <c r="I2" s="394"/>
      <c r="J2" s="395"/>
      <c r="K2" s="393" t="s">
        <v>545</v>
      </c>
      <c r="L2" s="394"/>
      <c r="M2" s="394"/>
      <c r="N2" s="395"/>
      <c r="O2" s="396" t="s">
        <v>150</v>
      </c>
      <c r="P2" s="397"/>
      <c r="Q2" s="449" t="s">
        <v>546</v>
      </c>
      <c r="R2" s="450"/>
    </row>
    <row r="3" spans="1:18" s="5" customFormat="1" ht="13.5" customHeight="1" x14ac:dyDescent="0.2">
      <c r="A3" s="448"/>
      <c r="B3" s="448"/>
      <c r="C3" s="398"/>
      <c r="D3" s="399"/>
      <c r="E3" s="398"/>
      <c r="F3" s="399"/>
      <c r="G3" s="393" t="s">
        <v>547</v>
      </c>
      <c r="H3" s="395"/>
      <c r="I3" s="393" t="s">
        <v>548</v>
      </c>
      <c r="J3" s="395"/>
      <c r="K3" s="393" t="s">
        <v>547</v>
      </c>
      <c r="L3" s="395"/>
      <c r="M3" s="393" t="s">
        <v>548</v>
      </c>
      <c r="N3" s="395"/>
      <c r="O3" s="398"/>
      <c r="P3" s="399"/>
      <c r="Q3" s="451"/>
      <c r="R3" s="452"/>
    </row>
    <row r="4" spans="1:18" s="5" customFormat="1" ht="27" customHeight="1" x14ac:dyDescent="0.2">
      <c r="A4" s="374"/>
      <c r="B4" s="374"/>
      <c r="C4" s="17" t="s">
        <v>549</v>
      </c>
      <c r="D4" s="16" t="s">
        <v>550</v>
      </c>
      <c r="E4" s="17" t="s">
        <v>549</v>
      </c>
      <c r="F4" s="16" t="s">
        <v>550</v>
      </c>
      <c r="G4" s="17" t="s">
        <v>549</v>
      </c>
      <c r="H4" s="16" t="s">
        <v>550</v>
      </c>
      <c r="I4" s="17" t="s">
        <v>549</v>
      </c>
      <c r="J4" s="16" t="s">
        <v>550</v>
      </c>
      <c r="K4" s="17" t="s">
        <v>549</v>
      </c>
      <c r="L4" s="16" t="s">
        <v>550</v>
      </c>
      <c r="M4" s="17" t="s">
        <v>549</v>
      </c>
      <c r="N4" s="16" t="s">
        <v>550</v>
      </c>
      <c r="O4" s="17" t="s">
        <v>549</v>
      </c>
      <c r="P4" s="16" t="s">
        <v>550</v>
      </c>
      <c r="Q4" s="17" t="s">
        <v>549</v>
      </c>
      <c r="R4" s="16" t="s">
        <v>550</v>
      </c>
    </row>
    <row r="5" spans="1:18" s="5" customFormat="1" ht="15" customHeight="1" x14ac:dyDescent="0.2">
      <c r="A5" s="3" t="s">
        <v>69</v>
      </c>
      <c r="B5" s="11">
        <v>246</v>
      </c>
      <c r="C5" s="43">
        <v>57674584</v>
      </c>
      <c r="D5" s="33">
        <v>4810454.3916689996</v>
      </c>
      <c r="E5" s="43">
        <v>214758366</v>
      </c>
      <c r="F5" s="43">
        <v>15597519.7223446</v>
      </c>
      <c r="G5" s="43">
        <v>783312918</v>
      </c>
      <c r="H5" s="43">
        <v>71028905.386217803</v>
      </c>
      <c r="I5" s="43">
        <v>731721304</v>
      </c>
      <c r="J5" s="43">
        <v>63892970.901222497</v>
      </c>
      <c r="K5" s="43">
        <v>86282094</v>
      </c>
      <c r="L5" s="33">
        <v>6728006.9254511604</v>
      </c>
      <c r="M5" s="43">
        <v>40129282</v>
      </c>
      <c r="N5" s="33">
        <v>2927001.61905709</v>
      </c>
      <c r="O5" s="69">
        <v>1913878548</v>
      </c>
      <c r="P5" s="43">
        <v>164984858.950562</v>
      </c>
      <c r="Q5" s="33">
        <v>3800266</v>
      </c>
      <c r="R5" s="33">
        <v>274930.59255605499</v>
      </c>
    </row>
    <row r="6" spans="1:18" s="5" customFormat="1" ht="15" customHeight="1" x14ac:dyDescent="0.2">
      <c r="A6" s="3" t="s">
        <v>70</v>
      </c>
      <c r="B6" s="11">
        <v>229</v>
      </c>
      <c r="C6" s="43">
        <v>63855305</v>
      </c>
      <c r="D6" s="33">
        <v>5139810.0350000001</v>
      </c>
      <c r="E6" s="43">
        <v>235978261</v>
      </c>
      <c r="F6" s="43">
        <v>14946168.09</v>
      </c>
      <c r="G6" s="69">
        <v>1234405083</v>
      </c>
      <c r="H6" s="43">
        <v>97504023.75</v>
      </c>
      <c r="I6" s="69">
        <v>1123759943</v>
      </c>
      <c r="J6" s="43">
        <v>86652929.359999999</v>
      </c>
      <c r="K6" s="43">
        <v>112791717</v>
      </c>
      <c r="L6" s="33">
        <v>7816176.4689999996</v>
      </c>
      <c r="M6" s="43">
        <v>58357171</v>
      </c>
      <c r="N6" s="33">
        <v>3748290.4339999999</v>
      </c>
      <c r="O6" s="69">
        <v>2829147480</v>
      </c>
      <c r="P6" s="43">
        <v>215807398.09999999</v>
      </c>
      <c r="Q6" s="33">
        <v>3534643</v>
      </c>
      <c r="R6" s="33">
        <v>232143.53950000001</v>
      </c>
    </row>
    <row r="7" spans="1:18" s="5" customFormat="1" ht="15" customHeight="1" x14ac:dyDescent="0.2">
      <c r="A7" s="3" t="s">
        <v>156</v>
      </c>
      <c r="B7" s="11">
        <v>21</v>
      </c>
      <c r="C7" s="33">
        <v>4993824</v>
      </c>
      <c r="D7" s="33">
        <v>433691.273762225</v>
      </c>
      <c r="E7" s="43">
        <v>19971346</v>
      </c>
      <c r="F7" s="33">
        <v>1431956.7571702399</v>
      </c>
      <c r="G7" s="43">
        <v>69599045</v>
      </c>
      <c r="H7" s="33">
        <v>6570818.3973215204</v>
      </c>
      <c r="I7" s="43">
        <v>67963276</v>
      </c>
      <c r="J7" s="33">
        <v>6169967.5836405698</v>
      </c>
      <c r="K7" s="33">
        <v>9224410</v>
      </c>
      <c r="L7" s="33">
        <v>711977.43302098499</v>
      </c>
      <c r="M7" s="33">
        <v>4247393</v>
      </c>
      <c r="N7" s="33">
        <v>301815.939864085</v>
      </c>
      <c r="O7" s="43">
        <v>175999294</v>
      </c>
      <c r="P7" s="43">
        <v>15620227.3847796</v>
      </c>
      <c r="Q7" s="33">
        <v>4567264</v>
      </c>
      <c r="R7" s="33">
        <v>351290.31786055502</v>
      </c>
    </row>
    <row r="8" spans="1:18" s="5" customFormat="1" ht="15" customHeight="1" x14ac:dyDescent="0.2">
      <c r="A8" s="3" t="s">
        <v>157</v>
      </c>
      <c r="B8" s="11">
        <v>22</v>
      </c>
      <c r="C8" s="33">
        <v>4991448</v>
      </c>
      <c r="D8" s="33">
        <v>446740.88998507499</v>
      </c>
      <c r="E8" s="43">
        <v>21801493</v>
      </c>
      <c r="F8" s="33">
        <v>1430486.52776758</v>
      </c>
      <c r="G8" s="43">
        <v>86598523</v>
      </c>
      <c r="H8" s="33">
        <v>8491735.6803199295</v>
      </c>
      <c r="I8" s="43">
        <v>82860071</v>
      </c>
      <c r="J8" s="33">
        <v>7927461.3851190498</v>
      </c>
      <c r="K8" s="33">
        <v>9968877</v>
      </c>
      <c r="L8" s="33">
        <v>712976.86946806498</v>
      </c>
      <c r="M8" s="33">
        <v>5105748</v>
      </c>
      <c r="N8" s="33">
        <v>332671.50878594001</v>
      </c>
      <c r="O8" s="43">
        <v>211326160</v>
      </c>
      <c r="P8" s="43">
        <v>19342072.861445598</v>
      </c>
      <c r="Q8" s="33">
        <v>3796577</v>
      </c>
      <c r="R8" s="33">
        <v>285599.44376459997</v>
      </c>
    </row>
    <row r="9" spans="1:18" s="5" customFormat="1" ht="15" customHeight="1" x14ac:dyDescent="0.2">
      <c r="A9" s="3" t="s">
        <v>158</v>
      </c>
      <c r="B9" s="11">
        <v>21</v>
      </c>
      <c r="C9" s="33">
        <v>5182508</v>
      </c>
      <c r="D9" s="33">
        <v>468591.042712475</v>
      </c>
      <c r="E9" s="43">
        <v>20044920</v>
      </c>
      <c r="F9" s="33">
        <v>1317353.4264954999</v>
      </c>
      <c r="G9" s="43">
        <v>84577639</v>
      </c>
      <c r="H9" s="33">
        <v>8445192.8997977693</v>
      </c>
      <c r="I9" s="43">
        <v>76522830</v>
      </c>
      <c r="J9" s="33">
        <v>7441947.8226933302</v>
      </c>
      <c r="K9" s="33">
        <v>8967595</v>
      </c>
      <c r="L9" s="33">
        <v>651758.49147938006</v>
      </c>
      <c r="M9" s="33">
        <v>4212883</v>
      </c>
      <c r="N9" s="33">
        <v>285772.96485312498</v>
      </c>
      <c r="O9" s="43">
        <v>199508375</v>
      </c>
      <c r="P9" s="43">
        <v>18610616.6480316</v>
      </c>
      <c r="Q9" s="33">
        <v>3992821</v>
      </c>
      <c r="R9" s="33">
        <v>300615.84119713499</v>
      </c>
    </row>
    <row r="10" spans="1:18" s="5" customFormat="1" ht="15" customHeight="1" x14ac:dyDescent="0.2">
      <c r="A10" s="3" t="s">
        <v>159</v>
      </c>
      <c r="B10" s="11">
        <v>22</v>
      </c>
      <c r="C10" s="33">
        <v>4672793</v>
      </c>
      <c r="D10" s="33">
        <v>429456.78759214998</v>
      </c>
      <c r="E10" s="43">
        <v>21816111</v>
      </c>
      <c r="F10" s="33">
        <v>1476882.3651340301</v>
      </c>
      <c r="G10" s="43">
        <v>77931556</v>
      </c>
      <c r="H10" s="33">
        <v>7947392.3607037198</v>
      </c>
      <c r="I10" s="43">
        <v>76059866</v>
      </c>
      <c r="J10" s="33">
        <v>7553894.06608715</v>
      </c>
      <c r="K10" s="43">
        <v>11475161</v>
      </c>
      <c r="L10" s="33">
        <v>870430.04526865506</v>
      </c>
      <c r="M10" s="33">
        <v>5324918</v>
      </c>
      <c r="N10" s="33">
        <v>379021.05009510001</v>
      </c>
      <c r="O10" s="43">
        <v>197280405</v>
      </c>
      <c r="P10" s="43">
        <v>18657076.674880799</v>
      </c>
      <c r="Q10" s="33">
        <v>4353922</v>
      </c>
      <c r="R10" s="33">
        <v>350440.90064361499</v>
      </c>
    </row>
    <row r="11" spans="1:18" s="5" customFormat="1" ht="15" customHeight="1" x14ac:dyDescent="0.2">
      <c r="A11" s="3" t="s">
        <v>160</v>
      </c>
      <c r="B11" s="11">
        <v>21</v>
      </c>
      <c r="C11" s="33">
        <v>4086103</v>
      </c>
      <c r="D11" s="33">
        <v>394229.13651310001</v>
      </c>
      <c r="E11" s="43">
        <v>21581854</v>
      </c>
      <c r="F11" s="33">
        <v>1544987.2236541801</v>
      </c>
      <c r="G11" s="43">
        <v>80237798</v>
      </c>
      <c r="H11" s="33">
        <v>8626841.1499275807</v>
      </c>
      <c r="I11" s="43">
        <v>78161817</v>
      </c>
      <c r="J11" s="33">
        <v>8184551.27808748</v>
      </c>
      <c r="K11" s="43">
        <v>11369088</v>
      </c>
      <c r="L11" s="33">
        <v>901552.53595318506</v>
      </c>
      <c r="M11" s="33">
        <v>5249072</v>
      </c>
      <c r="N11" s="33">
        <v>393970.99750629999</v>
      </c>
      <c r="O11" s="43">
        <v>200685732</v>
      </c>
      <c r="P11" s="43">
        <v>20046132.321641799</v>
      </c>
      <c r="Q11" s="33">
        <v>4152480</v>
      </c>
      <c r="R11" s="33">
        <v>341915.25601266499</v>
      </c>
    </row>
    <row r="12" spans="1:18" s="5" customFormat="1" ht="15" customHeight="1" x14ac:dyDescent="0.2">
      <c r="A12" s="3" t="s">
        <v>161</v>
      </c>
      <c r="B12" s="11">
        <v>18</v>
      </c>
      <c r="C12" s="33">
        <v>5832447</v>
      </c>
      <c r="D12" s="33">
        <v>540039.54469492496</v>
      </c>
      <c r="E12" s="43">
        <v>21640734</v>
      </c>
      <c r="F12" s="33">
        <v>1464394.07776854</v>
      </c>
      <c r="G12" s="43">
        <v>104142054</v>
      </c>
      <c r="H12" s="43">
        <v>10662246.770992201</v>
      </c>
      <c r="I12" s="43">
        <v>87133996</v>
      </c>
      <c r="J12" s="33">
        <v>8675527.5469219498</v>
      </c>
      <c r="K12" s="33">
        <v>9897504</v>
      </c>
      <c r="L12" s="33">
        <v>753661.14593340002</v>
      </c>
      <c r="M12" s="33">
        <v>5036142</v>
      </c>
      <c r="N12" s="33">
        <v>362771.88757834502</v>
      </c>
      <c r="O12" s="43">
        <v>233682877</v>
      </c>
      <c r="P12" s="43">
        <v>22458640.973889399</v>
      </c>
      <c r="Q12" s="33">
        <v>3859031</v>
      </c>
      <c r="R12" s="33">
        <v>284743.01803734998</v>
      </c>
    </row>
    <row r="13" spans="1:18" s="5" customFormat="1" ht="15" customHeight="1" x14ac:dyDescent="0.2">
      <c r="A13" s="3" t="s">
        <v>162</v>
      </c>
      <c r="B13" s="11">
        <v>21</v>
      </c>
      <c r="C13" s="33">
        <v>8230210</v>
      </c>
      <c r="D13" s="33">
        <v>667269.8694967</v>
      </c>
      <c r="E13" s="43">
        <v>24929740</v>
      </c>
      <c r="F13" s="33">
        <v>1488064.90156005</v>
      </c>
      <c r="G13" s="43">
        <v>123060526</v>
      </c>
      <c r="H13" s="43">
        <v>10742713.3942704</v>
      </c>
      <c r="I13" s="43">
        <v>101343656</v>
      </c>
      <c r="J13" s="33">
        <v>8520364.09894168</v>
      </c>
      <c r="K13" s="33">
        <v>9592185</v>
      </c>
      <c r="L13" s="33">
        <v>664312.25035985501</v>
      </c>
      <c r="M13" s="33">
        <v>5482238</v>
      </c>
      <c r="N13" s="33">
        <v>350545.59079273499</v>
      </c>
      <c r="O13" s="43">
        <v>272638555</v>
      </c>
      <c r="P13" s="43">
        <v>22433270.105421402</v>
      </c>
      <c r="Q13" s="33">
        <v>5134553</v>
      </c>
      <c r="R13" s="33">
        <v>317298.01586096501</v>
      </c>
    </row>
    <row r="14" spans="1:18" s="5" customFormat="1" ht="15" customHeight="1" x14ac:dyDescent="0.2">
      <c r="A14" s="3" t="s">
        <v>163</v>
      </c>
      <c r="B14" s="11">
        <v>20</v>
      </c>
      <c r="C14" s="33">
        <v>6717256</v>
      </c>
      <c r="D14" s="33">
        <v>441854.53846805001</v>
      </c>
      <c r="E14" s="43">
        <v>21315096</v>
      </c>
      <c r="F14" s="33">
        <v>1187157.3268972901</v>
      </c>
      <c r="G14" s="43">
        <v>144476482</v>
      </c>
      <c r="H14" s="33">
        <v>8216768.3903207304</v>
      </c>
      <c r="I14" s="43">
        <v>138321044</v>
      </c>
      <c r="J14" s="33">
        <v>7702237.1707999799</v>
      </c>
      <c r="K14" s="33">
        <v>9868483</v>
      </c>
      <c r="L14" s="33">
        <v>576187.49759666994</v>
      </c>
      <c r="M14" s="33">
        <v>5323461</v>
      </c>
      <c r="N14" s="33">
        <v>290333.36671422998</v>
      </c>
      <c r="O14" s="43">
        <v>326021822</v>
      </c>
      <c r="P14" s="43">
        <v>18414538.290796999</v>
      </c>
      <c r="Q14" s="33">
        <v>4337096</v>
      </c>
      <c r="R14" s="33">
        <v>276558.72975971497</v>
      </c>
    </row>
    <row r="15" spans="1:18" s="5" customFormat="1" ht="15" customHeight="1" x14ac:dyDescent="0.2">
      <c r="A15" s="3" t="s">
        <v>164</v>
      </c>
      <c r="B15" s="11">
        <v>20</v>
      </c>
      <c r="C15" s="33">
        <v>6343194</v>
      </c>
      <c r="D15" s="33">
        <v>432193.70485315</v>
      </c>
      <c r="E15" s="43">
        <v>20474282</v>
      </c>
      <c r="F15" s="33">
        <v>1170839.2364163599</v>
      </c>
      <c r="G15" s="43">
        <v>150063428</v>
      </c>
      <c r="H15" s="33">
        <v>8858652.9491959307</v>
      </c>
      <c r="I15" s="43">
        <v>136335130</v>
      </c>
      <c r="J15" s="33">
        <v>7864301.9030776201</v>
      </c>
      <c r="K15" s="33">
        <v>9523131</v>
      </c>
      <c r="L15" s="33">
        <v>576930.37903334503</v>
      </c>
      <c r="M15" s="33">
        <v>4865999</v>
      </c>
      <c r="N15" s="33">
        <v>280844.68810417003</v>
      </c>
      <c r="O15" s="43">
        <v>327605164</v>
      </c>
      <c r="P15" s="43">
        <v>19183762.860680599</v>
      </c>
      <c r="Q15" s="33">
        <v>4422992</v>
      </c>
      <c r="R15" s="33">
        <v>290864.55352931499</v>
      </c>
    </row>
    <row r="16" spans="1:18" s="5" customFormat="1" ht="15" customHeight="1" x14ac:dyDescent="0.2">
      <c r="A16" s="3" t="s">
        <v>165</v>
      </c>
      <c r="B16" s="11">
        <v>23</v>
      </c>
      <c r="C16" s="33">
        <v>6852010</v>
      </c>
      <c r="D16" s="33">
        <v>472303.33939152502</v>
      </c>
      <c r="E16" s="43">
        <v>21835896</v>
      </c>
      <c r="F16" s="33">
        <v>1277385.4996819301</v>
      </c>
      <c r="G16" s="43">
        <v>173612999</v>
      </c>
      <c r="H16" s="43">
        <v>10316455.7100835</v>
      </c>
      <c r="I16" s="43">
        <v>152121040</v>
      </c>
      <c r="J16" s="33">
        <v>8887078.3332334496</v>
      </c>
      <c r="K16" s="43">
        <v>11934197</v>
      </c>
      <c r="L16" s="33">
        <v>738289.89256975497</v>
      </c>
      <c r="M16" s="33">
        <v>6738236</v>
      </c>
      <c r="N16" s="33">
        <v>393322.64735481999</v>
      </c>
      <c r="O16" s="43">
        <v>373094378</v>
      </c>
      <c r="P16" s="43">
        <v>22084835.422315001</v>
      </c>
      <c r="Q16" s="33">
        <v>3705986</v>
      </c>
      <c r="R16" s="33">
        <v>243146.4526851</v>
      </c>
    </row>
    <row r="17" spans="1:18" s="5" customFormat="1" ht="15" customHeight="1" x14ac:dyDescent="0.2">
      <c r="A17" s="3" t="s">
        <v>166</v>
      </c>
      <c r="B17" s="11">
        <v>20</v>
      </c>
      <c r="C17" s="33">
        <v>5953512</v>
      </c>
      <c r="D17" s="33">
        <v>413439.90740000003</v>
      </c>
      <c r="E17" s="43">
        <v>20566789</v>
      </c>
      <c r="F17" s="33">
        <v>1156660.7450000001</v>
      </c>
      <c r="G17" s="43">
        <v>140105033</v>
      </c>
      <c r="H17" s="33">
        <v>8625206.0500000007</v>
      </c>
      <c r="I17" s="43">
        <v>126937217</v>
      </c>
      <c r="J17" s="33">
        <v>7725598.1730000004</v>
      </c>
      <c r="K17" s="43">
        <v>10971086</v>
      </c>
      <c r="L17" s="33">
        <v>658099.92839999998</v>
      </c>
      <c r="M17" s="33">
        <v>6771081</v>
      </c>
      <c r="N17" s="33">
        <v>377219.7928</v>
      </c>
      <c r="O17" s="43">
        <v>311304718</v>
      </c>
      <c r="P17" s="43">
        <v>18956224.600000001</v>
      </c>
      <c r="Q17" s="33">
        <v>3534643</v>
      </c>
      <c r="R17" s="33">
        <v>232143.53950000001</v>
      </c>
    </row>
    <row r="18" spans="1:18" s="5" customFormat="1" ht="14.25" customHeight="1" x14ac:dyDescent="0.2">
      <c r="A18" s="371" t="s">
        <v>105</v>
      </c>
      <c r="B18" s="371"/>
      <c r="C18" s="371"/>
      <c r="D18" s="371"/>
      <c r="E18" s="371"/>
      <c r="F18" s="371"/>
      <c r="G18" s="371"/>
      <c r="H18" s="371"/>
      <c r="I18" s="371"/>
      <c r="J18" s="371"/>
      <c r="K18" s="371"/>
      <c r="L18" s="371"/>
      <c r="M18" s="371"/>
      <c r="N18" s="371"/>
      <c r="O18" s="371"/>
      <c r="P18" s="371"/>
      <c r="Q18" s="371"/>
      <c r="R18" s="371"/>
    </row>
    <row r="19" spans="1:18" s="5" customFormat="1" ht="13.5" customHeight="1" x14ac:dyDescent="0.2">
      <c r="A19" s="371" t="s">
        <v>1033</v>
      </c>
      <c r="B19" s="371"/>
      <c r="C19" s="371"/>
      <c r="D19" s="371"/>
      <c r="E19" s="371"/>
      <c r="F19" s="371"/>
      <c r="G19" s="371"/>
      <c r="H19" s="371"/>
      <c r="I19" s="371"/>
      <c r="J19" s="371"/>
      <c r="K19" s="371"/>
      <c r="L19" s="371"/>
      <c r="M19" s="371"/>
      <c r="N19" s="371"/>
      <c r="O19" s="371"/>
      <c r="P19" s="371"/>
      <c r="Q19" s="371"/>
      <c r="R19" s="371"/>
    </row>
    <row r="20" spans="1:18" s="5" customFormat="1" ht="13.5" customHeight="1" x14ac:dyDescent="0.2">
      <c r="A20" s="371" t="s">
        <v>441</v>
      </c>
      <c r="B20" s="371"/>
      <c r="C20" s="371"/>
      <c r="D20" s="371"/>
      <c r="E20" s="371"/>
      <c r="F20" s="371"/>
      <c r="G20" s="371"/>
      <c r="H20" s="371"/>
      <c r="I20" s="371"/>
      <c r="J20" s="371"/>
      <c r="K20" s="371"/>
      <c r="L20" s="371"/>
      <c r="M20" s="371"/>
      <c r="N20" s="371"/>
      <c r="O20" s="371"/>
      <c r="P20" s="371"/>
      <c r="Q20" s="371"/>
      <c r="R20" s="371"/>
    </row>
    <row r="21" spans="1:18" s="5" customFormat="1" ht="28.35" customHeight="1" x14ac:dyDescent="0.2"/>
  </sheetData>
  <customSheetViews>
    <customSheetView guid="{B9B27D37-53F8-4AD8-9221-6458C3026417}" fitToPage="1">
      <selection sqref="A1:N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N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6">
    <mergeCell ref="A1:N1"/>
    <mergeCell ref="A2:A4"/>
    <mergeCell ref="B2:B4"/>
    <mergeCell ref="C2:D3"/>
    <mergeCell ref="E2:F3"/>
    <mergeCell ref="G2:J2"/>
    <mergeCell ref="K2:N2"/>
    <mergeCell ref="A18:R18"/>
    <mergeCell ref="A19:R19"/>
    <mergeCell ref="A20:R20"/>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M20"/>
  <sheetViews>
    <sheetView zoomScaleNormal="100" workbookViewId="0">
      <selection sqref="A1:M1"/>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455" t="s">
        <v>553</v>
      </c>
      <c r="B1" s="455"/>
      <c r="C1" s="455"/>
      <c r="D1" s="455"/>
      <c r="E1" s="455"/>
      <c r="F1" s="455"/>
      <c r="G1" s="455"/>
      <c r="H1" s="455"/>
      <c r="I1" s="455"/>
      <c r="J1" s="455"/>
      <c r="K1" s="455"/>
      <c r="L1" s="455"/>
      <c r="M1" s="455"/>
    </row>
    <row r="2" spans="1:13" s="5" customFormat="1" ht="17.25" customHeight="1" x14ac:dyDescent="0.2">
      <c r="A2" s="373" t="s">
        <v>541</v>
      </c>
      <c r="B2" s="393" t="s">
        <v>252</v>
      </c>
      <c r="C2" s="394"/>
      <c r="D2" s="394"/>
      <c r="E2" s="394"/>
      <c r="F2" s="394"/>
      <c r="G2" s="395"/>
      <c r="H2" s="393" t="s">
        <v>253</v>
      </c>
      <c r="I2" s="394"/>
      <c r="J2" s="394"/>
      <c r="K2" s="394"/>
      <c r="L2" s="394"/>
      <c r="M2" s="395"/>
    </row>
    <row r="3" spans="1:13" s="5" customFormat="1" ht="27" customHeight="1" x14ac:dyDescent="0.2">
      <c r="A3" s="448"/>
      <c r="B3" s="389" t="s">
        <v>554</v>
      </c>
      <c r="C3" s="390"/>
      <c r="D3" s="389" t="s">
        <v>555</v>
      </c>
      <c r="E3" s="390"/>
      <c r="F3" s="381" t="s">
        <v>150</v>
      </c>
      <c r="G3" s="453" t="s">
        <v>556</v>
      </c>
      <c r="H3" s="389" t="s">
        <v>554</v>
      </c>
      <c r="I3" s="390"/>
      <c r="J3" s="389" t="s">
        <v>555</v>
      </c>
      <c r="K3" s="390"/>
      <c r="L3" s="381" t="s">
        <v>150</v>
      </c>
      <c r="M3" s="453" t="s">
        <v>556</v>
      </c>
    </row>
    <row r="4" spans="1:13" s="5" customFormat="1" ht="27" customHeight="1" x14ac:dyDescent="0.2">
      <c r="A4" s="374"/>
      <c r="B4" s="17" t="s">
        <v>557</v>
      </c>
      <c r="C4" s="17" t="s">
        <v>558</v>
      </c>
      <c r="D4" s="17" t="s">
        <v>559</v>
      </c>
      <c r="E4" s="17" t="s">
        <v>560</v>
      </c>
      <c r="F4" s="383"/>
      <c r="G4" s="454"/>
      <c r="H4" s="17" t="s">
        <v>557</v>
      </c>
      <c r="I4" s="17" t="s">
        <v>558</v>
      </c>
      <c r="J4" s="17" t="s">
        <v>559</v>
      </c>
      <c r="K4" s="17" t="s">
        <v>560</v>
      </c>
      <c r="L4" s="383"/>
      <c r="M4" s="454"/>
    </row>
    <row r="5" spans="1:13" s="5" customFormat="1" ht="18" customHeight="1" x14ac:dyDescent="0.2">
      <c r="A5" s="3" t="s">
        <v>69</v>
      </c>
      <c r="B5" s="26">
        <v>10.68</v>
      </c>
      <c r="C5" s="26">
        <v>0.34</v>
      </c>
      <c r="D5" s="26">
        <v>0.06</v>
      </c>
      <c r="E5" s="26">
        <v>0</v>
      </c>
      <c r="F5" s="26">
        <v>11.08</v>
      </c>
      <c r="G5" s="26">
        <v>17.89</v>
      </c>
      <c r="H5" s="33">
        <v>115457.08</v>
      </c>
      <c r="I5" s="26">
        <v>2212.9499999999998</v>
      </c>
      <c r="J5" s="26">
        <v>18941.509999999998</v>
      </c>
      <c r="K5" s="26">
        <v>3210.19</v>
      </c>
      <c r="L5" s="33">
        <v>139821.73000000001</v>
      </c>
      <c r="M5" s="26">
        <v>1617.45</v>
      </c>
    </row>
    <row r="6" spans="1:13" s="5" customFormat="1" ht="18" customHeight="1" x14ac:dyDescent="0.2">
      <c r="A6" s="3" t="s">
        <v>70</v>
      </c>
      <c r="B6" s="26">
        <v>0.83</v>
      </c>
      <c r="C6" s="26">
        <v>0.05</v>
      </c>
      <c r="D6" s="26">
        <v>0</v>
      </c>
      <c r="E6" s="26">
        <v>0</v>
      </c>
      <c r="F6" s="26">
        <v>0.88</v>
      </c>
      <c r="G6" s="26">
        <v>19.32</v>
      </c>
      <c r="H6" s="33">
        <v>128486.91</v>
      </c>
      <c r="I6" s="26">
        <v>2546.54</v>
      </c>
      <c r="J6" s="26">
        <v>17138.84</v>
      </c>
      <c r="K6" s="26">
        <v>2304.6799999999998</v>
      </c>
      <c r="L6" s="33">
        <v>150476.97</v>
      </c>
      <c r="M6" s="26">
        <v>1882.93</v>
      </c>
    </row>
    <row r="7" spans="1:13" s="5" customFormat="1" ht="18" customHeight="1" x14ac:dyDescent="0.2">
      <c r="A7" s="3" t="s">
        <v>156</v>
      </c>
      <c r="B7" s="26">
        <v>0.12</v>
      </c>
      <c r="C7" s="26">
        <v>0.02</v>
      </c>
      <c r="D7" s="26">
        <v>0</v>
      </c>
      <c r="E7" s="26">
        <v>0</v>
      </c>
      <c r="F7" s="26">
        <v>0.14000000000000001</v>
      </c>
      <c r="G7" s="26">
        <v>17.98</v>
      </c>
      <c r="H7" s="26">
        <v>9426.5</v>
      </c>
      <c r="I7" s="26">
        <v>160.96</v>
      </c>
      <c r="J7" s="26">
        <v>1453.52</v>
      </c>
      <c r="K7" s="26">
        <v>144.61000000000001</v>
      </c>
      <c r="L7" s="26">
        <v>11185.59</v>
      </c>
      <c r="M7" s="26">
        <v>0</v>
      </c>
    </row>
    <row r="8" spans="1:13" s="5" customFormat="1" ht="18" customHeight="1" x14ac:dyDescent="0.2">
      <c r="A8" s="3" t="s">
        <v>157</v>
      </c>
      <c r="B8" s="26">
        <v>0.13</v>
      </c>
      <c r="C8" s="26">
        <v>0</v>
      </c>
      <c r="D8" s="26">
        <v>0</v>
      </c>
      <c r="E8" s="26">
        <v>0</v>
      </c>
      <c r="F8" s="26">
        <v>0.13</v>
      </c>
      <c r="G8" s="26">
        <v>18.09</v>
      </c>
      <c r="H8" s="26">
        <v>12422.3</v>
      </c>
      <c r="I8" s="26">
        <v>373.97</v>
      </c>
      <c r="J8" s="26">
        <v>1275.3499999999999</v>
      </c>
      <c r="K8" s="26">
        <v>208.78</v>
      </c>
      <c r="L8" s="26">
        <v>14280.4</v>
      </c>
      <c r="M8" s="26">
        <v>1663.79</v>
      </c>
    </row>
    <row r="9" spans="1:13" s="5" customFormat="1" ht="18" customHeight="1" x14ac:dyDescent="0.2">
      <c r="A9" s="3" t="s">
        <v>158</v>
      </c>
      <c r="B9" s="26">
        <v>0.13</v>
      </c>
      <c r="C9" s="26">
        <v>0.02</v>
      </c>
      <c r="D9" s="26">
        <v>0</v>
      </c>
      <c r="E9" s="26">
        <v>0</v>
      </c>
      <c r="F9" s="26">
        <v>0.15</v>
      </c>
      <c r="G9" s="26">
        <v>18.2</v>
      </c>
      <c r="H9" s="26">
        <v>11243.01</v>
      </c>
      <c r="I9" s="26">
        <v>299.39999999999998</v>
      </c>
      <c r="J9" s="26">
        <v>1645.06</v>
      </c>
      <c r="K9" s="26">
        <v>394.04</v>
      </c>
      <c r="L9" s="26">
        <v>13581.51</v>
      </c>
      <c r="M9" s="26">
        <v>1692.85</v>
      </c>
    </row>
    <row r="10" spans="1:13" s="5" customFormat="1" ht="18" customHeight="1" x14ac:dyDescent="0.2">
      <c r="A10" s="3" t="s">
        <v>159</v>
      </c>
      <c r="B10" s="26">
        <v>0.11</v>
      </c>
      <c r="C10" s="26">
        <v>0</v>
      </c>
      <c r="D10" s="26">
        <v>0</v>
      </c>
      <c r="E10" s="26">
        <v>0</v>
      </c>
      <c r="F10" s="26">
        <v>0.11</v>
      </c>
      <c r="G10" s="26">
        <v>18.309999999999999</v>
      </c>
      <c r="H10" s="26">
        <v>12392.17</v>
      </c>
      <c r="I10" s="26">
        <v>161.07</v>
      </c>
      <c r="J10" s="26">
        <v>1323.05</v>
      </c>
      <c r="K10" s="26">
        <v>124.62</v>
      </c>
      <c r="L10" s="26">
        <v>14000.91</v>
      </c>
      <c r="M10" s="26">
        <v>1708.07</v>
      </c>
    </row>
    <row r="11" spans="1:13" s="5" customFormat="1" ht="18" customHeight="1" x14ac:dyDescent="0.2">
      <c r="A11" s="3" t="s">
        <v>160</v>
      </c>
      <c r="B11" s="26">
        <v>0.05</v>
      </c>
      <c r="C11" s="26">
        <v>0</v>
      </c>
      <c r="D11" s="26">
        <v>0</v>
      </c>
      <c r="E11" s="26">
        <v>0</v>
      </c>
      <c r="F11" s="26">
        <v>0.05</v>
      </c>
      <c r="G11" s="26">
        <v>18.420000000000002</v>
      </c>
      <c r="H11" s="26">
        <v>9001.41</v>
      </c>
      <c r="I11" s="26">
        <v>108.61</v>
      </c>
      <c r="J11" s="26">
        <v>1187.5999999999999</v>
      </c>
      <c r="K11" s="26">
        <v>133.41</v>
      </c>
      <c r="L11" s="26">
        <v>10431.030000000001</v>
      </c>
      <c r="M11" s="26">
        <v>1730.54</v>
      </c>
    </row>
    <row r="12" spans="1:13" s="5" customFormat="1" ht="18" customHeight="1" x14ac:dyDescent="0.2">
      <c r="A12" s="3" t="s">
        <v>161</v>
      </c>
      <c r="B12" s="26">
        <v>7.0000000000000007E-2</v>
      </c>
      <c r="C12" s="26">
        <v>0</v>
      </c>
      <c r="D12" s="26">
        <v>0</v>
      </c>
      <c r="E12" s="26">
        <v>0</v>
      </c>
      <c r="F12" s="26">
        <v>0</v>
      </c>
      <c r="G12" s="26">
        <v>7.0000000000000007E-2</v>
      </c>
      <c r="H12" s="26">
        <v>16643.84</v>
      </c>
      <c r="I12" s="26">
        <v>347.61</v>
      </c>
      <c r="J12" s="26">
        <v>1857.61</v>
      </c>
      <c r="K12" s="26">
        <v>264.74</v>
      </c>
      <c r="L12" s="26">
        <v>19113.8</v>
      </c>
      <c r="M12" s="26">
        <v>1735.74</v>
      </c>
    </row>
    <row r="13" spans="1:13" s="5" customFormat="1" ht="18" customHeight="1" x14ac:dyDescent="0.2">
      <c r="A13" s="3" t="s">
        <v>162</v>
      </c>
      <c r="B13" s="26">
        <v>0.14000000000000001</v>
      </c>
      <c r="C13" s="26">
        <v>0</v>
      </c>
      <c r="D13" s="26">
        <v>0</v>
      </c>
      <c r="E13" s="26">
        <v>0</v>
      </c>
      <c r="F13" s="26">
        <v>0</v>
      </c>
      <c r="G13" s="26">
        <v>0.14000000000000001</v>
      </c>
      <c r="H13" s="26">
        <v>19279.05</v>
      </c>
      <c r="I13" s="26">
        <v>359.46</v>
      </c>
      <c r="J13" s="26">
        <v>2456.09</v>
      </c>
      <c r="K13" s="26">
        <v>272.48</v>
      </c>
      <c r="L13" s="26">
        <v>22367.08</v>
      </c>
      <c r="M13" s="26">
        <v>1780.09</v>
      </c>
    </row>
    <row r="14" spans="1:13" s="5" customFormat="1" ht="18" customHeight="1" x14ac:dyDescent="0.2">
      <c r="A14" s="3" t="s">
        <v>163</v>
      </c>
      <c r="B14" s="26">
        <v>0.03</v>
      </c>
      <c r="C14" s="26">
        <v>0</v>
      </c>
      <c r="D14" s="26">
        <v>0</v>
      </c>
      <c r="E14" s="26">
        <v>0</v>
      </c>
      <c r="F14" s="26">
        <v>0.03</v>
      </c>
      <c r="G14" s="26">
        <v>18.82</v>
      </c>
      <c r="H14" s="26">
        <v>8535.8700000000008</v>
      </c>
      <c r="I14" s="26">
        <v>296</v>
      </c>
      <c r="J14" s="26">
        <v>1202.97</v>
      </c>
      <c r="K14" s="26">
        <v>156.78</v>
      </c>
      <c r="L14" s="26">
        <v>10191.620000000001</v>
      </c>
      <c r="M14" s="26">
        <v>1805.85</v>
      </c>
    </row>
    <row r="15" spans="1:13" s="5" customFormat="1" ht="18" customHeight="1" x14ac:dyDescent="0.2">
      <c r="A15" s="3" t="s">
        <v>164</v>
      </c>
      <c r="B15" s="26">
        <v>0.03</v>
      </c>
      <c r="C15" s="26">
        <v>0.01</v>
      </c>
      <c r="D15" s="26">
        <v>0</v>
      </c>
      <c r="E15" s="26">
        <v>0</v>
      </c>
      <c r="F15" s="26">
        <v>0.04</v>
      </c>
      <c r="G15" s="26">
        <v>18.93</v>
      </c>
      <c r="H15" s="26">
        <v>10940.52</v>
      </c>
      <c r="I15" s="26">
        <v>88.1</v>
      </c>
      <c r="J15" s="26">
        <v>2041.47</v>
      </c>
      <c r="K15" s="26">
        <v>382.72</v>
      </c>
      <c r="L15" s="26">
        <v>13452.81</v>
      </c>
      <c r="M15" s="26">
        <v>1838.78</v>
      </c>
    </row>
    <row r="16" spans="1:13" s="5" customFormat="1" ht="18" customHeight="1" x14ac:dyDescent="0.2">
      <c r="A16" s="3" t="s">
        <v>165</v>
      </c>
      <c r="B16" s="26">
        <v>0.05</v>
      </c>
      <c r="C16" s="26">
        <v>0</v>
      </c>
      <c r="D16" s="26">
        <v>0</v>
      </c>
      <c r="E16" s="26">
        <v>0</v>
      </c>
      <c r="F16" s="26">
        <v>0.05</v>
      </c>
      <c r="G16" s="26">
        <v>19.149999999999999</v>
      </c>
      <c r="H16" s="26">
        <v>8867.9</v>
      </c>
      <c r="I16" s="26">
        <v>278.25</v>
      </c>
      <c r="J16" s="26">
        <v>1469.83</v>
      </c>
      <c r="K16" s="26">
        <v>116.48</v>
      </c>
      <c r="L16" s="26">
        <v>10732.46</v>
      </c>
      <c r="M16" s="26">
        <v>1873.3</v>
      </c>
    </row>
    <row r="17" spans="1:13" s="5" customFormat="1" ht="18" customHeight="1" x14ac:dyDescent="0.2">
      <c r="A17" s="3" t="s">
        <v>166</v>
      </c>
      <c r="B17" s="26">
        <v>0.04</v>
      </c>
      <c r="C17" s="26">
        <v>0</v>
      </c>
      <c r="D17" s="26">
        <v>0</v>
      </c>
      <c r="E17" s="26">
        <v>0</v>
      </c>
      <c r="F17" s="26">
        <v>0.04</v>
      </c>
      <c r="G17" s="26">
        <v>19.32</v>
      </c>
      <c r="H17" s="26">
        <v>9734.34</v>
      </c>
      <c r="I17" s="26">
        <v>73.11</v>
      </c>
      <c r="J17" s="26">
        <v>1226.29</v>
      </c>
      <c r="K17" s="26">
        <v>106.02</v>
      </c>
      <c r="L17" s="26">
        <v>11139.76</v>
      </c>
      <c r="M17" s="26">
        <v>1882.93</v>
      </c>
    </row>
    <row r="18" spans="1:13" s="5" customFormat="1" ht="14.25" customHeight="1" x14ac:dyDescent="0.2">
      <c r="A18" s="371" t="s">
        <v>105</v>
      </c>
      <c r="B18" s="371"/>
      <c r="C18" s="371"/>
      <c r="D18" s="371"/>
    </row>
    <row r="19" spans="1:13" s="5" customFormat="1" ht="12.75" customHeight="1" x14ac:dyDescent="0.2">
      <c r="A19" s="371" t="s">
        <v>251</v>
      </c>
      <c r="B19" s="371"/>
      <c r="C19" s="371"/>
      <c r="D19" s="371"/>
    </row>
    <row r="20" spans="1:13" s="5" customFormat="1" ht="26.1" customHeight="1" x14ac:dyDescent="0.2"/>
  </sheetData>
  <customSheetViews>
    <customSheetView guid="{B9B27D37-53F8-4AD8-9221-6458C3026417}" fitToPage="1">
      <selection sqref="A1:M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M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14">
    <mergeCell ref="L3:L4"/>
    <mergeCell ref="M3:M4"/>
    <mergeCell ref="A18:D18"/>
    <mergeCell ref="A19:D19"/>
    <mergeCell ref="A1:M1"/>
    <mergeCell ref="A2:A4"/>
    <mergeCell ref="B2:G2"/>
    <mergeCell ref="H2:M2"/>
    <mergeCell ref="B3:C3"/>
    <mergeCell ref="D3:E3"/>
    <mergeCell ref="F3:F4"/>
    <mergeCell ref="G3:G4"/>
    <mergeCell ref="H3:I3"/>
    <mergeCell ref="J3:K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9"/>
  <sheetViews>
    <sheetView zoomScaleNormal="100" workbookViewId="0">
      <selection sqref="A1:K1"/>
    </sheetView>
  </sheetViews>
  <sheetFormatPr defaultRowHeight="12.75" x14ac:dyDescent="0.2"/>
  <cols>
    <col min="1" max="11" width="14.7109375" bestFit="1" customWidth="1"/>
    <col min="12" max="12" width="4.7109375" bestFit="1" customWidth="1"/>
  </cols>
  <sheetData>
    <row r="1" spans="1:11" ht="15" customHeight="1" x14ac:dyDescent="0.2">
      <c r="A1" s="403" t="s">
        <v>40</v>
      </c>
      <c r="B1" s="403"/>
      <c r="C1" s="403"/>
      <c r="D1" s="403"/>
      <c r="E1" s="403"/>
      <c r="F1" s="403"/>
      <c r="G1" s="403"/>
      <c r="H1" s="403"/>
      <c r="I1" s="403"/>
      <c r="J1" s="403"/>
      <c r="K1" s="403"/>
    </row>
    <row r="2" spans="1:11" s="5" customFormat="1" ht="12.75" customHeight="1" x14ac:dyDescent="0.2">
      <c r="A2" s="381" t="s">
        <v>245</v>
      </c>
      <c r="B2" s="393" t="s">
        <v>332</v>
      </c>
      <c r="C2" s="394"/>
      <c r="D2" s="394"/>
      <c r="E2" s="394"/>
      <c r="F2" s="395"/>
      <c r="G2" s="393" t="s">
        <v>561</v>
      </c>
      <c r="H2" s="394"/>
      <c r="I2" s="394"/>
      <c r="J2" s="394"/>
      <c r="K2" s="395"/>
    </row>
    <row r="3" spans="1:11" s="5" customFormat="1" ht="15" customHeight="1" x14ac:dyDescent="0.2">
      <c r="A3" s="383"/>
      <c r="B3" s="7" t="s">
        <v>562</v>
      </c>
      <c r="C3" s="7" t="s">
        <v>563</v>
      </c>
      <c r="D3" s="7" t="s">
        <v>97</v>
      </c>
      <c r="E3" s="7" t="s">
        <v>335</v>
      </c>
      <c r="F3" s="7" t="s">
        <v>330</v>
      </c>
      <c r="G3" s="7" t="s">
        <v>562</v>
      </c>
      <c r="H3" s="7" t="s">
        <v>563</v>
      </c>
      <c r="I3" s="7" t="s">
        <v>97</v>
      </c>
      <c r="J3" s="7" t="s">
        <v>335</v>
      </c>
      <c r="K3" s="7" t="s">
        <v>330</v>
      </c>
    </row>
    <row r="4" spans="1:11" s="5" customFormat="1" ht="18" customHeight="1" x14ac:dyDescent="0.2">
      <c r="A4" s="3" t="s">
        <v>69</v>
      </c>
      <c r="B4" s="70">
        <v>90.616431035000005</v>
      </c>
      <c r="C4" s="70">
        <v>1.546121055</v>
      </c>
      <c r="D4" s="70">
        <v>0</v>
      </c>
      <c r="E4" s="70">
        <v>0</v>
      </c>
      <c r="F4" s="70">
        <v>7.8374479099999999</v>
      </c>
      <c r="G4" s="70">
        <v>0</v>
      </c>
      <c r="H4" s="70">
        <v>0</v>
      </c>
      <c r="I4" s="70">
        <v>0</v>
      </c>
      <c r="J4" s="70">
        <v>0</v>
      </c>
      <c r="K4" s="70">
        <v>100</v>
      </c>
    </row>
    <row r="5" spans="1:11" s="5" customFormat="1" ht="18" customHeight="1" x14ac:dyDescent="0.2">
      <c r="A5" s="3" t="s">
        <v>70</v>
      </c>
      <c r="B5" s="70">
        <v>74.680000000000007</v>
      </c>
      <c r="C5" s="70">
        <v>0</v>
      </c>
      <c r="D5" s="70">
        <v>0</v>
      </c>
      <c r="E5" s="70">
        <v>0</v>
      </c>
      <c r="F5" s="70">
        <v>25.32</v>
      </c>
      <c r="G5" s="70">
        <v>0</v>
      </c>
      <c r="H5" s="70">
        <v>0</v>
      </c>
      <c r="I5" s="70">
        <v>0</v>
      </c>
      <c r="J5" s="70">
        <v>0</v>
      </c>
      <c r="K5" s="70">
        <v>100</v>
      </c>
    </row>
    <row r="6" spans="1:11" s="5" customFormat="1" ht="18" customHeight="1" x14ac:dyDescent="0.2">
      <c r="A6" s="3" t="s">
        <v>156</v>
      </c>
      <c r="B6" s="70">
        <v>44.71</v>
      </c>
      <c r="C6" s="70">
        <v>0</v>
      </c>
      <c r="D6" s="70">
        <v>0</v>
      </c>
      <c r="E6" s="70">
        <v>0</v>
      </c>
      <c r="F6" s="70">
        <v>55.29</v>
      </c>
      <c r="G6" s="70">
        <v>0</v>
      </c>
      <c r="H6" s="70">
        <v>0</v>
      </c>
      <c r="I6" s="70">
        <v>0</v>
      </c>
      <c r="J6" s="70">
        <v>0</v>
      </c>
      <c r="K6" s="70">
        <v>100</v>
      </c>
    </row>
    <row r="7" spans="1:11" s="5" customFormat="1" ht="18" customHeight="1" x14ac:dyDescent="0.2">
      <c r="A7" s="3" t="s">
        <v>157</v>
      </c>
      <c r="B7" s="70">
        <v>21.11</v>
      </c>
      <c r="C7" s="70">
        <v>0</v>
      </c>
      <c r="D7" s="70">
        <v>0</v>
      </c>
      <c r="E7" s="70">
        <v>0</v>
      </c>
      <c r="F7" s="70">
        <v>78.89</v>
      </c>
      <c r="G7" s="70">
        <v>0</v>
      </c>
      <c r="H7" s="70">
        <v>0</v>
      </c>
      <c r="I7" s="70">
        <v>0</v>
      </c>
      <c r="J7" s="70">
        <v>0</v>
      </c>
      <c r="K7" s="70">
        <v>100</v>
      </c>
    </row>
    <row r="8" spans="1:11" s="5" customFormat="1" ht="18" customHeight="1" x14ac:dyDescent="0.2">
      <c r="A8" s="3" t="s">
        <v>158</v>
      </c>
      <c r="B8" s="70">
        <v>95.33</v>
      </c>
      <c r="C8" s="70">
        <v>0</v>
      </c>
      <c r="D8" s="70">
        <v>0</v>
      </c>
      <c r="E8" s="70">
        <v>0</v>
      </c>
      <c r="F8" s="70">
        <v>4.67</v>
      </c>
      <c r="G8" s="70">
        <v>78.601600000000005</v>
      </c>
      <c r="H8" s="70">
        <v>0</v>
      </c>
      <c r="I8" s="70">
        <v>0</v>
      </c>
      <c r="J8" s="70">
        <v>0</v>
      </c>
      <c r="K8" s="70">
        <v>21.398399999999999</v>
      </c>
    </row>
    <row r="9" spans="1:11" s="5" customFormat="1" ht="18" customHeight="1" x14ac:dyDescent="0.2">
      <c r="A9" s="3" t="s">
        <v>159</v>
      </c>
      <c r="B9" s="70">
        <v>55</v>
      </c>
      <c r="C9" s="70">
        <v>0</v>
      </c>
      <c r="D9" s="70">
        <v>0</v>
      </c>
      <c r="E9" s="70">
        <v>0</v>
      </c>
      <c r="F9" s="70">
        <v>45</v>
      </c>
      <c r="G9" s="70">
        <v>0</v>
      </c>
      <c r="H9" s="70">
        <v>0</v>
      </c>
      <c r="I9" s="70">
        <v>0</v>
      </c>
      <c r="J9" s="70">
        <v>0</v>
      </c>
      <c r="K9" s="70">
        <v>100</v>
      </c>
    </row>
    <row r="10" spans="1:11" s="5" customFormat="1" ht="18" customHeight="1" x14ac:dyDescent="0.2">
      <c r="A10" s="3" t="s">
        <v>160</v>
      </c>
      <c r="B10" s="70">
        <v>0</v>
      </c>
      <c r="C10" s="70">
        <v>0</v>
      </c>
      <c r="D10" s="70">
        <v>0</v>
      </c>
      <c r="E10" s="70">
        <v>0</v>
      </c>
      <c r="F10" s="70">
        <v>100</v>
      </c>
      <c r="G10" s="70">
        <v>0</v>
      </c>
      <c r="H10" s="70">
        <v>0</v>
      </c>
      <c r="I10" s="70">
        <v>0</v>
      </c>
      <c r="J10" s="70">
        <v>0</v>
      </c>
      <c r="K10" s="70">
        <v>100</v>
      </c>
    </row>
    <row r="11" spans="1:11" s="5" customFormat="1" ht="18" customHeight="1" x14ac:dyDescent="0.2">
      <c r="A11" s="3" t="s">
        <v>161</v>
      </c>
      <c r="B11" s="70">
        <v>0</v>
      </c>
      <c r="C11" s="70">
        <v>0</v>
      </c>
      <c r="D11" s="70">
        <v>0</v>
      </c>
      <c r="E11" s="70">
        <v>0</v>
      </c>
      <c r="F11" s="70">
        <v>100</v>
      </c>
      <c r="G11" s="70">
        <v>0</v>
      </c>
      <c r="H11" s="70">
        <v>0</v>
      </c>
      <c r="I11" s="70">
        <v>0</v>
      </c>
      <c r="J11" s="70">
        <v>0</v>
      </c>
      <c r="K11" s="70">
        <v>100</v>
      </c>
    </row>
    <row r="12" spans="1:11" s="5" customFormat="1" ht="18" customHeight="1" x14ac:dyDescent="0.2">
      <c r="A12" s="3" t="s">
        <v>162</v>
      </c>
      <c r="B12" s="70">
        <v>0</v>
      </c>
      <c r="C12" s="70">
        <v>0</v>
      </c>
      <c r="D12" s="70">
        <v>0</v>
      </c>
      <c r="E12" s="70">
        <v>0</v>
      </c>
      <c r="F12" s="70">
        <v>100</v>
      </c>
      <c r="G12" s="70">
        <v>0</v>
      </c>
      <c r="H12" s="70">
        <v>0</v>
      </c>
      <c r="I12" s="70">
        <v>0</v>
      </c>
      <c r="J12" s="70">
        <v>0</v>
      </c>
      <c r="K12" s="70">
        <v>100</v>
      </c>
    </row>
    <row r="13" spans="1:11" s="5" customFormat="1" ht="18" customHeight="1" x14ac:dyDescent="0.2">
      <c r="A13" s="3" t="s">
        <v>163</v>
      </c>
      <c r="B13" s="70">
        <v>0</v>
      </c>
      <c r="C13" s="70">
        <v>0</v>
      </c>
      <c r="D13" s="70">
        <v>0</v>
      </c>
      <c r="E13" s="70">
        <v>0</v>
      </c>
      <c r="F13" s="70">
        <v>100</v>
      </c>
      <c r="G13" s="70">
        <v>0</v>
      </c>
      <c r="H13" s="70">
        <v>0</v>
      </c>
      <c r="I13" s="70">
        <v>0</v>
      </c>
      <c r="J13" s="70">
        <v>0</v>
      </c>
      <c r="K13" s="70">
        <v>100</v>
      </c>
    </row>
    <row r="14" spans="1:11" s="5" customFormat="1" ht="18" customHeight="1" x14ac:dyDescent="0.2">
      <c r="A14" s="3" t="s">
        <v>164</v>
      </c>
      <c r="B14" s="70">
        <v>0</v>
      </c>
      <c r="C14" s="70">
        <v>0</v>
      </c>
      <c r="D14" s="70">
        <v>0</v>
      </c>
      <c r="E14" s="70">
        <v>0</v>
      </c>
      <c r="F14" s="70">
        <v>100</v>
      </c>
      <c r="G14" s="70">
        <v>0</v>
      </c>
      <c r="H14" s="70">
        <v>0</v>
      </c>
      <c r="I14" s="70">
        <v>0</v>
      </c>
      <c r="J14" s="70">
        <v>0</v>
      </c>
      <c r="K14" s="70">
        <v>100</v>
      </c>
    </row>
    <row r="15" spans="1:11" s="5" customFormat="1" ht="18" customHeight="1" x14ac:dyDescent="0.2">
      <c r="A15" s="3" t="s">
        <v>165</v>
      </c>
      <c r="B15" s="70">
        <v>38.33</v>
      </c>
      <c r="C15" s="70">
        <v>0</v>
      </c>
      <c r="D15" s="70">
        <v>0</v>
      </c>
      <c r="E15" s="70">
        <v>0</v>
      </c>
      <c r="F15" s="70">
        <v>61.67</v>
      </c>
      <c r="G15" s="70">
        <v>0</v>
      </c>
      <c r="H15" s="70">
        <v>0</v>
      </c>
      <c r="I15" s="70">
        <v>0</v>
      </c>
      <c r="J15" s="70">
        <v>0</v>
      </c>
      <c r="K15" s="70">
        <v>100</v>
      </c>
    </row>
    <row r="16" spans="1:11" s="5" customFormat="1" ht="18" customHeight="1" x14ac:dyDescent="0.2">
      <c r="A16" s="3" t="s">
        <v>166</v>
      </c>
      <c r="B16" s="70">
        <v>0</v>
      </c>
      <c r="C16" s="70">
        <v>0</v>
      </c>
      <c r="D16" s="70">
        <v>0</v>
      </c>
      <c r="E16" s="70">
        <v>0</v>
      </c>
      <c r="F16" s="70">
        <v>100</v>
      </c>
      <c r="G16" s="70">
        <v>0</v>
      </c>
      <c r="H16" s="70">
        <v>0</v>
      </c>
      <c r="I16" s="70">
        <v>0</v>
      </c>
      <c r="J16" s="70">
        <v>0</v>
      </c>
      <c r="K16" s="70">
        <v>100</v>
      </c>
    </row>
    <row r="17" spans="1:11" s="5" customFormat="1" ht="15" customHeight="1" x14ac:dyDescent="0.2">
      <c r="A17" s="371" t="s">
        <v>105</v>
      </c>
      <c r="B17" s="371"/>
      <c r="C17" s="371"/>
      <c r="D17" s="371"/>
      <c r="E17" s="371"/>
      <c r="F17" s="371"/>
      <c r="G17" s="371"/>
      <c r="H17" s="371"/>
      <c r="I17" s="371"/>
      <c r="J17" s="371"/>
      <c r="K17" s="371"/>
    </row>
    <row r="18" spans="1:11" s="5" customFormat="1" ht="13.5" customHeight="1" x14ac:dyDescent="0.2">
      <c r="A18" s="371" t="s">
        <v>385</v>
      </c>
      <c r="B18" s="371"/>
      <c r="C18" s="371"/>
      <c r="D18" s="371"/>
      <c r="E18" s="371"/>
      <c r="F18" s="371"/>
      <c r="G18" s="371"/>
      <c r="H18" s="371"/>
      <c r="I18" s="371"/>
      <c r="J18" s="371"/>
      <c r="K18" s="371"/>
    </row>
    <row r="19" spans="1:11" s="5" customFormat="1" ht="27.6" customHeight="1" x14ac:dyDescent="0.2"/>
  </sheetData>
  <customSheetViews>
    <customSheetView guid="{B9B27D37-53F8-4AD8-9221-6458C3026417}"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6">
    <mergeCell ref="A18:K18"/>
    <mergeCell ref="A1:K1"/>
    <mergeCell ref="A2:A3"/>
    <mergeCell ref="B2:F2"/>
    <mergeCell ref="G2:K2"/>
    <mergeCell ref="A17:K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9"/>
  <sheetViews>
    <sheetView zoomScaleNormal="100"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456" t="s">
        <v>41</v>
      </c>
      <c r="B1" s="456"/>
      <c r="C1" s="456"/>
      <c r="D1" s="456"/>
      <c r="E1" s="456"/>
      <c r="F1" s="456"/>
      <c r="G1" s="456"/>
      <c r="H1" s="456"/>
      <c r="I1" s="456"/>
      <c r="J1" s="456"/>
      <c r="K1" s="456"/>
    </row>
    <row r="2" spans="1:11" s="5" customFormat="1" ht="18" customHeight="1" x14ac:dyDescent="0.2">
      <c r="A2" s="381" t="s">
        <v>245</v>
      </c>
      <c r="B2" s="387" t="s">
        <v>332</v>
      </c>
      <c r="C2" s="424"/>
      <c r="D2" s="424"/>
      <c r="E2" s="424"/>
      <c r="F2" s="388"/>
      <c r="G2" s="387" t="s">
        <v>561</v>
      </c>
      <c r="H2" s="424"/>
      <c r="I2" s="424"/>
      <c r="J2" s="424"/>
      <c r="K2" s="388"/>
    </row>
    <row r="3" spans="1:11" s="5" customFormat="1" ht="15" customHeight="1" x14ac:dyDescent="0.2">
      <c r="A3" s="383"/>
      <c r="B3" s="25" t="s">
        <v>562</v>
      </c>
      <c r="C3" s="25" t="s">
        <v>334</v>
      </c>
      <c r="D3" s="25" t="s">
        <v>97</v>
      </c>
      <c r="E3" s="25" t="s">
        <v>335</v>
      </c>
      <c r="F3" s="25" t="s">
        <v>330</v>
      </c>
      <c r="G3" s="25" t="s">
        <v>562</v>
      </c>
      <c r="H3" s="25" t="s">
        <v>334</v>
      </c>
      <c r="I3" s="25" t="s">
        <v>97</v>
      </c>
      <c r="J3" s="25" t="s">
        <v>335</v>
      </c>
      <c r="K3" s="25" t="s">
        <v>330</v>
      </c>
    </row>
    <row r="4" spans="1:11" s="5" customFormat="1" ht="18" customHeight="1" x14ac:dyDescent="0.2">
      <c r="A4" s="3" t="s">
        <v>69</v>
      </c>
      <c r="B4" s="48">
        <v>42.34</v>
      </c>
      <c r="C4" s="48">
        <v>11.44</v>
      </c>
      <c r="D4" s="48">
        <v>0.46</v>
      </c>
      <c r="E4" s="48">
        <v>0</v>
      </c>
      <c r="F4" s="48">
        <v>45.76</v>
      </c>
      <c r="G4" s="48">
        <v>11.149433</v>
      </c>
      <c r="H4" s="48">
        <v>24.377642089999998</v>
      </c>
      <c r="I4" s="48">
        <v>14.032153020000001</v>
      </c>
      <c r="J4" s="48">
        <v>0</v>
      </c>
      <c r="K4" s="48">
        <v>50.440771890000001</v>
      </c>
    </row>
    <row r="5" spans="1:11" s="5" customFormat="1" ht="18" customHeight="1" x14ac:dyDescent="0.2">
      <c r="A5" s="3" t="s">
        <v>70</v>
      </c>
      <c r="B5" s="48">
        <v>38.159999999999997</v>
      </c>
      <c r="C5" s="48">
        <v>13.14</v>
      </c>
      <c r="D5" s="48">
        <v>0.42</v>
      </c>
      <c r="E5" s="48">
        <v>0</v>
      </c>
      <c r="F5" s="48">
        <v>48.28</v>
      </c>
      <c r="G5" s="48">
        <v>12.94</v>
      </c>
      <c r="H5" s="48">
        <v>30.93</v>
      </c>
      <c r="I5" s="48">
        <v>15.81</v>
      </c>
      <c r="J5" s="48">
        <v>0</v>
      </c>
      <c r="K5" s="48">
        <v>40.33</v>
      </c>
    </row>
    <row r="6" spans="1:11" s="5" customFormat="1" ht="18" customHeight="1" x14ac:dyDescent="0.2">
      <c r="A6" s="3" t="s">
        <v>156</v>
      </c>
      <c r="B6" s="48">
        <v>42.38</v>
      </c>
      <c r="C6" s="48">
        <v>12.67</v>
      </c>
      <c r="D6" s="48">
        <v>0.51</v>
      </c>
      <c r="E6" s="48">
        <v>0</v>
      </c>
      <c r="F6" s="48">
        <v>44.43</v>
      </c>
      <c r="G6" s="48">
        <v>12.7</v>
      </c>
      <c r="H6" s="48">
        <v>22.2</v>
      </c>
      <c r="I6" s="48">
        <v>12.97</v>
      </c>
      <c r="J6" s="48">
        <v>0</v>
      </c>
      <c r="K6" s="48">
        <v>52.13</v>
      </c>
    </row>
    <row r="7" spans="1:11" s="5" customFormat="1" ht="18" customHeight="1" x14ac:dyDescent="0.2">
      <c r="A7" s="3" t="s">
        <v>157</v>
      </c>
      <c r="B7" s="48">
        <v>42.58</v>
      </c>
      <c r="C7" s="48">
        <v>12.6</v>
      </c>
      <c r="D7" s="48">
        <v>0.41</v>
      </c>
      <c r="E7" s="48">
        <v>0</v>
      </c>
      <c r="F7" s="48">
        <v>44.41</v>
      </c>
      <c r="G7" s="48">
        <v>11.42</v>
      </c>
      <c r="H7" s="48">
        <v>24.74</v>
      </c>
      <c r="I7" s="48">
        <v>15.58</v>
      </c>
      <c r="J7" s="48">
        <v>0</v>
      </c>
      <c r="K7" s="48">
        <v>48.25</v>
      </c>
    </row>
    <row r="8" spans="1:11" s="5" customFormat="1" ht="18" customHeight="1" x14ac:dyDescent="0.2">
      <c r="A8" s="3" t="s">
        <v>158</v>
      </c>
      <c r="B8" s="48">
        <v>42.75</v>
      </c>
      <c r="C8" s="48">
        <v>11.72</v>
      </c>
      <c r="D8" s="48">
        <v>0.42</v>
      </c>
      <c r="E8" s="48">
        <v>0</v>
      </c>
      <c r="F8" s="48">
        <v>45.11</v>
      </c>
      <c r="G8" s="48">
        <v>13.01</v>
      </c>
      <c r="H8" s="48">
        <v>24.95</v>
      </c>
      <c r="I8" s="48">
        <v>13.96</v>
      </c>
      <c r="J8" s="48">
        <v>0</v>
      </c>
      <c r="K8" s="48">
        <v>48.08</v>
      </c>
    </row>
    <row r="9" spans="1:11" s="5" customFormat="1" ht="18" customHeight="1" x14ac:dyDescent="0.2">
      <c r="A9" s="3" t="s">
        <v>159</v>
      </c>
      <c r="B9" s="48">
        <v>41.02</v>
      </c>
      <c r="C9" s="48">
        <v>11.23</v>
      </c>
      <c r="D9" s="48">
        <v>0.44</v>
      </c>
      <c r="E9" s="48">
        <v>0</v>
      </c>
      <c r="F9" s="48">
        <v>47.31</v>
      </c>
      <c r="G9" s="48">
        <v>13.71</v>
      </c>
      <c r="H9" s="48">
        <v>23.01</v>
      </c>
      <c r="I9" s="48">
        <v>13.64</v>
      </c>
      <c r="J9" s="48">
        <v>0</v>
      </c>
      <c r="K9" s="48">
        <v>49.63</v>
      </c>
    </row>
    <row r="10" spans="1:11" s="5" customFormat="1" ht="18" customHeight="1" x14ac:dyDescent="0.2">
      <c r="A10" s="3" t="s">
        <v>160</v>
      </c>
      <c r="B10" s="48">
        <v>39.08</v>
      </c>
      <c r="C10" s="48">
        <v>11.64</v>
      </c>
      <c r="D10" s="48">
        <v>0.45</v>
      </c>
      <c r="E10" s="48">
        <v>0</v>
      </c>
      <c r="F10" s="48">
        <v>48.84</v>
      </c>
      <c r="G10" s="48">
        <v>13</v>
      </c>
      <c r="H10" s="48">
        <v>24.23</v>
      </c>
      <c r="I10" s="48">
        <v>14.52</v>
      </c>
      <c r="J10" s="48">
        <v>0</v>
      </c>
      <c r="K10" s="48">
        <v>48.25</v>
      </c>
    </row>
    <row r="11" spans="1:11" s="5" customFormat="1" ht="18" customHeight="1" x14ac:dyDescent="0.2">
      <c r="A11" s="3" t="s">
        <v>161</v>
      </c>
      <c r="B11" s="48">
        <v>35.409999999999997</v>
      </c>
      <c r="C11" s="48">
        <v>14.09</v>
      </c>
      <c r="D11" s="48">
        <v>0.36</v>
      </c>
      <c r="E11" s="48">
        <v>0</v>
      </c>
      <c r="F11" s="48">
        <v>50.14</v>
      </c>
      <c r="G11" s="48">
        <v>13.48</v>
      </c>
      <c r="H11" s="48">
        <v>27.34</v>
      </c>
      <c r="I11" s="48">
        <v>15.5</v>
      </c>
      <c r="J11" s="48">
        <v>0</v>
      </c>
      <c r="K11" s="48">
        <v>43.68</v>
      </c>
    </row>
    <row r="12" spans="1:11" s="5" customFormat="1" ht="18" customHeight="1" x14ac:dyDescent="0.2">
      <c r="A12" s="3" t="s">
        <v>162</v>
      </c>
      <c r="B12" s="48">
        <v>34.9</v>
      </c>
      <c r="C12" s="48">
        <v>15.26</v>
      </c>
      <c r="D12" s="48">
        <v>0.42</v>
      </c>
      <c r="E12" s="48">
        <v>0</v>
      </c>
      <c r="F12" s="48">
        <v>49.42</v>
      </c>
      <c r="G12" s="48">
        <v>16.41</v>
      </c>
      <c r="H12" s="48">
        <v>26.5</v>
      </c>
      <c r="I12" s="48">
        <v>13.31</v>
      </c>
      <c r="J12" s="48">
        <v>0</v>
      </c>
      <c r="K12" s="48">
        <v>43.77</v>
      </c>
    </row>
    <row r="13" spans="1:11" s="5" customFormat="1" ht="18" customHeight="1" x14ac:dyDescent="0.2">
      <c r="A13" s="3" t="s">
        <v>163</v>
      </c>
      <c r="B13" s="48">
        <v>35.11</v>
      </c>
      <c r="C13" s="48">
        <v>12.91</v>
      </c>
      <c r="D13" s="48">
        <v>0.46</v>
      </c>
      <c r="E13" s="48">
        <v>0</v>
      </c>
      <c r="F13" s="48">
        <v>51.52</v>
      </c>
      <c r="G13" s="48">
        <v>13.46</v>
      </c>
      <c r="H13" s="48">
        <v>28.49</v>
      </c>
      <c r="I13" s="48">
        <v>15.17</v>
      </c>
      <c r="J13" s="48">
        <v>0</v>
      </c>
      <c r="K13" s="48">
        <v>42.88</v>
      </c>
    </row>
    <row r="14" spans="1:11" s="5" customFormat="1" ht="18" customHeight="1" x14ac:dyDescent="0.2">
      <c r="A14" s="3" t="s">
        <v>164</v>
      </c>
      <c r="B14" s="48">
        <v>35.299999999999997</v>
      </c>
      <c r="C14" s="48">
        <v>13.12</v>
      </c>
      <c r="D14" s="48">
        <v>0.43</v>
      </c>
      <c r="E14" s="48">
        <v>0</v>
      </c>
      <c r="F14" s="48">
        <v>51.15</v>
      </c>
      <c r="G14" s="48">
        <v>15.23</v>
      </c>
      <c r="H14" s="48">
        <v>24.6</v>
      </c>
      <c r="I14" s="48">
        <v>13.56</v>
      </c>
      <c r="J14" s="48">
        <v>0</v>
      </c>
      <c r="K14" s="48">
        <v>46.61</v>
      </c>
    </row>
    <row r="15" spans="1:11" s="5" customFormat="1" ht="18" customHeight="1" x14ac:dyDescent="0.2">
      <c r="A15" s="3" t="s">
        <v>165</v>
      </c>
      <c r="B15" s="48">
        <v>35.76</v>
      </c>
      <c r="C15" s="48">
        <v>12.9</v>
      </c>
      <c r="D15" s="48">
        <v>0.36</v>
      </c>
      <c r="E15" s="48">
        <v>0</v>
      </c>
      <c r="F15" s="48">
        <v>50.99</v>
      </c>
      <c r="G15" s="48">
        <v>11.86</v>
      </c>
      <c r="H15" s="48">
        <v>31.79</v>
      </c>
      <c r="I15" s="48">
        <v>15.94</v>
      </c>
      <c r="J15" s="48">
        <v>0</v>
      </c>
      <c r="K15" s="48">
        <v>40.42</v>
      </c>
    </row>
    <row r="16" spans="1:11" s="5" customFormat="1" ht="18" customHeight="1" x14ac:dyDescent="0.2">
      <c r="A16" s="3" t="s">
        <v>166</v>
      </c>
      <c r="B16" s="48">
        <v>35.450000000000003</v>
      </c>
      <c r="C16" s="48">
        <v>16.46</v>
      </c>
      <c r="D16" s="48">
        <v>0.41</v>
      </c>
      <c r="E16" s="48">
        <v>0</v>
      </c>
      <c r="F16" s="48">
        <v>47.68</v>
      </c>
      <c r="G16" s="48">
        <v>12.94</v>
      </c>
      <c r="H16" s="48">
        <v>30.93</v>
      </c>
      <c r="I16" s="48">
        <v>15.81</v>
      </c>
      <c r="J16" s="48">
        <v>0</v>
      </c>
      <c r="K16" s="48">
        <v>40.33</v>
      </c>
    </row>
    <row r="17" spans="1:11" s="5" customFormat="1" ht="14.25" customHeight="1" x14ac:dyDescent="0.2">
      <c r="A17" s="391" t="s">
        <v>441</v>
      </c>
      <c r="B17" s="391"/>
      <c r="C17" s="391"/>
      <c r="D17" s="391"/>
      <c r="E17" s="391"/>
      <c r="F17" s="391"/>
      <c r="G17" s="391"/>
      <c r="H17" s="391"/>
      <c r="I17" s="391"/>
      <c r="J17" s="391"/>
      <c r="K17" s="391"/>
    </row>
    <row r="18" spans="1:11" s="5" customFormat="1" ht="13.5" customHeight="1" x14ac:dyDescent="0.2">
      <c r="A18" s="391" t="s">
        <v>105</v>
      </c>
      <c r="B18" s="391"/>
      <c r="C18" s="391"/>
      <c r="D18" s="391"/>
      <c r="E18" s="391"/>
      <c r="F18" s="391"/>
      <c r="G18" s="391"/>
      <c r="H18" s="391"/>
      <c r="I18" s="391"/>
      <c r="J18" s="391"/>
      <c r="K18" s="391"/>
    </row>
    <row r="19" spans="1:11" s="5" customFormat="1" ht="26.85" customHeight="1" x14ac:dyDescent="0.2"/>
  </sheetData>
  <customSheetViews>
    <customSheetView guid="{B9B27D37-53F8-4AD8-9221-6458C3026417}"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6">
    <mergeCell ref="A18:K18"/>
    <mergeCell ref="A1:K1"/>
    <mergeCell ref="A2:A3"/>
    <mergeCell ref="B2:F2"/>
    <mergeCell ref="G2:K2"/>
    <mergeCell ref="A17:K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K19"/>
  <sheetViews>
    <sheetView topLeftCell="C1" zoomScaleNormal="100"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403" t="s">
        <v>42</v>
      </c>
      <c r="B1" s="403"/>
      <c r="C1" s="403"/>
      <c r="D1" s="403"/>
      <c r="E1" s="403"/>
      <c r="F1" s="403"/>
      <c r="G1" s="403"/>
      <c r="H1" s="403"/>
    </row>
    <row r="2" spans="1:11" s="5" customFormat="1" ht="18" customHeight="1" x14ac:dyDescent="0.2">
      <c r="A2" s="439" t="s">
        <v>564</v>
      </c>
      <c r="B2" s="440"/>
      <c r="C2" s="440"/>
      <c r="D2" s="440"/>
      <c r="E2" s="440"/>
      <c r="F2" s="440"/>
      <c r="G2" s="440"/>
      <c r="H2" s="440"/>
      <c r="I2" s="440"/>
      <c r="J2" s="440"/>
      <c r="K2" s="441"/>
    </row>
    <row r="3" spans="1:11" s="5" customFormat="1" ht="27.75" customHeight="1" x14ac:dyDescent="0.2">
      <c r="A3" s="71" t="s">
        <v>245</v>
      </c>
      <c r="B3" s="9" t="s">
        <v>565</v>
      </c>
      <c r="C3" s="9" t="s">
        <v>566</v>
      </c>
      <c r="D3" s="9" t="s">
        <v>567</v>
      </c>
      <c r="E3" s="9" t="s">
        <v>568</v>
      </c>
      <c r="F3" s="9" t="s">
        <v>569</v>
      </c>
      <c r="G3" s="9" t="s">
        <v>570</v>
      </c>
      <c r="H3" s="9" t="s">
        <v>571</v>
      </c>
      <c r="I3" s="9" t="s">
        <v>572</v>
      </c>
      <c r="J3" s="9" t="s">
        <v>573</v>
      </c>
      <c r="K3" s="9" t="s">
        <v>574</v>
      </c>
    </row>
    <row r="4" spans="1:11" s="5" customFormat="1" ht="18" customHeight="1" x14ac:dyDescent="0.2">
      <c r="A4" s="3" t="s">
        <v>69</v>
      </c>
      <c r="B4" s="48">
        <v>4.1256569999999999E-2</v>
      </c>
      <c r="C4" s="48">
        <v>99.958743429999998</v>
      </c>
      <c r="D4" s="48">
        <v>0</v>
      </c>
      <c r="E4" s="48">
        <v>0</v>
      </c>
      <c r="F4" s="48">
        <v>0</v>
      </c>
      <c r="G4" s="48">
        <v>5.8662000000000002E-5</v>
      </c>
      <c r="H4" s="48">
        <v>0</v>
      </c>
      <c r="I4" s="48">
        <v>0</v>
      </c>
      <c r="J4" s="48">
        <v>0</v>
      </c>
      <c r="K4" s="48">
        <v>0</v>
      </c>
    </row>
    <row r="5" spans="1:11" s="5" customFormat="1" ht="18" customHeight="1" x14ac:dyDescent="0.2">
      <c r="A5" s="3" t="s">
        <v>70</v>
      </c>
      <c r="B5" s="48">
        <v>100</v>
      </c>
      <c r="C5" s="48">
        <v>0</v>
      </c>
      <c r="D5" s="48">
        <v>0</v>
      </c>
      <c r="E5" s="48">
        <v>0</v>
      </c>
      <c r="F5" s="48">
        <v>0</v>
      </c>
      <c r="G5" s="48">
        <v>0</v>
      </c>
      <c r="H5" s="48">
        <v>0</v>
      </c>
      <c r="I5" s="48">
        <v>0</v>
      </c>
      <c r="J5" s="48">
        <v>0</v>
      </c>
      <c r="K5" s="48">
        <v>0</v>
      </c>
    </row>
    <row r="6" spans="1:11" s="5" customFormat="1" ht="18" customHeight="1" x14ac:dyDescent="0.2">
      <c r="A6" s="3" t="s">
        <v>156</v>
      </c>
      <c r="B6" s="48">
        <v>100</v>
      </c>
      <c r="C6" s="48">
        <v>0</v>
      </c>
      <c r="D6" s="48">
        <v>0</v>
      </c>
      <c r="E6" s="48">
        <v>0</v>
      </c>
      <c r="F6" s="48">
        <v>0</v>
      </c>
      <c r="G6" s="48">
        <v>0</v>
      </c>
      <c r="H6" s="48">
        <v>0</v>
      </c>
      <c r="I6" s="48">
        <v>0</v>
      </c>
      <c r="J6" s="48">
        <v>0</v>
      </c>
      <c r="K6" s="48">
        <v>0</v>
      </c>
    </row>
    <row r="7" spans="1:11" s="5" customFormat="1" ht="18" customHeight="1" x14ac:dyDescent="0.2">
      <c r="A7" s="3" t="s">
        <v>157</v>
      </c>
      <c r="B7" s="48">
        <v>100</v>
      </c>
      <c r="C7" s="48">
        <v>0</v>
      </c>
      <c r="D7" s="48">
        <v>0</v>
      </c>
      <c r="E7" s="48">
        <v>0</v>
      </c>
      <c r="F7" s="48">
        <v>0</v>
      </c>
      <c r="G7" s="48">
        <v>0</v>
      </c>
      <c r="H7" s="48">
        <v>0</v>
      </c>
      <c r="I7" s="48">
        <v>0</v>
      </c>
      <c r="J7" s="48">
        <v>0</v>
      </c>
      <c r="K7" s="48">
        <v>0</v>
      </c>
    </row>
    <row r="8" spans="1:11" s="5" customFormat="1" ht="18" customHeight="1" x14ac:dyDescent="0.2">
      <c r="A8" s="3" t="s">
        <v>158</v>
      </c>
      <c r="B8" s="48">
        <v>100</v>
      </c>
      <c r="C8" s="48">
        <v>0</v>
      </c>
      <c r="D8" s="48">
        <v>0</v>
      </c>
      <c r="E8" s="48">
        <v>0</v>
      </c>
      <c r="F8" s="48">
        <v>0</v>
      </c>
      <c r="G8" s="48">
        <v>0</v>
      </c>
      <c r="H8" s="48">
        <v>0</v>
      </c>
      <c r="I8" s="48">
        <v>0</v>
      </c>
      <c r="J8" s="48">
        <v>0</v>
      </c>
      <c r="K8" s="48">
        <v>0</v>
      </c>
    </row>
    <row r="9" spans="1:11" s="5" customFormat="1" ht="18" customHeight="1" x14ac:dyDescent="0.2">
      <c r="A9" s="3" t="s">
        <v>159</v>
      </c>
      <c r="B9" s="48">
        <v>100</v>
      </c>
      <c r="C9" s="48">
        <v>0</v>
      </c>
      <c r="D9" s="48">
        <v>0</v>
      </c>
      <c r="E9" s="48">
        <v>0</v>
      </c>
      <c r="F9" s="48">
        <v>0</v>
      </c>
      <c r="G9" s="48">
        <v>0</v>
      </c>
      <c r="H9" s="48">
        <v>0</v>
      </c>
      <c r="I9" s="48">
        <v>0</v>
      </c>
      <c r="J9" s="48">
        <v>0</v>
      </c>
      <c r="K9" s="48">
        <v>0</v>
      </c>
    </row>
    <row r="10" spans="1:11" s="5" customFormat="1" ht="18" customHeight="1" x14ac:dyDescent="0.2">
      <c r="A10" s="3" t="s">
        <v>160</v>
      </c>
      <c r="B10" s="48">
        <v>0</v>
      </c>
      <c r="C10" s="48">
        <v>0</v>
      </c>
      <c r="D10" s="48">
        <v>0</v>
      </c>
      <c r="E10" s="48">
        <v>0</v>
      </c>
      <c r="F10" s="48">
        <v>0</v>
      </c>
      <c r="G10" s="48">
        <v>0</v>
      </c>
      <c r="H10" s="48">
        <v>0</v>
      </c>
      <c r="I10" s="48">
        <v>0</v>
      </c>
      <c r="J10" s="48">
        <v>0</v>
      </c>
      <c r="K10" s="48">
        <v>0</v>
      </c>
    </row>
    <row r="11" spans="1:11" s="5" customFormat="1" ht="18" customHeight="1" x14ac:dyDescent="0.2">
      <c r="A11" s="3" t="s">
        <v>161</v>
      </c>
      <c r="B11" s="48">
        <v>0</v>
      </c>
      <c r="C11" s="48">
        <v>0</v>
      </c>
      <c r="D11" s="48">
        <v>0</v>
      </c>
      <c r="E11" s="48">
        <v>0</v>
      </c>
      <c r="F11" s="48">
        <v>0</v>
      </c>
      <c r="G11" s="48">
        <v>0</v>
      </c>
      <c r="H11" s="48">
        <v>0</v>
      </c>
      <c r="I11" s="48">
        <v>0</v>
      </c>
      <c r="J11" s="48">
        <v>0</v>
      </c>
      <c r="K11" s="48">
        <v>0</v>
      </c>
    </row>
    <row r="12" spans="1:11" s="5" customFormat="1" ht="18" customHeight="1" x14ac:dyDescent="0.2">
      <c r="A12" s="3" t="s">
        <v>162</v>
      </c>
      <c r="B12" s="48">
        <v>0</v>
      </c>
      <c r="C12" s="48">
        <v>0</v>
      </c>
      <c r="D12" s="48">
        <v>0</v>
      </c>
      <c r="E12" s="48">
        <v>0</v>
      </c>
      <c r="F12" s="48">
        <v>0</v>
      </c>
      <c r="G12" s="48">
        <v>0</v>
      </c>
      <c r="H12" s="48">
        <v>0</v>
      </c>
      <c r="I12" s="48">
        <v>0</v>
      </c>
      <c r="J12" s="48">
        <v>0</v>
      </c>
      <c r="K12" s="48">
        <v>0</v>
      </c>
    </row>
    <row r="13" spans="1:11" s="5" customFormat="1" ht="18" customHeight="1" x14ac:dyDescent="0.2">
      <c r="A13" s="3" t="s">
        <v>163</v>
      </c>
      <c r="B13" s="48">
        <v>0</v>
      </c>
      <c r="C13" s="48">
        <v>0</v>
      </c>
      <c r="D13" s="48">
        <v>0</v>
      </c>
      <c r="E13" s="48">
        <v>0</v>
      </c>
      <c r="F13" s="48">
        <v>0</v>
      </c>
      <c r="G13" s="48">
        <v>0</v>
      </c>
      <c r="H13" s="48">
        <v>0</v>
      </c>
      <c r="I13" s="48">
        <v>0</v>
      </c>
      <c r="J13" s="48">
        <v>0</v>
      </c>
      <c r="K13" s="48">
        <v>0</v>
      </c>
    </row>
    <row r="14" spans="1:11" s="5" customFormat="1" ht="18" customHeight="1" x14ac:dyDescent="0.2">
      <c r="A14" s="3" t="s">
        <v>164</v>
      </c>
      <c r="B14" s="48">
        <v>100</v>
      </c>
      <c r="C14" s="48">
        <v>0</v>
      </c>
      <c r="D14" s="48">
        <v>0</v>
      </c>
      <c r="E14" s="48">
        <v>0</v>
      </c>
      <c r="F14" s="48">
        <v>0</v>
      </c>
      <c r="G14" s="48">
        <v>0</v>
      </c>
      <c r="H14" s="48">
        <v>0</v>
      </c>
      <c r="I14" s="48">
        <v>0</v>
      </c>
      <c r="J14" s="48">
        <v>0</v>
      </c>
      <c r="K14" s="48">
        <v>0</v>
      </c>
    </row>
    <row r="15" spans="1:11" s="5" customFormat="1" ht="18" customHeight="1" x14ac:dyDescent="0.2">
      <c r="A15" s="3" t="s">
        <v>165</v>
      </c>
      <c r="B15" s="48">
        <v>100</v>
      </c>
      <c r="C15" s="48">
        <v>0</v>
      </c>
      <c r="D15" s="48">
        <v>0</v>
      </c>
      <c r="E15" s="48">
        <v>0</v>
      </c>
      <c r="F15" s="48">
        <v>0</v>
      </c>
      <c r="G15" s="48">
        <v>0</v>
      </c>
      <c r="H15" s="48">
        <v>0</v>
      </c>
      <c r="I15" s="48">
        <v>0</v>
      </c>
      <c r="J15" s="48">
        <v>0</v>
      </c>
      <c r="K15" s="48">
        <v>0</v>
      </c>
    </row>
    <row r="16" spans="1:11" s="5" customFormat="1" ht="18" customHeight="1" x14ac:dyDescent="0.2">
      <c r="A16" s="3" t="s">
        <v>166</v>
      </c>
      <c r="B16" s="48">
        <v>0</v>
      </c>
      <c r="C16" s="48">
        <v>0</v>
      </c>
      <c r="D16" s="48">
        <v>0</v>
      </c>
      <c r="E16" s="48">
        <v>0</v>
      </c>
      <c r="F16" s="48">
        <v>0</v>
      </c>
      <c r="G16" s="48">
        <v>0</v>
      </c>
      <c r="H16" s="48">
        <v>0</v>
      </c>
      <c r="I16" s="48">
        <v>0</v>
      </c>
      <c r="J16" s="48">
        <v>0</v>
      </c>
      <c r="K16" s="48">
        <v>0</v>
      </c>
    </row>
    <row r="17" spans="1:6" s="5" customFormat="1" ht="14.25" customHeight="1" x14ac:dyDescent="0.2">
      <c r="A17" s="371" t="s">
        <v>105</v>
      </c>
      <c r="B17" s="371"/>
      <c r="C17" s="371"/>
      <c r="D17" s="371"/>
      <c r="E17" s="371"/>
      <c r="F17" s="371"/>
    </row>
    <row r="18" spans="1:6" s="5" customFormat="1" ht="13.5" customHeight="1" x14ac:dyDescent="0.2">
      <c r="A18" s="371" t="s">
        <v>385</v>
      </c>
      <c r="B18" s="371"/>
      <c r="C18" s="371"/>
      <c r="D18" s="371"/>
      <c r="E18" s="371"/>
      <c r="F18" s="371"/>
    </row>
    <row r="19" spans="1:6" s="5" customFormat="1" ht="27.6" customHeight="1" x14ac:dyDescent="0.2"/>
  </sheetData>
  <customSheetViews>
    <customSheetView guid="{B9B27D37-53F8-4AD8-9221-6458C3026417}" fitToPage="1" topLeftCell="C1">
      <selection sqref="A1:H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C1">
      <selection sqref="A1:H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4">
    <mergeCell ref="A1:H1"/>
    <mergeCell ref="A2:K2"/>
    <mergeCell ref="A17:F17"/>
    <mergeCell ref="A18:F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L19"/>
  <sheetViews>
    <sheetView zoomScaleNormal="100"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403" t="s">
        <v>43</v>
      </c>
      <c r="B1" s="403"/>
      <c r="C1" s="403"/>
      <c r="D1" s="403"/>
      <c r="E1" s="403"/>
      <c r="F1" s="403"/>
      <c r="G1" s="403"/>
      <c r="H1" s="403"/>
      <c r="I1" s="403"/>
      <c r="J1" s="403"/>
      <c r="K1" s="403"/>
    </row>
    <row r="2" spans="1:12" s="5" customFormat="1" ht="18" customHeight="1" x14ac:dyDescent="0.2">
      <c r="A2" s="439" t="s">
        <v>564</v>
      </c>
      <c r="B2" s="440"/>
      <c r="C2" s="440"/>
      <c r="D2" s="440"/>
      <c r="E2" s="440"/>
      <c r="F2" s="440"/>
      <c r="G2" s="440"/>
      <c r="H2" s="440"/>
      <c r="I2" s="440"/>
      <c r="J2" s="440"/>
      <c r="K2" s="441"/>
    </row>
    <row r="3" spans="1:12" s="5" customFormat="1" ht="18.75" customHeight="1" x14ac:dyDescent="0.2">
      <c r="A3" s="7" t="s">
        <v>245</v>
      </c>
      <c r="B3" s="7" t="s">
        <v>575</v>
      </c>
      <c r="C3" s="7" t="s">
        <v>576</v>
      </c>
      <c r="D3" s="7" t="s">
        <v>577</v>
      </c>
      <c r="E3" s="7" t="s">
        <v>578</v>
      </c>
      <c r="F3" s="7" t="s">
        <v>579</v>
      </c>
      <c r="G3" s="7" t="s">
        <v>580</v>
      </c>
      <c r="H3" s="7" t="s">
        <v>581</v>
      </c>
      <c r="I3" s="7" t="s">
        <v>582</v>
      </c>
      <c r="J3" s="7" t="s">
        <v>583</v>
      </c>
      <c r="K3" s="7" t="s">
        <v>584</v>
      </c>
      <c r="L3" s="7" t="s">
        <v>585</v>
      </c>
    </row>
    <row r="4" spans="1:12" s="5" customFormat="1" ht="18" customHeight="1" x14ac:dyDescent="0.2">
      <c r="A4" s="3" t="s">
        <v>69</v>
      </c>
      <c r="B4" s="48">
        <v>35.72</v>
      </c>
      <c r="C4" s="48">
        <v>0</v>
      </c>
      <c r="D4" s="48">
        <v>64.27</v>
      </c>
      <c r="E4" s="48">
        <v>0</v>
      </c>
      <c r="F4" s="48">
        <v>0</v>
      </c>
      <c r="G4" s="48">
        <v>0</v>
      </c>
      <c r="H4" s="48">
        <v>0</v>
      </c>
      <c r="I4" s="48">
        <v>0</v>
      </c>
      <c r="J4" s="48">
        <v>0</v>
      </c>
      <c r="K4" s="48">
        <v>0</v>
      </c>
      <c r="L4" s="48">
        <v>0</v>
      </c>
    </row>
    <row r="5" spans="1:12" s="5" customFormat="1" ht="18" customHeight="1" x14ac:dyDescent="0.2">
      <c r="A5" s="3" t="s">
        <v>70</v>
      </c>
      <c r="B5" s="48">
        <v>25.42878447</v>
      </c>
      <c r="C5" s="48">
        <v>3.8693899999999999E-3</v>
      </c>
      <c r="D5" s="48">
        <v>74.56451672</v>
      </c>
      <c r="E5" s="48">
        <v>2.8288929999999999E-3</v>
      </c>
      <c r="F5" s="48">
        <v>9.9999999999999995E-7</v>
      </c>
      <c r="G5" s="48">
        <v>0</v>
      </c>
      <c r="H5" s="48">
        <v>8.4999999999999994E-8</v>
      </c>
      <c r="I5" s="48">
        <v>0</v>
      </c>
      <c r="J5" s="48">
        <v>0</v>
      </c>
      <c r="K5" s="48">
        <v>0</v>
      </c>
      <c r="L5" s="48">
        <v>4.01E-7</v>
      </c>
    </row>
    <row r="6" spans="1:12" s="5" customFormat="1" ht="18" customHeight="1" x14ac:dyDescent="0.2">
      <c r="A6" s="3" t="s">
        <v>156</v>
      </c>
      <c r="B6" s="48">
        <v>30.25</v>
      </c>
      <c r="C6" s="48">
        <v>0.01</v>
      </c>
      <c r="D6" s="48">
        <v>69.73</v>
      </c>
      <c r="E6" s="48">
        <v>0</v>
      </c>
      <c r="F6" s="48">
        <v>0</v>
      </c>
      <c r="G6" s="48">
        <v>0</v>
      </c>
      <c r="H6" s="48">
        <v>0</v>
      </c>
      <c r="I6" s="48">
        <v>0</v>
      </c>
      <c r="J6" s="48">
        <v>0</v>
      </c>
      <c r="K6" s="48">
        <v>0</v>
      </c>
      <c r="L6" s="48">
        <v>0</v>
      </c>
    </row>
    <row r="7" spans="1:12" s="5" customFormat="1" ht="18" customHeight="1" x14ac:dyDescent="0.2">
      <c r="A7" s="3" t="s">
        <v>157</v>
      </c>
      <c r="B7" s="48">
        <v>26.34</v>
      </c>
      <c r="C7" s="48">
        <v>0</v>
      </c>
      <c r="D7" s="48">
        <v>73.650000000000006</v>
      </c>
      <c r="E7" s="48">
        <v>0</v>
      </c>
      <c r="F7" s="48">
        <v>0</v>
      </c>
      <c r="G7" s="48">
        <v>0</v>
      </c>
      <c r="H7" s="48">
        <v>0</v>
      </c>
      <c r="I7" s="48">
        <v>0</v>
      </c>
      <c r="J7" s="48">
        <v>0</v>
      </c>
      <c r="K7" s="48">
        <v>0</v>
      </c>
      <c r="L7" s="48">
        <v>0</v>
      </c>
    </row>
    <row r="8" spans="1:12" s="5" customFormat="1" ht="18" customHeight="1" x14ac:dyDescent="0.2">
      <c r="A8" s="3" t="s">
        <v>158</v>
      </c>
      <c r="B8" s="48">
        <v>25.337620007999998</v>
      </c>
      <c r="C8" s="48">
        <v>3.4237590000000002E-3</v>
      </c>
      <c r="D8" s="48">
        <v>74.655378354999996</v>
      </c>
      <c r="E8" s="48">
        <v>3.5769790000000001E-3</v>
      </c>
      <c r="F8" s="48">
        <v>8.9800000000000002E-7</v>
      </c>
      <c r="G8" s="48">
        <v>0</v>
      </c>
      <c r="H8" s="48">
        <v>0</v>
      </c>
      <c r="I8" s="48">
        <v>0</v>
      </c>
      <c r="J8" s="48">
        <v>0</v>
      </c>
      <c r="K8" s="48">
        <v>0</v>
      </c>
      <c r="L8" s="48">
        <v>0</v>
      </c>
    </row>
    <row r="9" spans="1:12" s="5" customFormat="1" ht="18" customHeight="1" x14ac:dyDescent="0.2">
      <c r="A9" s="3" t="s">
        <v>159</v>
      </c>
      <c r="B9" s="48">
        <v>23.626187243</v>
      </c>
      <c r="C9" s="48">
        <v>3.2891800000000001E-3</v>
      </c>
      <c r="D9" s="48">
        <v>76.366885436999993</v>
      </c>
      <c r="E9" s="48">
        <v>3.6381400000000002E-3</v>
      </c>
      <c r="F9" s="48">
        <v>0</v>
      </c>
      <c r="G9" s="48">
        <v>0</v>
      </c>
      <c r="H9" s="48">
        <v>0</v>
      </c>
      <c r="I9" s="48">
        <v>0</v>
      </c>
      <c r="J9" s="48">
        <v>0</v>
      </c>
      <c r="K9" s="48">
        <v>0</v>
      </c>
      <c r="L9" s="48">
        <v>0</v>
      </c>
    </row>
    <row r="10" spans="1:12" s="5" customFormat="1" ht="18" customHeight="1" x14ac:dyDescent="0.2">
      <c r="A10" s="3" t="s">
        <v>160</v>
      </c>
      <c r="B10" s="48">
        <v>19.686849950999999</v>
      </c>
      <c r="C10" s="48">
        <v>2.105226E-3</v>
      </c>
      <c r="D10" s="48">
        <v>80.307406336</v>
      </c>
      <c r="E10" s="48">
        <v>3.637454E-3</v>
      </c>
      <c r="F10" s="48">
        <v>0</v>
      </c>
      <c r="G10" s="48">
        <v>0</v>
      </c>
      <c r="H10" s="48">
        <v>0</v>
      </c>
      <c r="I10" s="48">
        <v>0</v>
      </c>
      <c r="J10" s="48">
        <v>0</v>
      </c>
      <c r="K10" s="48">
        <v>0</v>
      </c>
      <c r="L10" s="48">
        <v>1.0330000000000001E-6</v>
      </c>
    </row>
    <row r="11" spans="1:12" s="5" customFormat="1" ht="18" customHeight="1" x14ac:dyDescent="0.2">
      <c r="A11" s="3" t="s">
        <v>161</v>
      </c>
      <c r="B11" s="48">
        <v>23.448892300000001</v>
      </c>
      <c r="C11" s="48">
        <v>4.0538960000000004E-3</v>
      </c>
      <c r="D11" s="48">
        <v>76.543181978999996</v>
      </c>
      <c r="E11" s="48">
        <v>3.8710849999999998E-3</v>
      </c>
      <c r="F11" s="48">
        <v>0</v>
      </c>
      <c r="G11" s="48">
        <v>0</v>
      </c>
      <c r="H11" s="48">
        <v>7.4000000000000001E-7</v>
      </c>
      <c r="I11" s="48">
        <v>0</v>
      </c>
      <c r="J11" s="48">
        <v>0</v>
      </c>
      <c r="K11" s="48">
        <v>0</v>
      </c>
      <c r="L11" s="48">
        <v>0</v>
      </c>
    </row>
    <row r="12" spans="1:12" s="5" customFormat="1" ht="18" customHeight="1" x14ac:dyDescent="0.2">
      <c r="A12" s="3" t="s">
        <v>162</v>
      </c>
      <c r="B12" s="48">
        <v>27.197964648999999</v>
      </c>
      <c r="C12" s="48">
        <v>3.5405079999999999E-3</v>
      </c>
      <c r="D12" s="48">
        <v>72.794700724999998</v>
      </c>
      <c r="E12" s="48">
        <v>3.7924429999999999E-3</v>
      </c>
      <c r="F12" s="48">
        <v>0</v>
      </c>
      <c r="G12" s="48">
        <v>0</v>
      </c>
      <c r="H12" s="48">
        <v>0</v>
      </c>
      <c r="I12" s="48">
        <v>0</v>
      </c>
      <c r="J12" s="48">
        <v>0</v>
      </c>
      <c r="K12" s="48">
        <v>0</v>
      </c>
      <c r="L12" s="48">
        <v>1.6750000000000001E-6</v>
      </c>
    </row>
    <row r="13" spans="1:12" s="5" customFormat="1" ht="18" customHeight="1" x14ac:dyDescent="0.2">
      <c r="A13" s="3" t="s">
        <v>163</v>
      </c>
      <c r="B13" s="48">
        <v>22.620128137999998</v>
      </c>
      <c r="C13" s="48">
        <v>3.584514E-3</v>
      </c>
      <c r="D13" s="48">
        <v>77.371458004999994</v>
      </c>
      <c r="E13" s="48">
        <v>4.8293429999999998E-3</v>
      </c>
      <c r="F13" s="48">
        <v>0</v>
      </c>
      <c r="G13" s="48">
        <v>0</v>
      </c>
      <c r="H13" s="48">
        <v>0</v>
      </c>
      <c r="I13" s="48">
        <v>0</v>
      </c>
      <c r="J13" s="48">
        <v>0</v>
      </c>
      <c r="K13" s="48">
        <v>0</v>
      </c>
      <c r="L13" s="48">
        <v>0</v>
      </c>
    </row>
    <row r="14" spans="1:12" s="5" customFormat="1" ht="18" customHeight="1" x14ac:dyDescent="0.2">
      <c r="A14" s="3" t="s">
        <v>164</v>
      </c>
      <c r="B14" s="48">
        <v>25.050778318999999</v>
      </c>
      <c r="C14" s="48">
        <v>3.413049E-3</v>
      </c>
      <c r="D14" s="48">
        <v>74.945801304</v>
      </c>
      <c r="E14" s="48">
        <v>7.328E-6</v>
      </c>
      <c r="F14" s="48">
        <v>0</v>
      </c>
      <c r="G14" s="48">
        <v>0</v>
      </c>
      <c r="H14" s="48">
        <v>0</v>
      </c>
      <c r="I14" s="48">
        <v>0</v>
      </c>
      <c r="J14" s="48">
        <v>0</v>
      </c>
      <c r="K14" s="48">
        <v>0</v>
      </c>
      <c r="L14" s="48">
        <v>0</v>
      </c>
    </row>
    <row r="15" spans="1:12" s="5" customFormat="1" ht="18" customHeight="1" x14ac:dyDescent="0.2">
      <c r="A15" s="3" t="s">
        <v>165</v>
      </c>
      <c r="B15" s="48">
        <v>22.947570824</v>
      </c>
      <c r="C15" s="48">
        <v>3.631231E-3</v>
      </c>
      <c r="D15" s="48">
        <v>77.048797945000004</v>
      </c>
      <c r="E15" s="48">
        <v>0</v>
      </c>
      <c r="F15" s="48">
        <v>0</v>
      </c>
      <c r="G15" s="48">
        <v>0</v>
      </c>
      <c r="H15" s="48">
        <v>0</v>
      </c>
      <c r="I15" s="48">
        <v>0</v>
      </c>
      <c r="J15" s="48">
        <v>0</v>
      </c>
      <c r="K15" s="48">
        <v>0</v>
      </c>
      <c r="L15" s="48">
        <v>0</v>
      </c>
    </row>
    <row r="16" spans="1:12" s="5" customFormat="1" ht="18" customHeight="1" x14ac:dyDescent="0.2">
      <c r="A16" s="3" t="s">
        <v>166</v>
      </c>
      <c r="B16" s="48">
        <v>34.698538939999999</v>
      </c>
      <c r="C16" s="48">
        <v>4.0234140000000003E-3</v>
      </c>
      <c r="D16" s="48">
        <v>65.297437639999998</v>
      </c>
      <c r="E16" s="48">
        <v>0</v>
      </c>
      <c r="F16" s="48">
        <v>0</v>
      </c>
      <c r="G16" s="48">
        <v>0</v>
      </c>
      <c r="H16" s="48">
        <v>0</v>
      </c>
      <c r="I16" s="48">
        <v>0</v>
      </c>
      <c r="J16" s="48">
        <v>0</v>
      </c>
      <c r="K16" s="48">
        <v>0</v>
      </c>
      <c r="L16" s="48">
        <v>0</v>
      </c>
    </row>
    <row r="17" spans="1:4" s="5" customFormat="1" ht="14.25" customHeight="1" x14ac:dyDescent="0.2">
      <c r="A17" s="391" t="s">
        <v>105</v>
      </c>
      <c r="B17" s="391"/>
      <c r="C17" s="391"/>
      <c r="D17" s="391"/>
    </row>
    <row r="18" spans="1:4" s="5" customFormat="1" ht="13.5" customHeight="1" x14ac:dyDescent="0.2">
      <c r="A18" s="391" t="s">
        <v>441</v>
      </c>
      <c r="B18" s="391"/>
      <c r="C18" s="391"/>
      <c r="D18" s="391"/>
    </row>
    <row r="19" spans="1:4" s="5" customFormat="1" ht="28.35" customHeight="1" x14ac:dyDescent="0.2"/>
  </sheetData>
  <customSheetViews>
    <customSheetView guid="{B9B27D37-53F8-4AD8-9221-6458C3026417}"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K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4">
    <mergeCell ref="A1:K1"/>
    <mergeCell ref="A2:K2"/>
    <mergeCell ref="A17:D17"/>
    <mergeCell ref="A18:D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20"/>
  <sheetViews>
    <sheetView zoomScaleNormal="100" workbookViewId="0">
      <selection sqref="A1:L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403" t="s">
        <v>44</v>
      </c>
      <c r="B1" s="403"/>
      <c r="C1" s="403"/>
      <c r="D1" s="403"/>
      <c r="E1" s="403"/>
      <c r="F1" s="403"/>
      <c r="G1" s="403"/>
      <c r="H1" s="403"/>
      <c r="I1" s="403"/>
      <c r="J1" s="403"/>
      <c r="K1" s="403"/>
      <c r="L1" s="403"/>
    </row>
    <row r="2" spans="1:12" s="5" customFormat="1" ht="15" customHeight="1" x14ac:dyDescent="0.2">
      <c r="A2" s="381" t="s">
        <v>182</v>
      </c>
      <c r="B2" s="373" t="s">
        <v>280</v>
      </c>
      <c r="C2" s="457" t="s">
        <v>586</v>
      </c>
      <c r="D2" s="458"/>
      <c r="E2" s="393" t="s">
        <v>587</v>
      </c>
      <c r="F2" s="394"/>
      <c r="G2" s="394"/>
      <c r="H2" s="395"/>
      <c r="I2" s="457" t="s">
        <v>150</v>
      </c>
      <c r="J2" s="458"/>
      <c r="K2" s="461" t="s">
        <v>588</v>
      </c>
      <c r="L2" s="462"/>
    </row>
    <row r="3" spans="1:12" s="5" customFormat="1" ht="15" customHeight="1" x14ac:dyDescent="0.2">
      <c r="A3" s="382"/>
      <c r="B3" s="448"/>
      <c r="C3" s="459"/>
      <c r="D3" s="460"/>
      <c r="E3" s="393" t="s">
        <v>547</v>
      </c>
      <c r="F3" s="395"/>
      <c r="G3" s="393" t="s">
        <v>548</v>
      </c>
      <c r="H3" s="395"/>
      <c r="I3" s="459"/>
      <c r="J3" s="460"/>
      <c r="K3" s="463"/>
      <c r="L3" s="464"/>
    </row>
    <row r="4" spans="1:12" s="5" customFormat="1" ht="27" customHeight="1" x14ac:dyDescent="0.2">
      <c r="A4" s="383"/>
      <c r="B4" s="374"/>
      <c r="C4" s="25" t="s">
        <v>589</v>
      </c>
      <c r="D4" s="29" t="s">
        <v>283</v>
      </c>
      <c r="E4" s="25" t="s">
        <v>589</v>
      </c>
      <c r="F4" s="29" t="s">
        <v>283</v>
      </c>
      <c r="G4" s="25" t="s">
        <v>590</v>
      </c>
      <c r="H4" s="29" t="s">
        <v>283</v>
      </c>
      <c r="I4" s="25" t="s">
        <v>589</v>
      </c>
      <c r="J4" s="29" t="s">
        <v>283</v>
      </c>
      <c r="K4" s="25" t="s">
        <v>590</v>
      </c>
      <c r="L4" s="72" t="s">
        <v>591</v>
      </c>
    </row>
    <row r="5" spans="1:12" s="5" customFormat="1" ht="18" customHeight="1" x14ac:dyDescent="0.2">
      <c r="A5" s="3" t="s">
        <v>69</v>
      </c>
      <c r="B5" s="11">
        <v>242</v>
      </c>
      <c r="C5" s="43">
        <v>307657074</v>
      </c>
      <c r="D5" s="33">
        <v>1993289.6780999999</v>
      </c>
      <c r="E5" s="43">
        <v>129411173</v>
      </c>
      <c r="F5" s="33">
        <v>849930.62390000001</v>
      </c>
      <c r="G5" s="43">
        <v>253165612</v>
      </c>
      <c r="H5" s="33">
        <v>1593210.2424000001</v>
      </c>
      <c r="I5" s="43">
        <v>690233859</v>
      </c>
      <c r="J5" s="33">
        <v>4436430.4301000005</v>
      </c>
      <c r="K5" s="33">
        <v>902208</v>
      </c>
      <c r="L5" s="26">
        <v>5918.9469029800002</v>
      </c>
    </row>
    <row r="6" spans="1:12" s="5" customFormat="1" ht="18" customHeight="1" x14ac:dyDescent="0.2">
      <c r="A6" s="3" t="s">
        <v>70</v>
      </c>
      <c r="B6" s="11">
        <v>224</v>
      </c>
      <c r="C6" s="43">
        <v>425717719</v>
      </c>
      <c r="D6" s="33">
        <v>2989442.9871999999</v>
      </c>
      <c r="E6" s="43">
        <v>212204514</v>
      </c>
      <c r="F6" s="33">
        <v>1508314.7825</v>
      </c>
      <c r="G6" s="43">
        <v>334899144</v>
      </c>
      <c r="H6" s="33">
        <v>2297496.9127000002</v>
      </c>
      <c r="I6" s="43">
        <v>972821377</v>
      </c>
      <c r="J6" s="33">
        <v>6795254.6824000003</v>
      </c>
      <c r="K6" s="33">
        <v>711999</v>
      </c>
      <c r="L6" s="26">
        <v>5073.9666623599996</v>
      </c>
    </row>
    <row r="7" spans="1:12" s="5" customFormat="1" ht="18" customHeight="1" x14ac:dyDescent="0.2">
      <c r="A7" s="3" t="s">
        <v>156</v>
      </c>
      <c r="B7" s="11">
        <v>19</v>
      </c>
      <c r="C7" s="43">
        <v>30952221</v>
      </c>
      <c r="D7" s="33">
        <v>204764.53839999999</v>
      </c>
      <c r="E7" s="43">
        <v>18771032</v>
      </c>
      <c r="F7" s="33">
        <v>125269.7264</v>
      </c>
      <c r="G7" s="43">
        <v>27736861</v>
      </c>
      <c r="H7" s="33">
        <v>179927.3094</v>
      </c>
      <c r="I7" s="43">
        <v>77460114</v>
      </c>
      <c r="J7" s="33">
        <v>509961.57419999997</v>
      </c>
      <c r="K7" s="33">
        <v>1201971</v>
      </c>
      <c r="L7" s="26">
        <v>8074.2157547899997</v>
      </c>
    </row>
    <row r="8" spans="1:12" s="5" customFormat="1" ht="18" customHeight="1" x14ac:dyDescent="0.2">
      <c r="A8" s="3" t="s">
        <v>157</v>
      </c>
      <c r="B8" s="11">
        <v>22</v>
      </c>
      <c r="C8" s="43">
        <v>42674267</v>
      </c>
      <c r="D8" s="33">
        <v>289561.41609999997</v>
      </c>
      <c r="E8" s="43">
        <v>28817134</v>
      </c>
      <c r="F8" s="33">
        <v>198632.12479999999</v>
      </c>
      <c r="G8" s="43">
        <v>36317492</v>
      </c>
      <c r="H8" s="33">
        <v>240274.9235</v>
      </c>
      <c r="I8" s="43">
        <v>107808893</v>
      </c>
      <c r="J8" s="33">
        <v>728468.46440000006</v>
      </c>
      <c r="K8" s="33">
        <v>1380015</v>
      </c>
      <c r="L8" s="26">
        <v>9320.8138547399994</v>
      </c>
    </row>
    <row r="9" spans="1:12" s="5" customFormat="1" ht="18" customHeight="1" x14ac:dyDescent="0.2">
      <c r="A9" s="3" t="s">
        <v>158</v>
      </c>
      <c r="B9" s="11">
        <v>21</v>
      </c>
      <c r="C9" s="43">
        <v>45978940</v>
      </c>
      <c r="D9" s="33">
        <v>312995.4816</v>
      </c>
      <c r="E9" s="43">
        <v>25069692</v>
      </c>
      <c r="F9" s="33">
        <v>173561.3646</v>
      </c>
      <c r="G9" s="43">
        <v>34044225</v>
      </c>
      <c r="H9" s="33">
        <v>227128.2806</v>
      </c>
      <c r="I9" s="43">
        <v>105092857</v>
      </c>
      <c r="J9" s="33">
        <v>713685.12679999997</v>
      </c>
      <c r="K9" s="33">
        <v>1287083</v>
      </c>
      <c r="L9" s="26">
        <v>8836.3755063299996</v>
      </c>
    </row>
    <row r="10" spans="1:12" s="5" customFormat="1" ht="18" customHeight="1" x14ac:dyDescent="0.2">
      <c r="A10" s="3" t="s">
        <v>159</v>
      </c>
      <c r="B10" s="11">
        <v>22</v>
      </c>
      <c r="C10" s="43">
        <v>37207835</v>
      </c>
      <c r="D10" s="33">
        <v>256366.2022</v>
      </c>
      <c r="E10" s="43">
        <v>17349707</v>
      </c>
      <c r="F10" s="33">
        <v>121756.0546</v>
      </c>
      <c r="G10" s="43">
        <v>39749432</v>
      </c>
      <c r="H10" s="33">
        <v>267057.88140000001</v>
      </c>
      <c r="I10" s="43">
        <v>94306974</v>
      </c>
      <c r="J10" s="33">
        <v>645180.13820000004</v>
      </c>
      <c r="K10" s="33">
        <v>924938</v>
      </c>
      <c r="L10" s="26">
        <v>6356.2836894299999</v>
      </c>
    </row>
    <row r="11" spans="1:12" s="5" customFormat="1" ht="18" customHeight="1" x14ac:dyDescent="0.2">
      <c r="A11" s="3" t="s">
        <v>160</v>
      </c>
      <c r="B11" s="11">
        <v>20</v>
      </c>
      <c r="C11" s="43">
        <v>41814396</v>
      </c>
      <c r="D11" s="33">
        <v>291775.95640000002</v>
      </c>
      <c r="E11" s="43">
        <v>24071134</v>
      </c>
      <c r="F11" s="33">
        <v>170569.8769</v>
      </c>
      <c r="G11" s="43">
        <v>35916282</v>
      </c>
      <c r="H11" s="33">
        <v>245811.59700000001</v>
      </c>
      <c r="I11" s="43">
        <v>101801812</v>
      </c>
      <c r="J11" s="33">
        <v>708157.43030000001</v>
      </c>
      <c r="K11" s="33">
        <v>1378737</v>
      </c>
      <c r="L11" s="26">
        <v>9792.1349066099992</v>
      </c>
    </row>
    <row r="12" spans="1:12" s="5" customFormat="1" ht="18" customHeight="1" x14ac:dyDescent="0.2">
      <c r="A12" s="3" t="s">
        <v>161</v>
      </c>
      <c r="B12" s="11">
        <v>18</v>
      </c>
      <c r="C12" s="43">
        <v>45790152</v>
      </c>
      <c r="D12" s="33">
        <v>331536.24050000001</v>
      </c>
      <c r="E12" s="33">
        <v>8111593</v>
      </c>
      <c r="F12" s="26">
        <v>59602.894500000002</v>
      </c>
      <c r="G12" s="43">
        <v>40847488</v>
      </c>
      <c r="H12" s="33">
        <v>288910.4399</v>
      </c>
      <c r="I12" s="43">
        <v>94749233</v>
      </c>
      <c r="J12" s="33">
        <v>680049.57490000001</v>
      </c>
      <c r="K12" s="33">
        <v>1030557</v>
      </c>
      <c r="L12" s="26">
        <v>7491.79218296</v>
      </c>
    </row>
    <row r="13" spans="1:12" s="5" customFormat="1" ht="18" customHeight="1" x14ac:dyDescent="0.2">
      <c r="A13" s="3" t="s">
        <v>162</v>
      </c>
      <c r="B13" s="11">
        <v>21</v>
      </c>
      <c r="C13" s="43">
        <v>41294429</v>
      </c>
      <c r="D13" s="33">
        <v>304896.83350000001</v>
      </c>
      <c r="E13" s="43">
        <v>13882510</v>
      </c>
      <c r="F13" s="33">
        <v>103956.5726</v>
      </c>
      <c r="G13" s="43">
        <v>32048698</v>
      </c>
      <c r="H13" s="33">
        <v>232441.75599999999</v>
      </c>
      <c r="I13" s="43">
        <v>87225637</v>
      </c>
      <c r="J13" s="33">
        <v>641295.16209999996</v>
      </c>
      <c r="K13" s="33">
        <v>894213</v>
      </c>
      <c r="L13" s="26">
        <v>6622.43</v>
      </c>
    </row>
    <row r="14" spans="1:12" s="5" customFormat="1" ht="18" customHeight="1" x14ac:dyDescent="0.2">
      <c r="A14" s="3" t="s">
        <v>163</v>
      </c>
      <c r="B14" s="11">
        <v>19</v>
      </c>
      <c r="C14" s="43">
        <v>34950057</v>
      </c>
      <c r="D14" s="33">
        <v>251263.85879999999</v>
      </c>
      <c r="E14" s="43">
        <v>24757257</v>
      </c>
      <c r="F14" s="33">
        <v>182441.90220000001</v>
      </c>
      <c r="G14" s="43">
        <v>19758755</v>
      </c>
      <c r="H14" s="33">
        <v>140040.5086</v>
      </c>
      <c r="I14" s="43">
        <v>79466069</v>
      </c>
      <c r="J14" s="33">
        <v>573746.2696</v>
      </c>
      <c r="K14" s="33">
        <v>795267</v>
      </c>
      <c r="L14" s="26">
        <v>5547.27</v>
      </c>
    </row>
    <row r="15" spans="1:12" s="5" customFormat="1" ht="18" customHeight="1" x14ac:dyDescent="0.2">
      <c r="A15" s="3" t="s">
        <v>164</v>
      </c>
      <c r="B15" s="11">
        <v>20</v>
      </c>
      <c r="C15" s="43">
        <v>38917915</v>
      </c>
      <c r="D15" s="33">
        <v>275968.97759999998</v>
      </c>
      <c r="E15" s="43">
        <v>16496565</v>
      </c>
      <c r="F15" s="33">
        <v>119518.986</v>
      </c>
      <c r="G15" s="43">
        <v>17303077</v>
      </c>
      <c r="H15" s="33">
        <v>120185.1011</v>
      </c>
      <c r="I15" s="43">
        <v>72717557</v>
      </c>
      <c r="J15" s="33">
        <v>515673.06469999999</v>
      </c>
      <c r="K15" s="33">
        <v>830342</v>
      </c>
      <c r="L15" s="26">
        <v>5797.04</v>
      </c>
    </row>
    <row r="16" spans="1:12" s="5" customFormat="1" ht="18" customHeight="1" x14ac:dyDescent="0.2">
      <c r="A16" s="3" t="s">
        <v>165</v>
      </c>
      <c r="B16" s="11">
        <v>23</v>
      </c>
      <c r="C16" s="43">
        <v>34030550</v>
      </c>
      <c r="D16" s="33">
        <v>241184.019</v>
      </c>
      <c r="E16" s="43">
        <v>18699832</v>
      </c>
      <c r="F16" s="33">
        <v>135593.1219</v>
      </c>
      <c r="G16" s="43">
        <v>27704227</v>
      </c>
      <c r="H16" s="33">
        <v>191426.0257</v>
      </c>
      <c r="I16" s="43">
        <v>80434609</v>
      </c>
      <c r="J16" s="33">
        <v>568203.1666</v>
      </c>
      <c r="K16" s="33">
        <v>740780</v>
      </c>
      <c r="L16" s="26">
        <v>5272.47766202</v>
      </c>
    </row>
    <row r="17" spans="1:12" s="5" customFormat="1" ht="18" customHeight="1" x14ac:dyDescent="0.2">
      <c r="A17" s="3" t="s">
        <v>166</v>
      </c>
      <c r="B17" s="11">
        <v>19</v>
      </c>
      <c r="C17" s="43">
        <v>32106957</v>
      </c>
      <c r="D17" s="33">
        <v>229129.46309999999</v>
      </c>
      <c r="E17" s="43">
        <v>16178058</v>
      </c>
      <c r="F17" s="33">
        <v>117412.158</v>
      </c>
      <c r="G17" s="43">
        <v>23472607</v>
      </c>
      <c r="H17" s="33">
        <v>164293.0895</v>
      </c>
      <c r="I17" s="43">
        <v>71757622</v>
      </c>
      <c r="J17" s="33">
        <v>510834.71059999999</v>
      </c>
      <c r="K17" s="33">
        <v>711999</v>
      </c>
      <c r="L17" s="26">
        <v>5073.9666623599996</v>
      </c>
    </row>
    <row r="18" spans="1:12" s="5" customFormat="1" ht="15" customHeight="1" x14ac:dyDescent="0.2">
      <c r="A18" s="371" t="s">
        <v>105</v>
      </c>
      <c r="B18" s="371"/>
      <c r="C18" s="371"/>
      <c r="D18" s="371"/>
      <c r="E18" s="371"/>
      <c r="F18" s="371"/>
      <c r="G18" s="371"/>
      <c r="H18" s="371"/>
      <c r="I18" s="371"/>
      <c r="J18" s="371"/>
      <c r="K18" s="371"/>
      <c r="L18" s="371"/>
    </row>
    <row r="19" spans="1:12" s="5" customFormat="1" ht="13.5" customHeight="1" x14ac:dyDescent="0.2">
      <c r="A19" s="371" t="s">
        <v>592</v>
      </c>
      <c r="B19" s="371"/>
      <c r="C19" s="371"/>
      <c r="D19" s="371"/>
      <c r="E19" s="371"/>
      <c r="F19" s="371"/>
      <c r="G19" s="371"/>
      <c r="H19" s="371"/>
      <c r="I19" s="371"/>
      <c r="J19" s="371"/>
      <c r="K19" s="371"/>
      <c r="L19" s="371"/>
    </row>
    <row r="20" spans="1:12" s="5" customFormat="1" ht="26.85" customHeight="1" x14ac:dyDescent="0.2"/>
  </sheetData>
  <customSheetViews>
    <customSheetView guid="{B9B27D37-53F8-4AD8-9221-6458C3026417}" fitToPage="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1">
    <mergeCell ref="A18:L18"/>
    <mergeCell ref="A19:L1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1"/>
  <sheetViews>
    <sheetView topLeftCell="B1" zoomScaleNormal="100" workbookViewId="0">
      <selection sqref="A1:L1"/>
    </sheetView>
  </sheetViews>
  <sheetFormatPr defaultRowHeight="12.75" x14ac:dyDescent="0.2"/>
  <cols>
    <col min="1" max="1" width="9.42578125" bestFit="1" customWidth="1"/>
    <col min="2" max="2" width="7.7109375" bestFit="1" customWidth="1"/>
    <col min="3" max="8" width="12.140625" bestFit="1" customWidth="1"/>
    <col min="9" max="9" width="14.140625" bestFit="1" customWidth="1"/>
    <col min="10" max="11" width="12.140625" bestFit="1" customWidth="1"/>
    <col min="12" max="12" width="10.7109375" bestFit="1" customWidth="1"/>
    <col min="13" max="13" width="6" bestFit="1" customWidth="1"/>
  </cols>
  <sheetData>
    <row r="1" spans="1:12" ht="15.75" customHeight="1" x14ac:dyDescent="0.2">
      <c r="A1" s="403" t="s">
        <v>45</v>
      </c>
      <c r="B1" s="403"/>
      <c r="C1" s="403"/>
      <c r="D1" s="403"/>
      <c r="E1" s="403"/>
      <c r="F1" s="403"/>
      <c r="G1" s="403"/>
      <c r="H1" s="403"/>
      <c r="I1" s="403"/>
      <c r="J1" s="403"/>
      <c r="K1" s="403"/>
      <c r="L1" s="403"/>
    </row>
    <row r="2" spans="1:12" s="5" customFormat="1" ht="25.5" customHeight="1" x14ac:dyDescent="0.2">
      <c r="A2" s="428" t="s">
        <v>541</v>
      </c>
      <c r="B2" s="428" t="s">
        <v>593</v>
      </c>
      <c r="C2" s="404" t="s">
        <v>586</v>
      </c>
      <c r="D2" s="405"/>
      <c r="E2" s="404" t="s">
        <v>594</v>
      </c>
      <c r="F2" s="470"/>
      <c r="G2" s="470"/>
      <c r="H2" s="405"/>
      <c r="I2" s="404" t="s">
        <v>150</v>
      </c>
      <c r="J2" s="405"/>
      <c r="K2" s="471" t="s">
        <v>595</v>
      </c>
      <c r="L2" s="472"/>
    </row>
    <row r="3" spans="1:12" s="5" customFormat="1" ht="18" customHeight="1" x14ac:dyDescent="0.2">
      <c r="A3" s="469"/>
      <c r="B3" s="469"/>
      <c r="C3" s="465" t="s">
        <v>549</v>
      </c>
      <c r="D3" s="467" t="s">
        <v>550</v>
      </c>
      <c r="E3" s="404" t="s">
        <v>547</v>
      </c>
      <c r="F3" s="405"/>
      <c r="G3" s="404" t="s">
        <v>548</v>
      </c>
      <c r="H3" s="405"/>
      <c r="I3" s="428" t="s">
        <v>590</v>
      </c>
      <c r="J3" s="426" t="s">
        <v>283</v>
      </c>
      <c r="K3" s="465" t="s">
        <v>549</v>
      </c>
      <c r="L3" s="467" t="s">
        <v>596</v>
      </c>
    </row>
    <row r="4" spans="1:12" s="5" customFormat="1" ht="24" customHeight="1" x14ac:dyDescent="0.2">
      <c r="A4" s="429"/>
      <c r="B4" s="429"/>
      <c r="C4" s="466"/>
      <c r="D4" s="468"/>
      <c r="E4" s="73" t="s">
        <v>549</v>
      </c>
      <c r="F4" s="74" t="s">
        <v>550</v>
      </c>
      <c r="G4" s="73" t="s">
        <v>549</v>
      </c>
      <c r="H4" s="74" t="s">
        <v>550</v>
      </c>
      <c r="I4" s="429"/>
      <c r="J4" s="427"/>
      <c r="K4" s="466"/>
      <c r="L4" s="468"/>
    </row>
    <row r="5" spans="1:12" s="5" customFormat="1" ht="18" customHeight="1" x14ac:dyDescent="0.2">
      <c r="A5" s="3" t="s">
        <v>69</v>
      </c>
      <c r="B5" s="11">
        <v>242</v>
      </c>
      <c r="C5" s="43">
        <v>390433137</v>
      </c>
      <c r="D5" s="33">
        <v>2595685.6731090499</v>
      </c>
      <c r="E5" s="43">
        <v>207170787</v>
      </c>
      <c r="F5" s="33">
        <v>1351047.5105578101</v>
      </c>
      <c r="G5" s="43">
        <v>167359805</v>
      </c>
      <c r="H5" s="33">
        <v>1081768.98735573</v>
      </c>
      <c r="I5" s="43">
        <v>764963729</v>
      </c>
      <c r="J5" s="33">
        <v>5028502.17102258</v>
      </c>
      <c r="K5" s="33">
        <v>3847220</v>
      </c>
      <c r="L5" s="26">
        <v>25725.673443110001</v>
      </c>
    </row>
    <row r="6" spans="1:12" s="5" customFormat="1" ht="18" customHeight="1" x14ac:dyDescent="0.2">
      <c r="A6" s="3" t="s">
        <v>70</v>
      </c>
      <c r="B6" s="11">
        <v>224</v>
      </c>
      <c r="C6" s="43">
        <v>594750080</v>
      </c>
      <c r="D6" s="33">
        <v>4263577.0080000004</v>
      </c>
      <c r="E6" s="43">
        <v>242576369</v>
      </c>
      <c r="F6" s="33">
        <v>1722179.54</v>
      </c>
      <c r="G6" s="43">
        <v>245123794</v>
      </c>
      <c r="H6" s="33">
        <v>1717259.004</v>
      </c>
      <c r="I6" s="69">
        <v>1082450243</v>
      </c>
      <c r="J6" s="33">
        <v>7703015.5530000003</v>
      </c>
      <c r="K6" s="33">
        <v>4441072</v>
      </c>
      <c r="L6" s="26">
        <v>31909.215889999999</v>
      </c>
    </row>
    <row r="7" spans="1:12" s="5" customFormat="1" ht="18" customHeight="1" x14ac:dyDescent="0.2">
      <c r="A7" s="3" t="s">
        <v>156</v>
      </c>
      <c r="B7" s="11">
        <v>19</v>
      </c>
      <c r="C7" s="43">
        <v>43614222</v>
      </c>
      <c r="D7" s="33">
        <v>297368.37543852202</v>
      </c>
      <c r="E7" s="43">
        <v>15388108</v>
      </c>
      <c r="F7" s="33">
        <v>102162.382123057</v>
      </c>
      <c r="G7" s="43">
        <v>15704990</v>
      </c>
      <c r="H7" s="33">
        <v>103126.41771968</v>
      </c>
      <c r="I7" s="43">
        <v>74707320</v>
      </c>
      <c r="J7" s="33">
        <v>502657.175281259</v>
      </c>
      <c r="K7" s="33">
        <v>5105855</v>
      </c>
      <c r="L7" s="26">
        <v>34603.988953879998</v>
      </c>
    </row>
    <row r="8" spans="1:12" s="5" customFormat="1" ht="18" customHeight="1" x14ac:dyDescent="0.2">
      <c r="A8" s="3" t="s">
        <v>157</v>
      </c>
      <c r="B8" s="11">
        <v>22</v>
      </c>
      <c r="C8" s="43">
        <v>58034086</v>
      </c>
      <c r="D8" s="33">
        <v>403383.58142762998</v>
      </c>
      <c r="E8" s="43">
        <v>19588790</v>
      </c>
      <c r="F8" s="33">
        <v>133768.59060575001</v>
      </c>
      <c r="G8" s="43">
        <v>22622791</v>
      </c>
      <c r="H8" s="33">
        <v>152299.4111035</v>
      </c>
      <c r="I8" s="43">
        <v>100245667</v>
      </c>
      <c r="J8" s="33">
        <v>689451.58313687996</v>
      </c>
      <c r="K8" s="33">
        <v>4745561</v>
      </c>
      <c r="L8" s="26">
        <v>32363.6804634</v>
      </c>
    </row>
    <row r="9" spans="1:12" s="5" customFormat="1" ht="18" customHeight="1" x14ac:dyDescent="0.2">
      <c r="A9" s="3" t="s">
        <v>158</v>
      </c>
      <c r="B9" s="11">
        <v>21</v>
      </c>
      <c r="C9" s="43">
        <v>51556491</v>
      </c>
      <c r="D9" s="33">
        <v>360161.72843967</v>
      </c>
      <c r="E9" s="43">
        <v>18636606</v>
      </c>
      <c r="F9" s="33">
        <v>127840.40311575</v>
      </c>
      <c r="G9" s="43">
        <v>18373357</v>
      </c>
      <c r="H9" s="33">
        <v>124386.49210425001</v>
      </c>
      <c r="I9" s="43">
        <v>88566454</v>
      </c>
      <c r="J9" s="33">
        <v>612388.62365967</v>
      </c>
      <c r="K9" s="33">
        <v>5201656</v>
      </c>
      <c r="L9" s="26">
        <v>36030.471870380003</v>
      </c>
    </row>
    <row r="10" spans="1:12" s="5" customFormat="1" ht="18" customHeight="1" x14ac:dyDescent="0.2">
      <c r="A10" s="3" t="s">
        <v>159</v>
      </c>
      <c r="B10" s="11">
        <v>22</v>
      </c>
      <c r="C10" s="43">
        <v>45194719</v>
      </c>
      <c r="D10" s="33">
        <v>319727.24220338301</v>
      </c>
      <c r="E10" s="43">
        <v>17383943</v>
      </c>
      <c r="F10" s="33">
        <v>120678.009164</v>
      </c>
      <c r="G10" s="43">
        <v>17278419</v>
      </c>
      <c r="H10" s="33">
        <v>118460.71143775</v>
      </c>
      <c r="I10" s="43">
        <v>79857081</v>
      </c>
      <c r="J10" s="33">
        <v>558865.96280513296</v>
      </c>
      <c r="K10" s="33">
        <v>3932469</v>
      </c>
      <c r="L10" s="26">
        <v>27346.279668399999</v>
      </c>
    </row>
    <row r="11" spans="1:12" s="5" customFormat="1" ht="18" customHeight="1" x14ac:dyDescent="0.2">
      <c r="A11" s="3" t="s">
        <v>160</v>
      </c>
      <c r="B11" s="11">
        <v>20</v>
      </c>
      <c r="C11" s="43">
        <v>56747406</v>
      </c>
      <c r="D11" s="33">
        <v>403910.91019906598</v>
      </c>
      <c r="E11" s="43">
        <v>25304617</v>
      </c>
      <c r="F11" s="33">
        <v>178287.61281774999</v>
      </c>
      <c r="G11" s="43">
        <v>23992540</v>
      </c>
      <c r="H11" s="33">
        <v>166682.9822925</v>
      </c>
      <c r="I11" s="43">
        <v>106044563</v>
      </c>
      <c r="J11" s="33">
        <v>748881.50530931598</v>
      </c>
      <c r="K11" s="33">
        <v>6350909</v>
      </c>
      <c r="L11" s="26">
        <v>45582.842126889998</v>
      </c>
    </row>
    <row r="12" spans="1:12" s="5" customFormat="1" ht="18" customHeight="1" x14ac:dyDescent="0.2">
      <c r="A12" s="3" t="s">
        <v>161</v>
      </c>
      <c r="B12" s="11">
        <v>18</v>
      </c>
      <c r="C12" s="43">
        <v>70515824</v>
      </c>
      <c r="D12" s="33">
        <v>517416.66215844202</v>
      </c>
      <c r="E12" s="43">
        <v>28808093</v>
      </c>
      <c r="F12" s="33">
        <v>210264.07618775</v>
      </c>
      <c r="G12" s="43">
        <v>32382684</v>
      </c>
      <c r="H12" s="33">
        <v>232260.12380299999</v>
      </c>
      <c r="I12" s="43">
        <v>131706601</v>
      </c>
      <c r="J12" s="33">
        <v>959940.86214919202</v>
      </c>
      <c r="K12" s="33">
        <v>5176690</v>
      </c>
      <c r="L12" s="26">
        <v>37923.701467619998</v>
      </c>
    </row>
    <row r="13" spans="1:12" s="5" customFormat="1" ht="18" customHeight="1" x14ac:dyDescent="0.2">
      <c r="A13" s="3" t="s">
        <v>162</v>
      </c>
      <c r="B13" s="11">
        <v>21</v>
      </c>
      <c r="C13" s="43">
        <v>64356584</v>
      </c>
      <c r="D13" s="33">
        <v>481103.67267701199</v>
      </c>
      <c r="E13" s="43">
        <v>18372683</v>
      </c>
      <c r="F13" s="33">
        <v>136852.380795</v>
      </c>
      <c r="G13" s="43">
        <v>21798564</v>
      </c>
      <c r="H13" s="33">
        <v>159572.459722</v>
      </c>
      <c r="I13" s="43">
        <v>104527831</v>
      </c>
      <c r="J13" s="33">
        <v>777528.51319401199</v>
      </c>
      <c r="K13" s="33">
        <v>4165346</v>
      </c>
      <c r="L13" s="26">
        <v>31097.817210329998</v>
      </c>
    </row>
    <row r="14" spans="1:12" s="5" customFormat="1" ht="18" customHeight="1" x14ac:dyDescent="0.2">
      <c r="A14" s="3" t="s">
        <v>163</v>
      </c>
      <c r="B14" s="11">
        <v>19</v>
      </c>
      <c r="C14" s="43">
        <v>47368479</v>
      </c>
      <c r="D14" s="33">
        <v>345891.95840615802</v>
      </c>
      <c r="E14" s="43">
        <v>24396081</v>
      </c>
      <c r="F14" s="33">
        <v>177532.60060199999</v>
      </c>
      <c r="G14" s="43">
        <v>21962805</v>
      </c>
      <c r="H14" s="33">
        <v>158235.7295435</v>
      </c>
      <c r="I14" s="43">
        <v>93727365</v>
      </c>
      <c r="J14" s="33">
        <v>681660.28855165804</v>
      </c>
      <c r="K14" s="33">
        <v>3682475</v>
      </c>
      <c r="L14" s="26">
        <v>25870.621348100001</v>
      </c>
    </row>
    <row r="15" spans="1:12" s="5" customFormat="1" ht="18" customHeight="1" x14ac:dyDescent="0.2">
      <c r="A15" s="3" t="s">
        <v>164</v>
      </c>
      <c r="B15" s="11">
        <v>20</v>
      </c>
      <c r="C15" s="43">
        <v>53424447</v>
      </c>
      <c r="D15" s="33">
        <v>383122.74985111097</v>
      </c>
      <c r="E15" s="43">
        <v>26179268</v>
      </c>
      <c r="F15" s="33">
        <v>187370.057125933</v>
      </c>
      <c r="G15" s="43">
        <v>24262860</v>
      </c>
      <c r="H15" s="33">
        <v>171311.15184725</v>
      </c>
      <c r="I15" s="43">
        <v>103866575</v>
      </c>
      <c r="J15" s="33">
        <v>741803.95882429404</v>
      </c>
      <c r="K15" s="33">
        <v>3750066</v>
      </c>
      <c r="L15" s="26">
        <v>26361.6851026</v>
      </c>
    </row>
    <row r="16" spans="1:12" s="5" customFormat="1" ht="18" customHeight="1" x14ac:dyDescent="0.2">
      <c r="A16" s="3" t="s">
        <v>165</v>
      </c>
      <c r="B16" s="11">
        <v>23</v>
      </c>
      <c r="C16" s="43">
        <v>55668608</v>
      </c>
      <c r="D16" s="33">
        <v>401107.61562967801</v>
      </c>
      <c r="E16" s="43">
        <v>24068286</v>
      </c>
      <c r="F16" s="33">
        <v>171884.9526395</v>
      </c>
      <c r="G16" s="43">
        <v>25036281</v>
      </c>
      <c r="H16" s="33">
        <v>176490.02260575001</v>
      </c>
      <c r="I16" s="43">
        <v>104773175</v>
      </c>
      <c r="J16" s="33">
        <v>749482.59087492898</v>
      </c>
      <c r="K16" s="33">
        <v>3824404</v>
      </c>
      <c r="L16" s="26">
        <v>27499.510348240001</v>
      </c>
    </row>
    <row r="17" spans="1:12" s="5" customFormat="1" ht="18" customHeight="1" x14ac:dyDescent="0.2">
      <c r="A17" s="3" t="s">
        <v>166</v>
      </c>
      <c r="B17" s="11">
        <v>19</v>
      </c>
      <c r="C17" s="43">
        <v>48269214</v>
      </c>
      <c r="D17" s="33">
        <v>350382.51199999999</v>
      </c>
      <c r="E17" s="43">
        <v>24449894</v>
      </c>
      <c r="F17" s="33">
        <v>175538.47510000001</v>
      </c>
      <c r="G17" s="43">
        <v>21708503</v>
      </c>
      <c r="H17" s="33">
        <v>154433.50219999999</v>
      </c>
      <c r="I17" s="43">
        <v>94427611</v>
      </c>
      <c r="J17" s="33">
        <v>680354.48930000002</v>
      </c>
      <c r="K17" s="33">
        <v>4441072</v>
      </c>
      <c r="L17" s="26">
        <v>31909.215889999999</v>
      </c>
    </row>
    <row r="18" spans="1:12" s="5" customFormat="1" ht="15" customHeight="1" x14ac:dyDescent="0.2">
      <c r="A18" s="391" t="s">
        <v>1023</v>
      </c>
      <c r="B18" s="391"/>
      <c r="C18" s="391"/>
      <c r="D18" s="391"/>
      <c r="E18" s="391"/>
      <c r="F18" s="391"/>
      <c r="G18" s="391"/>
      <c r="H18" s="391"/>
      <c r="I18" s="391"/>
      <c r="J18" s="391"/>
      <c r="K18" s="391"/>
      <c r="L18" s="391"/>
    </row>
    <row r="19" spans="1:12" s="5" customFormat="1" ht="13.5" customHeight="1" x14ac:dyDescent="0.2">
      <c r="A19" s="391" t="s">
        <v>105</v>
      </c>
      <c r="B19" s="391"/>
      <c r="C19" s="391"/>
      <c r="D19" s="391"/>
      <c r="E19" s="391"/>
      <c r="F19" s="391"/>
      <c r="G19" s="391"/>
      <c r="H19" s="391"/>
      <c r="I19" s="391"/>
      <c r="J19" s="391"/>
      <c r="K19" s="391"/>
      <c r="L19" s="391"/>
    </row>
    <row r="20" spans="1:12" s="5" customFormat="1" ht="13.5" customHeight="1" x14ac:dyDescent="0.2">
      <c r="A20" s="391" t="s">
        <v>441</v>
      </c>
      <c r="B20" s="391"/>
      <c r="C20" s="391"/>
      <c r="D20" s="391"/>
      <c r="E20" s="391"/>
      <c r="F20" s="391"/>
      <c r="G20" s="391"/>
      <c r="H20" s="391"/>
      <c r="I20" s="391"/>
      <c r="J20" s="391"/>
      <c r="K20" s="391"/>
      <c r="L20" s="391"/>
    </row>
    <row r="21" spans="1:12" s="5" customFormat="1" ht="28.35" customHeight="1" x14ac:dyDescent="0.2"/>
  </sheetData>
  <customSheetViews>
    <customSheetView guid="{B9B27D37-53F8-4AD8-9221-6458C3026417}" fitToPage="1" topLeftCell="B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B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8">
    <mergeCell ref="A1:L1"/>
    <mergeCell ref="A2:A4"/>
    <mergeCell ref="B2:B4"/>
    <mergeCell ref="C2:D2"/>
    <mergeCell ref="E2:H2"/>
    <mergeCell ref="I2:J2"/>
    <mergeCell ref="K2:L2"/>
    <mergeCell ref="C3:C4"/>
    <mergeCell ref="D3:D4"/>
    <mergeCell ref="E3:F3"/>
    <mergeCell ref="A19:L19"/>
    <mergeCell ref="A20:L20"/>
    <mergeCell ref="G3:H3"/>
    <mergeCell ref="I3:I4"/>
    <mergeCell ref="J3:J4"/>
    <mergeCell ref="K3:K4"/>
    <mergeCell ref="L3:L4"/>
    <mergeCell ref="A18:L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L20"/>
  <sheetViews>
    <sheetView zoomScaleNormal="100" workbookViewId="0">
      <selection sqref="A1:L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403" t="s">
        <v>46</v>
      </c>
      <c r="B1" s="403"/>
      <c r="C1" s="403"/>
      <c r="D1" s="403"/>
      <c r="E1" s="403"/>
      <c r="F1" s="403"/>
      <c r="G1" s="403"/>
      <c r="H1" s="403"/>
      <c r="I1" s="403"/>
      <c r="J1" s="403"/>
      <c r="K1" s="403"/>
      <c r="L1" s="403"/>
    </row>
    <row r="2" spans="1:12" s="5" customFormat="1" ht="24" customHeight="1" x14ac:dyDescent="0.2">
      <c r="A2" s="428" t="s">
        <v>541</v>
      </c>
      <c r="B2" s="428" t="s">
        <v>593</v>
      </c>
      <c r="C2" s="404" t="s">
        <v>586</v>
      </c>
      <c r="D2" s="405"/>
      <c r="E2" s="474" t="s">
        <v>594</v>
      </c>
      <c r="F2" s="474"/>
      <c r="G2" s="474"/>
      <c r="H2" s="474"/>
      <c r="I2" s="404" t="s">
        <v>150</v>
      </c>
      <c r="J2" s="405"/>
      <c r="K2" s="475" t="s">
        <v>595</v>
      </c>
      <c r="L2" s="476"/>
    </row>
    <row r="3" spans="1:12" s="5" customFormat="1" ht="18" customHeight="1" x14ac:dyDescent="0.2">
      <c r="A3" s="469"/>
      <c r="B3" s="469"/>
      <c r="C3" s="465" t="s">
        <v>549</v>
      </c>
      <c r="D3" s="467" t="s">
        <v>550</v>
      </c>
      <c r="E3" s="404" t="s">
        <v>547</v>
      </c>
      <c r="F3" s="405"/>
      <c r="G3" s="404" t="s">
        <v>548</v>
      </c>
      <c r="H3" s="405"/>
      <c r="I3" s="428" t="s">
        <v>590</v>
      </c>
      <c r="J3" s="473" t="s">
        <v>283</v>
      </c>
      <c r="K3" s="465" t="s">
        <v>549</v>
      </c>
      <c r="L3" s="467" t="s">
        <v>596</v>
      </c>
    </row>
    <row r="4" spans="1:12" s="5" customFormat="1" ht="24" customHeight="1" x14ac:dyDescent="0.2">
      <c r="A4" s="429"/>
      <c r="B4" s="429"/>
      <c r="C4" s="466"/>
      <c r="D4" s="468"/>
      <c r="E4" s="73" t="s">
        <v>549</v>
      </c>
      <c r="F4" s="74" t="s">
        <v>550</v>
      </c>
      <c r="G4" s="73" t="s">
        <v>549</v>
      </c>
      <c r="H4" s="74" t="s">
        <v>550</v>
      </c>
      <c r="I4" s="429"/>
      <c r="J4" s="473"/>
      <c r="K4" s="466"/>
      <c r="L4" s="468"/>
    </row>
    <row r="5" spans="1:12" s="5" customFormat="1" ht="18" customHeight="1" x14ac:dyDescent="0.2">
      <c r="A5" s="3" t="s">
        <v>69</v>
      </c>
      <c r="B5" s="11">
        <v>242</v>
      </c>
      <c r="C5" s="43">
        <v>15393172</v>
      </c>
      <c r="D5" s="26">
        <v>99722.314459999994</v>
      </c>
      <c r="E5" s="33">
        <v>1387661</v>
      </c>
      <c r="F5" s="26">
        <v>9059.1398399999998</v>
      </c>
      <c r="G5" s="33">
        <v>1068854</v>
      </c>
      <c r="H5" s="26">
        <v>6951.3269570000002</v>
      </c>
      <c r="I5" s="43">
        <v>17849687</v>
      </c>
      <c r="J5" s="33">
        <v>115732.7813</v>
      </c>
      <c r="K5" s="26">
        <v>95637</v>
      </c>
      <c r="L5" s="26">
        <v>628.4992125</v>
      </c>
    </row>
    <row r="6" spans="1:12" s="5" customFormat="1" ht="18" customHeight="1" x14ac:dyDescent="0.2">
      <c r="A6" s="3" t="s">
        <v>70</v>
      </c>
      <c r="B6" s="11">
        <v>224</v>
      </c>
      <c r="C6" s="33">
        <v>5197728</v>
      </c>
      <c r="D6" s="26">
        <v>36068.756707296001</v>
      </c>
      <c r="E6" s="33">
        <v>526310</v>
      </c>
      <c r="F6" s="26">
        <v>3726.8073119999999</v>
      </c>
      <c r="G6" s="33">
        <v>669307</v>
      </c>
      <c r="H6" s="26">
        <v>4742.1529780000001</v>
      </c>
      <c r="I6" s="33">
        <v>6393345</v>
      </c>
      <c r="J6" s="26">
        <v>44537.716996996001</v>
      </c>
      <c r="K6" s="26">
        <v>17038</v>
      </c>
      <c r="L6" s="26">
        <v>125.58598925</v>
      </c>
    </row>
    <row r="7" spans="1:12" s="5" customFormat="1" ht="18" customHeight="1" x14ac:dyDescent="0.2">
      <c r="A7" s="3" t="s">
        <v>156</v>
      </c>
      <c r="B7" s="11">
        <v>19</v>
      </c>
      <c r="C7" s="33">
        <v>802159</v>
      </c>
      <c r="D7" s="26">
        <v>5319.2363597499998</v>
      </c>
      <c r="E7" s="33">
        <v>112894</v>
      </c>
      <c r="F7" s="26">
        <v>750.84314300000005</v>
      </c>
      <c r="G7" s="26">
        <v>76747</v>
      </c>
      <c r="H7" s="26">
        <v>500.88061875</v>
      </c>
      <c r="I7" s="33">
        <v>991800</v>
      </c>
      <c r="J7" s="26">
        <v>6570.9601215000002</v>
      </c>
      <c r="K7" s="26">
        <v>82927</v>
      </c>
      <c r="L7" s="26">
        <v>558.39803800000004</v>
      </c>
    </row>
    <row r="8" spans="1:12" s="5" customFormat="1" ht="18" customHeight="1" x14ac:dyDescent="0.2">
      <c r="A8" s="3" t="s">
        <v>157</v>
      </c>
      <c r="B8" s="11">
        <v>22</v>
      </c>
      <c r="C8" s="33">
        <v>969230</v>
      </c>
      <c r="D8" s="26">
        <v>6574.3142939999998</v>
      </c>
      <c r="E8" s="26">
        <v>30754</v>
      </c>
      <c r="F8" s="26">
        <v>210.1539123</v>
      </c>
      <c r="G8" s="26">
        <v>66366</v>
      </c>
      <c r="H8" s="26">
        <v>452.52457850000002</v>
      </c>
      <c r="I8" s="33">
        <v>1066350</v>
      </c>
      <c r="J8" s="26">
        <v>7236.9927850000004</v>
      </c>
      <c r="K8" s="26">
        <v>50799</v>
      </c>
      <c r="L8" s="26">
        <v>345.68943130000002</v>
      </c>
    </row>
    <row r="9" spans="1:12" s="5" customFormat="1" ht="18" customHeight="1" x14ac:dyDescent="0.2">
      <c r="A9" s="3" t="s">
        <v>158</v>
      </c>
      <c r="B9" s="11">
        <v>21</v>
      </c>
      <c r="C9" s="33">
        <v>703647</v>
      </c>
      <c r="D9" s="26">
        <v>4843.3185249999997</v>
      </c>
      <c r="E9" s="26">
        <v>12526</v>
      </c>
      <c r="F9" s="26">
        <v>85.718977249999995</v>
      </c>
      <c r="G9" s="26">
        <v>47953</v>
      </c>
      <c r="H9" s="26">
        <v>328.12731280000003</v>
      </c>
      <c r="I9" s="33">
        <v>764126</v>
      </c>
      <c r="J9" s="26">
        <v>5257.1648150000001</v>
      </c>
      <c r="K9" s="26">
        <v>35923</v>
      </c>
      <c r="L9" s="26">
        <v>248.57172729999999</v>
      </c>
    </row>
    <row r="10" spans="1:12" s="5" customFormat="1" ht="18" customHeight="1" x14ac:dyDescent="0.2">
      <c r="A10" s="3" t="s">
        <v>159</v>
      </c>
      <c r="B10" s="11">
        <v>22</v>
      </c>
      <c r="C10" s="33">
        <v>1143174</v>
      </c>
      <c r="D10" s="26">
        <v>7905.8324919999995</v>
      </c>
      <c r="E10" s="26">
        <v>32206</v>
      </c>
      <c r="F10" s="26">
        <v>223.1214803</v>
      </c>
      <c r="G10" s="26">
        <v>38039</v>
      </c>
      <c r="H10" s="26">
        <v>265.31956350000002</v>
      </c>
      <c r="I10" s="33">
        <v>1213419</v>
      </c>
      <c r="J10" s="26">
        <v>8394.2735350000003</v>
      </c>
      <c r="K10" s="26">
        <v>31871</v>
      </c>
      <c r="L10" s="26">
        <v>221.3151833</v>
      </c>
    </row>
    <row r="11" spans="1:12" s="5" customFormat="1" ht="18" customHeight="1" x14ac:dyDescent="0.2">
      <c r="A11" s="3" t="s">
        <v>160</v>
      </c>
      <c r="B11" s="11">
        <v>20</v>
      </c>
      <c r="C11" s="33">
        <v>475217</v>
      </c>
      <c r="D11" s="26">
        <v>3342.13</v>
      </c>
      <c r="E11" s="26">
        <v>19391</v>
      </c>
      <c r="F11" s="26">
        <v>135.68</v>
      </c>
      <c r="G11" s="26">
        <v>40930</v>
      </c>
      <c r="H11" s="26">
        <v>288.95999999999998</v>
      </c>
      <c r="I11" s="33">
        <v>535538</v>
      </c>
      <c r="J11" s="26">
        <v>3766.77</v>
      </c>
      <c r="K11" s="26">
        <v>36644</v>
      </c>
      <c r="L11" s="26">
        <v>261.88</v>
      </c>
    </row>
    <row r="12" spans="1:12" s="5" customFormat="1" ht="18" customHeight="1" x14ac:dyDescent="0.2">
      <c r="A12" s="3" t="s">
        <v>161</v>
      </c>
      <c r="B12" s="11">
        <v>18</v>
      </c>
      <c r="C12" s="33">
        <v>450547</v>
      </c>
      <c r="D12" s="26">
        <v>3283.8225109999998</v>
      </c>
      <c r="E12" s="26">
        <v>21706</v>
      </c>
      <c r="F12" s="26">
        <v>157.37262799999999</v>
      </c>
      <c r="G12" s="26">
        <v>74689</v>
      </c>
      <c r="H12" s="26">
        <v>550.16742799999997</v>
      </c>
      <c r="I12" s="33">
        <v>546942</v>
      </c>
      <c r="J12" s="26">
        <v>3991.3625670000001</v>
      </c>
      <c r="K12" s="26">
        <v>17023</v>
      </c>
      <c r="L12" s="26">
        <v>124.86731325</v>
      </c>
    </row>
    <row r="13" spans="1:12" s="5" customFormat="1" ht="18" customHeight="1" x14ac:dyDescent="0.2">
      <c r="A13" s="3" t="s">
        <v>162</v>
      </c>
      <c r="B13" s="11">
        <v>21</v>
      </c>
      <c r="C13" s="33">
        <v>214773</v>
      </c>
      <c r="D13" s="26">
        <v>1614.4936955000001</v>
      </c>
      <c r="E13" s="26">
        <v>63597</v>
      </c>
      <c r="F13" s="26">
        <v>472.22848675</v>
      </c>
      <c r="G13" s="33">
        <v>110119</v>
      </c>
      <c r="H13" s="26">
        <v>813.67052850000005</v>
      </c>
      <c r="I13" s="33">
        <v>388489</v>
      </c>
      <c r="J13" s="26">
        <v>2900.3927107499999</v>
      </c>
      <c r="K13" s="26">
        <v>17476</v>
      </c>
      <c r="L13" s="26">
        <v>132.1304705</v>
      </c>
    </row>
    <row r="14" spans="1:12" s="5" customFormat="1" ht="18" customHeight="1" x14ac:dyDescent="0.2">
      <c r="A14" s="3" t="s">
        <v>163</v>
      </c>
      <c r="B14" s="11">
        <v>19</v>
      </c>
      <c r="C14" s="33">
        <v>128066</v>
      </c>
      <c r="D14" s="26">
        <v>945.62910850000003</v>
      </c>
      <c r="E14" s="26">
        <v>84580</v>
      </c>
      <c r="F14" s="26">
        <v>611.50264249999998</v>
      </c>
      <c r="G14" s="26">
        <v>68624</v>
      </c>
      <c r="H14" s="26">
        <v>493.64338674999999</v>
      </c>
      <c r="I14" s="33">
        <v>281270</v>
      </c>
      <c r="J14" s="26">
        <v>2050.7751377499999</v>
      </c>
      <c r="K14" s="26">
        <v>11906</v>
      </c>
      <c r="L14" s="26">
        <v>83.630160000000004</v>
      </c>
    </row>
    <row r="15" spans="1:12" s="5" customFormat="1" ht="18" customHeight="1" x14ac:dyDescent="0.2">
      <c r="A15" s="3" t="s">
        <v>164</v>
      </c>
      <c r="B15" s="11">
        <v>20</v>
      </c>
      <c r="C15" s="26">
        <v>93021</v>
      </c>
      <c r="D15" s="26">
        <v>667.22273724599995</v>
      </c>
      <c r="E15" s="26">
        <v>51448</v>
      </c>
      <c r="F15" s="26">
        <v>374.43916875000002</v>
      </c>
      <c r="G15" s="26">
        <v>34706</v>
      </c>
      <c r="H15" s="26">
        <v>249.20524449999999</v>
      </c>
      <c r="I15" s="33">
        <v>179175</v>
      </c>
      <c r="J15" s="26">
        <v>1290.867150496</v>
      </c>
      <c r="K15" s="26">
        <v>13970</v>
      </c>
      <c r="L15" s="26">
        <v>99.166469000000006</v>
      </c>
    </row>
    <row r="16" spans="1:12" s="5" customFormat="1" ht="18" customHeight="1" x14ac:dyDescent="0.2">
      <c r="A16" s="3" t="s">
        <v>165</v>
      </c>
      <c r="B16" s="11">
        <v>23</v>
      </c>
      <c r="C16" s="26">
        <v>94303</v>
      </c>
      <c r="D16" s="26">
        <v>678.81170899999995</v>
      </c>
      <c r="E16" s="26">
        <v>73571</v>
      </c>
      <c r="F16" s="26">
        <v>529.01256100000001</v>
      </c>
      <c r="G16" s="26">
        <v>48926</v>
      </c>
      <c r="H16" s="26">
        <v>349.017427</v>
      </c>
      <c r="I16" s="33">
        <v>216800</v>
      </c>
      <c r="J16" s="26">
        <v>1556.8416970000001</v>
      </c>
      <c r="K16" s="26">
        <v>13546</v>
      </c>
      <c r="L16" s="26">
        <v>99.17216775</v>
      </c>
    </row>
    <row r="17" spans="1:12" s="5" customFormat="1" ht="18" customHeight="1" x14ac:dyDescent="0.2">
      <c r="A17" s="3" t="s">
        <v>166</v>
      </c>
      <c r="B17" s="11">
        <v>19</v>
      </c>
      <c r="C17" s="33">
        <v>123591</v>
      </c>
      <c r="D17" s="26">
        <v>893.94901979999997</v>
      </c>
      <c r="E17" s="26">
        <v>23637</v>
      </c>
      <c r="F17" s="26">
        <v>176.729355</v>
      </c>
      <c r="G17" s="26">
        <v>62208</v>
      </c>
      <c r="H17" s="26">
        <v>450.63537550000001</v>
      </c>
      <c r="I17" s="33">
        <v>209436</v>
      </c>
      <c r="J17" s="26">
        <v>1521.31375</v>
      </c>
      <c r="K17" s="26">
        <v>17038</v>
      </c>
      <c r="L17" s="26">
        <v>125.58598925</v>
      </c>
    </row>
    <row r="18" spans="1:12" s="5" customFormat="1" ht="14.25" customHeight="1" x14ac:dyDescent="0.2">
      <c r="A18" s="391" t="s">
        <v>105</v>
      </c>
      <c r="B18" s="391"/>
      <c r="C18" s="391"/>
      <c r="D18" s="391"/>
      <c r="E18" s="391"/>
      <c r="F18" s="391"/>
      <c r="G18" s="391"/>
      <c r="H18" s="391"/>
      <c r="I18" s="391"/>
      <c r="J18" s="391"/>
    </row>
    <row r="19" spans="1:12" s="5" customFormat="1" ht="13.5" customHeight="1" x14ac:dyDescent="0.2">
      <c r="A19" s="391" t="s">
        <v>305</v>
      </c>
      <c r="B19" s="391"/>
      <c r="C19" s="391"/>
      <c r="D19" s="391"/>
      <c r="E19" s="391"/>
      <c r="F19" s="391"/>
      <c r="G19" s="391"/>
      <c r="H19" s="391"/>
      <c r="I19" s="391"/>
      <c r="J19" s="391"/>
    </row>
    <row r="20" spans="1:12" s="5" customFormat="1" ht="27.6" customHeight="1" x14ac:dyDescent="0.2"/>
  </sheetData>
  <customSheetViews>
    <customSheetView guid="{B9B27D37-53F8-4AD8-9221-6458C3026417}" fitToPage="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L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7">
    <mergeCell ref="L3:L4"/>
    <mergeCell ref="A18:J18"/>
    <mergeCell ref="A1:L1"/>
    <mergeCell ref="A2:A4"/>
    <mergeCell ref="B2:B4"/>
    <mergeCell ref="C2:D2"/>
    <mergeCell ref="E2:H2"/>
    <mergeCell ref="I2:J2"/>
    <mergeCell ref="K2:L2"/>
    <mergeCell ref="C3:C4"/>
    <mergeCell ref="D3:D4"/>
    <mergeCell ref="E3:F3"/>
    <mergeCell ref="A19:J19"/>
    <mergeCell ref="G3:H3"/>
    <mergeCell ref="I3:I4"/>
    <mergeCell ref="J3:J4"/>
    <mergeCell ref="K3:K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3"/>
  <sheetViews>
    <sheetView zoomScaleNormal="100" workbookViewId="0">
      <selection activeCell="L28" sqref="L28"/>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9.28515625" bestFit="1" customWidth="1"/>
    <col min="12" max="15" width="12.140625" bestFit="1" customWidth="1"/>
    <col min="16" max="16" width="9.28515625" bestFit="1" customWidth="1"/>
    <col min="17" max="17" width="4.7109375" bestFit="1" customWidth="1"/>
  </cols>
  <sheetData>
    <row r="1" spans="1:16" ht="15.75" customHeight="1" x14ac:dyDescent="0.2">
      <c r="A1" s="455" t="s">
        <v>597</v>
      </c>
      <c r="B1" s="455"/>
      <c r="C1" s="455"/>
      <c r="D1" s="455"/>
      <c r="E1" s="455"/>
      <c r="F1" s="455"/>
      <c r="G1" s="455"/>
      <c r="H1" s="455"/>
      <c r="I1" s="455"/>
      <c r="J1" s="455"/>
      <c r="K1" s="455"/>
      <c r="L1" s="455"/>
      <c r="M1" s="455"/>
      <c r="N1" s="455"/>
      <c r="O1" s="455"/>
      <c r="P1" s="455"/>
    </row>
    <row r="2" spans="1:16" s="5" customFormat="1" ht="18" customHeight="1" x14ac:dyDescent="0.2">
      <c r="A2" s="373" t="s">
        <v>541</v>
      </c>
      <c r="B2" s="393" t="s">
        <v>252</v>
      </c>
      <c r="C2" s="394"/>
      <c r="D2" s="394"/>
      <c r="E2" s="395"/>
      <c r="F2" s="381" t="s">
        <v>150</v>
      </c>
      <c r="G2" s="393" t="s">
        <v>253</v>
      </c>
      <c r="H2" s="394"/>
      <c r="I2" s="394"/>
      <c r="J2" s="395"/>
      <c r="K2" s="381" t="s">
        <v>150</v>
      </c>
      <c r="L2" s="393" t="s">
        <v>254</v>
      </c>
      <c r="M2" s="394"/>
      <c r="N2" s="394"/>
      <c r="O2" s="395"/>
      <c r="P2" s="381" t="s">
        <v>150</v>
      </c>
    </row>
    <row r="3" spans="1:16" s="5" customFormat="1" ht="27" customHeight="1" x14ac:dyDescent="0.2">
      <c r="A3" s="448"/>
      <c r="B3" s="389" t="s">
        <v>598</v>
      </c>
      <c r="C3" s="390"/>
      <c r="D3" s="393" t="s">
        <v>594</v>
      </c>
      <c r="E3" s="395"/>
      <c r="F3" s="382"/>
      <c r="G3" s="389" t="s">
        <v>598</v>
      </c>
      <c r="H3" s="390"/>
      <c r="I3" s="393" t="s">
        <v>594</v>
      </c>
      <c r="J3" s="395"/>
      <c r="K3" s="382"/>
      <c r="L3" s="389" t="s">
        <v>598</v>
      </c>
      <c r="M3" s="390"/>
      <c r="N3" s="393" t="s">
        <v>594</v>
      </c>
      <c r="O3" s="395"/>
      <c r="P3" s="382"/>
    </row>
    <row r="4" spans="1:16" s="5" customFormat="1" ht="27" customHeight="1" x14ac:dyDescent="0.2">
      <c r="A4" s="374"/>
      <c r="B4" s="17" t="s">
        <v>557</v>
      </c>
      <c r="C4" s="17" t="s">
        <v>558</v>
      </c>
      <c r="D4" s="17" t="s">
        <v>559</v>
      </c>
      <c r="E4" s="17" t="s">
        <v>560</v>
      </c>
      <c r="F4" s="383"/>
      <c r="G4" s="17" t="s">
        <v>557</v>
      </c>
      <c r="H4" s="17" t="s">
        <v>558</v>
      </c>
      <c r="I4" s="17" t="s">
        <v>559</v>
      </c>
      <c r="J4" s="17" t="s">
        <v>560</v>
      </c>
      <c r="K4" s="383"/>
      <c r="L4" s="17" t="s">
        <v>557</v>
      </c>
      <c r="M4" s="17" t="s">
        <v>558</v>
      </c>
      <c r="N4" s="17" t="s">
        <v>559</v>
      </c>
      <c r="O4" s="17" t="s">
        <v>560</v>
      </c>
      <c r="P4" s="383"/>
    </row>
    <row r="5" spans="1:16" s="5" customFormat="1" ht="18" customHeight="1" x14ac:dyDescent="0.2">
      <c r="A5" s="3" t="s">
        <v>69</v>
      </c>
      <c r="B5" s="75">
        <v>3227.51</v>
      </c>
      <c r="C5" s="75">
        <v>104.85</v>
      </c>
      <c r="D5" s="75">
        <v>2681.5</v>
      </c>
      <c r="E5" s="75">
        <v>174.81</v>
      </c>
      <c r="F5" s="26">
        <v>6188.67</v>
      </c>
      <c r="G5" s="75">
        <v>3570.074719102</v>
      </c>
      <c r="H5" s="75">
        <v>118.59464106</v>
      </c>
      <c r="I5" s="75">
        <v>948.73254832999999</v>
      </c>
      <c r="J5" s="75">
        <v>391.98226332000002</v>
      </c>
      <c r="K5" s="26">
        <v>5029.3841718120002</v>
      </c>
      <c r="L5" s="75">
        <v>321.64</v>
      </c>
      <c r="M5" s="75">
        <v>13.38</v>
      </c>
      <c r="N5" s="75">
        <v>21.25</v>
      </c>
      <c r="O5" s="75">
        <v>16.260000000000002</v>
      </c>
      <c r="P5" s="26">
        <v>372.53</v>
      </c>
    </row>
    <row r="6" spans="1:16" s="5" customFormat="1" ht="18" customHeight="1" x14ac:dyDescent="0.2">
      <c r="A6" s="3" t="s">
        <v>70</v>
      </c>
      <c r="B6" s="75">
        <v>5623.67</v>
      </c>
      <c r="C6" s="75">
        <v>189.56</v>
      </c>
      <c r="D6" s="75">
        <v>3327.96</v>
      </c>
      <c r="E6" s="75">
        <v>145.43</v>
      </c>
      <c r="F6" s="26">
        <v>9286.6200000000008</v>
      </c>
      <c r="G6" s="75">
        <v>7890.1058069999999</v>
      </c>
      <c r="H6" s="75">
        <v>289.17753699999997</v>
      </c>
      <c r="I6" s="75">
        <v>1166.2916439999999</v>
      </c>
      <c r="J6" s="75">
        <v>584.07625810000002</v>
      </c>
      <c r="K6" s="26">
        <v>9929.6512459999994</v>
      </c>
      <c r="L6" s="75">
        <v>121.28274999999999</v>
      </c>
      <c r="M6" s="75">
        <v>6.75936</v>
      </c>
      <c r="N6" s="75">
        <v>0.55571824999999997</v>
      </c>
      <c r="O6" s="75">
        <v>0.68199743999999995</v>
      </c>
      <c r="P6" s="26">
        <v>129.27982569</v>
      </c>
    </row>
    <row r="7" spans="1:16" s="5" customFormat="1" ht="18" customHeight="1" x14ac:dyDescent="0.2">
      <c r="A7" s="3" t="s">
        <v>156</v>
      </c>
      <c r="B7" s="75">
        <v>322.23</v>
      </c>
      <c r="C7" s="75">
        <v>29.06</v>
      </c>
      <c r="D7" s="75">
        <v>199.52</v>
      </c>
      <c r="E7" s="75">
        <v>11.89</v>
      </c>
      <c r="F7" s="26">
        <v>562.70000000000005</v>
      </c>
      <c r="G7" s="75">
        <v>404.78531040000001</v>
      </c>
      <c r="H7" s="75">
        <v>59.002072920000003</v>
      </c>
      <c r="I7" s="75">
        <v>69.35556339</v>
      </c>
      <c r="J7" s="75">
        <v>40.14963152</v>
      </c>
      <c r="K7" s="26">
        <v>573.29257829999995</v>
      </c>
      <c r="L7" s="75">
        <v>20.03</v>
      </c>
      <c r="M7" s="75">
        <v>1.98</v>
      </c>
      <c r="N7" s="75">
        <v>0.11</v>
      </c>
      <c r="O7" s="75">
        <v>0.31</v>
      </c>
      <c r="P7" s="26">
        <v>22.43</v>
      </c>
    </row>
    <row r="8" spans="1:16" s="5" customFormat="1" ht="18" customHeight="1" x14ac:dyDescent="0.2">
      <c r="A8" s="3" t="s">
        <v>157</v>
      </c>
      <c r="B8" s="75">
        <v>800.07</v>
      </c>
      <c r="C8" s="75">
        <v>55.96</v>
      </c>
      <c r="D8" s="75">
        <v>305.45</v>
      </c>
      <c r="E8" s="75">
        <v>10.63</v>
      </c>
      <c r="F8" s="26">
        <v>1172.1099999999999</v>
      </c>
      <c r="G8" s="75">
        <v>997.53042700000003</v>
      </c>
      <c r="H8" s="75">
        <v>89.251836449999999</v>
      </c>
      <c r="I8" s="75">
        <v>88.31534825</v>
      </c>
      <c r="J8" s="75">
        <v>62.568464200000001</v>
      </c>
      <c r="K8" s="26">
        <v>1237.666076</v>
      </c>
      <c r="L8" s="75">
        <v>32.93</v>
      </c>
      <c r="M8" s="75">
        <v>2.64</v>
      </c>
      <c r="N8" s="75">
        <v>7.0000000000000007E-2</v>
      </c>
      <c r="O8" s="75">
        <v>0.13</v>
      </c>
      <c r="P8" s="26">
        <v>35.770000000000003</v>
      </c>
    </row>
    <row r="9" spans="1:16" s="5" customFormat="1" ht="18" customHeight="1" x14ac:dyDescent="0.2">
      <c r="A9" s="3" t="s">
        <v>158</v>
      </c>
      <c r="B9" s="75">
        <v>508.38</v>
      </c>
      <c r="C9" s="75">
        <v>23.82</v>
      </c>
      <c r="D9" s="75">
        <v>321</v>
      </c>
      <c r="E9" s="75">
        <v>11.58</v>
      </c>
      <c r="F9" s="26">
        <v>864.78</v>
      </c>
      <c r="G9" s="75">
        <v>754.42386080000006</v>
      </c>
      <c r="H9" s="75">
        <v>49.760339530000003</v>
      </c>
      <c r="I9" s="75">
        <v>80.044044</v>
      </c>
      <c r="J9" s="75">
        <v>57.17314124</v>
      </c>
      <c r="K9" s="26">
        <v>941.40138549999995</v>
      </c>
      <c r="L9" s="75">
        <v>10.84</v>
      </c>
      <c r="M9" s="75">
        <v>0.46</v>
      </c>
      <c r="N9" s="75">
        <v>0.04</v>
      </c>
      <c r="O9" s="75">
        <v>0.03</v>
      </c>
      <c r="P9" s="26">
        <v>11.37</v>
      </c>
    </row>
    <row r="10" spans="1:16" s="5" customFormat="1" ht="18" customHeight="1" x14ac:dyDescent="0.2">
      <c r="A10" s="3" t="s">
        <v>159</v>
      </c>
      <c r="B10" s="75">
        <v>345.71</v>
      </c>
      <c r="C10" s="75">
        <v>5.05</v>
      </c>
      <c r="D10" s="75">
        <v>221.87</v>
      </c>
      <c r="E10" s="75">
        <v>4.21</v>
      </c>
      <c r="F10" s="26">
        <v>576.84</v>
      </c>
      <c r="G10" s="75">
        <v>498.96861109999998</v>
      </c>
      <c r="H10" s="75">
        <v>4.3749745400000002</v>
      </c>
      <c r="I10" s="75">
        <v>78.874697749999996</v>
      </c>
      <c r="J10" s="75">
        <v>22.692805929999999</v>
      </c>
      <c r="K10" s="26">
        <v>604.91108929999996</v>
      </c>
      <c r="L10" s="75">
        <v>8.86</v>
      </c>
      <c r="M10" s="75">
        <v>0.25</v>
      </c>
      <c r="N10" s="75">
        <v>0.06</v>
      </c>
      <c r="O10" s="75">
        <v>0</v>
      </c>
      <c r="P10" s="26">
        <v>9.17</v>
      </c>
    </row>
    <row r="11" spans="1:16" s="5" customFormat="1" ht="18" customHeight="1" x14ac:dyDescent="0.2">
      <c r="A11" s="3" t="s">
        <v>160</v>
      </c>
      <c r="B11" s="75">
        <v>966.56</v>
      </c>
      <c r="C11" s="75">
        <v>61.88</v>
      </c>
      <c r="D11" s="75">
        <v>562.24</v>
      </c>
      <c r="E11" s="75">
        <v>48.08</v>
      </c>
      <c r="F11" s="26">
        <v>1638.76</v>
      </c>
      <c r="G11" s="75">
        <v>634.87093600000003</v>
      </c>
      <c r="H11" s="75">
        <v>47.43282</v>
      </c>
      <c r="I11" s="75">
        <v>110.757142</v>
      </c>
      <c r="J11" s="75">
        <v>56.791505999999998</v>
      </c>
      <c r="K11" s="26">
        <v>849.85240299999998</v>
      </c>
      <c r="L11" s="75">
        <v>7.57</v>
      </c>
      <c r="M11" s="75">
        <v>1.07</v>
      </c>
      <c r="N11" s="75">
        <v>0.1</v>
      </c>
      <c r="O11" s="75">
        <v>0.08</v>
      </c>
      <c r="P11" s="26">
        <v>8.82</v>
      </c>
    </row>
    <row r="12" spans="1:16" s="5" customFormat="1" ht="18" customHeight="1" x14ac:dyDescent="0.2">
      <c r="A12" s="3" t="s">
        <v>161</v>
      </c>
      <c r="B12" s="75">
        <v>685.57</v>
      </c>
      <c r="C12" s="75">
        <v>5.76</v>
      </c>
      <c r="D12" s="75">
        <v>365.8</v>
      </c>
      <c r="E12" s="75">
        <v>24.17</v>
      </c>
      <c r="F12" s="26">
        <v>1081.3</v>
      </c>
      <c r="G12" s="75">
        <v>1416.98416883</v>
      </c>
      <c r="H12" s="75">
        <v>5.1058309099999999</v>
      </c>
      <c r="I12" s="75">
        <v>150.55131424999999</v>
      </c>
      <c r="J12" s="75">
        <v>82.973716539999998</v>
      </c>
      <c r="K12" s="26">
        <v>1655.61503053</v>
      </c>
      <c r="L12" s="75">
        <v>15.02</v>
      </c>
      <c r="M12" s="75">
        <v>0.04</v>
      </c>
      <c r="N12" s="75">
        <v>0.05</v>
      </c>
      <c r="O12" s="75">
        <v>0.09</v>
      </c>
      <c r="P12" s="26">
        <v>15.2</v>
      </c>
    </row>
    <row r="13" spans="1:16" s="5" customFormat="1" ht="18" customHeight="1" x14ac:dyDescent="0.2">
      <c r="A13" s="3" t="s">
        <v>162</v>
      </c>
      <c r="B13" s="75">
        <v>606.39</v>
      </c>
      <c r="C13" s="75">
        <v>5.78</v>
      </c>
      <c r="D13" s="75">
        <v>414.76</v>
      </c>
      <c r="E13" s="75">
        <v>9.93</v>
      </c>
      <c r="F13" s="26">
        <v>1036.8599999999999</v>
      </c>
      <c r="G13" s="75">
        <v>1106.06899649</v>
      </c>
      <c r="H13" s="75">
        <v>4.1425155299999998</v>
      </c>
      <c r="I13" s="75">
        <v>123.00491125000001</v>
      </c>
      <c r="J13" s="75">
        <v>41.500147849999998</v>
      </c>
      <c r="K13" s="26">
        <v>1274.71657112</v>
      </c>
      <c r="L13" s="75">
        <v>5.69</v>
      </c>
      <c r="M13" s="75">
        <v>0.01</v>
      </c>
      <c r="N13" s="75">
        <v>4.7453000000000002E-2</v>
      </c>
      <c r="O13" s="75">
        <v>0.01</v>
      </c>
      <c r="P13" s="26">
        <v>5.7574529999999999</v>
      </c>
    </row>
    <row r="14" spans="1:16" s="5" customFormat="1" ht="18" customHeight="1" x14ac:dyDescent="0.2">
      <c r="A14" s="3" t="s">
        <v>163</v>
      </c>
      <c r="B14" s="75">
        <v>571.70000000000005</v>
      </c>
      <c r="C14" s="75">
        <v>7.21</v>
      </c>
      <c r="D14" s="75">
        <v>377.34</v>
      </c>
      <c r="E14" s="75">
        <v>27.38</v>
      </c>
      <c r="F14" s="26">
        <v>983.63</v>
      </c>
      <c r="G14" s="75">
        <v>638.17381203000002</v>
      </c>
      <c r="H14" s="75">
        <v>4.8196269100000002</v>
      </c>
      <c r="I14" s="75">
        <v>149.75747475</v>
      </c>
      <c r="J14" s="75">
        <v>136.15357677</v>
      </c>
      <c r="K14" s="26">
        <v>928.90449046000003</v>
      </c>
      <c r="L14" s="75">
        <v>7.4</v>
      </c>
      <c r="M14" s="75">
        <v>2.3E-2</v>
      </c>
      <c r="N14" s="75">
        <v>3.1558000000000003E-2</v>
      </c>
      <c r="O14" s="75">
        <v>2.8400000000000002E-2</v>
      </c>
      <c r="P14" s="26">
        <v>7.482958</v>
      </c>
    </row>
    <row r="15" spans="1:16" s="5" customFormat="1" ht="18" customHeight="1" x14ac:dyDescent="0.2">
      <c r="A15" s="3" t="s">
        <v>164</v>
      </c>
      <c r="B15" s="75">
        <v>580.16999999999996</v>
      </c>
      <c r="C15" s="75">
        <v>18.47</v>
      </c>
      <c r="D15" s="75">
        <v>313.82</v>
      </c>
      <c r="E15" s="75">
        <v>12.31</v>
      </c>
      <c r="F15" s="26">
        <v>924.77</v>
      </c>
      <c r="G15" s="75">
        <v>572.06860173999996</v>
      </c>
      <c r="H15" s="75">
        <v>14.20136215</v>
      </c>
      <c r="I15" s="75">
        <v>137.38566700000001</v>
      </c>
      <c r="J15" s="75">
        <v>30.047444779999999</v>
      </c>
      <c r="K15" s="26">
        <v>753.70307566999998</v>
      </c>
      <c r="L15" s="75">
        <v>6.28</v>
      </c>
      <c r="M15" s="75">
        <v>0.19656000000000001</v>
      </c>
      <c r="N15" s="75">
        <v>4.1999999999999997E-3</v>
      </c>
      <c r="O15" s="75">
        <v>0</v>
      </c>
      <c r="P15" s="26">
        <v>6.4807600000000001</v>
      </c>
    </row>
    <row r="16" spans="1:16" s="5" customFormat="1" ht="18" customHeight="1" x14ac:dyDescent="0.2">
      <c r="A16" s="3" t="s">
        <v>165</v>
      </c>
      <c r="B16" s="75">
        <v>407.44</v>
      </c>
      <c r="C16" s="75">
        <v>2.8</v>
      </c>
      <c r="D16" s="75">
        <v>298.94</v>
      </c>
      <c r="E16" s="75">
        <v>6.1</v>
      </c>
      <c r="F16" s="26">
        <v>715.28</v>
      </c>
      <c r="G16" s="75">
        <v>439.43686322999997</v>
      </c>
      <c r="H16" s="75">
        <v>1.70201508</v>
      </c>
      <c r="I16" s="75">
        <v>103.57586474999999</v>
      </c>
      <c r="J16" s="75">
        <v>31.3864138</v>
      </c>
      <c r="K16" s="26">
        <v>576.10115685999995</v>
      </c>
      <c r="L16" s="75">
        <v>3.74</v>
      </c>
      <c r="M16" s="75">
        <v>0.02</v>
      </c>
      <c r="N16" s="75">
        <v>0.04</v>
      </c>
      <c r="O16" s="75">
        <v>3.0000000000000001E-3</v>
      </c>
      <c r="P16" s="26">
        <v>3.8029999999999999</v>
      </c>
    </row>
    <row r="17" spans="1:16" s="5" customFormat="1" ht="18" customHeight="1" x14ac:dyDescent="0.2">
      <c r="A17" s="3" t="s">
        <v>166</v>
      </c>
      <c r="B17" s="75">
        <v>312.73</v>
      </c>
      <c r="C17" s="75">
        <v>4.71</v>
      </c>
      <c r="D17" s="75">
        <v>228.34</v>
      </c>
      <c r="E17" s="75">
        <v>3.19</v>
      </c>
      <c r="F17" s="26">
        <v>548.97</v>
      </c>
      <c r="G17" s="75">
        <v>426.79421910000002</v>
      </c>
      <c r="H17" s="75">
        <v>9.3841434400000008</v>
      </c>
      <c r="I17" s="75">
        <v>74.669616750000003</v>
      </c>
      <c r="J17" s="75">
        <v>22.639409440000001</v>
      </c>
      <c r="K17" s="26">
        <v>533.4873887</v>
      </c>
      <c r="L17" s="75">
        <v>2.9249999999999998</v>
      </c>
      <c r="M17" s="75">
        <v>6.9800000000000001E-2</v>
      </c>
      <c r="N17" s="75">
        <v>1.5072499999999999E-3</v>
      </c>
      <c r="O17" s="75">
        <v>5.9743999999999997E-4</v>
      </c>
      <c r="P17" s="26">
        <v>2.99690469</v>
      </c>
    </row>
    <row r="18" spans="1:16" s="5" customFormat="1" ht="15" customHeight="1" x14ac:dyDescent="0.2">
      <c r="A18" s="391" t="s">
        <v>105</v>
      </c>
      <c r="B18" s="391"/>
      <c r="C18" s="391"/>
      <c r="D18" s="391"/>
      <c r="E18" s="391"/>
      <c r="F18" s="391"/>
      <c r="G18" s="391"/>
      <c r="H18" s="391"/>
      <c r="I18" s="391"/>
      <c r="J18" s="391"/>
      <c r="K18" s="391"/>
      <c r="L18" s="391"/>
      <c r="M18" s="391"/>
      <c r="N18" s="391"/>
      <c r="O18" s="391"/>
      <c r="P18" s="391"/>
    </row>
    <row r="19" spans="1:16" s="5" customFormat="1" ht="13.5" customHeight="1" x14ac:dyDescent="0.2">
      <c r="A19" s="391" t="s">
        <v>244</v>
      </c>
      <c r="B19" s="391"/>
      <c r="C19" s="391"/>
      <c r="D19" s="391"/>
      <c r="E19" s="391"/>
      <c r="F19" s="391"/>
      <c r="G19" s="391"/>
      <c r="H19" s="391"/>
      <c r="I19" s="391"/>
      <c r="J19" s="391"/>
      <c r="K19" s="391"/>
      <c r="L19" s="391"/>
      <c r="M19" s="391"/>
      <c r="N19" s="391"/>
      <c r="O19" s="391"/>
      <c r="P19" s="391"/>
    </row>
    <row r="20" spans="1:16" s="5" customFormat="1" ht="27.6" customHeight="1" x14ac:dyDescent="0.2"/>
    <row r="23" spans="1:16" x14ac:dyDescent="0.2">
      <c r="J23" s="368"/>
    </row>
  </sheetData>
  <customSheetViews>
    <customSheetView guid="{B9B27D37-53F8-4AD8-9221-6458C3026417}" fitToPage="1">
      <selection sqref="A1:P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P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6">
    <mergeCell ref="A19:P19"/>
    <mergeCell ref="A1:P1"/>
    <mergeCell ref="A2:A4"/>
    <mergeCell ref="B2:E2"/>
    <mergeCell ref="F2:F4"/>
    <mergeCell ref="G2:J2"/>
    <mergeCell ref="K2:K4"/>
    <mergeCell ref="L2:O2"/>
    <mergeCell ref="P2:P4"/>
    <mergeCell ref="B3:C3"/>
    <mergeCell ref="D3:E3"/>
    <mergeCell ref="G3:H3"/>
    <mergeCell ref="I3:J3"/>
    <mergeCell ref="L3:M3"/>
    <mergeCell ref="N3:O3"/>
    <mergeCell ref="A18:P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O22"/>
  <sheetViews>
    <sheetView zoomScaleNormal="100" workbookViewId="0">
      <selection sqref="A1:I1"/>
    </sheetView>
  </sheetViews>
  <sheetFormatPr defaultRowHeight="12.75" x14ac:dyDescent="0.2"/>
  <cols>
    <col min="1" max="15" width="12.140625" bestFit="1" customWidth="1"/>
    <col min="16" max="16" width="4.7109375" bestFit="1" customWidth="1"/>
  </cols>
  <sheetData>
    <row r="1" spans="1:15" ht="15" customHeight="1" x14ac:dyDescent="0.2">
      <c r="A1" s="403" t="s">
        <v>48</v>
      </c>
      <c r="B1" s="403"/>
      <c r="C1" s="403"/>
      <c r="D1" s="403"/>
      <c r="E1" s="403"/>
      <c r="F1" s="403"/>
      <c r="G1" s="403"/>
      <c r="H1" s="403"/>
      <c r="I1" s="403"/>
    </row>
    <row r="2" spans="1:15" s="5" customFormat="1" ht="18" customHeight="1" x14ac:dyDescent="0.2">
      <c r="A2" s="381" t="s">
        <v>245</v>
      </c>
      <c r="B2" s="477" t="s">
        <v>283</v>
      </c>
      <c r="C2" s="478"/>
      <c r="D2" s="478"/>
      <c r="E2" s="478"/>
      <c r="F2" s="478"/>
      <c r="G2" s="478"/>
      <c r="H2" s="479"/>
      <c r="I2" s="387" t="s">
        <v>599</v>
      </c>
      <c r="J2" s="424"/>
      <c r="K2" s="424"/>
      <c r="L2" s="424"/>
      <c r="M2" s="424"/>
      <c r="N2" s="424"/>
      <c r="O2" s="388"/>
    </row>
    <row r="3" spans="1:15" s="5" customFormat="1" ht="18" customHeight="1" x14ac:dyDescent="0.2">
      <c r="A3" s="383"/>
      <c r="B3" s="25" t="s">
        <v>600</v>
      </c>
      <c r="C3" s="25" t="s">
        <v>601</v>
      </c>
      <c r="D3" s="25" t="s">
        <v>602</v>
      </c>
      <c r="E3" s="25" t="s">
        <v>603</v>
      </c>
      <c r="F3" s="25" t="s">
        <v>604</v>
      </c>
      <c r="G3" s="25" t="s">
        <v>605</v>
      </c>
      <c r="H3" s="25" t="s">
        <v>606</v>
      </c>
      <c r="I3" s="25" t="s">
        <v>600</v>
      </c>
      <c r="J3" s="25" t="s">
        <v>601</v>
      </c>
      <c r="K3" s="25" t="s">
        <v>602</v>
      </c>
      <c r="L3" s="25" t="s">
        <v>603</v>
      </c>
      <c r="M3" s="25" t="s">
        <v>604</v>
      </c>
      <c r="N3" s="25" t="s">
        <v>605</v>
      </c>
      <c r="O3" s="25" t="s">
        <v>606</v>
      </c>
    </row>
    <row r="4" spans="1:15" s="5" customFormat="1" ht="18" customHeight="1" x14ac:dyDescent="0.2">
      <c r="A4" s="3" t="s">
        <v>607</v>
      </c>
      <c r="B4" s="33">
        <v>4403388.1399999997</v>
      </c>
      <c r="C4" s="26">
        <v>10491.21</v>
      </c>
      <c r="D4" s="26">
        <v>10781.62</v>
      </c>
      <c r="E4" s="26">
        <v>1726.47</v>
      </c>
      <c r="F4" s="26">
        <v>5148.12</v>
      </c>
      <c r="G4" s="26">
        <v>4719.51</v>
      </c>
      <c r="H4" s="26">
        <v>175.36</v>
      </c>
      <c r="I4" s="33">
        <v>871702</v>
      </c>
      <c r="J4" s="26">
        <v>22950</v>
      </c>
      <c r="K4" s="26">
        <v>5696</v>
      </c>
      <c r="L4" s="26">
        <v>1860</v>
      </c>
      <c r="M4" s="11">
        <v>1994</v>
      </c>
      <c r="N4" s="11">
        <v>3967</v>
      </c>
      <c r="O4" s="11">
        <v>3</v>
      </c>
    </row>
    <row r="5" spans="1:15" s="5" customFormat="1" ht="18" customHeight="1" x14ac:dyDescent="0.2">
      <c r="A5" s="3" t="s">
        <v>608</v>
      </c>
      <c r="B5" s="33">
        <v>6780040.588761</v>
      </c>
      <c r="C5" s="26">
        <v>5252.8312244999997</v>
      </c>
      <c r="D5" s="26">
        <v>4664.2393554999999</v>
      </c>
      <c r="E5" s="26">
        <v>1275.6586585</v>
      </c>
      <c r="F5" s="26">
        <v>2712.996169771</v>
      </c>
      <c r="G5" s="26">
        <v>1275.25414086</v>
      </c>
      <c r="H5" s="26">
        <v>33.114100000000001</v>
      </c>
      <c r="I5" s="33">
        <v>708430</v>
      </c>
      <c r="J5" s="26">
        <v>1032</v>
      </c>
      <c r="K5" s="26">
        <v>1846</v>
      </c>
      <c r="L5" s="26">
        <v>691</v>
      </c>
      <c r="M5" s="11">
        <v>0</v>
      </c>
      <c r="N5" s="11">
        <v>0</v>
      </c>
      <c r="O5" s="11">
        <v>0</v>
      </c>
    </row>
    <row r="6" spans="1:15" s="5" customFormat="1" ht="18" customHeight="1" x14ac:dyDescent="0.2">
      <c r="A6" s="3" t="s">
        <v>156</v>
      </c>
      <c r="B6" s="33">
        <v>505815.14030000003</v>
      </c>
      <c r="C6" s="26">
        <v>1723.5059000000001</v>
      </c>
      <c r="D6" s="26">
        <v>667.5933</v>
      </c>
      <c r="E6" s="26">
        <v>65.550899999999999</v>
      </c>
      <c r="F6" s="26">
        <v>836.76940000000002</v>
      </c>
      <c r="G6" s="26">
        <v>826.84130000000005</v>
      </c>
      <c r="H6" s="26">
        <v>26.173100000000002</v>
      </c>
      <c r="I6" s="33">
        <v>1172762</v>
      </c>
      <c r="J6" s="26">
        <v>21756</v>
      </c>
      <c r="K6" s="26">
        <v>6699</v>
      </c>
      <c r="L6" s="26">
        <v>754</v>
      </c>
      <c r="M6" s="11">
        <v>2334</v>
      </c>
      <c r="N6" s="11">
        <v>3325</v>
      </c>
      <c r="O6" s="11">
        <v>429</v>
      </c>
    </row>
    <row r="7" spans="1:15" s="5" customFormat="1" ht="18" customHeight="1" x14ac:dyDescent="0.2">
      <c r="A7" s="3" t="s">
        <v>157</v>
      </c>
      <c r="B7" s="33">
        <v>724688.08</v>
      </c>
      <c r="C7" s="26">
        <v>1181.77</v>
      </c>
      <c r="D7" s="26">
        <v>765.13</v>
      </c>
      <c r="E7" s="26">
        <v>67.180000000000007</v>
      </c>
      <c r="F7" s="26">
        <v>1517.89</v>
      </c>
      <c r="G7" s="26">
        <v>241.74</v>
      </c>
      <c r="H7" s="26">
        <v>6.69</v>
      </c>
      <c r="I7" s="33">
        <v>1372211</v>
      </c>
      <c r="J7" s="26">
        <v>2938</v>
      </c>
      <c r="K7" s="26">
        <v>4164</v>
      </c>
      <c r="L7" s="26">
        <v>702</v>
      </c>
      <c r="M7" s="11">
        <v>3231</v>
      </c>
      <c r="N7" s="11">
        <v>450</v>
      </c>
      <c r="O7" s="11">
        <v>24</v>
      </c>
    </row>
    <row r="8" spans="1:15" s="5" customFormat="1" ht="18" customHeight="1" x14ac:dyDescent="0.2">
      <c r="A8" s="3" t="s">
        <v>158</v>
      </c>
      <c r="B8" s="33">
        <v>712251.33</v>
      </c>
      <c r="C8" s="26">
        <v>453.5</v>
      </c>
      <c r="D8" s="26">
        <v>440.13</v>
      </c>
      <c r="E8" s="26">
        <v>93.45</v>
      </c>
      <c r="F8" s="26">
        <v>312.31</v>
      </c>
      <c r="G8" s="26">
        <v>134.15</v>
      </c>
      <c r="H8" s="26">
        <v>0.26</v>
      </c>
      <c r="I8" s="33">
        <v>1280120</v>
      </c>
      <c r="J8" s="26">
        <v>2299</v>
      </c>
      <c r="K8" s="26">
        <v>3809</v>
      </c>
      <c r="L8" s="26">
        <v>855</v>
      </c>
      <c r="M8" s="11">
        <v>60</v>
      </c>
      <c r="N8" s="11">
        <v>10</v>
      </c>
      <c r="O8" s="11">
        <v>0</v>
      </c>
    </row>
    <row r="9" spans="1:15" s="5" customFormat="1" ht="18" customHeight="1" x14ac:dyDescent="0.2">
      <c r="A9" s="3" t="s">
        <v>159</v>
      </c>
      <c r="B9" s="33">
        <v>644204.79</v>
      </c>
      <c r="C9" s="26">
        <v>341.21</v>
      </c>
      <c r="D9" s="26">
        <v>452.14</v>
      </c>
      <c r="E9" s="26">
        <v>72.7</v>
      </c>
      <c r="F9" s="26">
        <v>40.98</v>
      </c>
      <c r="G9" s="26">
        <v>68.319999999999993</v>
      </c>
      <c r="H9" s="26">
        <v>0</v>
      </c>
      <c r="I9" s="33">
        <v>917659</v>
      </c>
      <c r="J9" s="26">
        <v>2825</v>
      </c>
      <c r="K9" s="26">
        <v>3713</v>
      </c>
      <c r="L9" s="26">
        <v>707</v>
      </c>
      <c r="M9" s="11">
        <v>12</v>
      </c>
      <c r="N9" s="11">
        <v>22</v>
      </c>
      <c r="O9" s="11"/>
    </row>
    <row r="10" spans="1:15" s="5" customFormat="1" ht="18" customHeight="1" x14ac:dyDescent="0.2">
      <c r="A10" s="3" t="s">
        <v>160</v>
      </c>
      <c r="B10" s="33">
        <v>707320.92</v>
      </c>
      <c r="C10" s="26">
        <v>313.56</v>
      </c>
      <c r="D10" s="26">
        <v>266.27999999999997</v>
      </c>
      <c r="E10" s="26">
        <v>248.9</v>
      </c>
      <c r="F10" s="26">
        <v>4.29</v>
      </c>
      <c r="G10" s="26">
        <v>3.48</v>
      </c>
      <c r="H10" s="26">
        <v>0</v>
      </c>
      <c r="I10" s="33">
        <v>1362719</v>
      </c>
      <c r="J10" s="26">
        <v>6386</v>
      </c>
      <c r="K10" s="26">
        <v>4502</v>
      </c>
      <c r="L10" s="26">
        <v>5085</v>
      </c>
      <c r="M10" s="11">
        <v>15</v>
      </c>
      <c r="N10" s="11">
        <v>30</v>
      </c>
      <c r="O10" s="11">
        <v>0</v>
      </c>
    </row>
    <row r="11" spans="1:15" s="5" customFormat="1" ht="18" customHeight="1" x14ac:dyDescent="0.2">
      <c r="A11" s="3" t="s">
        <v>161</v>
      </c>
      <c r="B11" s="33">
        <v>679315.29104725004</v>
      </c>
      <c r="C11" s="26">
        <v>244.81914649999999</v>
      </c>
      <c r="D11" s="26">
        <v>426.20257075000001</v>
      </c>
      <c r="E11" s="26">
        <v>62.056102500000001</v>
      </c>
      <c r="F11" s="26">
        <v>0.52337671600000002</v>
      </c>
      <c r="G11" s="26">
        <v>0.682726948</v>
      </c>
      <c r="H11" s="26">
        <v>0</v>
      </c>
      <c r="I11" s="33">
        <v>1021346</v>
      </c>
      <c r="J11" s="26">
        <v>4466</v>
      </c>
      <c r="K11" s="26">
        <v>4611</v>
      </c>
      <c r="L11" s="26">
        <v>112</v>
      </c>
      <c r="M11" s="11">
        <v>20</v>
      </c>
      <c r="N11" s="11">
        <v>2</v>
      </c>
      <c r="O11" s="11">
        <v>0</v>
      </c>
    </row>
    <row r="12" spans="1:15" s="5" customFormat="1" ht="18" customHeight="1" x14ac:dyDescent="0.2">
      <c r="A12" s="3" t="s">
        <v>162</v>
      </c>
      <c r="B12" s="33">
        <v>640681.91249999998</v>
      </c>
      <c r="C12" s="26">
        <v>182.63486230000001</v>
      </c>
      <c r="D12" s="26">
        <v>384.02174630000002</v>
      </c>
      <c r="E12" s="26">
        <v>46.35950175</v>
      </c>
      <c r="F12" s="26">
        <v>0.211893055</v>
      </c>
      <c r="G12" s="26">
        <v>1.9413911999999998E-2</v>
      </c>
      <c r="H12" s="26">
        <v>0</v>
      </c>
      <c r="I12" s="33">
        <v>889470</v>
      </c>
      <c r="J12" s="26">
        <v>2039</v>
      </c>
      <c r="K12" s="26">
        <v>2134</v>
      </c>
      <c r="L12" s="26">
        <v>570</v>
      </c>
      <c r="M12" s="11">
        <v>0</v>
      </c>
      <c r="N12" s="11">
        <v>0</v>
      </c>
      <c r="O12" s="11">
        <v>0</v>
      </c>
    </row>
    <row r="13" spans="1:15" s="5" customFormat="1" ht="18" customHeight="1" x14ac:dyDescent="0.2">
      <c r="A13" s="3" t="s">
        <v>163</v>
      </c>
      <c r="B13" s="33">
        <v>572947.75471625</v>
      </c>
      <c r="C13" s="26">
        <v>234.66967249999999</v>
      </c>
      <c r="D13" s="26">
        <v>469.50796600000001</v>
      </c>
      <c r="E13" s="26">
        <v>94.335503000000003</v>
      </c>
      <c r="F13" s="26">
        <v>0</v>
      </c>
      <c r="G13" s="26">
        <v>0</v>
      </c>
      <c r="H13" s="26">
        <v>0</v>
      </c>
      <c r="I13" s="33">
        <v>787973</v>
      </c>
      <c r="J13" s="26">
        <v>5500</v>
      </c>
      <c r="K13" s="26">
        <v>1370</v>
      </c>
      <c r="L13" s="26">
        <v>424</v>
      </c>
      <c r="M13" s="11">
        <v>0</v>
      </c>
      <c r="N13" s="11">
        <v>0</v>
      </c>
      <c r="O13" s="11">
        <v>0</v>
      </c>
    </row>
    <row r="14" spans="1:15" s="5" customFormat="1" ht="18" customHeight="1" x14ac:dyDescent="0.2">
      <c r="A14" s="3" t="s">
        <v>164</v>
      </c>
      <c r="B14" s="33">
        <v>515111.71</v>
      </c>
      <c r="C14" s="26">
        <v>143.72999999999999</v>
      </c>
      <c r="D14" s="26">
        <v>307.86</v>
      </c>
      <c r="E14" s="26">
        <v>109.77</v>
      </c>
      <c r="F14" s="26">
        <v>0</v>
      </c>
      <c r="G14" s="26">
        <v>0</v>
      </c>
      <c r="H14" s="26">
        <v>0</v>
      </c>
      <c r="I14" s="33">
        <v>827968</v>
      </c>
      <c r="J14" s="26">
        <v>947</v>
      </c>
      <c r="K14" s="26">
        <v>743</v>
      </c>
      <c r="L14" s="26">
        <v>684</v>
      </c>
      <c r="M14" s="11">
        <v>0</v>
      </c>
      <c r="N14" s="11">
        <v>0</v>
      </c>
      <c r="O14" s="11">
        <v>0</v>
      </c>
    </row>
    <row r="15" spans="1:15" s="5" customFormat="1" ht="18" customHeight="1" x14ac:dyDescent="0.2">
      <c r="A15" s="3" t="s">
        <v>165</v>
      </c>
      <c r="B15" s="33">
        <v>567264.73959999997</v>
      </c>
      <c r="C15" s="26">
        <v>290.87729999999999</v>
      </c>
      <c r="D15" s="26">
        <v>275.4545</v>
      </c>
      <c r="E15" s="26">
        <v>372.05149999999998</v>
      </c>
      <c r="F15" s="26">
        <v>1.61E-2</v>
      </c>
      <c r="G15" s="26">
        <v>2.76E-2</v>
      </c>
      <c r="H15" s="26">
        <v>0</v>
      </c>
      <c r="I15" s="33">
        <v>726324</v>
      </c>
      <c r="J15" s="26">
        <v>9299</v>
      </c>
      <c r="K15" s="26">
        <v>1262</v>
      </c>
      <c r="L15" s="26">
        <v>3895</v>
      </c>
      <c r="M15" s="11">
        <v>0</v>
      </c>
      <c r="N15" s="11">
        <v>0</v>
      </c>
      <c r="O15" s="11">
        <v>0</v>
      </c>
    </row>
    <row r="16" spans="1:15" s="5" customFormat="1" ht="18" customHeight="1" x14ac:dyDescent="0.2">
      <c r="A16" s="3" t="s">
        <v>166</v>
      </c>
      <c r="B16" s="33">
        <v>510438.92289450002</v>
      </c>
      <c r="C16" s="26">
        <v>142.56074325</v>
      </c>
      <c r="D16" s="26">
        <v>209.91797249999999</v>
      </c>
      <c r="E16" s="26">
        <v>43.307551250000003</v>
      </c>
      <c r="F16" s="26">
        <v>0</v>
      </c>
      <c r="G16" s="26">
        <v>0</v>
      </c>
      <c r="H16" s="26">
        <v>0</v>
      </c>
      <c r="I16" s="33">
        <v>708430</v>
      </c>
      <c r="J16" s="26">
        <v>1032</v>
      </c>
      <c r="K16" s="26">
        <v>1846</v>
      </c>
      <c r="L16" s="26">
        <v>691</v>
      </c>
      <c r="M16" s="11">
        <v>0</v>
      </c>
      <c r="N16" s="11">
        <v>0</v>
      </c>
      <c r="O16" s="11">
        <v>0</v>
      </c>
    </row>
    <row r="17" spans="1:9" s="5" customFormat="1" ht="14.25" customHeight="1" x14ac:dyDescent="0.2">
      <c r="A17" s="391" t="s">
        <v>609</v>
      </c>
      <c r="B17" s="391"/>
      <c r="C17" s="391"/>
      <c r="D17" s="391"/>
      <c r="E17" s="391"/>
      <c r="F17" s="391"/>
      <c r="G17" s="391"/>
      <c r="H17" s="391"/>
      <c r="I17" s="391"/>
    </row>
    <row r="18" spans="1:9" s="5" customFormat="1" ht="13.5" customHeight="1" x14ac:dyDescent="0.2">
      <c r="A18" s="391" t="s">
        <v>610</v>
      </c>
      <c r="B18" s="391"/>
      <c r="C18" s="391"/>
      <c r="D18" s="391"/>
      <c r="E18" s="391"/>
      <c r="F18" s="391"/>
      <c r="G18" s="391"/>
      <c r="H18" s="391"/>
      <c r="I18" s="391"/>
    </row>
    <row r="19" spans="1:9" s="5" customFormat="1" ht="13.5" customHeight="1" x14ac:dyDescent="0.2">
      <c r="A19" s="391" t="s">
        <v>611</v>
      </c>
      <c r="B19" s="391"/>
      <c r="C19" s="391"/>
      <c r="D19" s="391"/>
      <c r="E19" s="391"/>
      <c r="F19" s="391"/>
      <c r="G19" s="391"/>
      <c r="H19" s="391"/>
      <c r="I19" s="391"/>
    </row>
    <row r="20" spans="1:9" s="5" customFormat="1" ht="13.5" customHeight="1" x14ac:dyDescent="0.2">
      <c r="A20" s="391" t="s">
        <v>105</v>
      </c>
      <c r="B20" s="391"/>
      <c r="C20" s="391"/>
      <c r="D20" s="391"/>
      <c r="E20" s="391"/>
      <c r="F20" s="391"/>
      <c r="G20" s="391"/>
      <c r="H20" s="391"/>
      <c r="I20" s="391"/>
    </row>
    <row r="21" spans="1:9" s="5" customFormat="1" ht="13.5" customHeight="1" x14ac:dyDescent="0.2">
      <c r="A21" s="391" t="s">
        <v>592</v>
      </c>
      <c r="B21" s="391"/>
      <c r="C21" s="391"/>
      <c r="D21" s="391"/>
      <c r="E21" s="391"/>
      <c r="F21" s="391"/>
      <c r="G21" s="391"/>
      <c r="H21" s="391"/>
      <c r="I21" s="391"/>
    </row>
    <row r="22" spans="1:9" s="5" customFormat="1" ht="28.35" customHeight="1" x14ac:dyDescent="0.2"/>
  </sheetData>
  <customSheetViews>
    <customSheetView guid="{B9B27D37-53F8-4AD8-9221-6458C3026417}" fitToPage="1">
      <selection sqref="A1:I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I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9">
    <mergeCell ref="A19:I19"/>
    <mergeCell ref="A20:I20"/>
    <mergeCell ref="A21:I21"/>
    <mergeCell ref="A1:I1"/>
    <mergeCell ref="A2:A3"/>
    <mergeCell ref="B2:H2"/>
    <mergeCell ref="I2:O2"/>
    <mergeCell ref="A17:I17"/>
    <mergeCell ref="A18:I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O21"/>
  <sheetViews>
    <sheetView zoomScaleNormal="100" workbookViewId="0">
      <selection sqref="A1:G1"/>
    </sheetView>
  </sheetViews>
  <sheetFormatPr defaultRowHeight="12.75" x14ac:dyDescent="0.2"/>
  <cols>
    <col min="1" max="15" width="14.7109375" bestFit="1" customWidth="1"/>
    <col min="16" max="16" width="4.7109375" bestFit="1" customWidth="1"/>
  </cols>
  <sheetData>
    <row r="1" spans="1:15" ht="18.75" customHeight="1" x14ac:dyDescent="0.2">
      <c r="A1" s="403" t="s">
        <v>49</v>
      </c>
      <c r="B1" s="403"/>
      <c r="C1" s="403"/>
      <c r="D1" s="403"/>
      <c r="E1" s="403"/>
      <c r="F1" s="403"/>
      <c r="G1" s="403"/>
    </row>
    <row r="2" spans="1:15" s="5" customFormat="1" ht="18" customHeight="1" x14ac:dyDescent="0.2">
      <c r="A2" s="381" t="s">
        <v>245</v>
      </c>
      <c r="B2" s="477" t="s">
        <v>612</v>
      </c>
      <c r="C2" s="478"/>
      <c r="D2" s="478"/>
      <c r="E2" s="478"/>
      <c r="F2" s="478"/>
      <c r="G2" s="478"/>
      <c r="H2" s="479"/>
      <c r="I2" s="387" t="s">
        <v>613</v>
      </c>
      <c r="J2" s="424"/>
      <c r="K2" s="424"/>
      <c r="L2" s="424"/>
      <c r="M2" s="424"/>
      <c r="N2" s="424"/>
      <c r="O2" s="388"/>
    </row>
    <row r="3" spans="1:15" s="5" customFormat="1" ht="18" customHeight="1" x14ac:dyDescent="0.2">
      <c r="A3" s="383"/>
      <c r="B3" s="25" t="s">
        <v>600</v>
      </c>
      <c r="C3" s="25" t="s">
        <v>601</v>
      </c>
      <c r="D3" s="25" t="s">
        <v>602</v>
      </c>
      <c r="E3" s="25" t="s">
        <v>603</v>
      </c>
      <c r="F3" s="25" t="s">
        <v>604</v>
      </c>
      <c r="G3" s="25" t="s">
        <v>605</v>
      </c>
      <c r="H3" s="25" t="s">
        <v>606</v>
      </c>
      <c r="I3" s="25" t="s">
        <v>600</v>
      </c>
      <c r="J3" s="25" t="s">
        <v>601</v>
      </c>
      <c r="K3" s="25" t="s">
        <v>602</v>
      </c>
      <c r="L3" s="25" t="s">
        <v>603</v>
      </c>
      <c r="M3" s="25" t="s">
        <v>604</v>
      </c>
      <c r="N3" s="25" t="s">
        <v>605</v>
      </c>
      <c r="O3" s="25" t="s">
        <v>606</v>
      </c>
    </row>
    <row r="4" spans="1:15" s="5" customFormat="1" ht="18" customHeight="1" x14ac:dyDescent="0.2">
      <c r="A4" s="3" t="s">
        <v>69</v>
      </c>
      <c r="B4" s="33">
        <v>4612668.1821522499</v>
      </c>
      <c r="C4" s="33">
        <v>161598.72605999999</v>
      </c>
      <c r="D4" s="33">
        <v>194484.71142375001</v>
      </c>
      <c r="E4" s="26">
        <v>46310.029735750002</v>
      </c>
      <c r="F4" s="26">
        <v>43775.688298683999</v>
      </c>
      <c r="G4" s="26">
        <v>42495.631678256002</v>
      </c>
      <c r="H4" s="26">
        <v>36992.214257560001</v>
      </c>
      <c r="I4" s="33">
        <v>3503144</v>
      </c>
      <c r="J4" s="33">
        <v>182368</v>
      </c>
      <c r="K4" s="26">
        <v>98106</v>
      </c>
      <c r="L4" s="26">
        <v>34923</v>
      </c>
      <c r="M4" s="11">
        <v>15886</v>
      </c>
      <c r="N4" s="11">
        <v>11570</v>
      </c>
      <c r="O4" s="11">
        <v>1223</v>
      </c>
    </row>
    <row r="5" spans="1:15" s="5" customFormat="1" ht="18" customHeight="1" x14ac:dyDescent="0.2">
      <c r="A5" s="3" t="s">
        <v>70</v>
      </c>
      <c r="B5" s="33">
        <v>7202747.2050000001</v>
      </c>
      <c r="C5" s="33">
        <v>165575.16339999999</v>
      </c>
      <c r="D5" s="33">
        <v>205148.97769999999</v>
      </c>
      <c r="E5" s="26">
        <v>55165.83109</v>
      </c>
      <c r="F5" s="26">
        <v>41526.615769999997</v>
      </c>
      <c r="G5" s="26">
        <v>31665.992590000002</v>
      </c>
      <c r="H5" s="26">
        <v>1185.7677819999999</v>
      </c>
      <c r="I5" s="33">
        <v>4220790</v>
      </c>
      <c r="J5" s="26">
        <v>63485</v>
      </c>
      <c r="K5" s="26">
        <v>85230</v>
      </c>
      <c r="L5" s="26">
        <v>36283</v>
      </c>
      <c r="M5" s="11">
        <v>31233</v>
      </c>
      <c r="N5" s="11">
        <v>3826</v>
      </c>
      <c r="O5" s="11">
        <v>225</v>
      </c>
    </row>
    <row r="6" spans="1:15" s="5" customFormat="1" ht="18" customHeight="1" x14ac:dyDescent="0.2">
      <c r="A6" s="3" t="s">
        <v>156</v>
      </c>
      <c r="B6" s="33">
        <v>457294.47819724999</v>
      </c>
      <c r="C6" s="26">
        <v>14873.312382</v>
      </c>
      <c r="D6" s="26">
        <v>20143.856600250001</v>
      </c>
      <c r="E6" s="26">
        <v>3936.2091435000002</v>
      </c>
      <c r="F6" s="26">
        <v>2960.4150354399999</v>
      </c>
      <c r="G6" s="26">
        <v>3203.1246109889998</v>
      </c>
      <c r="H6" s="26">
        <v>245.77931183000001</v>
      </c>
      <c r="I6" s="33">
        <v>4824550</v>
      </c>
      <c r="J6" s="33">
        <v>147077</v>
      </c>
      <c r="K6" s="26">
        <v>81673</v>
      </c>
      <c r="L6" s="26">
        <v>27074</v>
      </c>
      <c r="M6" s="11">
        <v>15759</v>
      </c>
      <c r="N6" s="11">
        <v>7322</v>
      </c>
      <c r="O6" s="11">
        <v>2400</v>
      </c>
    </row>
    <row r="7" spans="1:15" s="5" customFormat="1" ht="18" customHeight="1" x14ac:dyDescent="0.2">
      <c r="A7" s="3" t="s">
        <v>157</v>
      </c>
      <c r="B7" s="33">
        <v>631556.09740974999</v>
      </c>
      <c r="C7" s="26">
        <v>18960.307547749999</v>
      </c>
      <c r="D7" s="26">
        <v>20211.804471250001</v>
      </c>
      <c r="E7" s="26">
        <v>4062.5619297500002</v>
      </c>
      <c r="F7" s="26">
        <v>10942.007594872</v>
      </c>
      <c r="G7" s="26">
        <v>3511.383525316</v>
      </c>
      <c r="H7" s="26">
        <v>207.42065819300001</v>
      </c>
      <c r="I7" s="33">
        <v>4522147</v>
      </c>
      <c r="J7" s="33">
        <v>105700</v>
      </c>
      <c r="K7" s="26">
        <v>50420</v>
      </c>
      <c r="L7" s="26">
        <v>31384</v>
      </c>
      <c r="M7" s="11">
        <v>31172</v>
      </c>
      <c r="N7" s="11">
        <v>2990</v>
      </c>
      <c r="O7" s="11">
        <v>1748</v>
      </c>
    </row>
    <row r="8" spans="1:15" s="5" customFormat="1" ht="18" customHeight="1" x14ac:dyDescent="0.2">
      <c r="A8" s="3" t="s">
        <v>158</v>
      </c>
      <c r="B8" s="33">
        <v>556743.34508999996</v>
      </c>
      <c r="C8" s="26">
        <v>17893.9860085</v>
      </c>
      <c r="D8" s="26">
        <v>20172.906346749998</v>
      </c>
      <c r="E8" s="26">
        <v>5562.1592377500001</v>
      </c>
      <c r="F8" s="26">
        <v>7859.9329062320003</v>
      </c>
      <c r="G8" s="26">
        <v>3968.2222009659999</v>
      </c>
      <c r="H8" s="26">
        <v>188.071869472</v>
      </c>
      <c r="I8" s="33">
        <v>4961108</v>
      </c>
      <c r="J8" s="33">
        <v>112949</v>
      </c>
      <c r="K8" s="26">
        <v>47584</v>
      </c>
      <c r="L8" s="26">
        <v>37332</v>
      </c>
      <c r="M8" s="11">
        <v>33279</v>
      </c>
      <c r="N8" s="11">
        <v>8026</v>
      </c>
      <c r="O8" s="11">
        <v>1378</v>
      </c>
    </row>
    <row r="9" spans="1:15" s="5" customFormat="1" ht="18" customHeight="1" x14ac:dyDescent="0.2">
      <c r="A9" s="3" t="s">
        <v>159</v>
      </c>
      <c r="B9" s="33">
        <v>506418.69414124999</v>
      </c>
      <c r="C9" s="26">
        <v>16841.309392499999</v>
      </c>
      <c r="D9" s="26">
        <v>21026.966543250001</v>
      </c>
      <c r="E9" s="26">
        <v>5716.1880380000002</v>
      </c>
      <c r="F9" s="26">
        <v>4185.4096109290003</v>
      </c>
      <c r="G9" s="26">
        <v>4490.1344000070003</v>
      </c>
      <c r="H9" s="26">
        <v>187.260679197</v>
      </c>
      <c r="I9" s="33">
        <v>3684852</v>
      </c>
      <c r="J9" s="33">
        <v>125558</v>
      </c>
      <c r="K9" s="26">
        <v>53196</v>
      </c>
      <c r="L9" s="26">
        <v>35667</v>
      </c>
      <c r="M9" s="11">
        <v>27068</v>
      </c>
      <c r="N9" s="11">
        <v>4482</v>
      </c>
      <c r="O9" s="11">
        <v>1646</v>
      </c>
    </row>
    <row r="10" spans="1:15" s="5" customFormat="1" ht="18" customHeight="1" x14ac:dyDescent="0.2">
      <c r="A10" s="3" t="s">
        <v>160</v>
      </c>
      <c r="B10" s="33">
        <v>698841.78047949995</v>
      </c>
      <c r="C10" s="26">
        <v>17925.436463999999</v>
      </c>
      <c r="D10" s="26">
        <v>18041.729179999998</v>
      </c>
      <c r="E10" s="26">
        <v>6485.2389107500003</v>
      </c>
      <c r="F10" s="26">
        <v>3868.4749710199999</v>
      </c>
      <c r="G10" s="26">
        <v>3593.2577051190001</v>
      </c>
      <c r="H10" s="26">
        <v>125.587598927</v>
      </c>
      <c r="I10" s="33">
        <v>5996455</v>
      </c>
      <c r="J10" s="33">
        <v>174436</v>
      </c>
      <c r="K10" s="26">
        <v>71402</v>
      </c>
      <c r="L10" s="26">
        <v>64390</v>
      </c>
      <c r="M10" s="11">
        <v>25465</v>
      </c>
      <c r="N10" s="11">
        <v>17659</v>
      </c>
      <c r="O10" s="11">
        <v>1102</v>
      </c>
    </row>
    <row r="11" spans="1:15" s="5" customFormat="1" ht="18" customHeight="1" x14ac:dyDescent="0.2">
      <c r="A11" s="3" t="s">
        <v>161</v>
      </c>
      <c r="B11" s="33">
        <v>915275.39201475005</v>
      </c>
      <c r="C11" s="26">
        <v>16015.35233075</v>
      </c>
      <c r="D11" s="26">
        <v>16408.70458075</v>
      </c>
      <c r="E11" s="26">
        <v>5677.0603807500001</v>
      </c>
      <c r="F11" s="26">
        <v>3216.0991029840002</v>
      </c>
      <c r="G11" s="26">
        <v>3297.9759621389999</v>
      </c>
      <c r="H11" s="26">
        <v>50.277777069000003</v>
      </c>
      <c r="I11" s="33">
        <v>4954025</v>
      </c>
      <c r="J11" s="33">
        <v>113994</v>
      </c>
      <c r="K11" s="26">
        <v>46874</v>
      </c>
      <c r="L11" s="26">
        <v>32357</v>
      </c>
      <c r="M11" s="11">
        <v>25039</v>
      </c>
      <c r="N11" s="11">
        <v>4034</v>
      </c>
      <c r="O11" s="11">
        <v>367</v>
      </c>
    </row>
    <row r="12" spans="1:15" s="5" customFormat="1" ht="18" customHeight="1" x14ac:dyDescent="0.2">
      <c r="A12" s="3" t="s">
        <v>162</v>
      </c>
      <c r="B12" s="33">
        <v>735417.74379924999</v>
      </c>
      <c r="C12" s="26">
        <v>15625.98363375</v>
      </c>
      <c r="D12" s="26">
        <v>15992.890299000001</v>
      </c>
      <c r="E12" s="26">
        <v>4962.0828339999998</v>
      </c>
      <c r="F12" s="26">
        <v>3104.9459237330002</v>
      </c>
      <c r="G12" s="26">
        <v>2397.7050626700002</v>
      </c>
      <c r="H12" s="26">
        <v>27.161641609</v>
      </c>
      <c r="I12" s="33">
        <v>3962595</v>
      </c>
      <c r="J12" s="26">
        <v>98443</v>
      </c>
      <c r="K12" s="26">
        <v>38857</v>
      </c>
      <c r="L12" s="26">
        <v>34164</v>
      </c>
      <c r="M12" s="11">
        <v>27433</v>
      </c>
      <c r="N12" s="11">
        <v>3649</v>
      </c>
      <c r="O12" s="11">
        <v>205</v>
      </c>
    </row>
    <row r="13" spans="1:15" s="5" customFormat="1" ht="18" customHeight="1" x14ac:dyDescent="0.2">
      <c r="A13" s="3" t="s">
        <v>163</v>
      </c>
      <c r="B13" s="33">
        <v>645879.39445400005</v>
      </c>
      <c r="C13" s="26">
        <v>11666.892054</v>
      </c>
      <c r="D13" s="26">
        <v>16958.367923000002</v>
      </c>
      <c r="E13" s="26">
        <v>3521.1616852500001</v>
      </c>
      <c r="F13" s="26">
        <v>1463.859419225</v>
      </c>
      <c r="G13" s="26">
        <v>2140.7140491159998</v>
      </c>
      <c r="H13" s="26">
        <v>29.898967068000001</v>
      </c>
      <c r="I13" s="33">
        <v>3513292</v>
      </c>
      <c r="J13" s="26">
        <v>73612</v>
      </c>
      <c r="K13" s="26">
        <v>35961</v>
      </c>
      <c r="L13" s="26">
        <v>25794</v>
      </c>
      <c r="M13" s="11">
        <v>28894</v>
      </c>
      <c r="N13" s="11">
        <v>4643</v>
      </c>
      <c r="O13" s="11">
        <v>279</v>
      </c>
    </row>
    <row r="14" spans="1:15" s="5" customFormat="1" ht="18" customHeight="1" x14ac:dyDescent="0.2">
      <c r="A14" s="3" t="s">
        <v>164</v>
      </c>
      <c r="B14" s="33">
        <v>708035.38184475002</v>
      </c>
      <c r="C14" s="26">
        <v>11525.2604775</v>
      </c>
      <c r="D14" s="26">
        <v>15287.874512</v>
      </c>
      <c r="E14" s="26">
        <v>4107.5236514999997</v>
      </c>
      <c r="F14" s="26">
        <v>1416.8349206079999</v>
      </c>
      <c r="G14" s="26">
        <v>1392.594420597</v>
      </c>
      <c r="H14" s="26">
        <v>38.488997339999997</v>
      </c>
      <c r="I14" s="33">
        <v>3602162</v>
      </c>
      <c r="J14" s="26">
        <v>57285</v>
      </c>
      <c r="K14" s="26">
        <v>27736</v>
      </c>
      <c r="L14" s="26">
        <v>30879</v>
      </c>
      <c r="M14" s="11">
        <v>28086</v>
      </c>
      <c r="N14" s="11">
        <v>3166</v>
      </c>
      <c r="O14" s="11">
        <v>752</v>
      </c>
    </row>
    <row r="15" spans="1:15" s="5" customFormat="1" ht="18" customHeight="1" x14ac:dyDescent="0.2">
      <c r="A15" s="3" t="s">
        <v>165</v>
      </c>
      <c r="B15" s="33">
        <v>703691.18967624998</v>
      </c>
      <c r="C15" s="26">
        <v>14038.62786325</v>
      </c>
      <c r="D15" s="26">
        <v>21351.362720500001</v>
      </c>
      <c r="E15" s="26">
        <v>6912.2316394999998</v>
      </c>
      <c r="F15" s="26">
        <v>1481.3517704010001</v>
      </c>
      <c r="G15" s="26">
        <v>1949.000506092</v>
      </c>
      <c r="H15" s="26">
        <v>58.826698935000003</v>
      </c>
      <c r="I15" s="33">
        <v>3588739</v>
      </c>
      <c r="J15" s="26">
        <v>86410</v>
      </c>
      <c r="K15" s="26">
        <v>59962</v>
      </c>
      <c r="L15" s="26">
        <v>53047</v>
      </c>
      <c r="M15" s="11">
        <v>31097</v>
      </c>
      <c r="N15" s="11">
        <v>4485</v>
      </c>
      <c r="O15" s="11">
        <v>664</v>
      </c>
    </row>
    <row r="16" spans="1:15" s="5" customFormat="1" ht="18" customHeight="1" x14ac:dyDescent="0.2">
      <c r="A16" s="3" t="s">
        <v>166</v>
      </c>
      <c r="B16" s="33">
        <v>643593.70770000003</v>
      </c>
      <c r="C16" s="26">
        <v>10208.6952</v>
      </c>
      <c r="D16" s="26">
        <v>19552.514520000001</v>
      </c>
      <c r="E16" s="26">
        <v>4223.4136390000003</v>
      </c>
      <c r="F16" s="26">
        <v>1027.2845159999999</v>
      </c>
      <c r="G16" s="26">
        <v>1721.880146</v>
      </c>
      <c r="H16" s="26">
        <v>26.993582549999999</v>
      </c>
      <c r="I16" s="33">
        <v>4220790</v>
      </c>
      <c r="J16" s="26">
        <v>63485</v>
      </c>
      <c r="K16" s="26">
        <v>85230</v>
      </c>
      <c r="L16" s="26">
        <v>36283</v>
      </c>
      <c r="M16" s="11">
        <v>31233</v>
      </c>
      <c r="N16" s="11">
        <v>3826</v>
      </c>
      <c r="O16" s="11">
        <v>225</v>
      </c>
    </row>
    <row r="17" spans="1:9" s="5" customFormat="1" ht="14.25" customHeight="1" x14ac:dyDescent="0.2">
      <c r="A17" s="371" t="s">
        <v>614</v>
      </c>
      <c r="B17" s="371"/>
      <c r="C17" s="371"/>
      <c r="D17" s="371"/>
      <c r="E17" s="371"/>
      <c r="F17" s="371"/>
      <c r="G17" s="371"/>
      <c r="H17" s="371"/>
      <c r="I17" s="371"/>
    </row>
    <row r="18" spans="1:9" s="5" customFormat="1" ht="13.5" customHeight="1" x14ac:dyDescent="0.2">
      <c r="A18" s="371" t="s">
        <v>615</v>
      </c>
      <c r="B18" s="371"/>
      <c r="C18" s="371"/>
      <c r="D18" s="371"/>
      <c r="E18" s="371"/>
      <c r="F18" s="371"/>
      <c r="G18" s="371"/>
      <c r="H18" s="371"/>
      <c r="I18" s="371"/>
    </row>
    <row r="19" spans="1:9" s="5" customFormat="1" ht="13.5" customHeight="1" x14ac:dyDescent="0.2">
      <c r="A19" s="371" t="s">
        <v>105</v>
      </c>
      <c r="B19" s="371"/>
      <c r="C19" s="371"/>
      <c r="D19" s="371"/>
      <c r="E19" s="371"/>
      <c r="F19" s="371"/>
      <c r="G19" s="371"/>
      <c r="H19" s="371"/>
      <c r="I19" s="371"/>
    </row>
    <row r="20" spans="1:9" s="5" customFormat="1" ht="13.5" customHeight="1" x14ac:dyDescent="0.2">
      <c r="A20" s="371" t="s">
        <v>441</v>
      </c>
      <c r="B20" s="371"/>
      <c r="C20" s="371"/>
      <c r="D20" s="371"/>
      <c r="E20" s="371"/>
      <c r="F20" s="371"/>
      <c r="G20" s="371"/>
      <c r="H20" s="371"/>
      <c r="I20" s="371"/>
    </row>
    <row r="21" spans="1:9" s="5" customFormat="1" ht="24.6" customHeight="1" x14ac:dyDescent="0.2"/>
  </sheetData>
  <customSheetViews>
    <customSheetView guid="{B9B27D37-53F8-4AD8-9221-6458C3026417}"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8">
    <mergeCell ref="A19:I19"/>
    <mergeCell ref="A20:I20"/>
    <mergeCell ref="A1:G1"/>
    <mergeCell ref="A2:A3"/>
    <mergeCell ref="B2:H2"/>
    <mergeCell ref="I2:O2"/>
    <mergeCell ref="A17:I17"/>
    <mergeCell ref="A18:I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1"/>
  <sheetViews>
    <sheetView zoomScaleNormal="100"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403" t="s">
        <v>616</v>
      </c>
      <c r="B1" s="403"/>
      <c r="C1" s="403"/>
      <c r="D1" s="403"/>
      <c r="E1" s="403"/>
      <c r="F1" s="403"/>
      <c r="G1" s="403"/>
    </row>
    <row r="2" spans="1:9" s="5" customFormat="1" ht="27" customHeight="1" x14ac:dyDescent="0.2">
      <c r="A2" s="381" t="s">
        <v>245</v>
      </c>
      <c r="B2" s="477" t="s">
        <v>283</v>
      </c>
      <c r="C2" s="478"/>
      <c r="D2" s="478"/>
      <c r="E2" s="479"/>
      <c r="F2" s="480" t="s">
        <v>617</v>
      </c>
      <c r="G2" s="481"/>
      <c r="H2" s="481"/>
      <c r="I2" s="482"/>
    </row>
    <row r="3" spans="1:9" s="5" customFormat="1" ht="18" customHeight="1" x14ac:dyDescent="0.2">
      <c r="A3" s="383"/>
      <c r="B3" s="25" t="s">
        <v>600</v>
      </c>
      <c r="C3" s="25" t="s">
        <v>601</v>
      </c>
      <c r="D3" s="25" t="s">
        <v>602</v>
      </c>
      <c r="E3" s="25" t="s">
        <v>603</v>
      </c>
      <c r="F3" s="25" t="s">
        <v>600</v>
      </c>
      <c r="G3" s="25" t="s">
        <v>601</v>
      </c>
      <c r="H3" s="25" t="s">
        <v>602</v>
      </c>
      <c r="I3" s="25" t="s">
        <v>603</v>
      </c>
    </row>
    <row r="4" spans="1:9" s="5" customFormat="1" ht="18" customHeight="1" x14ac:dyDescent="0.2">
      <c r="A4" s="3" t="s">
        <v>69</v>
      </c>
      <c r="B4" s="33">
        <v>113894.65919999999</v>
      </c>
      <c r="C4" s="26">
        <v>709.25929974999997</v>
      </c>
      <c r="D4" s="26">
        <v>942.47781725000004</v>
      </c>
      <c r="E4" s="26">
        <v>186.38497475</v>
      </c>
      <c r="F4" s="26">
        <v>93395</v>
      </c>
      <c r="G4" s="26">
        <v>1292</v>
      </c>
      <c r="H4" s="26">
        <v>906</v>
      </c>
      <c r="I4" s="26">
        <v>44</v>
      </c>
    </row>
    <row r="5" spans="1:9" s="5" customFormat="1" ht="18" customHeight="1" x14ac:dyDescent="0.2">
      <c r="A5" s="3" t="s">
        <v>70</v>
      </c>
      <c r="B5" s="26">
        <v>43034.752092499999</v>
      </c>
      <c r="C5" s="26">
        <v>547.86454749999996</v>
      </c>
      <c r="D5" s="26">
        <v>932.678088</v>
      </c>
      <c r="E5" s="26">
        <v>20.795930250000001</v>
      </c>
      <c r="F5" s="26">
        <v>15098</v>
      </c>
      <c r="G5" s="26">
        <v>58</v>
      </c>
      <c r="H5" s="26">
        <v>1866</v>
      </c>
      <c r="I5" s="26">
        <v>16</v>
      </c>
    </row>
    <row r="6" spans="1:9" s="5" customFormat="1" ht="18" customHeight="1" x14ac:dyDescent="0.2">
      <c r="A6" s="3" t="s">
        <v>156</v>
      </c>
      <c r="B6" s="26">
        <v>6474.7276442499997</v>
      </c>
      <c r="C6" s="26">
        <v>30.44703775</v>
      </c>
      <c r="D6" s="26">
        <v>63.302846250000002</v>
      </c>
      <c r="E6" s="26">
        <v>2.4825932499999999</v>
      </c>
      <c r="F6" s="26">
        <v>81339</v>
      </c>
      <c r="G6" s="26">
        <v>666</v>
      </c>
      <c r="H6" s="26">
        <v>869</v>
      </c>
      <c r="I6" s="26">
        <v>53</v>
      </c>
    </row>
    <row r="7" spans="1:9" s="5" customFormat="1" ht="18" customHeight="1" x14ac:dyDescent="0.2">
      <c r="A7" s="3" t="s">
        <v>157</v>
      </c>
      <c r="B7" s="26">
        <v>7131.3881149999997</v>
      </c>
      <c r="C7" s="26">
        <v>58.711927250000002</v>
      </c>
      <c r="D7" s="26">
        <v>44.624410500000003</v>
      </c>
      <c r="E7" s="26">
        <v>2.268332</v>
      </c>
      <c r="F7" s="26">
        <v>49725</v>
      </c>
      <c r="G7" s="26">
        <v>309</v>
      </c>
      <c r="H7" s="26">
        <v>716</v>
      </c>
      <c r="I7" s="26">
        <v>49</v>
      </c>
    </row>
    <row r="8" spans="1:9" s="5" customFormat="1" ht="18" customHeight="1" x14ac:dyDescent="0.2">
      <c r="A8" s="3" t="s">
        <v>158</v>
      </c>
      <c r="B8" s="26">
        <v>5023.193209</v>
      </c>
      <c r="C8" s="26">
        <v>96.384553499999996</v>
      </c>
      <c r="D8" s="26">
        <v>132.78991629999999</v>
      </c>
      <c r="E8" s="26">
        <v>4.7971367499999999</v>
      </c>
      <c r="F8" s="26">
        <v>35087</v>
      </c>
      <c r="G8" s="26">
        <v>164</v>
      </c>
      <c r="H8" s="26">
        <v>642</v>
      </c>
      <c r="I8" s="26">
        <v>30</v>
      </c>
    </row>
    <row r="9" spans="1:9" s="5" customFormat="1" ht="18" customHeight="1" x14ac:dyDescent="0.2">
      <c r="A9" s="3" t="s">
        <v>159</v>
      </c>
      <c r="B9" s="26">
        <v>8204.5265629999994</v>
      </c>
      <c r="C9" s="26">
        <v>68.979590000000002</v>
      </c>
      <c r="D9" s="26">
        <v>119.30727</v>
      </c>
      <c r="E9" s="26">
        <v>1.4601122499999999</v>
      </c>
      <c r="F9" s="26">
        <v>30990</v>
      </c>
      <c r="G9" s="26">
        <v>196</v>
      </c>
      <c r="H9" s="26">
        <v>666</v>
      </c>
      <c r="I9" s="26">
        <v>19</v>
      </c>
    </row>
    <row r="10" spans="1:9" s="5" customFormat="1" ht="18" customHeight="1" x14ac:dyDescent="0.2">
      <c r="A10" s="3" t="s">
        <v>160</v>
      </c>
      <c r="B10" s="26">
        <v>3611.54</v>
      </c>
      <c r="C10" s="26">
        <v>58.7</v>
      </c>
      <c r="D10" s="26">
        <v>95.17</v>
      </c>
      <c r="E10" s="26">
        <v>1.37</v>
      </c>
      <c r="F10" s="26">
        <v>35992</v>
      </c>
      <c r="G10" s="26">
        <v>420</v>
      </c>
      <c r="H10" s="26">
        <v>207</v>
      </c>
      <c r="I10" s="26">
        <v>25</v>
      </c>
    </row>
    <row r="11" spans="1:9" s="5" customFormat="1" ht="18" customHeight="1" x14ac:dyDescent="0.2">
      <c r="A11" s="3" t="s">
        <v>161</v>
      </c>
      <c r="B11" s="26">
        <v>3875.51629125</v>
      </c>
      <c r="C11" s="26">
        <v>58.985829250000002</v>
      </c>
      <c r="D11" s="26">
        <v>55.511549000000002</v>
      </c>
      <c r="E11" s="26">
        <v>1.3488975000000001</v>
      </c>
      <c r="F11" s="26">
        <v>16479</v>
      </c>
      <c r="G11" s="26">
        <v>262</v>
      </c>
      <c r="H11" s="26">
        <v>274</v>
      </c>
      <c r="I11" s="26">
        <v>8</v>
      </c>
    </row>
    <row r="12" spans="1:9" s="5" customFormat="1" ht="18" customHeight="1" x14ac:dyDescent="0.2">
      <c r="A12" s="3" t="s">
        <v>162</v>
      </c>
      <c r="B12" s="26">
        <v>2751.6784229999998</v>
      </c>
      <c r="C12" s="26">
        <v>38.819264750000002</v>
      </c>
      <c r="D12" s="26">
        <v>108.25012150000001</v>
      </c>
      <c r="E12" s="26">
        <v>1.6449015</v>
      </c>
      <c r="F12" s="26">
        <v>16232</v>
      </c>
      <c r="G12" s="26">
        <v>123</v>
      </c>
      <c r="H12" s="26">
        <v>1117</v>
      </c>
      <c r="I12" s="26">
        <v>4</v>
      </c>
    </row>
    <row r="13" spans="1:9" s="5" customFormat="1" ht="18" customHeight="1" x14ac:dyDescent="0.2">
      <c r="A13" s="3" t="s">
        <v>163</v>
      </c>
      <c r="B13" s="26">
        <v>1924.4182197499999</v>
      </c>
      <c r="C13" s="26">
        <v>32.599251000000002</v>
      </c>
      <c r="D13" s="26">
        <v>92.644182999999998</v>
      </c>
      <c r="E13" s="26">
        <v>1.1134839999999999</v>
      </c>
      <c r="F13" s="26">
        <v>11648</v>
      </c>
      <c r="G13" s="26">
        <v>61</v>
      </c>
      <c r="H13" s="26">
        <v>182</v>
      </c>
      <c r="I13" s="26">
        <v>15</v>
      </c>
    </row>
    <row r="14" spans="1:9" s="5" customFormat="1" ht="18" customHeight="1" x14ac:dyDescent="0.2">
      <c r="A14" s="3" t="s">
        <v>164</v>
      </c>
      <c r="B14" s="26">
        <v>1175.2570270000001</v>
      </c>
      <c r="C14" s="26">
        <v>44.353554750000001</v>
      </c>
      <c r="D14" s="26">
        <v>68.599884750000001</v>
      </c>
      <c r="E14" s="26">
        <v>1.0303450000000001</v>
      </c>
      <c r="F14" s="26">
        <v>13142</v>
      </c>
      <c r="G14" s="26">
        <v>306</v>
      </c>
      <c r="H14" s="26">
        <v>500</v>
      </c>
      <c r="I14" s="26">
        <v>22</v>
      </c>
    </row>
    <row r="15" spans="1:9" s="5" customFormat="1" ht="18" customHeight="1" x14ac:dyDescent="0.2">
      <c r="A15" s="3" t="s">
        <v>165</v>
      </c>
      <c r="B15" s="26">
        <v>1478.7378247500001</v>
      </c>
      <c r="C15" s="26">
        <v>17.332912</v>
      </c>
      <c r="D15" s="26">
        <v>58.909115749999998</v>
      </c>
      <c r="E15" s="26">
        <v>1.8618444999999999</v>
      </c>
      <c r="F15" s="26">
        <v>12304</v>
      </c>
      <c r="G15" s="26">
        <v>85</v>
      </c>
      <c r="H15" s="26">
        <v>1100</v>
      </c>
      <c r="I15" s="26">
        <v>57</v>
      </c>
    </row>
    <row r="16" spans="1:9" s="5" customFormat="1" ht="18" customHeight="1" x14ac:dyDescent="0.2">
      <c r="A16" s="3" t="s">
        <v>166</v>
      </c>
      <c r="B16" s="26">
        <v>1383.7721972500001</v>
      </c>
      <c r="C16" s="26">
        <v>42.554454</v>
      </c>
      <c r="D16" s="26">
        <v>93.570769749999997</v>
      </c>
      <c r="E16" s="26">
        <v>1.41632925</v>
      </c>
      <c r="F16" s="26">
        <v>15098</v>
      </c>
      <c r="G16" s="26">
        <v>58</v>
      </c>
      <c r="H16" s="26">
        <v>1866</v>
      </c>
      <c r="I16" s="26">
        <v>16</v>
      </c>
    </row>
    <row r="17" spans="1:9" s="5" customFormat="1" ht="14.25" customHeight="1" x14ac:dyDescent="0.2">
      <c r="A17" s="371" t="s">
        <v>105</v>
      </c>
      <c r="B17" s="371"/>
      <c r="C17" s="371"/>
      <c r="D17" s="371"/>
      <c r="E17" s="371"/>
      <c r="F17" s="371"/>
      <c r="G17" s="371"/>
      <c r="H17" s="371"/>
      <c r="I17" s="371"/>
    </row>
    <row r="18" spans="1:9" s="5" customFormat="1" ht="13.5" customHeight="1" x14ac:dyDescent="0.2">
      <c r="A18" s="371" t="s">
        <v>618</v>
      </c>
      <c r="B18" s="371"/>
      <c r="C18" s="371"/>
      <c r="D18" s="371"/>
      <c r="E18" s="371"/>
      <c r="F18" s="371"/>
      <c r="G18" s="371"/>
      <c r="H18" s="371"/>
      <c r="I18" s="371"/>
    </row>
    <row r="19" spans="1:9" s="5" customFormat="1" ht="13.5" customHeight="1" x14ac:dyDescent="0.2">
      <c r="A19" s="371" t="s">
        <v>619</v>
      </c>
      <c r="B19" s="371"/>
      <c r="C19" s="371"/>
      <c r="D19" s="371"/>
      <c r="E19" s="371"/>
      <c r="F19" s="371"/>
      <c r="G19" s="371"/>
      <c r="H19" s="371"/>
      <c r="I19" s="371"/>
    </row>
    <row r="20" spans="1:9" s="5" customFormat="1" ht="13.5" customHeight="1" x14ac:dyDescent="0.2">
      <c r="A20" s="371" t="s">
        <v>305</v>
      </c>
      <c r="B20" s="371"/>
      <c r="C20" s="371"/>
      <c r="D20" s="371"/>
      <c r="E20" s="371"/>
      <c r="F20" s="371"/>
      <c r="G20" s="371"/>
      <c r="H20" s="371"/>
      <c r="I20" s="371"/>
    </row>
    <row r="21" spans="1:9" s="5" customFormat="1" ht="24.6" customHeight="1" x14ac:dyDescent="0.2"/>
  </sheetData>
  <customSheetViews>
    <customSheetView guid="{B9B27D37-53F8-4AD8-9221-6458C3026417}"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G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8">
    <mergeCell ref="A19:I19"/>
    <mergeCell ref="A20:I20"/>
    <mergeCell ref="A1:G1"/>
    <mergeCell ref="A2:A3"/>
    <mergeCell ref="B2:E2"/>
    <mergeCell ref="F2:I2"/>
    <mergeCell ref="A17:I17"/>
    <mergeCell ref="A18:I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J19"/>
  <sheetViews>
    <sheetView zoomScaleNormal="100" workbookViewId="0">
      <selection sqref="A1:J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455" t="s">
        <v>620</v>
      </c>
      <c r="B1" s="455"/>
      <c r="C1" s="455"/>
      <c r="D1" s="455"/>
      <c r="E1" s="455"/>
      <c r="F1" s="455"/>
      <c r="G1" s="455"/>
      <c r="H1" s="455"/>
      <c r="I1" s="455"/>
      <c r="J1" s="455"/>
    </row>
    <row r="2" spans="1:10" s="5" customFormat="1" ht="19.5" customHeight="1" x14ac:dyDescent="0.2">
      <c r="A2" s="381" t="s">
        <v>245</v>
      </c>
      <c r="B2" s="387" t="s">
        <v>586</v>
      </c>
      <c r="C2" s="424"/>
      <c r="D2" s="424"/>
      <c r="E2" s="388"/>
      <c r="F2" s="387" t="s">
        <v>594</v>
      </c>
      <c r="G2" s="424"/>
      <c r="H2" s="424"/>
      <c r="I2" s="388"/>
    </row>
    <row r="3" spans="1:10" s="5" customFormat="1" ht="15" customHeight="1" x14ac:dyDescent="0.2">
      <c r="A3" s="383"/>
      <c r="B3" s="25" t="s">
        <v>621</v>
      </c>
      <c r="C3" s="25" t="s">
        <v>622</v>
      </c>
      <c r="D3" s="25" t="s">
        <v>623</v>
      </c>
      <c r="E3" s="25" t="s">
        <v>624</v>
      </c>
      <c r="F3" s="25" t="s">
        <v>621</v>
      </c>
      <c r="G3" s="25" t="s">
        <v>622</v>
      </c>
      <c r="H3" s="25" t="s">
        <v>623</v>
      </c>
      <c r="I3" s="25" t="s">
        <v>624</v>
      </c>
    </row>
    <row r="4" spans="1:10" s="5" customFormat="1" ht="17.25" customHeight="1" x14ac:dyDescent="0.2">
      <c r="A4" s="3" t="s">
        <v>69</v>
      </c>
      <c r="B4" s="33">
        <v>1780792.27</v>
      </c>
      <c r="C4" s="33">
        <v>257394.97700000001</v>
      </c>
      <c r="D4" s="26">
        <v>14923.934600000001</v>
      </c>
      <c r="E4" s="26">
        <v>3215.2645000000002</v>
      </c>
      <c r="F4" s="33">
        <v>2121666.6663000002</v>
      </c>
      <c r="G4" s="33">
        <v>242715.17449999999</v>
      </c>
      <c r="H4" s="26">
        <v>4734.7311</v>
      </c>
      <c r="I4" s="26">
        <v>938.81700000000001</v>
      </c>
    </row>
    <row r="5" spans="1:10" s="5" customFormat="1" ht="17.25" customHeight="1" x14ac:dyDescent="0.2">
      <c r="A5" s="3" t="s">
        <v>70</v>
      </c>
      <c r="B5" s="33">
        <v>2632813.8917999999</v>
      </c>
      <c r="C5" s="33">
        <v>320351.54239999998</v>
      </c>
      <c r="D5" s="26">
        <v>8309.8878999999997</v>
      </c>
      <c r="E5" s="26">
        <v>1587.5340000000001</v>
      </c>
      <c r="F5" s="33">
        <v>3421476.5016999999</v>
      </c>
      <c r="G5" s="33">
        <v>301592.82630000002</v>
      </c>
      <c r="H5" s="26">
        <v>1132.1235999999999</v>
      </c>
      <c r="I5" s="26">
        <v>127.16419999999999</v>
      </c>
    </row>
    <row r="6" spans="1:10" s="5" customFormat="1" ht="17.25" customHeight="1" x14ac:dyDescent="0.2">
      <c r="A6" s="3" t="s">
        <v>156</v>
      </c>
      <c r="B6" s="33">
        <v>172464.04949999999</v>
      </c>
      <c r="C6" s="26">
        <v>29834.3334</v>
      </c>
      <c r="D6" s="26">
        <v>737.9049</v>
      </c>
      <c r="E6" s="26">
        <v>38.466799999999999</v>
      </c>
      <c r="F6" s="33">
        <v>268708.33590000001</v>
      </c>
      <c r="G6" s="26">
        <v>36303.749499999998</v>
      </c>
      <c r="H6" s="26">
        <v>178.20410000000001</v>
      </c>
      <c r="I6" s="26">
        <v>6.7462999999999997</v>
      </c>
    </row>
    <row r="7" spans="1:10" s="5" customFormat="1" ht="17.25" customHeight="1" x14ac:dyDescent="0.2">
      <c r="A7" s="3" t="s">
        <v>157</v>
      </c>
      <c r="B7" s="33">
        <v>248017.25320000001</v>
      </c>
      <c r="C7" s="26">
        <v>39004.463300000003</v>
      </c>
      <c r="D7" s="26">
        <v>694.38879999999995</v>
      </c>
      <c r="E7" s="26">
        <v>78.995500000000007</v>
      </c>
      <c r="F7" s="33">
        <v>382200.43640000001</v>
      </c>
      <c r="G7" s="26">
        <v>56483.560799999999</v>
      </c>
      <c r="H7" s="26">
        <v>178.65559999999999</v>
      </c>
      <c r="I7" s="26">
        <v>44.395499999999998</v>
      </c>
    </row>
    <row r="8" spans="1:10" s="5" customFormat="1" ht="17.25" customHeight="1" x14ac:dyDescent="0.2">
      <c r="A8" s="3" t="s">
        <v>158</v>
      </c>
      <c r="B8" s="33">
        <v>266768.28019999998</v>
      </c>
      <c r="C8" s="26">
        <v>44853.971299999997</v>
      </c>
      <c r="D8" s="26">
        <v>922.32140000000004</v>
      </c>
      <c r="E8" s="26">
        <v>53.286999999999999</v>
      </c>
      <c r="F8" s="33">
        <v>335804.79399999999</v>
      </c>
      <c r="G8" s="26">
        <v>64566.970200000003</v>
      </c>
      <c r="H8" s="26">
        <v>257.62</v>
      </c>
      <c r="I8" s="26">
        <v>11.1637</v>
      </c>
    </row>
    <row r="9" spans="1:10" s="5" customFormat="1" ht="17.25" customHeight="1" x14ac:dyDescent="0.2">
      <c r="A9" s="3" t="s">
        <v>159</v>
      </c>
      <c r="B9" s="33">
        <v>229620.3658</v>
      </c>
      <c r="C9" s="26">
        <v>25172.678</v>
      </c>
      <c r="D9" s="26">
        <v>683.77120000000002</v>
      </c>
      <c r="E9" s="26">
        <v>889.38720000000001</v>
      </c>
      <c r="F9" s="33">
        <v>354707.2684</v>
      </c>
      <c r="G9" s="26">
        <v>34055.645400000001</v>
      </c>
      <c r="H9" s="26">
        <v>44.454300000000003</v>
      </c>
      <c r="I9" s="26">
        <v>6.5678999999999998</v>
      </c>
    </row>
    <row r="10" spans="1:10" s="5" customFormat="1" ht="17.25" customHeight="1" x14ac:dyDescent="0.2">
      <c r="A10" s="3" t="s">
        <v>160</v>
      </c>
      <c r="B10" s="33">
        <v>255467.19</v>
      </c>
      <c r="C10" s="26">
        <v>30913.91</v>
      </c>
      <c r="D10" s="26">
        <v>575.41</v>
      </c>
      <c r="E10" s="26">
        <v>72.260000000000005</v>
      </c>
      <c r="F10" s="33">
        <v>360701.72</v>
      </c>
      <c r="G10" s="26">
        <v>27711.85</v>
      </c>
      <c r="H10" s="26">
        <v>98.97</v>
      </c>
      <c r="I10" s="26">
        <v>6.07</v>
      </c>
    </row>
    <row r="11" spans="1:10" s="5" customFormat="1" ht="17.25" customHeight="1" x14ac:dyDescent="0.2">
      <c r="A11" s="3" t="s">
        <v>161</v>
      </c>
      <c r="B11" s="33">
        <v>297641.8</v>
      </c>
      <c r="C11" s="26">
        <v>29632.89</v>
      </c>
      <c r="D11" s="26">
        <v>580.88</v>
      </c>
      <c r="E11" s="26">
        <v>51.27</v>
      </c>
      <c r="F11" s="33">
        <v>328172.59999999998</v>
      </c>
      <c r="G11" s="26">
        <v>12874.15</v>
      </c>
      <c r="H11" s="26">
        <v>303.95999999999998</v>
      </c>
      <c r="I11" s="26">
        <v>46.98</v>
      </c>
    </row>
    <row r="12" spans="1:10" s="5" customFormat="1" ht="17.25" customHeight="1" x14ac:dyDescent="0.2">
      <c r="A12" s="3" t="s">
        <v>162</v>
      </c>
      <c r="B12" s="33">
        <v>273134.18</v>
      </c>
      <c r="C12" s="26">
        <v>27408.23</v>
      </c>
      <c r="D12" s="26">
        <v>894.67</v>
      </c>
      <c r="E12" s="26">
        <v>96.19</v>
      </c>
      <c r="F12" s="33">
        <v>313674.63</v>
      </c>
      <c r="G12" s="26">
        <v>18228.41</v>
      </c>
      <c r="H12" s="26">
        <v>39.549999999999997</v>
      </c>
      <c r="I12" s="26">
        <v>0</v>
      </c>
    </row>
    <row r="13" spans="1:10" s="5" customFormat="1" ht="17.25" customHeight="1" x14ac:dyDescent="0.2">
      <c r="A13" s="3" t="s">
        <v>163</v>
      </c>
      <c r="B13" s="33">
        <v>222269.12659999999</v>
      </c>
      <c r="C13" s="26">
        <v>25297.426599999999</v>
      </c>
      <c r="D13" s="26">
        <v>906.53480000000002</v>
      </c>
      <c r="E13" s="26">
        <v>38.999499999999998</v>
      </c>
      <c r="F13" s="33">
        <v>300532.75839999999</v>
      </c>
      <c r="G13" s="26">
        <v>17649.139299999999</v>
      </c>
      <c r="H13" s="26">
        <v>19.0444</v>
      </c>
      <c r="I13" s="26">
        <v>1.1125</v>
      </c>
    </row>
    <row r="14" spans="1:10" s="5" customFormat="1" ht="17.25" customHeight="1" x14ac:dyDescent="0.2">
      <c r="A14" s="3" t="s">
        <v>164</v>
      </c>
      <c r="B14" s="33">
        <v>249354.2568</v>
      </c>
      <c r="C14" s="26">
        <v>22482.780699999999</v>
      </c>
      <c r="D14" s="26">
        <v>683.59889999999996</v>
      </c>
      <c r="E14" s="26">
        <v>62.962899999999998</v>
      </c>
      <c r="F14" s="33">
        <v>225382.43979999999</v>
      </c>
      <c r="G14" s="26">
        <v>7120.8534</v>
      </c>
      <c r="H14" s="26">
        <v>4.4074999999999998</v>
      </c>
      <c r="I14" s="26">
        <v>4.1231</v>
      </c>
    </row>
    <row r="15" spans="1:10" s="5" customFormat="1" ht="17.25" customHeight="1" x14ac:dyDescent="0.2">
      <c r="A15" s="3" t="s">
        <v>165</v>
      </c>
      <c r="B15" s="33">
        <v>215598.91469999999</v>
      </c>
      <c r="C15" s="26">
        <v>21778.307700000001</v>
      </c>
      <c r="D15" s="26">
        <v>888.28639999999996</v>
      </c>
      <c r="E15" s="26">
        <v>25.941800000000001</v>
      </c>
      <c r="F15" s="33">
        <v>308670.45159999997</v>
      </c>
      <c r="G15" s="26">
        <v>11972.3447</v>
      </c>
      <c r="H15" s="26">
        <v>5.4314999999999998</v>
      </c>
      <c r="I15" s="26">
        <v>0</v>
      </c>
    </row>
    <row r="16" spans="1:10" s="5" customFormat="1" ht="17.25" customHeight="1" x14ac:dyDescent="0.2">
      <c r="A16" s="3" t="s">
        <v>166</v>
      </c>
      <c r="B16" s="33">
        <v>202478.48300000001</v>
      </c>
      <c r="C16" s="26">
        <v>23972.5556</v>
      </c>
      <c r="D16" s="26">
        <v>742.12879999999996</v>
      </c>
      <c r="E16" s="26">
        <v>179.7764</v>
      </c>
      <c r="F16" s="33">
        <v>242921.0632</v>
      </c>
      <c r="G16" s="26">
        <v>14626.152599999999</v>
      </c>
      <c r="H16" s="26">
        <v>1.8241000000000001</v>
      </c>
      <c r="I16" s="26">
        <v>0</v>
      </c>
    </row>
    <row r="17" spans="1:9" s="5" customFormat="1" ht="15" customHeight="1" x14ac:dyDescent="0.2">
      <c r="A17" s="391" t="s">
        <v>105</v>
      </c>
      <c r="B17" s="391"/>
      <c r="C17" s="391"/>
      <c r="D17" s="391"/>
      <c r="E17" s="391"/>
      <c r="F17" s="391"/>
      <c r="G17" s="391"/>
      <c r="H17" s="391"/>
      <c r="I17" s="391"/>
    </row>
    <row r="18" spans="1:9" s="5" customFormat="1" ht="13.5" customHeight="1" x14ac:dyDescent="0.2">
      <c r="A18" s="391" t="s">
        <v>592</v>
      </c>
      <c r="B18" s="391"/>
      <c r="C18" s="391"/>
      <c r="D18" s="391"/>
      <c r="E18" s="391"/>
      <c r="F18" s="391"/>
      <c r="G18" s="391"/>
      <c r="H18" s="391"/>
      <c r="I18" s="391"/>
    </row>
    <row r="19" spans="1:9" s="5" customFormat="1" ht="28.35" customHeight="1" x14ac:dyDescent="0.2"/>
  </sheetData>
  <customSheetViews>
    <customSheetView guid="{B9B27D37-53F8-4AD8-9221-6458C3026417}" fitToPage="1">
      <selection sqref="A1:J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J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6">
    <mergeCell ref="A18:I18"/>
    <mergeCell ref="A1:J1"/>
    <mergeCell ref="A2:A3"/>
    <mergeCell ref="B2:E2"/>
    <mergeCell ref="F2:I2"/>
    <mergeCell ref="A17:I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I19"/>
  <sheetViews>
    <sheetView zoomScaleNormal="100" workbookViewId="0">
      <selection sqref="A1:I1"/>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425" t="s">
        <v>625</v>
      </c>
      <c r="B1" s="425"/>
      <c r="C1" s="425"/>
      <c r="D1" s="425"/>
      <c r="E1" s="425"/>
      <c r="F1" s="425"/>
      <c r="G1" s="425"/>
      <c r="H1" s="425"/>
      <c r="I1" s="425"/>
    </row>
    <row r="2" spans="1:9" s="5" customFormat="1" ht="18" customHeight="1" x14ac:dyDescent="0.2">
      <c r="A2" s="409" t="s">
        <v>245</v>
      </c>
      <c r="B2" s="387" t="s">
        <v>626</v>
      </c>
      <c r="C2" s="424"/>
      <c r="D2" s="424"/>
      <c r="E2" s="388"/>
      <c r="F2" s="387" t="s">
        <v>594</v>
      </c>
      <c r="G2" s="424"/>
      <c r="H2" s="424"/>
      <c r="I2" s="388"/>
    </row>
    <row r="3" spans="1:9" s="5" customFormat="1" ht="18" customHeight="1" x14ac:dyDescent="0.2">
      <c r="A3" s="410"/>
      <c r="B3" s="25" t="s">
        <v>621</v>
      </c>
      <c r="C3" s="25" t="s">
        <v>627</v>
      </c>
      <c r="D3" s="25" t="s">
        <v>623</v>
      </c>
      <c r="E3" s="25" t="s">
        <v>624</v>
      </c>
      <c r="F3" s="25" t="s">
        <v>621</v>
      </c>
      <c r="G3" s="25" t="s">
        <v>622</v>
      </c>
      <c r="H3" s="25" t="s">
        <v>623</v>
      </c>
      <c r="I3" s="25" t="s">
        <v>624</v>
      </c>
    </row>
    <row r="4" spans="1:9" s="5" customFormat="1" ht="18" customHeight="1" x14ac:dyDescent="0.2">
      <c r="A4" s="3" t="s">
        <v>69</v>
      </c>
      <c r="B4" s="33">
        <v>2053700.4049875599</v>
      </c>
      <c r="C4" s="33">
        <v>465857.94899617502</v>
      </c>
      <c r="D4" s="26">
        <v>52348.624526066</v>
      </c>
      <c r="E4" s="26">
        <v>23778.69459925</v>
      </c>
      <c r="F4" s="33">
        <v>2029429.0285419701</v>
      </c>
      <c r="G4" s="33">
        <v>379758.38141881197</v>
      </c>
      <c r="H4" s="26">
        <v>19693.137754250001</v>
      </c>
      <c r="I4" s="26">
        <v>3935.9501985000002</v>
      </c>
    </row>
    <row r="5" spans="1:9" s="5" customFormat="1" ht="18" customHeight="1" x14ac:dyDescent="0.2">
      <c r="A5" s="3" t="s">
        <v>70</v>
      </c>
      <c r="B5" s="33">
        <v>3416537.28</v>
      </c>
      <c r="C5" s="33">
        <v>753518.33660000004</v>
      </c>
      <c r="D5" s="26">
        <v>61996.558599999997</v>
      </c>
      <c r="E5" s="26">
        <v>31524.83295</v>
      </c>
      <c r="F5" s="33">
        <v>2476222.3050000002</v>
      </c>
      <c r="G5" s="33">
        <v>476153.33689999999</v>
      </c>
      <c r="H5" s="33">
        <v>182971.57920000001</v>
      </c>
      <c r="I5" s="33">
        <v>304091.32380000001</v>
      </c>
    </row>
    <row r="6" spans="1:9" s="5" customFormat="1" ht="18" customHeight="1" x14ac:dyDescent="0.2">
      <c r="A6" s="3" t="s">
        <v>156</v>
      </c>
      <c r="B6" s="33">
        <v>225500.075384992</v>
      </c>
      <c r="C6" s="26">
        <v>64372.782789028999</v>
      </c>
      <c r="D6" s="26">
        <v>4922.1440204999999</v>
      </c>
      <c r="E6" s="26">
        <v>2573.3732439999999</v>
      </c>
      <c r="F6" s="33">
        <v>163688.509485352</v>
      </c>
      <c r="G6" s="26">
        <v>39873.740589385001</v>
      </c>
      <c r="H6" s="26">
        <v>1705.8362292500001</v>
      </c>
      <c r="I6" s="26">
        <v>20.713538750000001</v>
      </c>
    </row>
    <row r="7" spans="1:9" s="5" customFormat="1" ht="18" customHeight="1" x14ac:dyDescent="0.2">
      <c r="A7" s="3" t="s">
        <v>157</v>
      </c>
      <c r="B7" s="33">
        <v>320285.60643129598</v>
      </c>
      <c r="C7" s="26">
        <v>73421.956251084004</v>
      </c>
      <c r="D7" s="26">
        <v>5731.4389622500003</v>
      </c>
      <c r="E7" s="26">
        <v>3944.5797830000001</v>
      </c>
      <c r="F7" s="33">
        <v>251117.02370200001</v>
      </c>
      <c r="G7" s="26">
        <v>34680.896624749999</v>
      </c>
      <c r="H7" s="26">
        <v>251.28387599999999</v>
      </c>
      <c r="I7" s="26">
        <v>18.797506500000001</v>
      </c>
    </row>
    <row r="8" spans="1:9" s="5" customFormat="1" ht="18" customHeight="1" x14ac:dyDescent="0.2">
      <c r="A8" s="3" t="s">
        <v>158</v>
      </c>
      <c r="B8" s="33">
        <v>278639.82184388803</v>
      </c>
      <c r="C8" s="26">
        <v>73587.922110255997</v>
      </c>
      <c r="D8" s="26">
        <v>5137.1570897760002</v>
      </c>
      <c r="E8" s="26">
        <v>2796.8273957500001</v>
      </c>
      <c r="F8" s="33">
        <v>225437.77204149999</v>
      </c>
      <c r="G8" s="26">
        <v>26213.715892749999</v>
      </c>
      <c r="H8" s="26">
        <v>574.61722275</v>
      </c>
      <c r="I8" s="26">
        <v>0.79006299999999996</v>
      </c>
    </row>
    <row r="9" spans="1:9" s="5" customFormat="1" ht="18" customHeight="1" x14ac:dyDescent="0.2">
      <c r="A9" s="3" t="s">
        <v>159</v>
      </c>
      <c r="B9" s="33">
        <v>257945.98801995101</v>
      </c>
      <c r="C9" s="26">
        <v>55684.415277134998</v>
      </c>
      <c r="D9" s="26">
        <v>3810.9853770469999</v>
      </c>
      <c r="E9" s="26">
        <v>2285.8535292500001</v>
      </c>
      <c r="F9" s="33">
        <v>210792.78404599999</v>
      </c>
      <c r="G9" s="26">
        <v>28330.33791075</v>
      </c>
      <c r="H9" s="26">
        <v>15.598644999999999</v>
      </c>
      <c r="I9" s="26">
        <v>0</v>
      </c>
    </row>
    <row r="10" spans="1:9" s="5" customFormat="1" ht="18" customHeight="1" x14ac:dyDescent="0.2">
      <c r="A10" s="3" t="s">
        <v>160</v>
      </c>
      <c r="B10" s="33">
        <v>314425.96065962402</v>
      </c>
      <c r="C10" s="26">
        <v>79776.329513941004</v>
      </c>
      <c r="D10" s="26">
        <v>6308.03695075</v>
      </c>
      <c r="E10" s="26">
        <v>3400.5830747499999</v>
      </c>
      <c r="F10" s="33">
        <v>310832.45769249997</v>
      </c>
      <c r="G10" s="26">
        <v>34024.753041000004</v>
      </c>
      <c r="H10" s="26">
        <v>113.37046475</v>
      </c>
      <c r="I10" s="26">
        <v>1.3912000000000001E-2</v>
      </c>
    </row>
    <row r="11" spans="1:9" s="5" customFormat="1" ht="18" customHeight="1" x14ac:dyDescent="0.2">
      <c r="A11" s="3" t="s">
        <v>161</v>
      </c>
      <c r="B11" s="33">
        <v>417092.806205781</v>
      </c>
      <c r="C11" s="26">
        <v>89357.549325161002</v>
      </c>
      <c r="D11" s="26">
        <v>6966.1671489999999</v>
      </c>
      <c r="E11" s="26">
        <v>4000.1394785000002</v>
      </c>
      <c r="F11" s="33">
        <v>407356.31252450001</v>
      </c>
      <c r="G11" s="26">
        <v>34894.757375250003</v>
      </c>
      <c r="H11" s="26">
        <v>228.189289</v>
      </c>
      <c r="I11" s="26">
        <v>44.940801999999998</v>
      </c>
    </row>
    <row r="12" spans="1:9" s="5" customFormat="1" ht="18" customHeight="1" x14ac:dyDescent="0.2">
      <c r="A12" s="3" t="s">
        <v>162</v>
      </c>
      <c r="B12" s="33">
        <v>396623.45804211101</v>
      </c>
      <c r="C12" s="26">
        <v>75209.230086401003</v>
      </c>
      <c r="D12" s="26">
        <v>7001.8757232500002</v>
      </c>
      <c r="E12" s="26">
        <v>2269.1088252499999</v>
      </c>
      <c r="F12" s="33">
        <v>269942.09736224997</v>
      </c>
      <c r="G12" s="26">
        <v>25706.178535250001</v>
      </c>
      <c r="H12" s="26">
        <v>773.30519549999997</v>
      </c>
      <c r="I12" s="26">
        <v>3.2594240000000001</v>
      </c>
    </row>
    <row r="13" spans="1:9" s="5" customFormat="1" ht="18" customHeight="1" x14ac:dyDescent="0.2">
      <c r="A13" s="3" t="s">
        <v>163</v>
      </c>
      <c r="B13" s="33">
        <v>284669.85397117003</v>
      </c>
      <c r="C13" s="26">
        <v>54716.973082812998</v>
      </c>
      <c r="D13" s="26">
        <v>4269.4355775000004</v>
      </c>
      <c r="E13" s="26">
        <v>2235.6957746749999</v>
      </c>
      <c r="F13" s="33">
        <v>309703.630496</v>
      </c>
      <c r="G13" s="26">
        <v>26011.232827</v>
      </c>
      <c r="H13" s="26">
        <v>53.466822499999999</v>
      </c>
      <c r="I13" s="26">
        <v>0</v>
      </c>
    </row>
    <row r="14" spans="1:9" s="5" customFormat="1" ht="18" customHeight="1" x14ac:dyDescent="0.2">
      <c r="A14" s="3" t="s">
        <v>164</v>
      </c>
      <c r="B14" s="33">
        <v>313406.07964989298</v>
      </c>
      <c r="C14" s="26">
        <v>61383.135160468002</v>
      </c>
      <c r="D14" s="26">
        <v>4699.90824625</v>
      </c>
      <c r="E14" s="26">
        <v>3633.6267945</v>
      </c>
      <c r="F14" s="26">
        <v>92930.452364519995</v>
      </c>
      <c r="G14" s="33">
        <v>108381.603425913</v>
      </c>
      <c r="H14" s="26">
        <v>66223.710501249996</v>
      </c>
      <c r="I14" s="26">
        <v>91145.442681500004</v>
      </c>
    </row>
    <row r="15" spans="1:9" s="5" customFormat="1" ht="18" customHeight="1" x14ac:dyDescent="0.2">
      <c r="A15" s="3" t="s">
        <v>165</v>
      </c>
      <c r="B15" s="33">
        <v>329735.19322118402</v>
      </c>
      <c r="C15" s="26">
        <v>61921.338417398998</v>
      </c>
      <c r="D15" s="26">
        <v>7341.6404458460001</v>
      </c>
      <c r="E15" s="26">
        <v>2109.4435452500002</v>
      </c>
      <c r="F15" s="33">
        <v>110415.24243575</v>
      </c>
      <c r="G15" s="26">
        <v>63704.536103500002</v>
      </c>
      <c r="H15" s="26">
        <v>55971.795027250002</v>
      </c>
      <c r="I15" s="33">
        <v>118283.40167875</v>
      </c>
    </row>
    <row r="16" spans="1:9" s="5" customFormat="1" ht="18" customHeight="1" x14ac:dyDescent="0.2">
      <c r="A16" s="3" t="s">
        <v>166</v>
      </c>
      <c r="B16" s="33">
        <v>278212.43680000002</v>
      </c>
      <c r="C16" s="26">
        <v>64086.704579999998</v>
      </c>
      <c r="D16" s="26">
        <v>5807.7690579999999</v>
      </c>
      <c r="E16" s="26">
        <v>2275.6015069999999</v>
      </c>
      <c r="F16" s="33">
        <v>124006.0227</v>
      </c>
      <c r="G16" s="26">
        <v>54331.584560000003</v>
      </c>
      <c r="H16" s="26">
        <v>57060.405879999998</v>
      </c>
      <c r="I16" s="26">
        <v>94573.96415</v>
      </c>
    </row>
    <row r="17" spans="1:9" s="5" customFormat="1" ht="15" customHeight="1" x14ac:dyDescent="0.2">
      <c r="A17" s="371" t="s">
        <v>105</v>
      </c>
      <c r="B17" s="371"/>
      <c r="C17" s="371"/>
      <c r="D17" s="371"/>
      <c r="E17" s="371"/>
      <c r="F17" s="371"/>
      <c r="G17" s="371"/>
      <c r="H17" s="371"/>
      <c r="I17" s="371"/>
    </row>
    <row r="18" spans="1:9" s="5" customFormat="1" ht="13.5" customHeight="1" x14ac:dyDescent="0.2">
      <c r="A18" s="371" t="s">
        <v>441</v>
      </c>
      <c r="B18" s="371"/>
      <c r="C18" s="371"/>
      <c r="D18" s="371"/>
      <c r="E18" s="371"/>
      <c r="F18" s="371"/>
      <c r="G18" s="371"/>
      <c r="H18" s="371"/>
      <c r="I18" s="371"/>
    </row>
    <row r="19" spans="1:9" s="5" customFormat="1" ht="26.1" customHeight="1" x14ac:dyDescent="0.2"/>
  </sheetData>
  <customSheetViews>
    <customSheetView guid="{B9B27D37-53F8-4AD8-9221-6458C3026417}"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6">
    <mergeCell ref="A18:I18"/>
    <mergeCell ref="A1:I1"/>
    <mergeCell ref="A2:A3"/>
    <mergeCell ref="B2:E2"/>
    <mergeCell ref="F2:I2"/>
    <mergeCell ref="A17:I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I19"/>
  <sheetViews>
    <sheetView zoomScaleNormal="100" workbookViewId="0">
      <selection sqref="A1:I1"/>
    </sheetView>
  </sheetViews>
  <sheetFormatPr defaultRowHeight="12.75" x14ac:dyDescent="0.2"/>
  <cols>
    <col min="1" max="9" width="12.140625" bestFit="1" customWidth="1"/>
    <col min="10" max="10" width="4.7109375" bestFit="1" customWidth="1"/>
  </cols>
  <sheetData>
    <row r="1" spans="1:9" ht="15.75" customHeight="1" x14ac:dyDescent="0.2">
      <c r="A1" s="425" t="s">
        <v>628</v>
      </c>
      <c r="B1" s="425"/>
      <c r="C1" s="425"/>
      <c r="D1" s="425"/>
      <c r="E1" s="425"/>
      <c r="F1" s="425"/>
      <c r="G1" s="425"/>
      <c r="H1" s="425"/>
      <c r="I1" s="425"/>
    </row>
    <row r="2" spans="1:9" s="5" customFormat="1" ht="18" customHeight="1" x14ac:dyDescent="0.2">
      <c r="A2" s="409" t="s">
        <v>245</v>
      </c>
      <c r="B2" s="387" t="s">
        <v>626</v>
      </c>
      <c r="C2" s="424"/>
      <c r="D2" s="424"/>
      <c r="E2" s="388"/>
      <c r="F2" s="387" t="s">
        <v>594</v>
      </c>
      <c r="G2" s="424"/>
      <c r="H2" s="424"/>
      <c r="I2" s="388"/>
    </row>
    <row r="3" spans="1:9" s="5" customFormat="1" ht="18" customHeight="1" x14ac:dyDescent="0.2">
      <c r="A3" s="410"/>
      <c r="B3" s="25" t="s">
        <v>621</v>
      </c>
      <c r="C3" s="25" t="s">
        <v>627</v>
      </c>
      <c r="D3" s="25" t="s">
        <v>623</v>
      </c>
      <c r="E3" s="25" t="s">
        <v>624</v>
      </c>
      <c r="F3" s="25" t="s">
        <v>621</v>
      </c>
      <c r="G3" s="25" t="s">
        <v>622</v>
      </c>
      <c r="H3" s="25" t="s">
        <v>623</v>
      </c>
      <c r="I3" s="25" t="s">
        <v>624</v>
      </c>
    </row>
    <row r="4" spans="1:9" s="5" customFormat="1" ht="17.25" customHeight="1" x14ac:dyDescent="0.2">
      <c r="A4" s="3" t="s">
        <v>69</v>
      </c>
      <c r="B4" s="26">
        <v>79306.760200000004</v>
      </c>
      <c r="C4" s="26">
        <v>18863.522519999999</v>
      </c>
      <c r="D4" s="26">
        <v>1531.632695</v>
      </c>
      <c r="E4" s="26">
        <v>20.399032500000001</v>
      </c>
      <c r="F4" s="26">
        <v>12055.74152</v>
      </c>
      <c r="G4" s="26">
        <v>3071.1730299999999</v>
      </c>
      <c r="H4" s="26">
        <v>582.82600000000002</v>
      </c>
      <c r="I4" s="26">
        <v>300.72624999999999</v>
      </c>
    </row>
    <row r="5" spans="1:9" s="5" customFormat="1" ht="17.25" customHeight="1" x14ac:dyDescent="0.2">
      <c r="A5" s="3" t="s">
        <v>70</v>
      </c>
      <c r="B5" s="26">
        <v>31247.813980496001</v>
      </c>
      <c r="C5" s="26">
        <v>4746.6860352499998</v>
      </c>
      <c r="D5" s="26">
        <v>51.311287</v>
      </c>
      <c r="E5" s="26">
        <v>22.945404499999999</v>
      </c>
      <c r="F5" s="26">
        <v>5231.6183952499996</v>
      </c>
      <c r="G5" s="26">
        <v>3060.95139475</v>
      </c>
      <c r="H5" s="26">
        <v>176.3905</v>
      </c>
      <c r="I5" s="26">
        <v>0</v>
      </c>
    </row>
    <row r="6" spans="1:9" s="5" customFormat="1" ht="17.25" customHeight="1" x14ac:dyDescent="0.2">
      <c r="A6" s="3" t="s">
        <v>156</v>
      </c>
      <c r="B6" s="26">
        <v>4265.5221714999998</v>
      </c>
      <c r="C6" s="26">
        <v>1049.7476637499999</v>
      </c>
      <c r="D6" s="26">
        <v>3.5726244999999999</v>
      </c>
      <c r="E6" s="26">
        <v>0.39389999999999997</v>
      </c>
      <c r="F6" s="26">
        <v>821.24082050000004</v>
      </c>
      <c r="G6" s="26">
        <v>254.09244129999999</v>
      </c>
      <c r="H6" s="26">
        <v>176.3905</v>
      </c>
      <c r="I6" s="26">
        <v>0</v>
      </c>
    </row>
    <row r="7" spans="1:9" s="5" customFormat="1" ht="17.25" customHeight="1" x14ac:dyDescent="0.2">
      <c r="A7" s="3" t="s">
        <v>157</v>
      </c>
      <c r="B7" s="26">
        <v>5520.1395540000003</v>
      </c>
      <c r="C7" s="26">
        <v>1023.722338</v>
      </c>
      <c r="D7" s="26">
        <v>24.312976500000001</v>
      </c>
      <c r="E7" s="26">
        <v>6.1394260000000003</v>
      </c>
      <c r="F7" s="26">
        <v>102.3964445</v>
      </c>
      <c r="G7" s="26">
        <v>560.28204630000005</v>
      </c>
      <c r="H7" s="26">
        <v>0</v>
      </c>
      <c r="I7" s="26">
        <v>0</v>
      </c>
    </row>
    <row r="8" spans="1:9" s="5" customFormat="1" ht="17.25" customHeight="1" x14ac:dyDescent="0.2">
      <c r="A8" s="3" t="s">
        <v>158</v>
      </c>
      <c r="B8" s="26">
        <v>4004.28</v>
      </c>
      <c r="C8" s="26">
        <v>822.23</v>
      </c>
      <c r="D8" s="26">
        <v>12.98</v>
      </c>
      <c r="E8" s="26">
        <v>3.83</v>
      </c>
      <c r="F8" s="26">
        <v>46.87</v>
      </c>
      <c r="G8" s="26">
        <v>366.98</v>
      </c>
      <c r="H8" s="26">
        <v>0</v>
      </c>
      <c r="I8" s="26">
        <v>0</v>
      </c>
    </row>
    <row r="9" spans="1:9" s="5" customFormat="1" ht="17.25" customHeight="1" x14ac:dyDescent="0.2">
      <c r="A9" s="3" t="s">
        <v>159</v>
      </c>
      <c r="B9" s="26">
        <v>7547.3074850000003</v>
      </c>
      <c r="C9" s="26">
        <v>358.47644530000002</v>
      </c>
      <c r="D9" s="26">
        <v>2.079375E-2</v>
      </c>
      <c r="E9" s="26">
        <v>2.7767500000000001E-2</v>
      </c>
      <c r="F9" s="26">
        <v>124.1116725</v>
      </c>
      <c r="G9" s="26">
        <v>364.32937129999999</v>
      </c>
      <c r="H9" s="26">
        <v>0</v>
      </c>
      <c r="I9" s="26">
        <v>0</v>
      </c>
    </row>
    <row r="10" spans="1:9" s="5" customFormat="1" ht="17.25" customHeight="1" x14ac:dyDescent="0.2">
      <c r="A10" s="3" t="s">
        <v>160</v>
      </c>
      <c r="B10" s="26">
        <v>2875.24</v>
      </c>
      <c r="C10" s="26">
        <v>447.76</v>
      </c>
      <c r="D10" s="26">
        <v>8.57</v>
      </c>
      <c r="E10" s="26">
        <v>10.56</v>
      </c>
      <c r="F10" s="26">
        <v>214.28</v>
      </c>
      <c r="G10" s="26">
        <v>210.37</v>
      </c>
      <c r="H10" s="26">
        <v>0</v>
      </c>
      <c r="I10" s="26">
        <v>0</v>
      </c>
    </row>
    <row r="11" spans="1:9" s="5" customFormat="1" ht="17.25" customHeight="1" x14ac:dyDescent="0.2">
      <c r="A11" s="3" t="s">
        <v>161</v>
      </c>
      <c r="B11" s="26">
        <v>3000.8617187499999</v>
      </c>
      <c r="C11" s="26">
        <v>280.18010299999997</v>
      </c>
      <c r="D11" s="26">
        <v>0.81045924999999996</v>
      </c>
      <c r="E11" s="26">
        <v>1.9702299999999999</v>
      </c>
      <c r="F11" s="26">
        <v>394.61845099999999</v>
      </c>
      <c r="G11" s="26">
        <v>312.921605</v>
      </c>
      <c r="H11" s="26">
        <v>0</v>
      </c>
      <c r="I11" s="26">
        <v>0</v>
      </c>
    </row>
    <row r="12" spans="1:9" s="5" customFormat="1" ht="17.25" customHeight="1" x14ac:dyDescent="0.2">
      <c r="A12" s="3" t="s">
        <v>162</v>
      </c>
      <c r="B12" s="26">
        <v>1393.21881975</v>
      </c>
      <c r="C12" s="26">
        <v>220.94703874999999</v>
      </c>
      <c r="D12" s="26">
        <v>0.30547000000000002</v>
      </c>
      <c r="E12" s="26">
        <v>2.2367000000000001E-2</v>
      </c>
      <c r="F12" s="26">
        <v>921.46058925</v>
      </c>
      <c r="G12" s="26">
        <v>364.43842599999999</v>
      </c>
      <c r="H12" s="26">
        <v>0</v>
      </c>
      <c r="I12" s="26">
        <v>0</v>
      </c>
    </row>
    <row r="13" spans="1:9" s="5" customFormat="1" ht="17.25" customHeight="1" x14ac:dyDescent="0.2">
      <c r="A13" s="3" t="s">
        <v>163</v>
      </c>
      <c r="B13" s="26">
        <v>789.65555525000002</v>
      </c>
      <c r="C13" s="26">
        <v>155.61805325</v>
      </c>
      <c r="D13" s="26">
        <v>0.35549999999999998</v>
      </c>
      <c r="E13" s="26">
        <v>0</v>
      </c>
      <c r="F13" s="26">
        <v>789.95192925000003</v>
      </c>
      <c r="G13" s="26">
        <v>315.19409999999999</v>
      </c>
      <c r="H13" s="26">
        <v>0</v>
      </c>
      <c r="I13" s="26">
        <v>0</v>
      </c>
    </row>
    <row r="14" spans="1:9" s="5" customFormat="1" ht="17.25" customHeight="1" x14ac:dyDescent="0.2">
      <c r="A14" s="3" t="s">
        <v>164</v>
      </c>
      <c r="B14" s="26">
        <v>535.36404924600004</v>
      </c>
      <c r="C14" s="26">
        <v>131.55509799999999</v>
      </c>
      <c r="D14" s="26">
        <v>0.30359000000000003</v>
      </c>
      <c r="E14" s="26">
        <v>0</v>
      </c>
      <c r="F14" s="26">
        <v>483.14551325000002</v>
      </c>
      <c r="G14" s="26">
        <v>140.49889999999999</v>
      </c>
      <c r="H14" s="26">
        <v>0</v>
      </c>
      <c r="I14" s="26">
        <v>0</v>
      </c>
    </row>
    <row r="15" spans="1:9" s="5" customFormat="1" ht="17.25" customHeight="1" x14ac:dyDescent="0.2">
      <c r="A15" s="3" t="s">
        <v>165</v>
      </c>
      <c r="B15" s="26">
        <v>526.00668174999998</v>
      </c>
      <c r="C15" s="26">
        <v>152.74103725000001</v>
      </c>
      <c r="D15" s="26">
        <v>6.3990000000000005E-2</v>
      </c>
      <c r="E15" s="26">
        <v>0</v>
      </c>
      <c r="F15" s="26">
        <v>706.18489724999995</v>
      </c>
      <c r="G15" s="26">
        <v>171.84509075</v>
      </c>
      <c r="H15" s="26">
        <v>0</v>
      </c>
      <c r="I15" s="26">
        <v>0</v>
      </c>
    </row>
    <row r="16" spans="1:9" s="5" customFormat="1" ht="17.25" customHeight="1" x14ac:dyDescent="0.2">
      <c r="A16" s="3" t="s">
        <v>166</v>
      </c>
      <c r="B16" s="26">
        <v>790.22067225000001</v>
      </c>
      <c r="C16" s="26">
        <v>103.7067875</v>
      </c>
      <c r="D16" s="26">
        <v>2.1559999999999999E-2</v>
      </c>
      <c r="E16" s="26">
        <v>0</v>
      </c>
      <c r="F16" s="26">
        <v>627.36473049999995</v>
      </c>
      <c r="G16" s="26">
        <v>0</v>
      </c>
      <c r="H16" s="26">
        <v>0</v>
      </c>
      <c r="I16" s="26">
        <v>0</v>
      </c>
    </row>
    <row r="17" spans="1:9" s="5" customFormat="1" ht="15" customHeight="1" x14ac:dyDescent="0.2">
      <c r="A17" s="391" t="s">
        <v>105</v>
      </c>
      <c r="B17" s="391"/>
      <c r="C17" s="391"/>
      <c r="D17" s="391"/>
      <c r="E17" s="391"/>
      <c r="F17" s="391"/>
      <c r="G17" s="391"/>
      <c r="H17" s="391"/>
      <c r="I17" s="391"/>
    </row>
    <row r="18" spans="1:9" s="5" customFormat="1" ht="13.5" customHeight="1" x14ac:dyDescent="0.2">
      <c r="A18" s="391" t="s">
        <v>305</v>
      </c>
      <c r="B18" s="391"/>
      <c r="C18" s="391"/>
      <c r="D18" s="391"/>
      <c r="E18" s="391"/>
      <c r="F18" s="391"/>
      <c r="G18" s="391"/>
      <c r="H18" s="391"/>
      <c r="I18" s="391"/>
    </row>
    <row r="19" spans="1:9" s="5" customFormat="1" ht="27.6" customHeight="1" x14ac:dyDescent="0.2"/>
  </sheetData>
  <customSheetViews>
    <customSheetView guid="{B9B27D37-53F8-4AD8-9221-6458C3026417}"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I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6">
    <mergeCell ref="A18:I18"/>
    <mergeCell ref="A1:I1"/>
    <mergeCell ref="A2:A3"/>
    <mergeCell ref="B2:E2"/>
    <mergeCell ref="F2:I2"/>
    <mergeCell ref="A17:I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N20"/>
  <sheetViews>
    <sheetView zoomScaleNormal="100" workbookViewId="0">
      <selection sqref="A1:M1"/>
    </sheetView>
  </sheetViews>
  <sheetFormatPr defaultRowHeight="12.75" x14ac:dyDescent="0.2"/>
  <cols>
    <col min="1" max="1" width="12.140625" bestFit="1" customWidth="1"/>
    <col min="2" max="2" width="8.28515625" bestFit="1" customWidth="1"/>
    <col min="3" max="3" width="11.425781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3" width="12.140625" bestFit="1" customWidth="1"/>
    <col min="14" max="14" width="10.5703125" bestFit="1" customWidth="1"/>
    <col min="15" max="15" width="6.28515625" bestFit="1" customWidth="1"/>
  </cols>
  <sheetData>
    <row r="1" spans="1:14" ht="15.75" customHeight="1" x14ac:dyDescent="0.2">
      <c r="A1" s="369" t="s">
        <v>54</v>
      </c>
      <c r="B1" s="369"/>
      <c r="C1" s="369"/>
      <c r="D1" s="369"/>
      <c r="E1" s="369"/>
      <c r="F1" s="369"/>
      <c r="G1" s="369"/>
      <c r="H1" s="369"/>
      <c r="I1" s="369"/>
      <c r="J1" s="369"/>
      <c r="K1" s="369"/>
      <c r="L1" s="369"/>
      <c r="M1" s="369"/>
    </row>
    <row r="2" spans="1:14" s="5" customFormat="1" ht="19.5" customHeight="1" x14ac:dyDescent="0.2">
      <c r="A2" s="373" t="s">
        <v>182</v>
      </c>
      <c r="B2" s="373" t="s">
        <v>280</v>
      </c>
      <c r="C2" s="393" t="s">
        <v>252</v>
      </c>
      <c r="D2" s="394"/>
      <c r="E2" s="394"/>
      <c r="F2" s="395"/>
      <c r="G2" s="393" t="s">
        <v>253</v>
      </c>
      <c r="H2" s="394"/>
      <c r="I2" s="394"/>
      <c r="J2" s="395"/>
      <c r="K2" s="393" t="s">
        <v>254</v>
      </c>
      <c r="L2" s="394"/>
      <c r="M2" s="394"/>
      <c r="N2" s="395"/>
    </row>
    <row r="3" spans="1:14" s="5" customFormat="1" ht="36" customHeight="1" x14ac:dyDescent="0.2">
      <c r="A3" s="448"/>
      <c r="B3" s="448"/>
      <c r="C3" s="393" t="s">
        <v>629</v>
      </c>
      <c r="D3" s="395"/>
      <c r="E3" s="389" t="s">
        <v>630</v>
      </c>
      <c r="F3" s="390"/>
      <c r="G3" s="393" t="s">
        <v>629</v>
      </c>
      <c r="H3" s="395"/>
      <c r="I3" s="389" t="s">
        <v>630</v>
      </c>
      <c r="J3" s="390"/>
      <c r="K3" s="393" t="s">
        <v>631</v>
      </c>
      <c r="L3" s="395"/>
      <c r="M3" s="393" t="s">
        <v>632</v>
      </c>
      <c r="N3" s="395"/>
    </row>
    <row r="4" spans="1:14" s="5" customFormat="1" ht="39" customHeight="1" x14ac:dyDescent="0.2">
      <c r="A4" s="374"/>
      <c r="B4" s="374"/>
      <c r="C4" s="9" t="s">
        <v>589</v>
      </c>
      <c r="D4" s="16" t="s">
        <v>633</v>
      </c>
      <c r="E4" s="9" t="s">
        <v>589</v>
      </c>
      <c r="F4" s="16" t="s">
        <v>633</v>
      </c>
      <c r="G4" s="17" t="s">
        <v>549</v>
      </c>
      <c r="H4" s="16" t="s">
        <v>633</v>
      </c>
      <c r="I4" s="17" t="s">
        <v>549</v>
      </c>
      <c r="J4" s="16" t="s">
        <v>591</v>
      </c>
      <c r="K4" s="9" t="s">
        <v>590</v>
      </c>
      <c r="L4" s="16" t="s">
        <v>633</v>
      </c>
      <c r="M4" s="9" t="s">
        <v>589</v>
      </c>
      <c r="N4" s="16" t="s">
        <v>591</v>
      </c>
    </row>
    <row r="5" spans="1:14" s="5" customFormat="1" ht="27" customHeight="1" x14ac:dyDescent="0.2">
      <c r="A5" s="3" t="s">
        <v>69</v>
      </c>
      <c r="B5" s="35">
        <v>242</v>
      </c>
      <c r="C5" s="43">
        <v>11345215</v>
      </c>
      <c r="D5" s="33">
        <v>223880.89240000001</v>
      </c>
      <c r="E5" s="26">
        <v>336</v>
      </c>
      <c r="F5" s="26">
        <v>6.3926999999999996</v>
      </c>
      <c r="G5" s="43">
        <v>16186719</v>
      </c>
      <c r="H5" s="33">
        <v>321208.12115949998</v>
      </c>
      <c r="I5" s="26">
        <v>41032</v>
      </c>
      <c r="J5" s="26">
        <v>781.14212050000003</v>
      </c>
      <c r="K5" s="26">
        <v>10648</v>
      </c>
      <c r="L5" s="26">
        <v>218.54813300000001</v>
      </c>
      <c r="M5" s="26">
        <v>0</v>
      </c>
      <c r="N5" s="26">
        <v>0</v>
      </c>
    </row>
    <row r="6" spans="1:14" s="5" customFormat="1" ht="27" customHeight="1" x14ac:dyDescent="0.2">
      <c r="A6" s="3" t="s">
        <v>70</v>
      </c>
      <c r="B6" s="35">
        <v>224</v>
      </c>
      <c r="C6" s="33">
        <v>5137863</v>
      </c>
      <c r="D6" s="26">
        <v>96709.032399999996</v>
      </c>
      <c r="E6" s="26">
        <v>24303</v>
      </c>
      <c r="F6" s="26">
        <v>471.38094738000001</v>
      </c>
      <c r="G6" s="43">
        <v>12130665</v>
      </c>
      <c r="H6" s="33">
        <v>232978.39449999999</v>
      </c>
      <c r="I6" s="26">
        <v>83872</v>
      </c>
      <c r="J6" s="26">
        <v>1625.2341039999999</v>
      </c>
      <c r="K6" s="26">
        <v>0</v>
      </c>
      <c r="L6" s="26">
        <v>0</v>
      </c>
      <c r="M6" s="26">
        <v>0</v>
      </c>
      <c r="N6" s="26">
        <v>0</v>
      </c>
    </row>
    <row r="7" spans="1:14" s="5" customFormat="1" ht="27" customHeight="1" x14ac:dyDescent="0.2">
      <c r="A7" s="3" t="s">
        <v>156</v>
      </c>
      <c r="B7" s="35">
        <v>19</v>
      </c>
      <c r="C7" s="33">
        <v>477406</v>
      </c>
      <c r="D7" s="26">
        <v>8979.4696999999996</v>
      </c>
      <c r="E7" s="26">
        <v>460</v>
      </c>
      <c r="F7" s="26">
        <v>8.5723760000000002</v>
      </c>
      <c r="G7" s="33">
        <v>1435453</v>
      </c>
      <c r="H7" s="26">
        <v>27039.272571500002</v>
      </c>
      <c r="I7" s="26">
        <v>63757</v>
      </c>
      <c r="J7" s="26">
        <v>1189.7053745000001</v>
      </c>
      <c r="K7" s="26">
        <v>0</v>
      </c>
      <c r="L7" s="26">
        <v>0</v>
      </c>
      <c r="M7" s="26">
        <v>0</v>
      </c>
      <c r="N7" s="26">
        <v>0</v>
      </c>
    </row>
    <row r="8" spans="1:14" s="5" customFormat="1" ht="27" customHeight="1" x14ac:dyDescent="0.2">
      <c r="A8" s="3" t="s">
        <v>157</v>
      </c>
      <c r="B8" s="35">
        <v>22</v>
      </c>
      <c r="C8" s="33">
        <v>426520</v>
      </c>
      <c r="D8" s="26">
        <v>7943.6571999999996</v>
      </c>
      <c r="E8" s="26">
        <v>4400</v>
      </c>
      <c r="F8" s="26">
        <v>82.043480000000002</v>
      </c>
      <c r="G8" s="33">
        <v>648029</v>
      </c>
      <c r="H8" s="26">
        <v>12087.967003</v>
      </c>
      <c r="I8" s="26">
        <v>46859</v>
      </c>
      <c r="J8" s="26">
        <v>874.84105550000004</v>
      </c>
      <c r="K8" s="26">
        <v>0</v>
      </c>
      <c r="L8" s="26">
        <v>0</v>
      </c>
      <c r="M8" s="26">
        <v>0</v>
      </c>
      <c r="N8" s="26">
        <v>0</v>
      </c>
    </row>
    <row r="9" spans="1:14" s="5" customFormat="1" ht="27" customHeight="1" x14ac:dyDescent="0.2">
      <c r="A9" s="3" t="s">
        <v>158</v>
      </c>
      <c r="B9" s="35">
        <v>21</v>
      </c>
      <c r="C9" s="33">
        <v>353456</v>
      </c>
      <c r="D9" s="26">
        <v>6561.9539999999997</v>
      </c>
      <c r="E9" s="26">
        <v>8237</v>
      </c>
      <c r="F9" s="26">
        <v>151.89979706</v>
      </c>
      <c r="G9" s="33">
        <v>459649</v>
      </c>
      <c r="H9" s="26">
        <v>8623.8254785000008</v>
      </c>
      <c r="I9" s="26">
        <v>40027</v>
      </c>
      <c r="J9" s="26">
        <v>754.71891700000003</v>
      </c>
      <c r="K9" s="26">
        <v>0</v>
      </c>
      <c r="L9" s="26">
        <v>0</v>
      </c>
      <c r="M9" s="26">
        <v>0</v>
      </c>
      <c r="N9" s="26">
        <v>0</v>
      </c>
    </row>
    <row r="10" spans="1:14" s="5" customFormat="1" ht="27" customHeight="1" x14ac:dyDescent="0.2">
      <c r="A10" s="3" t="s">
        <v>159</v>
      </c>
      <c r="B10" s="35">
        <v>22</v>
      </c>
      <c r="C10" s="33">
        <v>588862</v>
      </c>
      <c r="D10" s="26">
        <v>11056.945900000001</v>
      </c>
      <c r="E10" s="26">
        <v>9586</v>
      </c>
      <c r="F10" s="26">
        <v>182.55717772</v>
      </c>
      <c r="G10" s="33">
        <v>729014</v>
      </c>
      <c r="H10" s="26">
        <v>13944.553620500001</v>
      </c>
      <c r="I10" s="26">
        <v>78883</v>
      </c>
      <c r="J10" s="26">
        <v>1510.6960795</v>
      </c>
      <c r="K10" s="26">
        <v>0</v>
      </c>
      <c r="L10" s="26">
        <v>0</v>
      </c>
      <c r="M10" s="26">
        <v>0</v>
      </c>
      <c r="N10" s="26">
        <v>0</v>
      </c>
    </row>
    <row r="11" spans="1:14" s="5" customFormat="1" ht="27" customHeight="1" x14ac:dyDescent="0.2">
      <c r="A11" s="3" t="s">
        <v>160</v>
      </c>
      <c r="B11" s="35">
        <v>20</v>
      </c>
      <c r="C11" s="33">
        <v>565212</v>
      </c>
      <c r="D11" s="26">
        <v>10591.9393</v>
      </c>
      <c r="E11" s="26">
        <v>10025</v>
      </c>
      <c r="F11" s="26">
        <v>184.02538050000001</v>
      </c>
      <c r="G11" s="33">
        <v>964141</v>
      </c>
      <c r="H11" s="26">
        <v>18422.714456500002</v>
      </c>
      <c r="I11" s="26">
        <v>93108</v>
      </c>
      <c r="J11" s="26">
        <v>1765.1697354999999</v>
      </c>
      <c r="K11" s="26">
        <v>0</v>
      </c>
      <c r="L11" s="26">
        <v>0</v>
      </c>
      <c r="M11" s="26">
        <v>0</v>
      </c>
      <c r="N11" s="26">
        <v>0</v>
      </c>
    </row>
    <row r="12" spans="1:14" s="5" customFormat="1" ht="27" customHeight="1" x14ac:dyDescent="0.2">
      <c r="A12" s="3" t="s">
        <v>161</v>
      </c>
      <c r="B12" s="35">
        <v>18</v>
      </c>
      <c r="C12" s="33">
        <v>403384</v>
      </c>
      <c r="D12" s="26">
        <v>7489.95</v>
      </c>
      <c r="E12" s="26">
        <v>1941</v>
      </c>
      <c r="F12" s="26">
        <v>36.652912319999999</v>
      </c>
      <c r="G12" s="33">
        <v>1028618</v>
      </c>
      <c r="H12" s="26">
        <v>19345.563767</v>
      </c>
      <c r="I12" s="26">
        <v>51510</v>
      </c>
      <c r="J12" s="26">
        <v>972.14823000000001</v>
      </c>
      <c r="K12" s="26">
        <v>0</v>
      </c>
      <c r="L12" s="26">
        <v>0</v>
      </c>
      <c r="M12" s="26">
        <v>0</v>
      </c>
      <c r="N12" s="26">
        <v>0</v>
      </c>
    </row>
    <row r="13" spans="1:14" s="5" customFormat="1" ht="27" customHeight="1" x14ac:dyDescent="0.2">
      <c r="A13" s="3" t="s">
        <v>162</v>
      </c>
      <c r="B13" s="35">
        <v>21</v>
      </c>
      <c r="C13" s="33">
        <v>489616</v>
      </c>
      <c r="D13" s="26">
        <v>9223.2000000000007</v>
      </c>
      <c r="E13" s="26">
        <v>12828</v>
      </c>
      <c r="F13" s="26">
        <v>245.21619960000001</v>
      </c>
      <c r="G13" s="33">
        <v>1190063</v>
      </c>
      <c r="H13" s="26">
        <v>22604.788316499998</v>
      </c>
      <c r="I13" s="26">
        <v>71700</v>
      </c>
      <c r="J13" s="26">
        <v>1369.6850999999999</v>
      </c>
      <c r="K13" s="26">
        <v>0</v>
      </c>
      <c r="L13" s="26">
        <v>0</v>
      </c>
      <c r="M13" s="26">
        <v>0</v>
      </c>
      <c r="N13" s="26">
        <v>0</v>
      </c>
    </row>
    <row r="14" spans="1:14" s="5" customFormat="1" ht="27" customHeight="1" x14ac:dyDescent="0.2">
      <c r="A14" s="3" t="s">
        <v>163</v>
      </c>
      <c r="B14" s="35">
        <v>19</v>
      </c>
      <c r="C14" s="33">
        <v>324647</v>
      </c>
      <c r="D14" s="26">
        <v>6156.8182999999999</v>
      </c>
      <c r="E14" s="26">
        <v>8621</v>
      </c>
      <c r="F14" s="26">
        <v>167.53465172</v>
      </c>
      <c r="G14" s="33">
        <v>1052294</v>
      </c>
      <c r="H14" s="26">
        <v>20286.930477000002</v>
      </c>
      <c r="I14" s="26">
        <v>69143</v>
      </c>
      <c r="J14" s="26">
        <v>1342.2730590000001</v>
      </c>
      <c r="K14" s="26">
        <v>0</v>
      </c>
      <c r="L14" s="26">
        <v>0</v>
      </c>
      <c r="M14" s="26">
        <v>0</v>
      </c>
      <c r="N14" s="26">
        <v>0</v>
      </c>
    </row>
    <row r="15" spans="1:14" s="5" customFormat="1" ht="27" customHeight="1" x14ac:dyDescent="0.2">
      <c r="A15" s="3" t="s">
        <v>164</v>
      </c>
      <c r="B15" s="35">
        <v>20</v>
      </c>
      <c r="C15" s="33">
        <v>219779</v>
      </c>
      <c r="D15" s="26">
        <v>4245.4411</v>
      </c>
      <c r="E15" s="26">
        <v>24576</v>
      </c>
      <c r="F15" s="26">
        <v>480.14599920000001</v>
      </c>
      <c r="G15" s="33">
        <v>1986662</v>
      </c>
      <c r="H15" s="26">
        <v>39136.415907850002</v>
      </c>
      <c r="I15" s="26">
        <v>79625</v>
      </c>
      <c r="J15" s="26">
        <v>1571.9965625</v>
      </c>
      <c r="K15" s="26">
        <v>0</v>
      </c>
      <c r="L15" s="26">
        <v>0</v>
      </c>
      <c r="M15" s="26">
        <v>0</v>
      </c>
      <c r="N15" s="26">
        <v>0</v>
      </c>
    </row>
    <row r="16" spans="1:14" s="5" customFormat="1" ht="27" customHeight="1" x14ac:dyDescent="0.2">
      <c r="A16" s="3" t="s">
        <v>165</v>
      </c>
      <c r="B16" s="35">
        <v>23</v>
      </c>
      <c r="C16" s="33">
        <v>480065</v>
      </c>
      <c r="D16" s="26">
        <v>9129.2566000000006</v>
      </c>
      <c r="E16" s="26">
        <v>15056</v>
      </c>
      <c r="F16" s="26">
        <v>294.70700376000002</v>
      </c>
      <c r="G16" s="33">
        <v>1438254</v>
      </c>
      <c r="H16" s="26">
        <v>28146.9453135</v>
      </c>
      <c r="I16" s="26">
        <v>68815</v>
      </c>
      <c r="J16" s="26">
        <v>1347.8794049999999</v>
      </c>
      <c r="K16" s="26">
        <v>0</v>
      </c>
      <c r="L16" s="26">
        <v>0</v>
      </c>
      <c r="M16" s="26">
        <v>0</v>
      </c>
      <c r="N16" s="26">
        <v>0</v>
      </c>
    </row>
    <row r="17" spans="1:14" s="5" customFormat="1" ht="27" customHeight="1" x14ac:dyDescent="0.2">
      <c r="A17" s="3" t="s">
        <v>166</v>
      </c>
      <c r="B17" s="35">
        <v>19</v>
      </c>
      <c r="C17" s="33">
        <v>808916</v>
      </c>
      <c r="D17" s="26">
        <v>15330.400299999999</v>
      </c>
      <c r="E17" s="26">
        <v>24303</v>
      </c>
      <c r="F17" s="26">
        <v>471.38094738000001</v>
      </c>
      <c r="G17" s="33">
        <v>1198488</v>
      </c>
      <c r="H17" s="26">
        <v>23339.417590000001</v>
      </c>
      <c r="I17" s="26">
        <v>83872</v>
      </c>
      <c r="J17" s="26">
        <v>1625.2341039999999</v>
      </c>
      <c r="K17" s="26">
        <v>0</v>
      </c>
      <c r="L17" s="26">
        <v>0</v>
      </c>
      <c r="M17" s="26">
        <v>0</v>
      </c>
      <c r="N17" s="26">
        <v>0</v>
      </c>
    </row>
    <row r="18" spans="1:14" s="5" customFormat="1" ht="19.5" customHeight="1" x14ac:dyDescent="0.2">
      <c r="A18" s="391" t="s">
        <v>105</v>
      </c>
      <c r="B18" s="391"/>
      <c r="C18" s="391"/>
      <c r="D18" s="391"/>
      <c r="E18" s="391"/>
      <c r="F18" s="391"/>
      <c r="G18" s="391"/>
      <c r="H18" s="391"/>
      <c r="I18" s="391"/>
      <c r="J18" s="391"/>
      <c r="K18" s="391"/>
      <c r="L18" s="391"/>
      <c r="M18" s="391"/>
      <c r="N18" s="391"/>
    </row>
    <row r="19" spans="1:14" s="5" customFormat="1" ht="18" customHeight="1" x14ac:dyDescent="0.2">
      <c r="A19" s="391" t="s">
        <v>634</v>
      </c>
      <c r="B19" s="391"/>
      <c r="C19" s="391"/>
      <c r="D19" s="391"/>
      <c r="E19" s="391"/>
      <c r="F19" s="391"/>
      <c r="G19" s="391"/>
      <c r="H19" s="391"/>
      <c r="I19" s="391"/>
      <c r="J19" s="391"/>
      <c r="K19" s="391"/>
      <c r="L19" s="391"/>
      <c r="M19" s="391"/>
      <c r="N19" s="391"/>
    </row>
    <row r="20" spans="1:14" s="5" customFormat="1" ht="27.6" customHeight="1" x14ac:dyDescent="0.2"/>
  </sheetData>
  <customSheetViews>
    <customSheetView guid="{B9B27D37-53F8-4AD8-9221-6458C3026417}" fitToPage="1">
      <selection sqref="A1:M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M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4">
    <mergeCell ref="K3:L3"/>
    <mergeCell ref="M3:N3"/>
    <mergeCell ref="A18:N18"/>
    <mergeCell ref="A19:N19"/>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9"/>
  <sheetViews>
    <sheetView zoomScaleNormal="100" workbookViewId="0">
      <selection sqref="A1:H1"/>
    </sheetView>
  </sheetViews>
  <sheetFormatPr defaultRowHeight="12.75" x14ac:dyDescent="0.2"/>
  <cols>
    <col min="1" max="1" width="14.7109375" bestFit="1" customWidth="1"/>
    <col min="2" max="2" width="16.5703125" bestFit="1" customWidth="1"/>
    <col min="3" max="6" width="12.140625" bestFit="1" customWidth="1"/>
    <col min="7" max="7" width="8" bestFit="1" customWidth="1"/>
    <col min="8" max="8" width="22.140625" bestFit="1" customWidth="1"/>
    <col min="9" max="9" width="4.7109375" bestFit="1" customWidth="1"/>
  </cols>
  <sheetData>
    <row r="1" spans="1:8" ht="15" customHeight="1" x14ac:dyDescent="0.2">
      <c r="A1" s="455" t="s">
        <v>635</v>
      </c>
      <c r="B1" s="455"/>
      <c r="C1" s="455"/>
      <c r="D1" s="455"/>
      <c r="E1" s="455"/>
      <c r="F1" s="455"/>
      <c r="G1" s="455"/>
      <c r="H1" s="455"/>
    </row>
    <row r="2" spans="1:8" s="5" customFormat="1" ht="18" customHeight="1" x14ac:dyDescent="0.2">
      <c r="A2" s="381" t="s">
        <v>182</v>
      </c>
      <c r="B2" s="393" t="s">
        <v>252</v>
      </c>
      <c r="C2" s="395"/>
      <c r="D2" s="393" t="s">
        <v>253</v>
      </c>
      <c r="E2" s="395"/>
      <c r="F2" s="393" t="s">
        <v>254</v>
      </c>
      <c r="G2" s="395"/>
    </row>
    <row r="3" spans="1:8" s="5" customFormat="1" ht="37.5" customHeight="1" x14ac:dyDescent="0.2">
      <c r="A3" s="383"/>
      <c r="B3" s="17" t="s">
        <v>557</v>
      </c>
      <c r="C3" s="9" t="s">
        <v>636</v>
      </c>
      <c r="D3" s="17" t="s">
        <v>557</v>
      </c>
      <c r="E3" s="9" t="s">
        <v>636</v>
      </c>
      <c r="F3" s="9" t="s">
        <v>637</v>
      </c>
      <c r="G3" s="9" t="s">
        <v>636</v>
      </c>
    </row>
    <row r="4" spans="1:8" s="5" customFormat="1" ht="18" customHeight="1" x14ac:dyDescent="0.2">
      <c r="A4" s="3" t="s">
        <v>69</v>
      </c>
      <c r="B4" s="75">
        <v>377.62848700000001</v>
      </c>
      <c r="C4" s="75">
        <v>14.766768000000001</v>
      </c>
      <c r="D4" s="75">
        <v>786.1560915</v>
      </c>
      <c r="E4" s="75">
        <v>26.764483720000001</v>
      </c>
      <c r="F4" s="76">
        <v>5.04E-2</v>
      </c>
      <c r="G4" s="76">
        <v>0</v>
      </c>
    </row>
    <row r="5" spans="1:8" s="5" customFormat="1" ht="18" customHeight="1" x14ac:dyDescent="0.2">
      <c r="A5" s="3" t="s">
        <v>70</v>
      </c>
      <c r="B5" s="75">
        <v>241.69011900000001</v>
      </c>
      <c r="C5" s="75">
        <v>11.41287</v>
      </c>
      <c r="D5" s="75">
        <v>585.81723390000002</v>
      </c>
      <c r="E5" s="75">
        <v>12.944532969999999</v>
      </c>
      <c r="F5" s="76">
        <v>5.04E-2</v>
      </c>
      <c r="G5" s="76">
        <v>0</v>
      </c>
    </row>
    <row r="6" spans="1:8" s="5" customFormat="1" ht="18" customHeight="1" x14ac:dyDescent="0.2">
      <c r="A6" s="3" t="s">
        <v>156</v>
      </c>
      <c r="B6" s="75">
        <v>16.23</v>
      </c>
      <c r="C6" s="75">
        <v>0.24</v>
      </c>
      <c r="D6" s="75">
        <v>66.713457000000005</v>
      </c>
      <c r="E6" s="75">
        <v>0.76758968000000005</v>
      </c>
      <c r="F6" s="76">
        <v>0</v>
      </c>
      <c r="G6" s="76">
        <v>0</v>
      </c>
    </row>
    <row r="7" spans="1:8" s="5" customFormat="1" ht="18" customHeight="1" x14ac:dyDescent="0.2">
      <c r="A7" s="3" t="s">
        <v>157</v>
      </c>
      <c r="B7" s="75">
        <v>11.584562999999999</v>
      </c>
      <c r="C7" s="75">
        <v>1.12124</v>
      </c>
      <c r="D7" s="75">
        <v>50.558770500000001</v>
      </c>
      <c r="E7" s="75">
        <v>2.2892792000000002</v>
      </c>
      <c r="F7" s="76">
        <v>0</v>
      </c>
      <c r="G7" s="76">
        <v>0</v>
      </c>
    </row>
    <row r="8" spans="1:8" s="5" customFormat="1" ht="18" customHeight="1" x14ac:dyDescent="0.2">
      <c r="A8" s="3" t="s">
        <v>158</v>
      </c>
      <c r="B8" s="75">
        <v>10.922114000000001</v>
      </c>
      <c r="C8" s="75">
        <v>0.66827000000000003</v>
      </c>
      <c r="D8" s="75">
        <v>28.1734115</v>
      </c>
      <c r="E8" s="75">
        <v>1.01911504</v>
      </c>
      <c r="F8" s="76">
        <v>0</v>
      </c>
      <c r="G8" s="76">
        <v>0</v>
      </c>
    </row>
    <row r="9" spans="1:8" s="5" customFormat="1" ht="18" customHeight="1" x14ac:dyDescent="0.2">
      <c r="A9" s="3" t="s">
        <v>159</v>
      </c>
      <c r="B9" s="75">
        <v>15.718726999999999</v>
      </c>
      <c r="C9" s="75">
        <v>0.53747699999999998</v>
      </c>
      <c r="D9" s="75">
        <v>34.566626499999998</v>
      </c>
      <c r="E9" s="75">
        <v>1.0004758</v>
      </c>
      <c r="F9" s="76">
        <v>0</v>
      </c>
      <c r="G9" s="76">
        <v>0</v>
      </c>
    </row>
    <row r="10" spans="1:8" s="5" customFormat="1" ht="18" customHeight="1" x14ac:dyDescent="0.2">
      <c r="A10" s="3" t="s">
        <v>160</v>
      </c>
      <c r="B10" s="75">
        <v>14.152948</v>
      </c>
      <c r="C10" s="75">
        <v>0.10484400000000001</v>
      </c>
      <c r="D10" s="75">
        <v>44.860392500000003</v>
      </c>
      <c r="E10" s="75">
        <v>0.37230096000000001</v>
      </c>
      <c r="F10" s="76">
        <v>0</v>
      </c>
      <c r="G10" s="76">
        <v>0</v>
      </c>
    </row>
    <row r="11" spans="1:8" s="5" customFormat="1" ht="18" customHeight="1" x14ac:dyDescent="0.2">
      <c r="A11" s="3" t="s">
        <v>161</v>
      </c>
      <c r="B11" s="75">
        <v>16.805185000000002</v>
      </c>
      <c r="C11" s="75">
        <v>0.55408000000000002</v>
      </c>
      <c r="D11" s="75">
        <v>54.627719999999997</v>
      </c>
      <c r="E11" s="75">
        <v>1.6622869600000001</v>
      </c>
      <c r="F11" s="76">
        <v>0</v>
      </c>
      <c r="G11" s="76">
        <v>0</v>
      </c>
    </row>
    <row r="12" spans="1:8" s="5" customFormat="1" ht="18" customHeight="1" x14ac:dyDescent="0.2">
      <c r="A12" s="3" t="s">
        <v>162</v>
      </c>
      <c r="B12" s="75">
        <v>12.571749000000001</v>
      </c>
      <c r="C12" s="75">
        <v>0.25975300000000001</v>
      </c>
      <c r="D12" s="75">
        <v>57.408569</v>
      </c>
      <c r="E12" s="75">
        <v>0.66719340000000005</v>
      </c>
      <c r="F12" s="76">
        <v>0</v>
      </c>
      <c r="G12" s="76">
        <v>0</v>
      </c>
    </row>
    <row r="13" spans="1:8" s="5" customFormat="1" ht="18" customHeight="1" x14ac:dyDescent="0.2">
      <c r="A13" s="3" t="s">
        <v>163</v>
      </c>
      <c r="B13" s="75">
        <v>16.735814999999999</v>
      </c>
      <c r="C13" s="75">
        <v>1.449173</v>
      </c>
      <c r="D13" s="75">
        <v>44.911327999999997</v>
      </c>
      <c r="E13" s="75">
        <v>2.0025684400000001</v>
      </c>
      <c r="F13" s="76">
        <v>0</v>
      </c>
      <c r="G13" s="76">
        <v>0</v>
      </c>
    </row>
    <row r="14" spans="1:8" s="5" customFormat="1" ht="18" customHeight="1" x14ac:dyDescent="0.2">
      <c r="A14" s="3" t="s">
        <v>164</v>
      </c>
      <c r="B14" s="75">
        <v>29.157710000000002</v>
      </c>
      <c r="C14" s="75">
        <v>0.51349500000000003</v>
      </c>
      <c r="D14" s="75">
        <v>79.386109399999995</v>
      </c>
      <c r="E14" s="75">
        <v>0.52690762499999999</v>
      </c>
      <c r="F14" s="76">
        <v>0</v>
      </c>
      <c r="G14" s="76">
        <v>0</v>
      </c>
    </row>
    <row r="15" spans="1:8" s="5" customFormat="1" ht="18" customHeight="1" x14ac:dyDescent="0.2">
      <c r="A15" s="3" t="s">
        <v>165</v>
      </c>
      <c r="B15" s="75">
        <v>35.987583000000001</v>
      </c>
      <c r="C15" s="75">
        <v>1.940089</v>
      </c>
      <c r="D15" s="75">
        <v>62.196081999999997</v>
      </c>
      <c r="E15" s="75">
        <v>1.2890964199999999</v>
      </c>
      <c r="F15" s="76">
        <v>0</v>
      </c>
      <c r="G15" s="76">
        <v>0</v>
      </c>
    </row>
    <row r="16" spans="1:8" s="5" customFormat="1" ht="18" customHeight="1" x14ac:dyDescent="0.2">
      <c r="A16" s="3" t="s">
        <v>166</v>
      </c>
      <c r="B16" s="75">
        <v>61.819564</v>
      </c>
      <c r="C16" s="75">
        <v>4.0249230000000003</v>
      </c>
      <c r="D16" s="75">
        <v>62.414767500000004</v>
      </c>
      <c r="E16" s="75">
        <v>1.3477194400000001</v>
      </c>
      <c r="F16" s="76">
        <v>0</v>
      </c>
      <c r="G16" s="76">
        <v>0</v>
      </c>
    </row>
    <row r="17" spans="1:7" s="5" customFormat="1" ht="19.5" customHeight="1" x14ac:dyDescent="0.2">
      <c r="A17" s="371" t="s">
        <v>105</v>
      </c>
      <c r="B17" s="371"/>
      <c r="C17" s="371"/>
      <c r="D17" s="371"/>
      <c r="E17" s="371"/>
      <c r="F17" s="371"/>
      <c r="G17" s="371"/>
    </row>
    <row r="18" spans="1:7" s="5" customFormat="1" ht="18" customHeight="1" x14ac:dyDescent="0.2">
      <c r="A18" s="371" t="s">
        <v>638</v>
      </c>
      <c r="B18" s="371"/>
      <c r="C18" s="371"/>
      <c r="D18" s="371"/>
      <c r="E18" s="371"/>
      <c r="F18" s="371"/>
      <c r="G18" s="371"/>
    </row>
    <row r="19" spans="1:7" s="5" customFormat="1" ht="28.35" customHeight="1" x14ac:dyDescent="0.2"/>
  </sheetData>
  <customSheetViews>
    <customSheetView guid="{B9B27D37-53F8-4AD8-9221-6458C3026417}" fitToPage="1">
      <selection sqref="A1:H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H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A18:G18"/>
    <mergeCell ref="A1:H1"/>
    <mergeCell ref="A2:A3"/>
    <mergeCell ref="B2:C2"/>
    <mergeCell ref="D2:E2"/>
    <mergeCell ref="F2:G2"/>
    <mergeCell ref="A17:G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F18"/>
  <sheetViews>
    <sheetView zoomScaleNormal="100" workbookViewId="0">
      <selection sqref="A1:D1"/>
    </sheetView>
  </sheetViews>
  <sheetFormatPr defaultRowHeight="12.75" x14ac:dyDescent="0.2"/>
  <cols>
    <col min="1" max="6" width="12.140625" bestFit="1" customWidth="1"/>
    <col min="7" max="7" width="4.85546875" bestFit="1" customWidth="1"/>
  </cols>
  <sheetData>
    <row r="1" spans="1:6" ht="15" customHeight="1" x14ac:dyDescent="0.2">
      <c r="A1" s="403" t="s">
        <v>56</v>
      </c>
      <c r="B1" s="403"/>
      <c r="C1" s="403"/>
      <c r="D1" s="403"/>
    </row>
    <row r="2" spans="1:6" s="5" customFormat="1" ht="51" customHeight="1" x14ac:dyDescent="0.2">
      <c r="A2" s="9" t="s">
        <v>245</v>
      </c>
      <c r="B2" s="10" t="s">
        <v>639</v>
      </c>
      <c r="C2" s="10" t="s">
        <v>640</v>
      </c>
      <c r="D2" s="10" t="s">
        <v>641</v>
      </c>
      <c r="E2" s="9" t="s">
        <v>642</v>
      </c>
      <c r="F2" s="9" t="s">
        <v>643</v>
      </c>
    </row>
    <row r="3" spans="1:6" s="5" customFormat="1" ht="18" customHeight="1" x14ac:dyDescent="0.2">
      <c r="A3" s="3" t="s">
        <v>69</v>
      </c>
      <c r="B3" s="33">
        <v>1728359.54</v>
      </c>
      <c r="C3" s="33">
        <v>1583678.77</v>
      </c>
      <c r="D3" s="33">
        <v>144680.76999999999</v>
      </c>
      <c r="E3" s="35">
        <v>22465.57</v>
      </c>
      <c r="F3" s="35">
        <v>253652.92</v>
      </c>
    </row>
    <row r="4" spans="1:6" s="5" customFormat="1" ht="18" customHeight="1" x14ac:dyDescent="0.2">
      <c r="A4" s="3" t="s">
        <v>644</v>
      </c>
      <c r="B4" s="33">
        <v>1440588.17</v>
      </c>
      <c r="C4" s="33">
        <v>1528270.02</v>
      </c>
      <c r="D4" s="26">
        <v>-87681.85</v>
      </c>
      <c r="E4" s="35">
        <v>-12531.52</v>
      </c>
      <c r="F4" s="35">
        <v>241121.4</v>
      </c>
    </row>
    <row r="5" spans="1:6" s="5" customFormat="1" ht="18" customHeight="1" x14ac:dyDescent="0.2">
      <c r="A5" s="3" t="s">
        <v>156</v>
      </c>
      <c r="B5" s="33">
        <v>134718.56</v>
      </c>
      <c r="C5" s="33">
        <v>150280.04</v>
      </c>
      <c r="D5" s="26">
        <v>-15561.48</v>
      </c>
      <c r="E5" s="35">
        <v>-2352.6799999999998</v>
      </c>
      <c r="F5" s="35">
        <v>251300.24</v>
      </c>
    </row>
    <row r="6" spans="1:6" s="5" customFormat="1" ht="18" customHeight="1" x14ac:dyDescent="0.2">
      <c r="A6" s="3" t="s">
        <v>157</v>
      </c>
      <c r="B6" s="33">
        <v>127492.24</v>
      </c>
      <c r="C6" s="33">
        <v>157267.82</v>
      </c>
      <c r="D6" s="26">
        <v>-29775.58</v>
      </c>
      <c r="E6" s="35">
        <v>-4409.97</v>
      </c>
      <c r="F6" s="35">
        <v>246890.27</v>
      </c>
    </row>
    <row r="7" spans="1:6" s="5" customFormat="1" ht="18" customHeight="1" x14ac:dyDescent="0.2">
      <c r="A7" s="3" t="s">
        <v>158</v>
      </c>
      <c r="B7" s="33">
        <v>145149.57</v>
      </c>
      <c r="C7" s="33">
        <v>160944.54</v>
      </c>
      <c r="D7" s="26">
        <v>-15794.97</v>
      </c>
      <c r="E7" s="35">
        <v>-2322.1799999999998</v>
      </c>
      <c r="F7" s="35">
        <v>244568.09</v>
      </c>
    </row>
    <row r="8" spans="1:6" s="5" customFormat="1" ht="18" customHeight="1" x14ac:dyDescent="0.2">
      <c r="A8" s="3" t="s">
        <v>159</v>
      </c>
      <c r="B8" s="33">
        <v>128610.93</v>
      </c>
      <c r="C8" s="33">
        <v>126346.99</v>
      </c>
      <c r="D8" s="26">
        <v>2263.94</v>
      </c>
      <c r="E8" s="35">
        <v>329.85</v>
      </c>
      <c r="F8" s="35">
        <v>244897.94</v>
      </c>
    </row>
    <row r="9" spans="1:6" s="5" customFormat="1" ht="18" customHeight="1" x14ac:dyDescent="0.2">
      <c r="A9" s="3" t="s">
        <v>160</v>
      </c>
      <c r="B9" s="33">
        <v>119546.48</v>
      </c>
      <c r="C9" s="33">
        <v>114400.94</v>
      </c>
      <c r="D9" s="26">
        <v>5145.54</v>
      </c>
      <c r="E9" s="35">
        <v>762.47</v>
      </c>
      <c r="F9" s="35">
        <v>245660.41</v>
      </c>
    </row>
    <row r="10" spans="1:6" s="5" customFormat="1" ht="18" customHeight="1" x14ac:dyDescent="0.2">
      <c r="A10" s="3" t="s">
        <v>161</v>
      </c>
      <c r="B10" s="33">
        <v>131050.1</v>
      </c>
      <c r="C10" s="33">
        <v>152084.64000000001</v>
      </c>
      <c r="D10" s="26">
        <v>-21034.54</v>
      </c>
      <c r="E10" s="35">
        <v>-2906.71</v>
      </c>
      <c r="F10" s="35">
        <v>242753.7</v>
      </c>
    </row>
    <row r="11" spans="1:6" s="5" customFormat="1" ht="18" customHeight="1" x14ac:dyDescent="0.2">
      <c r="A11" s="3" t="s">
        <v>162</v>
      </c>
      <c r="B11" s="33">
        <v>134506.68</v>
      </c>
      <c r="C11" s="33">
        <v>173412.36</v>
      </c>
      <c r="D11" s="26">
        <v>-38905.68</v>
      </c>
      <c r="E11" s="35">
        <v>-5281.19</v>
      </c>
      <c r="F11" s="35">
        <v>237472.51</v>
      </c>
    </row>
    <row r="12" spans="1:6" s="5" customFormat="1" ht="18" customHeight="1" x14ac:dyDescent="0.2">
      <c r="A12" s="3" t="s">
        <v>163</v>
      </c>
      <c r="B12" s="33">
        <v>128220.7</v>
      </c>
      <c r="C12" s="33">
        <v>116625.64</v>
      </c>
      <c r="D12" s="26">
        <v>11595.06</v>
      </c>
      <c r="E12" s="35">
        <v>1609.5</v>
      </c>
      <c r="F12" s="35">
        <v>239082.01</v>
      </c>
    </row>
    <row r="13" spans="1:6" s="5" customFormat="1" ht="18" customHeight="1" x14ac:dyDescent="0.2">
      <c r="A13" s="3" t="s">
        <v>164</v>
      </c>
      <c r="B13" s="33">
        <v>129514.11</v>
      </c>
      <c r="C13" s="33">
        <v>121624.92</v>
      </c>
      <c r="D13" s="26">
        <v>7889.19</v>
      </c>
      <c r="E13" s="35">
        <v>1129</v>
      </c>
      <c r="F13" s="35">
        <v>240211.01</v>
      </c>
    </row>
    <row r="14" spans="1:6" s="5" customFormat="1" ht="18" customHeight="1" x14ac:dyDescent="0.2">
      <c r="A14" s="3" t="s">
        <v>165</v>
      </c>
      <c r="B14" s="33">
        <v>122075.46</v>
      </c>
      <c r="C14" s="33">
        <v>127631.67999999999</v>
      </c>
      <c r="D14" s="26">
        <v>-5556.22</v>
      </c>
      <c r="E14" s="35">
        <v>-787</v>
      </c>
      <c r="F14" s="35">
        <v>239424.01</v>
      </c>
    </row>
    <row r="15" spans="1:6" s="5" customFormat="1" ht="18" customHeight="1" x14ac:dyDescent="0.2">
      <c r="A15" s="3" t="s">
        <v>166</v>
      </c>
      <c r="B15" s="33">
        <v>139703.34</v>
      </c>
      <c r="C15" s="33">
        <v>127650.45</v>
      </c>
      <c r="D15" s="26">
        <v>12052.89</v>
      </c>
      <c r="E15" s="35">
        <v>1697.39</v>
      </c>
      <c r="F15" s="35">
        <v>241121.4</v>
      </c>
    </row>
    <row r="16" spans="1:6" s="5" customFormat="1" ht="18.75" customHeight="1" x14ac:dyDescent="0.2">
      <c r="A16" s="391" t="s">
        <v>645</v>
      </c>
      <c r="B16" s="391"/>
      <c r="C16" s="391"/>
      <c r="D16" s="391"/>
      <c r="E16" s="391"/>
      <c r="F16" s="391"/>
    </row>
    <row r="17" spans="1:6" s="5" customFormat="1" ht="18" customHeight="1" x14ac:dyDescent="0.2">
      <c r="A17" s="391" t="s">
        <v>297</v>
      </c>
      <c r="B17" s="391"/>
      <c r="C17" s="391"/>
      <c r="D17" s="391"/>
      <c r="E17" s="391"/>
      <c r="F17" s="391"/>
    </row>
    <row r="18" spans="1:6" s="5" customFormat="1" ht="28.35" customHeight="1" x14ac:dyDescent="0.2"/>
  </sheetData>
  <customSheetViews>
    <customSheetView guid="{B9B27D37-53F8-4AD8-9221-6458C3026417}" fitToPage="1">
      <selection sqref="A1:D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selection sqref="A1:D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3">
    <mergeCell ref="A1:D1"/>
    <mergeCell ref="A16:F16"/>
    <mergeCell ref="A17:F1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G19"/>
  <sheetViews>
    <sheetView zoomScaleNormal="100" workbookViewId="0">
      <selection activeCell="F4" sqref="F4"/>
    </sheetView>
  </sheetViews>
  <sheetFormatPr defaultRowHeight="12.75" x14ac:dyDescent="0.2"/>
  <cols>
    <col min="1" max="1" width="14.85546875" bestFit="1" customWidth="1"/>
    <col min="2" max="5" width="14.7109375" bestFit="1" customWidth="1"/>
    <col min="6" max="6" width="16.42578125" bestFit="1" customWidth="1"/>
    <col min="7" max="7" width="1.42578125" customWidth="1"/>
    <col min="8" max="8" width="4.7109375" bestFit="1" customWidth="1"/>
  </cols>
  <sheetData>
    <row r="1" spans="1:7" ht="42" customHeight="1" x14ac:dyDescent="0.2">
      <c r="A1" s="425" t="s">
        <v>646</v>
      </c>
      <c r="B1" s="425"/>
      <c r="C1" s="425"/>
      <c r="D1" s="425"/>
      <c r="E1" s="425"/>
      <c r="F1" s="425"/>
      <c r="G1" s="425"/>
    </row>
    <row r="2" spans="1:7" s="5" customFormat="1" ht="125.25" customHeight="1" x14ac:dyDescent="0.2">
      <c r="A2" s="7" t="s">
        <v>182</v>
      </c>
      <c r="B2" s="9" t="s">
        <v>647</v>
      </c>
      <c r="C2" s="9" t="s">
        <v>648</v>
      </c>
      <c r="D2" s="9" t="s">
        <v>649</v>
      </c>
      <c r="E2" s="9" t="s">
        <v>650</v>
      </c>
      <c r="F2" s="9" t="s">
        <v>651</v>
      </c>
    </row>
    <row r="3" spans="1:7" s="5" customFormat="1" ht="18" customHeight="1" x14ac:dyDescent="0.2">
      <c r="A3" s="3" t="s">
        <v>69</v>
      </c>
      <c r="B3" s="33">
        <v>106403</v>
      </c>
      <c r="C3" s="33">
        <v>102726</v>
      </c>
      <c r="D3" s="33">
        <v>3148349</v>
      </c>
      <c r="E3" s="48">
        <v>3.4</v>
      </c>
      <c r="F3" s="48">
        <v>3.3</v>
      </c>
    </row>
    <row r="4" spans="1:7" s="5" customFormat="1" ht="18" customHeight="1" x14ac:dyDescent="0.2">
      <c r="A4" s="3" t="s">
        <v>70</v>
      </c>
      <c r="B4" s="26">
        <v>73428</v>
      </c>
      <c r="C4" s="26">
        <v>73319</v>
      </c>
      <c r="D4" s="33" t="s">
        <v>1037</v>
      </c>
      <c r="E4" s="48">
        <v>2.4</v>
      </c>
      <c r="F4" s="48">
        <v>2.4</v>
      </c>
    </row>
    <row r="5" spans="1:7" s="5" customFormat="1" ht="18" customHeight="1" x14ac:dyDescent="0.2">
      <c r="A5" s="3" t="s">
        <v>156</v>
      </c>
      <c r="B5" s="33">
        <v>100245</v>
      </c>
      <c r="C5" s="26">
        <v>99595</v>
      </c>
      <c r="D5" s="33">
        <v>3319175</v>
      </c>
      <c r="E5" s="48">
        <v>3</v>
      </c>
      <c r="F5" s="48">
        <v>3</v>
      </c>
    </row>
    <row r="6" spans="1:7" s="5" customFormat="1" ht="18" customHeight="1" x14ac:dyDescent="0.2">
      <c r="A6" s="3" t="s">
        <v>157</v>
      </c>
      <c r="B6" s="26">
        <v>93497</v>
      </c>
      <c r="C6" s="26">
        <v>89974</v>
      </c>
      <c r="D6" s="33">
        <v>3177685</v>
      </c>
      <c r="E6" s="48">
        <v>2.9</v>
      </c>
      <c r="F6" s="48">
        <v>2.8</v>
      </c>
    </row>
    <row r="7" spans="1:7" s="5" customFormat="1" ht="18" customHeight="1" x14ac:dyDescent="0.2">
      <c r="A7" s="3" t="s">
        <v>158</v>
      </c>
      <c r="B7" s="26">
        <v>83688</v>
      </c>
      <c r="C7" s="26">
        <v>80279</v>
      </c>
      <c r="D7" s="33">
        <v>3188252</v>
      </c>
      <c r="E7" s="48">
        <v>2.6</v>
      </c>
      <c r="F7" s="48">
        <v>2.5</v>
      </c>
    </row>
    <row r="8" spans="1:7" s="5" customFormat="1" ht="18" customHeight="1" x14ac:dyDescent="0.2">
      <c r="A8" s="3" t="s">
        <v>159</v>
      </c>
      <c r="B8" s="26">
        <v>80341</v>
      </c>
      <c r="C8" s="26">
        <v>76769</v>
      </c>
      <c r="D8" s="33">
        <v>3334518</v>
      </c>
      <c r="E8" s="48">
        <v>2.4</v>
      </c>
      <c r="F8" s="48">
        <v>2.2999999999999998</v>
      </c>
    </row>
    <row r="9" spans="1:7" s="5" customFormat="1" ht="18" customHeight="1" x14ac:dyDescent="0.2">
      <c r="A9" s="3" t="s">
        <v>160</v>
      </c>
      <c r="B9" s="26">
        <v>84647</v>
      </c>
      <c r="C9" s="26">
        <v>80882</v>
      </c>
      <c r="D9" s="33">
        <v>3431511</v>
      </c>
      <c r="E9" s="48">
        <v>2.5</v>
      </c>
      <c r="F9" s="48">
        <v>2.4</v>
      </c>
    </row>
    <row r="10" spans="1:7" s="5" customFormat="1" ht="18" customHeight="1" x14ac:dyDescent="0.2">
      <c r="A10" s="3" t="s">
        <v>161</v>
      </c>
      <c r="B10" s="26">
        <v>79548</v>
      </c>
      <c r="C10" s="26">
        <v>75641</v>
      </c>
      <c r="D10" s="33">
        <v>3138334</v>
      </c>
      <c r="E10" s="48">
        <v>2.5</v>
      </c>
      <c r="F10" s="48">
        <v>2.4</v>
      </c>
    </row>
    <row r="11" spans="1:7" s="5" customFormat="1" ht="18" customHeight="1" x14ac:dyDescent="0.2">
      <c r="A11" s="3" t="s">
        <v>162</v>
      </c>
      <c r="B11" s="26">
        <v>66587</v>
      </c>
      <c r="C11" s="26">
        <v>65147</v>
      </c>
      <c r="D11" s="33">
        <v>2982324</v>
      </c>
      <c r="E11" s="48">
        <v>2.2000000000000002</v>
      </c>
      <c r="F11" s="48">
        <v>2.2000000000000002</v>
      </c>
    </row>
    <row r="12" spans="1:7" s="5" customFormat="1" ht="18" customHeight="1" x14ac:dyDescent="0.2">
      <c r="A12" s="3" t="s">
        <v>163</v>
      </c>
      <c r="B12" s="26">
        <v>79247</v>
      </c>
      <c r="C12" s="26">
        <v>78015</v>
      </c>
      <c r="D12" s="33">
        <v>3108886</v>
      </c>
      <c r="E12" s="48">
        <v>2.5</v>
      </c>
      <c r="F12" s="48">
        <v>2.5</v>
      </c>
    </row>
    <row r="13" spans="1:7" s="5" customFormat="1" ht="18" customHeight="1" x14ac:dyDescent="0.2">
      <c r="A13" s="3" t="s">
        <v>164</v>
      </c>
      <c r="B13" s="26">
        <v>79513</v>
      </c>
      <c r="C13" s="26">
        <v>78558</v>
      </c>
      <c r="D13" s="33">
        <v>3138205</v>
      </c>
      <c r="E13" s="48">
        <v>2.5</v>
      </c>
      <c r="F13" s="48">
        <v>2.5</v>
      </c>
    </row>
    <row r="14" spans="1:7" s="5" customFormat="1" ht="18" customHeight="1" x14ac:dyDescent="0.2">
      <c r="A14" s="3" t="s">
        <v>165</v>
      </c>
      <c r="B14" s="26">
        <v>75693</v>
      </c>
      <c r="C14" s="26">
        <v>74866</v>
      </c>
      <c r="D14" s="33">
        <v>3090508</v>
      </c>
      <c r="E14" s="48">
        <v>2.4</v>
      </c>
      <c r="F14" s="48">
        <v>2.4</v>
      </c>
    </row>
    <row r="15" spans="1:7" s="5" customFormat="1" ht="18" customHeight="1" x14ac:dyDescent="0.2">
      <c r="A15" s="3" t="s">
        <v>166</v>
      </c>
      <c r="B15" s="26">
        <v>73428</v>
      </c>
      <c r="C15" s="26">
        <v>73319</v>
      </c>
      <c r="D15" s="33" t="s">
        <v>1037</v>
      </c>
      <c r="E15" s="48">
        <v>2.4</v>
      </c>
      <c r="F15" s="48">
        <v>2.4</v>
      </c>
    </row>
    <row r="16" spans="1:7" s="5" customFormat="1" ht="45.75" customHeight="1" x14ac:dyDescent="0.2">
      <c r="A16" s="392" t="s">
        <v>1024</v>
      </c>
      <c r="B16" s="392"/>
      <c r="C16" s="392"/>
      <c r="D16" s="392"/>
      <c r="E16" s="392"/>
      <c r="F16" s="392"/>
    </row>
    <row r="17" spans="1:6" s="5" customFormat="1" ht="13.5" customHeight="1" x14ac:dyDescent="0.2">
      <c r="A17" s="391" t="s">
        <v>297</v>
      </c>
      <c r="B17" s="391"/>
      <c r="C17" s="391"/>
      <c r="D17" s="391"/>
      <c r="E17" s="391"/>
      <c r="F17" s="391"/>
    </row>
    <row r="18" spans="1:6" s="5" customFormat="1" ht="13.5" customHeight="1" x14ac:dyDescent="0.2">
      <c r="A18" s="391" t="s">
        <v>126</v>
      </c>
      <c r="B18" s="391"/>
      <c r="C18" s="391"/>
      <c r="D18" s="391"/>
      <c r="E18" s="391"/>
      <c r="F18" s="391"/>
    </row>
    <row r="19" spans="1:6" s="5" customFormat="1" ht="28.35" customHeight="1" x14ac:dyDescent="0.2"/>
  </sheetData>
  <customSheetViews>
    <customSheetView guid="{B9B27D37-53F8-4AD8-9221-6458C3026417}" fitToPage="1">
      <selection activeCell="I2" sqref="I2"/>
      <pageMargins left="0.78431372549019618" right="0.78431372549019618" top="0.98039215686274517" bottom="0.98039215686274517" header="0.50980392156862753" footer="0.50980392156862753"/>
      <pageSetup paperSize="9" orientation="landscape" useFirstPageNumber="1" r:id="rId1"/>
      <headerFooter alignWithMargins="0"/>
    </customSheetView>
    <customSheetView guid="{F9A1D58D-8337-4577-94AF-0D6370657575}" fitToPage="1">
      <selection activeCell="J2" sqref="J2"/>
      <pageMargins left="0.78431372549019618" right="0.78431372549019618" top="0.98039215686274517" bottom="0.98039215686274517" header="0.50980392156862753" footer="0.50980392156862753"/>
      <pageSetup paperSize="9" orientation="landscape" useFirstPageNumber="1" r:id="rId2"/>
      <headerFooter alignWithMargins="0"/>
    </customSheetView>
  </customSheetViews>
  <mergeCells count="4">
    <mergeCell ref="A1:G1"/>
    <mergeCell ref="A16:F16"/>
    <mergeCell ref="A17:F17"/>
    <mergeCell ref="A18:F18"/>
  </mergeCell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C21"/>
  <sheetViews>
    <sheetView zoomScaleNormal="100" workbookViewId="0">
      <selection sqref="A1:Z1"/>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403" t="s">
        <v>59</v>
      </c>
      <c r="B1" s="403"/>
      <c r="C1" s="403"/>
      <c r="D1" s="403"/>
      <c r="E1" s="403"/>
      <c r="F1" s="403"/>
      <c r="G1" s="403"/>
      <c r="H1" s="403"/>
      <c r="I1" s="403"/>
      <c r="J1" s="403"/>
      <c r="K1" s="403"/>
      <c r="L1" s="403"/>
      <c r="M1" s="403"/>
      <c r="N1" s="403"/>
      <c r="O1" s="403"/>
      <c r="P1" s="403"/>
      <c r="Q1" s="403"/>
      <c r="R1" s="403"/>
      <c r="S1" s="403"/>
      <c r="T1" s="403"/>
      <c r="U1" s="403"/>
      <c r="V1" s="403"/>
      <c r="W1" s="403"/>
      <c r="X1" s="403"/>
      <c r="Y1" s="403"/>
      <c r="Z1" s="403"/>
    </row>
    <row r="2" spans="1:29" s="5" customFormat="1" ht="51" customHeight="1" x14ac:dyDescent="0.2">
      <c r="A2" s="373" t="s">
        <v>652</v>
      </c>
      <c r="B2" s="393" t="s">
        <v>653</v>
      </c>
      <c r="C2" s="395"/>
      <c r="D2" s="389" t="s">
        <v>654</v>
      </c>
      <c r="E2" s="390"/>
      <c r="F2" s="389" t="s">
        <v>655</v>
      </c>
      <c r="G2" s="390"/>
      <c r="H2" s="389" t="s">
        <v>656</v>
      </c>
      <c r="I2" s="390"/>
      <c r="J2" s="393" t="s">
        <v>657</v>
      </c>
      <c r="K2" s="395"/>
      <c r="L2" s="393" t="s">
        <v>658</v>
      </c>
      <c r="M2" s="395"/>
      <c r="N2" s="389" t="s">
        <v>659</v>
      </c>
      <c r="O2" s="390"/>
      <c r="P2" s="393" t="s">
        <v>660</v>
      </c>
      <c r="Q2" s="395"/>
      <c r="R2" s="393" t="s">
        <v>335</v>
      </c>
      <c r="S2" s="395"/>
      <c r="T2" s="389" t="s">
        <v>661</v>
      </c>
      <c r="U2" s="390"/>
      <c r="V2" s="389" t="s">
        <v>662</v>
      </c>
      <c r="W2" s="390"/>
      <c r="X2" s="389" t="s">
        <v>663</v>
      </c>
      <c r="Y2" s="390"/>
      <c r="Z2" s="393" t="s">
        <v>330</v>
      </c>
      <c r="AA2" s="395"/>
      <c r="AB2" s="393" t="s">
        <v>150</v>
      </c>
      <c r="AC2" s="395"/>
    </row>
    <row r="3" spans="1:29" s="5" customFormat="1" ht="51.75" customHeight="1" x14ac:dyDescent="0.2">
      <c r="A3" s="374"/>
      <c r="B3" s="9" t="s">
        <v>664</v>
      </c>
      <c r="C3" s="10" t="s">
        <v>155</v>
      </c>
      <c r="D3" s="9" t="s">
        <v>664</v>
      </c>
      <c r="E3" s="10" t="s">
        <v>198</v>
      </c>
      <c r="F3" s="9" t="s">
        <v>664</v>
      </c>
      <c r="G3" s="10" t="s">
        <v>198</v>
      </c>
      <c r="H3" s="9" t="s">
        <v>664</v>
      </c>
      <c r="I3" s="10" t="s">
        <v>198</v>
      </c>
      <c r="J3" s="9" t="s">
        <v>664</v>
      </c>
      <c r="K3" s="10" t="s">
        <v>198</v>
      </c>
      <c r="L3" s="9" t="s">
        <v>664</v>
      </c>
      <c r="M3" s="10" t="s">
        <v>198</v>
      </c>
      <c r="N3" s="9" t="s">
        <v>664</v>
      </c>
      <c r="O3" s="10" t="s">
        <v>198</v>
      </c>
      <c r="P3" s="9" t="s">
        <v>664</v>
      </c>
      <c r="Q3" s="10" t="s">
        <v>198</v>
      </c>
      <c r="R3" s="9" t="s">
        <v>664</v>
      </c>
      <c r="S3" s="10" t="s">
        <v>198</v>
      </c>
      <c r="T3" s="9" t="s">
        <v>664</v>
      </c>
      <c r="U3" s="10" t="s">
        <v>198</v>
      </c>
      <c r="V3" s="9" t="s">
        <v>664</v>
      </c>
      <c r="W3" s="10" t="s">
        <v>198</v>
      </c>
      <c r="X3" s="9" t="s">
        <v>664</v>
      </c>
      <c r="Y3" s="10" t="s">
        <v>198</v>
      </c>
      <c r="Z3" s="9" t="s">
        <v>664</v>
      </c>
      <c r="AA3" s="10" t="s">
        <v>198</v>
      </c>
      <c r="AB3" s="9" t="s">
        <v>664</v>
      </c>
      <c r="AC3" s="10" t="s">
        <v>198</v>
      </c>
    </row>
    <row r="4" spans="1:29" s="5" customFormat="1" ht="18" customHeight="1" x14ac:dyDescent="0.2">
      <c r="A4" s="3" t="s">
        <v>69</v>
      </c>
      <c r="B4" s="26">
        <v>9326</v>
      </c>
      <c r="C4" s="33">
        <v>3148349.085</v>
      </c>
      <c r="D4" s="11">
        <v>64</v>
      </c>
      <c r="E4" s="33">
        <v>295547.78999999998</v>
      </c>
      <c r="F4" s="26">
        <v>1651</v>
      </c>
      <c r="G4" s="33">
        <v>733301.51</v>
      </c>
      <c r="H4" s="26">
        <v>188</v>
      </c>
      <c r="I4" s="26">
        <v>31419.8</v>
      </c>
      <c r="J4" s="26">
        <v>23</v>
      </c>
      <c r="K4" s="26">
        <v>2424.31</v>
      </c>
      <c r="L4" s="26">
        <v>415</v>
      </c>
      <c r="M4" s="26">
        <v>3249.11</v>
      </c>
      <c r="N4" s="26">
        <v>1541</v>
      </c>
      <c r="O4" s="33">
        <v>1978171.26</v>
      </c>
      <c r="P4" s="26">
        <v>459</v>
      </c>
      <c r="Q4" s="26">
        <v>87064.84</v>
      </c>
      <c r="R4" s="26">
        <v>114</v>
      </c>
      <c r="S4" s="33">
        <v>352781.54</v>
      </c>
      <c r="T4" s="11">
        <v>856</v>
      </c>
      <c r="U4" s="33">
        <v>1578986.835</v>
      </c>
      <c r="V4" s="11">
        <v>120</v>
      </c>
      <c r="W4" s="33">
        <v>332925.09000000003</v>
      </c>
      <c r="X4" s="11">
        <v>27</v>
      </c>
      <c r="Y4" s="33">
        <v>109009.14</v>
      </c>
      <c r="Z4" s="26">
        <v>15580</v>
      </c>
      <c r="AA4" s="33">
        <v>662457.83559999999</v>
      </c>
      <c r="AB4" s="26">
        <v>30364</v>
      </c>
      <c r="AC4" s="33">
        <v>9315688.1449999996</v>
      </c>
    </row>
    <row r="5" spans="1:29" s="5" customFormat="1" ht="18" customHeight="1" x14ac:dyDescent="0.2">
      <c r="A5" s="3" t="s">
        <v>70</v>
      </c>
      <c r="B5" s="26">
        <v>9541</v>
      </c>
      <c r="C5" s="33">
        <v>3089601.78</v>
      </c>
      <c r="D5" s="11">
        <v>64</v>
      </c>
      <c r="E5" s="33">
        <v>325403.37</v>
      </c>
      <c r="F5" s="26">
        <v>1842</v>
      </c>
      <c r="G5" s="33">
        <v>784803.12</v>
      </c>
      <c r="H5" s="26">
        <v>198</v>
      </c>
      <c r="I5" s="26">
        <v>37062.57</v>
      </c>
      <c r="J5" s="26">
        <v>24</v>
      </c>
      <c r="K5" s="26">
        <v>1210.93</v>
      </c>
      <c r="L5" s="26">
        <v>536</v>
      </c>
      <c r="M5" s="26">
        <v>3204.01</v>
      </c>
      <c r="N5" s="26">
        <v>1760</v>
      </c>
      <c r="O5" s="33">
        <v>2183721.59</v>
      </c>
      <c r="P5" s="26">
        <v>494</v>
      </c>
      <c r="Q5" s="26">
        <v>87835.79</v>
      </c>
      <c r="R5" s="26">
        <v>117</v>
      </c>
      <c r="S5" s="33">
        <v>336197.18</v>
      </c>
      <c r="T5" s="11">
        <v>772</v>
      </c>
      <c r="U5" s="33">
        <v>1649797.32</v>
      </c>
      <c r="V5" s="11">
        <v>120</v>
      </c>
      <c r="W5" s="33">
        <v>414257.96</v>
      </c>
      <c r="X5" s="11">
        <v>25</v>
      </c>
      <c r="Y5" s="26">
        <v>57995.94</v>
      </c>
      <c r="Z5" s="26">
        <v>18962</v>
      </c>
      <c r="AA5" s="33">
        <v>755417.1</v>
      </c>
      <c r="AB5" s="26">
        <v>34455</v>
      </c>
      <c r="AC5" s="33">
        <v>9726508.6600000001</v>
      </c>
    </row>
    <row r="6" spans="1:29" s="5" customFormat="1" ht="18" customHeight="1" x14ac:dyDescent="0.2">
      <c r="A6" s="3" t="s">
        <v>156</v>
      </c>
      <c r="B6" s="26">
        <v>9349</v>
      </c>
      <c r="C6" s="33">
        <v>3319175.15</v>
      </c>
      <c r="D6" s="11">
        <v>64</v>
      </c>
      <c r="E6" s="33">
        <v>308800.90000000002</v>
      </c>
      <c r="F6" s="26">
        <v>1669</v>
      </c>
      <c r="G6" s="33">
        <v>775454.44</v>
      </c>
      <c r="H6" s="26">
        <v>191</v>
      </c>
      <c r="I6" s="26">
        <v>31842.35</v>
      </c>
      <c r="J6" s="26">
        <v>23</v>
      </c>
      <c r="K6" s="26">
        <v>2618.65</v>
      </c>
      <c r="L6" s="26">
        <v>427</v>
      </c>
      <c r="M6" s="26">
        <v>3438.26</v>
      </c>
      <c r="N6" s="26">
        <v>1515</v>
      </c>
      <c r="O6" s="33">
        <v>2146009.67</v>
      </c>
      <c r="P6" s="26">
        <v>456</v>
      </c>
      <c r="Q6" s="26">
        <v>91500.63</v>
      </c>
      <c r="R6" s="26">
        <v>115</v>
      </c>
      <c r="S6" s="33">
        <v>380738.39</v>
      </c>
      <c r="T6" s="11">
        <v>857</v>
      </c>
      <c r="U6" s="33">
        <v>1642073.98</v>
      </c>
      <c r="V6" s="11">
        <v>120</v>
      </c>
      <c r="W6" s="33">
        <v>339999.29</v>
      </c>
      <c r="X6" s="11">
        <v>27</v>
      </c>
      <c r="Y6" s="33">
        <v>118420.16</v>
      </c>
      <c r="Z6" s="26">
        <v>15883</v>
      </c>
      <c r="AA6" s="33">
        <v>689143.47</v>
      </c>
      <c r="AB6" s="26">
        <v>30696</v>
      </c>
      <c r="AC6" s="33">
        <v>9849215.3399999999</v>
      </c>
    </row>
    <row r="7" spans="1:29" s="5" customFormat="1" ht="18" customHeight="1" x14ac:dyDescent="0.2">
      <c r="A7" s="3" t="s">
        <v>157</v>
      </c>
      <c r="B7" s="26">
        <v>9333</v>
      </c>
      <c r="C7" s="33">
        <v>3177684.6</v>
      </c>
      <c r="D7" s="11">
        <v>64</v>
      </c>
      <c r="E7" s="33">
        <v>312863.48</v>
      </c>
      <c r="F7" s="26">
        <v>1672</v>
      </c>
      <c r="G7" s="33">
        <v>770218.53</v>
      </c>
      <c r="H7" s="26">
        <v>191</v>
      </c>
      <c r="I7" s="33">
        <v>138558.64000000001</v>
      </c>
      <c r="J7" s="26">
        <v>23</v>
      </c>
      <c r="K7" s="26">
        <v>2668.31</v>
      </c>
      <c r="L7" s="26">
        <v>440</v>
      </c>
      <c r="M7" s="26">
        <v>3333.06</v>
      </c>
      <c r="N7" s="26">
        <v>1580</v>
      </c>
      <c r="O7" s="33">
        <v>2111430.83</v>
      </c>
      <c r="P7" s="26">
        <v>464</v>
      </c>
      <c r="Q7" s="26">
        <v>88886.44</v>
      </c>
      <c r="R7" s="26">
        <v>115</v>
      </c>
      <c r="S7" s="33">
        <v>381097.86</v>
      </c>
      <c r="T7" s="11">
        <v>857</v>
      </c>
      <c r="U7" s="33">
        <v>1609844.18</v>
      </c>
      <c r="V7" s="11">
        <v>120</v>
      </c>
      <c r="W7" s="33">
        <v>344887.12</v>
      </c>
      <c r="X7" s="11">
        <v>27</v>
      </c>
      <c r="Y7" s="33">
        <v>115740.77</v>
      </c>
      <c r="Z7" s="26">
        <v>16190</v>
      </c>
      <c r="AA7" s="33">
        <v>693734.91</v>
      </c>
      <c r="AB7" s="26">
        <v>31076</v>
      </c>
      <c r="AC7" s="33">
        <v>9750948.7300000004</v>
      </c>
    </row>
    <row r="8" spans="1:29" s="5" customFormat="1" ht="18" customHeight="1" x14ac:dyDescent="0.2">
      <c r="A8" s="3" t="s">
        <v>158</v>
      </c>
      <c r="B8" s="26">
        <v>9347</v>
      </c>
      <c r="C8" s="33">
        <v>3188252.07</v>
      </c>
      <c r="D8" s="11">
        <v>64</v>
      </c>
      <c r="E8" s="33">
        <v>309592.12979091803</v>
      </c>
      <c r="F8" s="26">
        <v>1690</v>
      </c>
      <c r="G8" s="33">
        <v>766045.58</v>
      </c>
      <c r="H8" s="26">
        <v>191</v>
      </c>
      <c r="I8" s="26">
        <v>30493.257324900002</v>
      </c>
      <c r="J8" s="26">
        <v>23</v>
      </c>
      <c r="K8" s="26">
        <v>2634.02</v>
      </c>
      <c r="L8" s="26">
        <v>448</v>
      </c>
      <c r="M8" s="26">
        <v>3260.74</v>
      </c>
      <c r="N8" s="26">
        <v>1633</v>
      </c>
      <c r="O8" s="33">
        <v>2072703.94</v>
      </c>
      <c r="P8" s="26">
        <v>468</v>
      </c>
      <c r="Q8" s="26">
        <v>88657.06</v>
      </c>
      <c r="R8" s="26">
        <v>116</v>
      </c>
      <c r="S8" s="33">
        <v>349157.24</v>
      </c>
      <c r="T8" s="11">
        <v>859</v>
      </c>
      <c r="U8" s="33">
        <v>1610770.98</v>
      </c>
      <c r="V8" s="11">
        <v>120</v>
      </c>
      <c r="W8" s="33">
        <v>352534.73</v>
      </c>
      <c r="X8" s="11">
        <v>27</v>
      </c>
      <c r="Y8" s="33">
        <v>107443.48</v>
      </c>
      <c r="Z8" s="26">
        <v>16566</v>
      </c>
      <c r="AA8" s="33">
        <v>692213.93</v>
      </c>
      <c r="AB8" s="26">
        <v>31552</v>
      </c>
      <c r="AC8" s="33">
        <v>9573759.1571158208</v>
      </c>
    </row>
    <row r="9" spans="1:29" s="5" customFormat="1" ht="18" customHeight="1" x14ac:dyDescent="0.2">
      <c r="A9" s="3" t="s">
        <v>159</v>
      </c>
      <c r="B9" s="26">
        <v>9356</v>
      </c>
      <c r="C9" s="33">
        <v>3334518.58</v>
      </c>
      <c r="D9" s="11">
        <v>64</v>
      </c>
      <c r="E9" s="33">
        <v>322500.25</v>
      </c>
      <c r="F9" s="26">
        <v>1689</v>
      </c>
      <c r="G9" s="33">
        <v>808673.55</v>
      </c>
      <c r="H9" s="26">
        <v>191</v>
      </c>
      <c r="I9" s="26">
        <v>30528.38</v>
      </c>
      <c r="J9" s="26">
        <v>23</v>
      </c>
      <c r="K9" s="26">
        <v>2312.91</v>
      </c>
      <c r="L9" s="26">
        <v>459</v>
      </c>
      <c r="M9" s="26">
        <v>3400.27</v>
      </c>
      <c r="N9" s="26">
        <v>1647</v>
      </c>
      <c r="O9" s="33">
        <v>2207950.9700000002</v>
      </c>
      <c r="P9" s="26">
        <v>465</v>
      </c>
      <c r="Q9" s="26">
        <v>90761.83</v>
      </c>
      <c r="R9" s="26">
        <v>116</v>
      </c>
      <c r="S9" s="33">
        <v>365212.58</v>
      </c>
      <c r="T9" s="11">
        <v>863</v>
      </c>
      <c r="U9" s="33">
        <v>1673735.35</v>
      </c>
      <c r="V9" s="11">
        <v>120</v>
      </c>
      <c r="W9" s="33">
        <v>358241.89</v>
      </c>
      <c r="X9" s="11">
        <v>25</v>
      </c>
      <c r="Y9" s="26">
        <v>64494.080000000002</v>
      </c>
      <c r="Z9" s="26">
        <v>16692</v>
      </c>
      <c r="AA9" s="33">
        <v>701946.6</v>
      </c>
      <c r="AB9" s="26">
        <v>31710</v>
      </c>
      <c r="AC9" s="33">
        <v>9964277.2400000002</v>
      </c>
    </row>
    <row r="10" spans="1:29" s="5" customFormat="1" ht="18" customHeight="1" x14ac:dyDescent="0.2">
      <c r="A10" s="3" t="s">
        <v>160</v>
      </c>
      <c r="B10" s="26">
        <v>9375</v>
      </c>
      <c r="C10" s="33">
        <v>3431511.13</v>
      </c>
      <c r="D10" s="11">
        <v>64</v>
      </c>
      <c r="E10" s="33">
        <v>339837.62</v>
      </c>
      <c r="F10" s="26">
        <v>1699</v>
      </c>
      <c r="G10" s="33">
        <v>848766.12</v>
      </c>
      <c r="H10" s="26">
        <v>193</v>
      </c>
      <c r="I10" s="26">
        <v>31153.82</v>
      </c>
      <c r="J10" s="26">
        <v>23</v>
      </c>
      <c r="K10" s="26">
        <v>2056.85</v>
      </c>
      <c r="L10" s="26">
        <v>478</v>
      </c>
      <c r="M10" s="26">
        <v>3527.42</v>
      </c>
      <c r="N10" s="26">
        <v>1671</v>
      </c>
      <c r="O10" s="33">
        <v>2239800.17</v>
      </c>
      <c r="P10" s="26">
        <v>470</v>
      </c>
      <c r="Q10" s="26">
        <v>91898.59</v>
      </c>
      <c r="R10" s="26">
        <v>118</v>
      </c>
      <c r="S10" s="33">
        <v>369399.71</v>
      </c>
      <c r="T10" s="11">
        <v>865</v>
      </c>
      <c r="U10" s="33">
        <v>1723166.04</v>
      </c>
      <c r="V10" s="11">
        <v>120</v>
      </c>
      <c r="W10" s="33">
        <v>366199.32</v>
      </c>
      <c r="X10" s="11">
        <v>25</v>
      </c>
      <c r="Y10" s="26">
        <v>70176.240000000005</v>
      </c>
      <c r="Z10" s="26">
        <v>17264</v>
      </c>
      <c r="AA10" s="33">
        <v>719663.44</v>
      </c>
      <c r="AB10" s="26">
        <v>32365</v>
      </c>
      <c r="AC10" s="43">
        <v>10237156.470000001</v>
      </c>
    </row>
    <row r="11" spans="1:29" s="5" customFormat="1" ht="18" customHeight="1" x14ac:dyDescent="0.2">
      <c r="A11" s="3" t="s">
        <v>161</v>
      </c>
      <c r="B11" s="26">
        <v>9382</v>
      </c>
      <c r="C11" s="33">
        <v>3138333.9</v>
      </c>
      <c r="D11" s="11">
        <v>64</v>
      </c>
      <c r="E11" s="33">
        <v>324869.57</v>
      </c>
      <c r="F11" s="26">
        <v>1714</v>
      </c>
      <c r="G11" s="33">
        <v>753575.56</v>
      </c>
      <c r="H11" s="26">
        <v>193</v>
      </c>
      <c r="I11" s="26">
        <v>31290.02</v>
      </c>
      <c r="J11" s="26">
        <v>23</v>
      </c>
      <c r="K11" s="26">
        <v>1825.5</v>
      </c>
      <c r="L11" s="26">
        <v>485</v>
      </c>
      <c r="M11" s="26">
        <v>3205.65</v>
      </c>
      <c r="N11" s="26">
        <v>1671</v>
      </c>
      <c r="O11" s="33">
        <v>2049229.85</v>
      </c>
      <c r="P11" s="26">
        <v>477</v>
      </c>
      <c r="Q11" s="26">
        <v>91616.4</v>
      </c>
      <c r="R11" s="26">
        <v>118</v>
      </c>
      <c r="S11" s="33">
        <v>343971.63</v>
      </c>
      <c r="T11" s="11">
        <v>871</v>
      </c>
      <c r="U11" s="33">
        <v>1640476.63</v>
      </c>
      <c r="V11" s="11">
        <v>120</v>
      </c>
      <c r="W11" s="33">
        <v>371562.34</v>
      </c>
      <c r="X11" s="11">
        <v>25</v>
      </c>
      <c r="Y11" s="26">
        <v>65535.15</v>
      </c>
      <c r="Z11" s="26">
        <v>17441</v>
      </c>
      <c r="AA11" s="33">
        <v>690463.23</v>
      </c>
      <c r="AB11" s="26">
        <v>32584</v>
      </c>
      <c r="AC11" s="33">
        <v>9505955.4299999997</v>
      </c>
    </row>
    <row r="12" spans="1:29" s="5" customFormat="1" ht="18" customHeight="1" x14ac:dyDescent="0.2">
      <c r="A12" s="3" t="s">
        <v>665</v>
      </c>
      <c r="B12" s="26">
        <v>9408</v>
      </c>
      <c r="C12" s="33">
        <v>2982324.31</v>
      </c>
      <c r="D12" s="11">
        <v>64</v>
      </c>
      <c r="E12" s="33">
        <v>313508.23</v>
      </c>
      <c r="F12" s="26">
        <v>1722</v>
      </c>
      <c r="G12" s="33">
        <v>755553.45</v>
      </c>
      <c r="H12" s="26">
        <v>193</v>
      </c>
      <c r="I12" s="26">
        <v>33329.9</v>
      </c>
      <c r="J12" s="26">
        <v>23</v>
      </c>
      <c r="K12" s="26">
        <v>1797.3</v>
      </c>
      <c r="L12" s="26">
        <v>517</v>
      </c>
      <c r="M12" s="26">
        <v>3110.65</v>
      </c>
      <c r="N12" s="26">
        <v>1677</v>
      </c>
      <c r="O12" s="33">
        <v>2074606.41</v>
      </c>
      <c r="P12" s="26">
        <v>479</v>
      </c>
      <c r="Q12" s="26">
        <v>90299.78</v>
      </c>
      <c r="R12" s="26">
        <v>119</v>
      </c>
      <c r="S12" s="33">
        <v>355589.63</v>
      </c>
      <c r="T12" s="11">
        <v>823</v>
      </c>
      <c r="U12" s="33">
        <v>1605831.42</v>
      </c>
      <c r="V12" s="11">
        <v>120</v>
      </c>
      <c r="W12" s="33">
        <v>378002.27</v>
      </c>
      <c r="X12" s="11">
        <v>25</v>
      </c>
      <c r="Y12" s="26">
        <v>63074.5</v>
      </c>
      <c r="Z12" s="26">
        <v>17840</v>
      </c>
      <c r="AA12" s="33">
        <v>697079.79</v>
      </c>
      <c r="AB12" s="26">
        <v>33010</v>
      </c>
      <c r="AC12" s="33">
        <v>9354107.6400000006</v>
      </c>
    </row>
    <row r="13" spans="1:29" s="5" customFormat="1" ht="18" customHeight="1" x14ac:dyDescent="0.2">
      <c r="A13" s="3" t="s">
        <v>163</v>
      </c>
      <c r="B13" s="26">
        <v>9444</v>
      </c>
      <c r="C13" s="33">
        <v>3108885.6</v>
      </c>
      <c r="D13" s="11">
        <v>64</v>
      </c>
      <c r="E13" s="33">
        <v>326243.46999999997</v>
      </c>
      <c r="F13" s="26">
        <v>1751</v>
      </c>
      <c r="G13" s="33">
        <v>803953.65</v>
      </c>
      <c r="H13" s="26">
        <v>197</v>
      </c>
      <c r="I13" s="26">
        <v>33693.29</v>
      </c>
      <c r="J13" s="26">
        <v>24</v>
      </c>
      <c r="K13" s="26">
        <v>1956.11</v>
      </c>
      <c r="L13" s="26">
        <v>517</v>
      </c>
      <c r="M13" s="26">
        <v>3256.67</v>
      </c>
      <c r="N13" s="26">
        <v>1682</v>
      </c>
      <c r="O13" s="33">
        <v>2129233.69</v>
      </c>
      <c r="P13" s="26">
        <v>477</v>
      </c>
      <c r="Q13" s="26">
        <v>90699.5</v>
      </c>
      <c r="R13" s="26">
        <v>119</v>
      </c>
      <c r="S13" s="33">
        <v>338536.09</v>
      </c>
      <c r="T13" s="11">
        <v>811</v>
      </c>
      <c r="U13" s="33">
        <v>1637650.11</v>
      </c>
      <c r="V13" s="11">
        <v>120</v>
      </c>
      <c r="W13" s="33">
        <v>385062.23</v>
      </c>
      <c r="X13" s="11">
        <v>25</v>
      </c>
      <c r="Y13" s="26">
        <v>65218.85</v>
      </c>
      <c r="Z13" s="26">
        <v>18035</v>
      </c>
      <c r="AA13" s="33">
        <v>716618.69</v>
      </c>
      <c r="AB13" s="26">
        <v>33266</v>
      </c>
      <c r="AC13" s="33">
        <v>9641007.9499999993</v>
      </c>
    </row>
    <row r="14" spans="1:29" s="5" customFormat="1" ht="18" customHeight="1" x14ac:dyDescent="0.2">
      <c r="A14" s="3" t="s">
        <v>666</v>
      </c>
      <c r="B14" s="26">
        <v>9492</v>
      </c>
      <c r="C14" s="33">
        <v>3138204.89</v>
      </c>
      <c r="D14" s="11">
        <v>64</v>
      </c>
      <c r="E14" s="33">
        <v>325175.14</v>
      </c>
      <c r="F14" s="26">
        <v>1788</v>
      </c>
      <c r="G14" s="33">
        <v>818430.91</v>
      </c>
      <c r="H14" s="26">
        <v>196</v>
      </c>
      <c r="I14" s="26">
        <v>36815.050000000003</v>
      </c>
      <c r="J14" s="26">
        <v>24</v>
      </c>
      <c r="K14" s="26">
        <v>1960.49</v>
      </c>
      <c r="L14" s="26">
        <v>518</v>
      </c>
      <c r="M14" s="26">
        <v>3353.92</v>
      </c>
      <c r="N14" s="26">
        <v>1713</v>
      </c>
      <c r="O14" s="33">
        <v>2144981.42</v>
      </c>
      <c r="P14" s="26">
        <v>479</v>
      </c>
      <c r="Q14" s="26">
        <v>91237.86</v>
      </c>
      <c r="R14" s="26">
        <v>118</v>
      </c>
      <c r="S14" s="33">
        <v>336972.02</v>
      </c>
      <c r="T14" s="11">
        <v>771</v>
      </c>
      <c r="U14" s="33">
        <v>1655213.92</v>
      </c>
      <c r="V14" s="11">
        <v>120</v>
      </c>
      <c r="W14" s="33">
        <v>394058.22</v>
      </c>
      <c r="X14" s="11">
        <v>25</v>
      </c>
      <c r="Y14" s="26">
        <v>65266.18</v>
      </c>
      <c r="Z14" s="26">
        <v>18368</v>
      </c>
      <c r="AA14" s="33">
        <v>738926.4</v>
      </c>
      <c r="AB14" s="26">
        <v>33676</v>
      </c>
      <c r="AC14" s="33">
        <v>9750596.4199999999</v>
      </c>
    </row>
    <row r="15" spans="1:29" s="5" customFormat="1" ht="18" customHeight="1" x14ac:dyDescent="0.2">
      <c r="A15" s="3" t="s">
        <v>667</v>
      </c>
      <c r="B15" s="26">
        <v>9546</v>
      </c>
      <c r="C15" s="33">
        <v>3090507.58</v>
      </c>
      <c r="D15" s="11">
        <v>64</v>
      </c>
      <c r="E15" s="33">
        <v>329951.21999999997</v>
      </c>
      <c r="F15" s="26">
        <v>1816</v>
      </c>
      <c r="G15" s="33">
        <v>783831.11</v>
      </c>
      <c r="H15" s="26">
        <v>197</v>
      </c>
      <c r="I15" s="26">
        <v>36740.339999999997</v>
      </c>
      <c r="J15" s="26">
        <v>24</v>
      </c>
      <c r="K15" s="26">
        <v>1792.18</v>
      </c>
      <c r="L15" s="26">
        <v>530</v>
      </c>
      <c r="M15" s="26">
        <v>3137.45</v>
      </c>
      <c r="N15" s="26">
        <v>1736</v>
      </c>
      <c r="O15" s="33">
        <v>2193231.58</v>
      </c>
      <c r="P15" s="26">
        <v>486</v>
      </c>
      <c r="Q15" s="26">
        <v>90119.86</v>
      </c>
      <c r="R15" s="26">
        <v>117</v>
      </c>
      <c r="S15" s="33">
        <v>343035.26</v>
      </c>
      <c r="T15" s="11">
        <v>773</v>
      </c>
      <c r="U15" s="33">
        <v>1651975.3</v>
      </c>
      <c r="V15" s="11">
        <v>120</v>
      </c>
      <c r="W15" s="33">
        <v>406735.15</v>
      </c>
      <c r="X15" s="11">
        <v>25</v>
      </c>
      <c r="Y15" s="26">
        <v>68114.899999999994</v>
      </c>
      <c r="Z15" s="26">
        <v>18745</v>
      </c>
      <c r="AA15" s="33">
        <v>749913.72</v>
      </c>
      <c r="AB15" s="26">
        <v>34179</v>
      </c>
      <c r="AC15" s="33">
        <v>9749085.6500000004</v>
      </c>
    </row>
    <row r="16" spans="1:29" s="5" customFormat="1" ht="18" customHeight="1" x14ac:dyDescent="0.2">
      <c r="A16" s="3" t="s">
        <v>668</v>
      </c>
      <c r="B16" s="26">
        <v>9541</v>
      </c>
      <c r="C16" s="33">
        <v>3089601.78</v>
      </c>
      <c r="D16" s="11">
        <v>64</v>
      </c>
      <c r="E16" s="33">
        <v>325403.37</v>
      </c>
      <c r="F16" s="26">
        <v>1842</v>
      </c>
      <c r="G16" s="33">
        <v>784803.12</v>
      </c>
      <c r="H16" s="26">
        <v>198</v>
      </c>
      <c r="I16" s="26">
        <v>37062.57</v>
      </c>
      <c r="J16" s="26">
        <v>24</v>
      </c>
      <c r="K16" s="26">
        <v>1210.93</v>
      </c>
      <c r="L16" s="26">
        <v>536</v>
      </c>
      <c r="M16" s="26">
        <v>3204.01</v>
      </c>
      <c r="N16" s="26">
        <v>1760</v>
      </c>
      <c r="O16" s="33">
        <v>2183721.59</v>
      </c>
      <c r="P16" s="26">
        <v>494</v>
      </c>
      <c r="Q16" s="26">
        <v>87835.79</v>
      </c>
      <c r="R16" s="26">
        <v>117</v>
      </c>
      <c r="S16" s="33">
        <v>336197.18</v>
      </c>
      <c r="T16" s="11">
        <v>772</v>
      </c>
      <c r="U16" s="33">
        <v>1649797.32</v>
      </c>
      <c r="V16" s="11">
        <v>120</v>
      </c>
      <c r="W16" s="33">
        <v>414257.96</v>
      </c>
      <c r="X16" s="11">
        <v>25</v>
      </c>
      <c r="Y16" s="26">
        <v>57995.94</v>
      </c>
      <c r="Z16" s="26">
        <v>18962</v>
      </c>
      <c r="AA16" s="33">
        <v>755417.1</v>
      </c>
      <c r="AB16" s="26">
        <v>34455</v>
      </c>
      <c r="AC16" s="33">
        <v>9726508.6600000001</v>
      </c>
    </row>
    <row r="17" spans="1:26" s="5" customFormat="1" ht="14.25" customHeight="1" x14ac:dyDescent="0.2">
      <c r="A17" s="391" t="s">
        <v>1025</v>
      </c>
      <c r="B17" s="391"/>
      <c r="C17" s="391"/>
      <c r="D17" s="391"/>
      <c r="E17" s="391"/>
      <c r="F17" s="391"/>
      <c r="G17" s="391"/>
      <c r="H17" s="391"/>
      <c r="I17" s="391"/>
      <c r="J17" s="391"/>
      <c r="K17" s="391"/>
      <c r="L17" s="391"/>
      <c r="M17" s="391"/>
      <c r="N17" s="391"/>
      <c r="O17" s="391"/>
      <c r="P17" s="391"/>
      <c r="Q17" s="391"/>
      <c r="R17" s="391"/>
      <c r="S17" s="391"/>
      <c r="T17" s="391"/>
      <c r="U17" s="391"/>
      <c r="V17" s="391"/>
      <c r="W17" s="391"/>
      <c r="X17" s="391"/>
      <c r="Y17" s="391"/>
      <c r="Z17" s="391"/>
    </row>
    <row r="18" spans="1:26" s="5" customFormat="1" ht="13.5" customHeight="1" x14ac:dyDescent="0.2">
      <c r="A18" s="391" t="s">
        <v>669</v>
      </c>
      <c r="B18" s="391"/>
      <c r="C18" s="391"/>
      <c r="D18" s="391"/>
      <c r="E18" s="391"/>
      <c r="F18" s="391"/>
      <c r="G18" s="391"/>
      <c r="H18" s="391"/>
      <c r="I18" s="391"/>
      <c r="J18" s="391"/>
      <c r="K18" s="391"/>
      <c r="L18" s="391"/>
      <c r="M18" s="391"/>
      <c r="N18" s="391"/>
      <c r="O18" s="391"/>
      <c r="P18" s="391"/>
      <c r="Q18" s="391"/>
      <c r="R18" s="391"/>
      <c r="S18" s="391"/>
      <c r="T18" s="391"/>
      <c r="U18" s="391"/>
      <c r="V18" s="391"/>
      <c r="W18" s="391"/>
      <c r="X18" s="391"/>
      <c r="Y18" s="391"/>
      <c r="Z18" s="391"/>
    </row>
    <row r="19" spans="1:26" s="5" customFormat="1" ht="13.5" customHeight="1" x14ac:dyDescent="0.2">
      <c r="A19" s="391" t="s">
        <v>105</v>
      </c>
      <c r="B19" s="391"/>
      <c r="C19" s="391"/>
      <c r="D19" s="391"/>
      <c r="E19" s="391"/>
      <c r="F19" s="391"/>
      <c r="G19" s="391"/>
      <c r="H19" s="391"/>
      <c r="I19" s="391"/>
      <c r="J19" s="391"/>
      <c r="K19" s="391"/>
      <c r="L19" s="391"/>
      <c r="M19" s="391"/>
      <c r="N19" s="391"/>
      <c r="O19" s="391"/>
      <c r="P19" s="391"/>
      <c r="Q19" s="391"/>
      <c r="R19" s="391"/>
      <c r="S19" s="391"/>
      <c r="T19" s="391"/>
      <c r="U19" s="391"/>
      <c r="V19" s="391"/>
      <c r="W19" s="391"/>
      <c r="X19" s="391"/>
      <c r="Y19" s="391"/>
      <c r="Z19" s="391"/>
    </row>
    <row r="20" spans="1:26" s="5" customFormat="1" ht="13.5" customHeight="1" x14ac:dyDescent="0.2">
      <c r="A20" s="391" t="s">
        <v>670</v>
      </c>
      <c r="B20" s="391"/>
      <c r="C20" s="391"/>
      <c r="D20" s="391"/>
      <c r="E20" s="391"/>
      <c r="F20" s="391"/>
      <c r="G20" s="391"/>
      <c r="H20" s="391"/>
      <c r="I20" s="391"/>
      <c r="J20" s="391"/>
      <c r="K20" s="391"/>
      <c r="L20" s="391"/>
      <c r="M20" s="391"/>
      <c r="N20" s="391"/>
      <c r="O20" s="391"/>
      <c r="P20" s="391"/>
      <c r="Q20" s="391"/>
      <c r="R20" s="391"/>
      <c r="S20" s="391"/>
      <c r="T20" s="391"/>
      <c r="U20" s="391"/>
      <c r="V20" s="391"/>
      <c r="W20" s="391"/>
      <c r="X20" s="391"/>
      <c r="Y20" s="391"/>
      <c r="Z20" s="391"/>
    </row>
    <row r="21" spans="1:26" s="5" customFormat="1" ht="28.35" customHeight="1" x14ac:dyDescent="0.2"/>
  </sheetData>
  <customSheetViews>
    <customSheetView guid="{B9B27D37-53F8-4AD8-9221-6458C3026417}" fitToPage="1">
      <selection sqref="A1:Z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Z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20">
    <mergeCell ref="AB2:AC2"/>
    <mergeCell ref="A1:Z1"/>
    <mergeCell ref="A2:A3"/>
    <mergeCell ref="B2:C2"/>
    <mergeCell ref="D2:E2"/>
    <mergeCell ref="F2:G2"/>
    <mergeCell ref="H2:I2"/>
    <mergeCell ref="J2:K2"/>
    <mergeCell ref="L2:M2"/>
    <mergeCell ref="N2:O2"/>
    <mergeCell ref="P2:Q2"/>
    <mergeCell ref="A17:Z17"/>
    <mergeCell ref="A18:Z18"/>
    <mergeCell ref="A19:Z19"/>
    <mergeCell ref="A20:Z20"/>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tabColor rgb="FFFFC000"/>
    <pageSetUpPr fitToPage="1"/>
  </sheetPr>
  <dimension ref="A1:Q32"/>
  <sheetViews>
    <sheetView topLeftCell="A6" zoomScaleNormal="100" workbookViewId="0">
      <selection activeCell="D41" sqref="D41"/>
    </sheetView>
  </sheetViews>
  <sheetFormatPr defaultRowHeight="12.75" x14ac:dyDescent="0.2"/>
  <cols>
    <col min="1" max="11" width="14.7109375" bestFit="1" customWidth="1"/>
    <col min="12" max="17" width="12.85546875" customWidth="1"/>
  </cols>
  <sheetData>
    <row r="1" spans="1:11" ht="13.5" customHeight="1" x14ac:dyDescent="0.2">
      <c r="A1" s="483" t="s">
        <v>671</v>
      </c>
      <c r="B1" s="483"/>
      <c r="C1" s="483"/>
      <c r="D1" s="483"/>
      <c r="E1" s="483"/>
    </row>
    <row r="2" spans="1:11" s="5" customFormat="1" ht="16.5" customHeight="1" x14ac:dyDescent="0.2">
      <c r="A2" s="381" t="s">
        <v>147</v>
      </c>
      <c r="B2" s="375" t="s">
        <v>672</v>
      </c>
      <c r="C2" s="433"/>
      <c r="D2" s="376"/>
      <c r="E2" s="393" t="s">
        <v>673</v>
      </c>
      <c r="F2" s="394"/>
      <c r="G2" s="395"/>
      <c r="H2" s="375" t="s">
        <v>674</v>
      </c>
      <c r="I2" s="433"/>
      <c r="J2" s="376"/>
      <c r="K2" s="453" t="s">
        <v>675</v>
      </c>
    </row>
    <row r="3" spans="1:11" s="5" customFormat="1" ht="27.75" customHeight="1" x14ac:dyDescent="0.2">
      <c r="A3" s="383"/>
      <c r="B3" s="9" t="s">
        <v>676</v>
      </c>
      <c r="C3" s="9" t="s">
        <v>677</v>
      </c>
      <c r="D3" s="9" t="s">
        <v>150</v>
      </c>
      <c r="E3" s="9" t="s">
        <v>676</v>
      </c>
      <c r="F3" s="9" t="s">
        <v>677</v>
      </c>
      <c r="G3" s="9" t="s">
        <v>150</v>
      </c>
      <c r="H3" s="9" t="s">
        <v>676</v>
      </c>
      <c r="I3" s="9" t="s">
        <v>677</v>
      </c>
      <c r="J3" s="9" t="s">
        <v>150</v>
      </c>
      <c r="K3" s="454"/>
    </row>
    <row r="4" spans="1:11" s="5" customFormat="1" ht="18" customHeight="1" x14ac:dyDescent="0.2">
      <c r="A4" s="3" t="s">
        <v>69</v>
      </c>
      <c r="B4" s="43">
        <v>17382188.937598199</v>
      </c>
      <c r="C4" s="33">
        <v>3616463.0173009299</v>
      </c>
      <c r="D4" s="43">
        <v>20998651.954899099</v>
      </c>
      <c r="E4" s="43">
        <v>17153718.1371799</v>
      </c>
      <c r="F4" s="33">
        <v>3573137.2169523002</v>
      </c>
      <c r="G4" s="43">
        <v>20726855.354132202</v>
      </c>
      <c r="H4" s="33">
        <v>228470.800418256</v>
      </c>
      <c r="I4" s="26">
        <v>43325.800348627003</v>
      </c>
      <c r="J4" s="33">
        <v>271796.60076688201</v>
      </c>
      <c r="K4" s="33">
        <v>2136035.7519891299</v>
      </c>
    </row>
    <row r="5" spans="1:11" s="5" customFormat="1" ht="18" customHeight="1" x14ac:dyDescent="0.2">
      <c r="A5" s="3" t="s">
        <v>70</v>
      </c>
      <c r="B5" s="43">
        <v>17949303.606265899</v>
      </c>
      <c r="C5" s="33">
        <v>4168385.7711549499</v>
      </c>
      <c r="D5" s="43">
        <v>22117689.377420899</v>
      </c>
      <c r="E5" s="43">
        <v>17889737.2661594</v>
      </c>
      <c r="F5" s="33">
        <v>4265384.2860074099</v>
      </c>
      <c r="G5" s="43">
        <v>22155121.552166801</v>
      </c>
      <c r="H5" s="26">
        <v>59566.340106490003</v>
      </c>
      <c r="I5" s="26">
        <v>72491.872499809004</v>
      </c>
      <c r="J5" s="33">
        <v>132058.212606299</v>
      </c>
      <c r="K5" s="33">
        <v>2316403.47080294</v>
      </c>
    </row>
    <row r="6" spans="1:11" s="5" customFormat="1" ht="18" customHeight="1" x14ac:dyDescent="0.2">
      <c r="A6" s="3" t="s">
        <v>156</v>
      </c>
      <c r="B6" s="33">
        <v>1416279.7660000001</v>
      </c>
      <c r="C6" s="33">
        <v>302048.59039999999</v>
      </c>
      <c r="D6" s="33">
        <v>1718328.3559999999</v>
      </c>
      <c r="E6" s="33">
        <v>1312070.3459999999</v>
      </c>
      <c r="F6" s="33">
        <v>268829.3676</v>
      </c>
      <c r="G6" s="33">
        <v>1580899.7139999999</v>
      </c>
      <c r="H6" s="33">
        <v>104209.4192</v>
      </c>
      <c r="I6" s="26">
        <v>33219.222835</v>
      </c>
      <c r="J6" s="33">
        <v>137428.64199999999</v>
      </c>
      <c r="K6" s="33">
        <v>2325505.2149999999</v>
      </c>
    </row>
    <row r="7" spans="1:11" s="5" customFormat="1" ht="18" customHeight="1" x14ac:dyDescent="0.2">
      <c r="A7" s="3" t="s">
        <v>157</v>
      </c>
      <c r="B7" s="33">
        <v>1580004.09256196</v>
      </c>
      <c r="C7" s="33">
        <v>358422.45319356001</v>
      </c>
      <c r="D7" s="33">
        <v>1938426.54615552</v>
      </c>
      <c r="E7" s="33">
        <v>1626220.7075958</v>
      </c>
      <c r="F7" s="33">
        <v>362206.82733723999</v>
      </c>
      <c r="G7" s="33">
        <v>1988427.5345330399</v>
      </c>
      <c r="H7" s="26">
        <v>-46216.614233840002</v>
      </c>
      <c r="I7" s="26">
        <v>-3784.3741786800001</v>
      </c>
      <c r="J7" s="26">
        <v>-50000.98837752</v>
      </c>
      <c r="K7" s="33">
        <v>2259578.3408380798</v>
      </c>
    </row>
    <row r="8" spans="1:11" s="5" customFormat="1" ht="18" customHeight="1" x14ac:dyDescent="0.2">
      <c r="A8" s="3" t="s">
        <v>158</v>
      </c>
      <c r="B8" s="33">
        <v>1687434.78922306</v>
      </c>
      <c r="C8" s="33">
        <v>381015.27117361699</v>
      </c>
      <c r="D8" s="33">
        <v>2068450.0603966799</v>
      </c>
      <c r="E8" s="33">
        <v>1651020.53020082</v>
      </c>
      <c r="F8" s="33">
        <v>370954.26343081403</v>
      </c>
      <c r="G8" s="33">
        <v>2021974.79363164</v>
      </c>
      <c r="H8" s="26">
        <v>36414.259022238999</v>
      </c>
      <c r="I8" s="26">
        <v>10061.007742804</v>
      </c>
      <c r="J8" s="26">
        <v>46475.266765043001</v>
      </c>
      <c r="K8" s="33">
        <v>2286400.4995154501</v>
      </c>
    </row>
    <row r="9" spans="1:11" s="5" customFormat="1" ht="18" customHeight="1" x14ac:dyDescent="0.2">
      <c r="A9" s="3" t="s">
        <v>159</v>
      </c>
      <c r="B9" s="33">
        <v>1799448.54255172</v>
      </c>
      <c r="C9" s="33">
        <v>401957.654185049</v>
      </c>
      <c r="D9" s="33">
        <v>2201406.1967367702</v>
      </c>
      <c r="E9" s="33">
        <v>1835653.2608665901</v>
      </c>
      <c r="F9" s="33">
        <v>398380.98202869599</v>
      </c>
      <c r="G9" s="33">
        <v>2234034.24289528</v>
      </c>
      <c r="H9" s="26">
        <v>-36204.718314869002</v>
      </c>
      <c r="I9" s="26">
        <v>3576.672156353</v>
      </c>
      <c r="J9" s="26">
        <v>-32628.046158516001</v>
      </c>
      <c r="K9" s="33">
        <v>2305538.1783008701</v>
      </c>
    </row>
    <row r="10" spans="1:11" s="5" customFormat="1" ht="18" customHeight="1" x14ac:dyDescent="0.2">
      <c r="A10" s="3" t="s">
        <v>160</v>
      </c>
      <c r="B10" s="33">
        <v>1622019.75972244</v>
      </c>
      <c r="C10" s="33">
        <v>357759.54662877799</v>
      </c>
      <c r="D10" s="33">
        <v>1979779.30635121</v>
      </c>
      <c r="E10" s="33">
        <v>1481851.2532011</v>
      </c>
      <c r="F10" s="33">
        <v>323279.09830014099</v>
      </c>
      <c r="G10" s="33">
        <v>1805130.3515012399</v>
      </c>
      <c r="H10" s="33">
        <v>140168.50652134299</v>
      </c>
      <c r="I10" s="26">
        <v>34480.448328635001</v>
      </c>
      <c r="J10" s="33">
        <v>174648.95484997801</v>
      </c>
      <c r="K10" s="33">
        <v>2520429.7517707399</v>
      </c>
    </row>
    <row r="11" spans="1:11" s="5" customFormat="1" ht="18" customHeight="1" x14ac:dyDescent="0.2">
      <c r="A11" s="3" t="s">
        <v>161</v>
      </c>
      <c r="B11" s="33">
        <v>1361955.46907206</v>
      </c>
      <c r="C11" s="33">
        <v>331024.75384053699</v>
      </c>
      <c r="D11" s="33">
        <v>1692980.2229126201</v>
      </c>
      <c r="E11" s="33">
        <v>1560352.3679168201</v>
      </c>
      <c r="F11" s="33">
        <v>362787.02889752702</v>
      </c>
      <c r="G11" s="33">
        <v>1923139.3968143</v>
      </c>
      <c r="H11" s="26">
        <v>-198396.898844757</v>
      </c>
      <c r="I11" s="26">
        <v>-31762.275056990999</v>
      </c>
      <c r="J11" s="26">
        <v>-230159.173901748</v>
      </c>
      <c r="K11" s="33">
        <v>2204422.7037557699</v>
      </c>
    </row>
    <row r="12" spans="1:11" s="5" customFormat="1" ht="18" customHeight="1" x14ac:dyDescent="0.2">
      <c r="A12" s="3" t="s">
        <v>162</v>
      </c>
      <c r="B12" s="33">
        <v>1757449.28798716</v>
      </c>
      <c r="C12" s="33">
        <v>575530.08507155895</v>
      </c>
      <c r="D12" s="33">
        <v>2332979.3730587</v>
      </c>
      <c r="E12" s="33">
        <v>1738122.7857464701</v>
      </c>
      <c r="F12" s="33">
        <v>559326.71465692203</v>
      </c>
      <c r="G12" s="33">
        <v>2297449.5004034</v>
      </c>
      <c r="H12" s="26">
        <v>19326.502240661001</v>
      </c>
      <c r="I12" s="26">
        <v>16203.370414644</v>
      </c>
      <c r="J12" s="26">
        <v>35529.872655304003</v>
      </c>
      <c r="K12" s="33">
        <v>2223559.9199040802</v>
      </c>
    </row>
    <row r="13" spans="1:11" s="5" customFormat="1" ht="18" customHeight="1" x14ac:dyDescent="0.2">
      <c r="A13" s="3" t="s">
        <v>163</v>
      </c>
      <c r="B13" s="33">
        <v>1588398.3200421999</v>
      </c>
      <c r="C13" s="33">
        <v>351181.89506168</v>
      </c>
      <c r="D13" s="33">
        <v>1939580.2151037999</v>
      </c>
      <c r="E13" s="33">
        <v>1462592.7658333001</v>
      </c>
      <c r="F13" s="33">
        <v>334628.9440584</v>
      </c>
      <c r="G13" s="33">
        <v>1797221.7098918001</v>
      </c>
      <c r="H13" s="33">
        <v>125805.55420886401</v>
      </c>
      <c r="I13" s="26">
        <v>16552.951003275</v>
      </c>
      <c r="J13" s="33">
        <v>142358.50521213899</v>
      </c>
      <c r="K13" s="33">
        <v>2403134.38804089</v>
      </c>
    </row>
    <row r="14" spans="1:11" s="5" customFormat="1" ht="18" customHeight="1" x14ac:dyDescent="0.2">
      <c r="A14" s="3" t="s">
        <v>164</v>
      </c>
      <c r="B14" s="33">
        <v>1656191.0642386</v>
      </c>
      <c r="C14" s="33">
        <v>385549.93679372</v>
      </c>
      <c r="D14" s="33">
        <v>2041741.0010323999</v>
      </c>
      <c r="E14" s="33">
        <v>1764970.2309034001</v>
      </c>
      <c r="F14" s="33">
        <v>413721.33083411999</v>
      </c>
      <c r="G14" s="33">
        <v>2178691.5617375001</v>
      </c>
      <c r="H14" s="26">
        <v>-108779.16666477401</v>
      </c>
      <c r="I14" s="26">
        <v>-28171.394040396</v>
      </c>
      <c r="J14" s="26">
        <v>-136950.56070517001</v>
      </c>
      <c r="K14" s="33">
        <v>2285911.71053654</v>
      </c>
    </row>
    <row r="15" spans="1:11" s="5" customFormat="1" ht="18" customHeight="1" x14ac:dyDescent="0.2">
      <c r="A15" s="3" t="s">
        <v>165</v>
      </c>
      <c r="B15" s="33">
        <v>1942529.6331533999</v>
      </c>
      <c r="C15" s="33">
        <v>480153.77714451001</v>
      </c>
      <c r="D15" s="33">
        <v>2422683.4102979</v>
      </c>
      <c r="E15" s="33">
        <v>1899862.4844001001</v>
      </c>
      <c r="F15" s="33">
        <v>457382.28380554001</v>
      </c>
      <c r="G15" s="33">
        <v>2357244.7682055999</v>
      </c>
      <c r="H15" s="26">
        <v>42667.148753351001</v>
      </c>
      <c r="I15" s="26">
        <v>22771.493338966</v>
      </c>
      <c r="J15" s="26">
        <v>65438.642092317998</v>
      </c>
      <c r="K15" s="33">
        <v>2337117.9621591498</v>
      </c>
    </row>
    <row r="16" spans="1:11" s="5" customFormat="1" ht="18" customHeight="1" x14ac:dyDescent="0.2">
      <c r="A16" s="3" t="s">
        <v>166</v>
      </c>
      <c r="B16" s="33">
        <v>1537592.8817133</v>
      </c>
      <c r="C16" s="33">
        <v>243741.80766193999</v>
      </c>
      <c r="D16" s="33">
        <v>1781334.6893753</v>
      </c>
      <c r="E16" s="33">
        <v>1557020.5334950001</v>
      </c>
      <c r="F16" s="33">
        <v>413887.44505800999</v>
      </c>
      <c r="G16" s="33">
        <v>1970907.9785529999</v>
      </c>
      <c r="H16" s="26">
        <v>-19427.651781728</v>
      </c>
      <c r="I16" s="26">
        <v>-655.25004380099995</v>
      </c>
      <c r="J16" s="26">
        <v>-20082.901825528999</v>
      </c>
      <c r="K16" s="33">
        <v>2316403.47080294</v>
      </c>
    </row>
    <row r="17" spans="1:17" s="5" customFormat="1" ht="18.75" customHeight="1" x14ac:dyDescent="0.2">
      <c r="A17" s="371" t="s">
        <v>105</v>
      </c>
      <c r="B17" s="371"/>
      <c r="C17" s="371"/>
      <c r="D17" s="371"/>
      <c r="E17" s="371"/>
    </row>
    <row r="18" spans="1:17" s="5" customFormat="1" ht="18" customHeight="1" x14ac:dyDescent="0.2">
      <c r="A18" s="371" t="s">
        <v>126</v>
      </c>
      <c r="B18" s="371"/>
      <c r="C18" s="371"/>
      <c r="D18" s="371"/>
      <c r="E18" s="371"/>
    </row>
    <row r="19" spans="1:17" s="5" customFormat="1" ht="18" hidden="1" customHeight="1" x14ac:dyDescent="0.2">
      <c r="A19" s="351"/>
      <c r="B19" s="351"/>
      <c r="C19" s="351"/>
      <c r="D19" s="351"/>
      <c r="E19" s="351"/>
    </row>
    <row r="20" spans="1:17" s="5" customFormat="1" ht="18" hidden="1" customHeight="1" x14ac:dyDescent="0.2">
      <c r="A20" s="351"/>
      <c r="B20" s="351"/>
      <c r="C20" s="351"/>
      <c r="D20" s="351"/>
      <c r="E20" s="351"/>
      <c r="H20" s="26">
        <f t="shared" ref="H20:J21" si="0">B15-E15</f>
        <v>42667.148753299844</v>
      </c>
      <c r="I20" s="26">
        <f t="shared" si="0"/>
        <v>22771.493338970002</v>
      </c>
      <c r="J20" s="26">
        <f t="shared" si="0"/>
        <v>65438.642092300113</v>
      </c>
    </row>
    <row r="21" spans="1:17" s="5" customFormat="1" ht="18" hidden="1" customHeight="1" x14ac:dyDescent="0.2">
      <c r="A21" s="351"/>
      <c r="B21" s="351"/>
      <c r="C21" s="351"/>
      <c r="D21" s="351"/>
      <c r="E21" s="351"/>
      <c r="H21" s="26">
        <f t="shared" si="0"/>
        <v>-19427.651781700086</v>
      </c>
      <c r="I21" s="26">
        <f t="shared" si="0"/>
        <v>-170145.63739607</v>
      </c>
      <c r="J21" s="26">
        <f t="shared" si="0"/>
        <v>-189573.28917769995</v>
      </c>
    </row>
    <row r="22" spans="1:17" s="5" customFormat="1" ht="28.35" hidden="1" customHeight="1" x14ac:dyDescent="0.2">
      <c r="G22" s="365"/>
    </row>
    <row r="23" spans="1:17" hidden="1" x14ac:dyDescent="0.2"/>
    <row r="24" spans="1:17" s="5" customFormat="1" ht="18" hidden="1" customHeight="1" x14ac:dyDescent="0.2">
      <c r="A24" s="3" t="s">
        <v>165</v>
      </c>
      <c r="B24" s="33">
        <v>1942529.6331533864</v>
      </c>
      <c r="C24" s="33">
        <v>480153.77714451589</v>
      </c>
      <c r="D24" s="33">
        <v>2422683.4102979004</v>
      </c>
      <c r="E24" s="33">
        <v>1899862.4844000321</v>
      </c>
      <c r="F24" s="33">
        <v>457382.28380555008</v>
      </c>
      <c r="G24" s="33">
        <v>2357244.7682055831</v>
      </c>
      <c r="H24" s="26">
        <v>42667.148753351823</v>
      </c>
      <c r="I24" s="26">
        <v>22771.493338965956</v>
      </c>
      <c r="J24" s="26">
        <v>65438.642092317765</v>
      </c>
      <c r="K24" s="33">
        <v>2337117.9621591456</v>
      </c>
    </row>
    <row r="25" spans="1:17" s="5" customFormat="1" ht="18" hidden="1" customHeight="1" x14ac:dyDescent="0.2">
      <c r="A25" s="3" t="s">
        <v>166</v>
      </c>
      <c r="B25" s="33">
        <v>1537592.8817133494</v>
      </c>
      <c r="C25" s="33">
        <v>243741.80766193941</v>
      </c>
      <c r="D25" s="33">
        <v>1781334.6893752888</v>
      </c>
      <c r="E25" s="33">
        <v>1557020.533495076</v>
      </c>
      <c r="F25" s="33">
        <v>413887.44505800679</v>
      </c>
      <c r="G25" s="33">
        <v>1970907.9785530828</v>
      </c>
      <c r="H25" s="26">
        <v>-19427.651781727967</v>
      </c>
      <c r="I25" s="26">
        <v>-655.25004380079918</v>
      </c>
      <c r="J25" s="26">
        <v>-20082.901825528766</v>
      </c>
      <c r="K25" s="33">
        <v>2316403.4708029432</v>
      </c>
    </row>
    <row r="26" spans="1:17" hidden="1" x14ac:dyDescent="0.2"/>
    <row r="27" spans="1:17" s="363" customFormat="1" ht="38.25" hidden="1" x14ac:dyDescent="0.2">
      <c r="A27" s="358" t="s">
        <v>1046</v>
      </c>
      <c r="B27" s="359">
        <v>17949303.606265932</v>
      </c>
      <c r="C27" s="359">
        <v>1642501.1073338506</v>
      </c>
      <c r="D27" s="359">
        <v>2525884.6638211017</v>
      </c>
      <c r="E27" s="360">
        <v>22117689.377420884</v>
      </c>
      <c r="F27" s="359">
        <v>17889737.266159438</v>
      </c>
      <c r="G27" s="359">
        <v>1803410.6697240907</v>
      </c>
      <c r="H27" s="361">
        <v>2461973.6162833194</v>
      </c>
      <c r="I27" s="362">
        <v>22155121.552166849</v>
      </c>
      <c r="J27" s="361">
        <v>59566.340106490417</v>
      </c>
      <c r="K27" s="361">
        <v>8580.8249620270835</v>
      </c>
      <c r="L27" s="361">
        <v>63911.0475377818</v>
      </c>
      <c r="M27" s="362">
        <v>132058.21260629929</v>
      </c>
      <c r="N27" s="361">
        <v>1853375.018506713</v>
      </c>
      <c r="O27" s="361">
        <v>148119.70355614342</v>
      </c>
      <c r="P27" s="361">
        <v>314908.74874008674</v>
      </c>
      <c r="Q27" s="362">
        <v>2316403.4708029432</v>
      </c>
    </row>
    <row r="28" spans="1:17" s="363" customFormat="1" ht="25.5" hidden="1" x14ac:dyDescent="0.2">
      <c r="A28" s="358" t="s">
        <v>1047</v>
      </c>
      <c r="B28" s="359">
        <v>16411710.724552583</v>
      </c>
      <c r="C28" s="359">
        <v>1642501.1073338506</v>
      </c>
      <c r="D28" s="359">
        <v>2282142.8561591622</v>
      </c>
      <c r="E28" s="360">
        <v>20336354.688045595</v>
      </c>
      <c r="F28" s="359">
        <v>16332716.732664362</v>
      </c>
      <c r="G28" s="359">
        <v>1630328.9263282788</v>
      </c>
      <c r="H28" s="361">
        <v>2221167.9146211245</v>
      </c>
      <c r="I28" s="362">
        <v>20184213.573613767</v>
      </c>
      <c r="J28" s="361">
        <v>78993.991888218385</v>
      </c>
      <c r="K28" s="361">
        <v>12172.181005571609</v>
      </c>
      <c r="L28" s="361">
        <v>60974.941538038074</v>
      </c>
      <c r="M28" s="362">
        <v>152141.11443182806</v>
      </c>
      <c r="N28" s="361">
        <v>1873337.2384149791</v>
      </c>
      <c r="O28" s="361">
        <v>151674.83537859417</v>
      </c>
      <c r="P28" s="361">
        <v>312105.88836557232</v>
      </c>
      <c r="Q28" s="362">
        <v>2337117.9621591456</v>
      </c>
    </row>
    <row r="29" spans="1:17" hidden="1" x14ac:dyDescent="0.2">
      <c r="E29" s="357"/>
    </row>
    <row r="30" spans="1:17" hidden="1" x14ac:dyDescent="0.2">
      <c r="B30" s="364">
        <f>B27-B28</f>
        <v>1537592.8817133494</v>
      </c>
      <c r="C30" s="364">
        <f t="shared" ref="C30:Q30" si="1">C27-C28</f>
        <v>0</v>
      </c>
      <c r="D30" s="364">
        <f t="shared" si="1"/>
        <v>243741.80766193941</v>
      </c>
      <c r="E30" s="364">
        <f t="shared" si="1"/>
        <v>1781334.6893752888</v>
      </c>
      <c r="F30" s="364">
        <f t="shared" si="1"/>
        <v>1557020.533495076</v>
      </c>
      <c r="G30" s="364">
        <f t="shared" si="1"/>
        <v>173081.74339581188</v>
      </c>
      <c r="H30" s="364">
        <f t="shared" si="1"/>
        <v>240805.70166219492</v>
      </c>
      <c r="I30" s="364">
        <f t="shared" si="1"/>
        <v>1970907.9785530828</v>
      </c>
      <c r="J30" s="364">
        <f t="shared" si="1"/>
        <v>-19427.651781727967</v>
      </c>
      <c r="K30" s="364">
        <f t="shared" si="1"/>
        <v>-3591.3560435445252</v>
      </c>
      <c r="L30" s="364">
        <f t="shared" si="1"/>
        <v>2936.105999743726</v>
      </c>
      <c r="M30" s="364">
        <f t="shared" si="1"/>
        <v>-20082.901825528766</v>
      </c>
      <c r="N30" s="364">
        <f t="shared" si="1"/>
        <v>-19962.219908266095</v>
      </c>
      <c r="O30" s="364">
        <f t="shared" si="1"/>
        <v>-3555.1318224507559</v>
      </c>
      <c r="P30" s="364">
        <f t="shared" si="1"/>
        <v>2802.860374514421</v>
      </c>
      <c r="Q30" s="364">
        <f t="shared" si="1"/>
        <v>-20714.491356202401</v>
      </c>
    </row>
    <row r="31" spans="1:17" hidden="1" x14ac:dyDescent="0.2">
      <c r="E31" s="357"/>
    </row>
    <row r="32" spans="1:17" hidden="1" x14ac:dyDescent="0.2">
      <c r="E32" s="357"/>
    </row>
  </sheetData>
  <customSheetViews>
    <customSheetView guid="{B9B27D37-53F8-4AD8-9221-6458C3026417}" fitToPage="1" topLeftCell="C1">
      <selection sqref="A1:E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C1">
      <selection sqref="A1:E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8">
    <mergeCell ref="H2:J2"/>
    <mergeCell ref="K2:K3"/>
    <mergeCell ref="A17:E17"/>
    <mergeCell ref="A18:E18"/>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tabColor rgb="FFFFC000"/>
    <pageSetUpPr fitToPage="1"/>
  </sheetPr>
  <dimension ref="A1:M43"/>
  <sheetViews>
    <sheetView zoomScaleNormal="100" workbookViewId="0">
      <selection activeCell="G4" sqref="G4"/>
    </sheetView>
  </sheetViews>
  <sheetFormatPr defaultRowHeight="12.75" x14ac:dyDescent="0.2"/>
  <cols>
    <col min="1" max="10" width="14.7109375" bestFit="1" customWidth="1"/>
    <col min="11" max="11" width="14.85546875" bestFit="1" customWidth="1"/>
    <col min="12" max="12" width="0.28515625" bestFit="1" customWidth="1"/>
    <col min="13" max="13" width="2.7109375" bestFit="1" customWidth="1"/>
    <col min="14" max="14" width="4.7109375" bestFit="1" customWidth="1"/>
  </cols>
  <sheetData>
    <row r="1" spans="1:13" ht="15" customHeight="1" x14ac:dyDescent="0.2">
      <c r="A1" s="455" t="s">
        <v>678</v>
      </c>
      <c r="B1" s="455"/>
      <c r="C1" s="455"/>
      <c r="D1" s="455"/>
      <c r="E1" s="455"/>
      <c r="F1" s="455"/>
      <c r="G1" s="455"/>
      <c r="H1" s="455"/>
      <c r="I1" s="455"/>
      <c r="J1" s="455"/>
      <c r="K1" s="455"/>
      <c r="L1" s="455"/>
      <c r="M1" s="455"/>
    </row>
    <row r="2" spans="1:13" s="5" customFormat="1" ht="19.5" customHeight="1" x14ac:dyDescent="0.2">
      <c r="A2" s="381" t="s">
        <v>679</v>
      </c>
      <c r="B2" s="393" t="s">
        <v>69</v>
      </c>
      <c r="C2" s="394"/>
      <c r="D2" s="395"/>
      <c r="E2" s="393" t="s">
        <v>70</v>
      </c>
      <c r="F2" s="394"/>
      <c r="G2" s="395"/>
      <c r="H2" s="393" t="s">
        <v>195</v>
      </c>
      <c r="I2" s="394"/>
      <c r="J2" s="395"/>
      <c r="K2" s="486" t="s">
        <v>680</v>
      </c>
      <c r="L2" s="488"/>
    </row>
    <row r="3" spans="1:13" s="5" customFormat="1" ht="30.75" customHeight="1" x14ac:dyDescent="0.2">
      <c r="A3" s="383"/>
      <c r="B3" s="7" t="s">
        <v>681</v>
      </c>
      <c r="C3" s="7" t="s">
        <v>682</v>
      </c>
      <c r="D3" s="7" t="s">
        <v>683</v>
      </c>
      <c r="E3" s="7" t="s">
        <v>681</v>
      </c>
      <c r="F3" s="7" t="s">
        <v>682</v>
      </c>
      <c r="G3" s="7" t="s">
        <v>683</v>
      </c>
      <c r="H3" s="7" t="s">
        <v>681</v>
      </c>
      <c r="I3" s="7" t="s">
        <v>682</v>
      </c>
      <c r="J3" s="7" t="s">
        <v>683</v>
      </c>
      <c r="K3" s="487"/>
      <c r="L3" s="489"/>
    </row>
    <row r="4" spans="1:13" s="5" customFormat="1" ht="18.75" customHeight="1" x14ac:dyDescent="0.2">
      <c r="A4" s="3" t="s">
        <v>684</v>
      </c>
      <c r="B4" s="43">
        <v>20652260.422160301</v>
      </c>
      <c r="C4" s="43">
        <v>20922378.716793399</v>
      </c>
      <c r="D4" s="33">
        <v>270118.294633093</v>
      </c>
      <c r="E4" s="43">
        <v>22085317.439746398</v>
      </c>
      <c r="F4" s="43">
        <v>22212829.027205501</v>
      </c>
      <c r="G4" s="33">
        <v>127511.587459067</v>
      </c>
      <c r="H4" s="33">
        <v>1968684.6857938999</v>
      </c>
      <c r="I4" s="33">
        <v>4368126.0424490999</v>
      </c>
      <c r="J4" s="367">
        <v>-20319.171354063408</v>
      </c>
      <c r="K4" s="77">
        <v>2113266.0551079498</v>
      </c>
      <c r="L4" s="78"/>
    </row>
    <row r="5" spans="1:13" s="5" customFormat="1" ht="18.75" customHeight="1" x14ac:dyDescent="0.2">
      <c r="A5" s="3" t="s">
        <v>685</v>
      </c>
      <c r="B5" s="26">
        <v>71872.776880192003</v>
      </c>
      <c r="C5" s="26">
        <v>73963.334367759002</v>
      </c>
      <c r="D5" s="26">
        <v>2090.557487567</v>
      </c>
      <c r="E5" s="26">
        <v>63560.495308897996</v>
      </c>
      <c r="F5" s="26">
        <v>70358.195254791994</v>
      </c>
      <c r="G5" s="26">
        <v>6797.6999458939999</v>
      </c>
      <c r="H5" s="26">
        <v>1177.649805108</v>
      </c>
      <c r="I5" s="26">
        <v>2353.1091912309998</v>
      </c>
      <c r="J5" s="26">
        <v>1175.4593861233079</v>
      </c>
      <c r="K5" s="77">
        <v>200701.69682019201</v>
      </c>
      <c r="L5" s="78"/>
    </row>
    <row r="6" spans="1:13" s="5" customFormat="1" ht="18.75" customHeight="1" x14ac:dyDescent="0.2">
      <c r="A6" s="3" t="s">
        <v>686</v>
      </c>
      <c r="B6" s="26">
        <v>2722.155091741</v>
      </c>
      <c r="C6" s="26">
        <v>2309.9037379649999</v>
      </c>
      <c r="D6" s="26">
        <v>-412.25135377599997</v>
      </c>
      <c r="E6" s="26">
        <v>6243.6171115159996</v>
      </c>
      <c r="F6" s="26">
        <v>3992.5423128550001</v>
      </c>
      <c r="G6" s="26">
        <v>-2251.0747986609999</v>
      </c>
      <c r="H6" s="26">
        <v>1045.6429540250001</v>
      </c>
      <c r="I6" s="26">
        <v>106.45309643100001</v>
      </c>
      <c r="J6" s="26">
        <v>-939.18985759400084</v>
      </c>
      <c r="K6" s="79">
        <v>2435.7188747959999</v>
      </c>
      <c r="L6" s="78"/>
    </row>
    <row r="7" spans="1:13" s="5" customFormat="1" ht="18.75" customHeight="1" x14ac:dyDescent="0.2">
      <c r="A7" s="3" t="s">
        <v>150</v>
      </c>
      <c r="B7" s="43">
        <v>20726855.354132202</v>
      </c>
      <c r="C7" s="43">
        <v>20998651.954899099</v>
      </c>
      <c r="D7" s="33">
        <v>271796.60076688399</v>
      </c>
      <c r="E7" s="43">
        <v>22155121.552166801</v>
      </c>
      <c r="F7" s="43">
        <v>22287179.764773101</v>
      </c>
      <c r="G7" s="33">
        <v>132058.21260629999</v>
      </c>
      <c r="H7" s="33">
        <v>1970907.9785529999</v>
      </c>
      <c r="I7" s="33">
        <v>4370585.6047366997</v>
      </c>
      <c r="J7" s="367">
        <v>-20082.901825534092</v>
      </c>
      <c r="K7" s="77">
        <v>2316403.47080294</v>
      </c>
      <c r="L7" s="80"/>
    </row>
    <row r="8" spans="1:13" s="5" customFormat="1" ht="18.75" customHeight="1" x14ac:dyDescent="0.2">
      <c r="A8" s="371" t="s">
        <v>105</v>
      </c>
      <c r="B8" s="371"/>
      <c r="C8" s="371"/>
      <c r="D8" s="371"/>
      <c r="E8" s="371"/>
      <c r="F8" s="371"/>
      <c r="G8" s="371"/>
      <c r="H8" s="371"/>
      <c r="I8" s="371"/>
      <c r="J8" s="371"/>
      <c r="K8" s="371"/>
      <c r="L8" s="371"/>
    </row>
    <row r="9" spans="1:13" s="5" customFormat="1" ht="18" customHeight="1" x14ac:dyDescent="0.2">
      <c r="A9" s="371" t="s">
        <v>126</v>
      </c>
      <c r="B9" s="371"/>
      <c r="C9" s="371"/>
      <c r="D9" s="371"/>
      <c r="E9" s="371"/>
      <c r="F9" s="371"/>
      <c r="G9" s="371"/>
      <c r="H9" s="371"/>
      <c r="I9" s="371"/>
      <c r="J9" s="371"/>
      <c r="K9" s="371"/>
      <c r="L9" s="371"/>
    </row>
    <row r="10" spans="1:13" s="5" customFormat="1" ht="28.35" customHeight="1" x14ac:dyDescent="0.2"/>
    <row r="11" spans="1:13" hidden="1" x14ac:dyDescent="0.2"/>
    <row r="12" spans="1:13" hidden="1" x14ac:dyDescent="0.2"/>
    <row r="13" spans="1:13" ht="38.25" hidden="1" x14ac:dyDescent="0.2">
      <c r="G13" s="352" t="s">
        <v>679</v>
      </c>
      <c r="H13" s="484" t="s">
        <v>1038</v>
      </c>
      <c r="I13" s="485"/>
      <c r="J13" s="485"/>
      <c r="K13" s="353" t="s">
        <v>1039</v>
      </c>
    </row>
    <row r="14" spans="1:13" ht="15" hidden="1" x14ac:dyDescent="0.25">
      <c r="G14" s="354"/>
      <c r="H14" s="352" t="s">
        <v>1040</v>
      </c>
      <c r="I14" s="352" t="s">
        <v>682</v>
      </c>
      <c r="J14" s="352" t="s">
        <v>683</v>
      </c>
      <c r="K14" s="354"/>
    </row>
    <row r="15" spans="1:13" ht="15" hidden="1" x14ac:dyDescent="0.25">
      <c r="G15" s="354"/>
      <c r="H15" s="352"/>
      <c r="I15" s="352"/>
      <c r="J15" s="352"/>
      <c r="K15" s="354"/>
    </row>
    <row r="16" spans="1:13" ht="15" hidden="1" x14ac:dyDescent="0.25">
      <c r="B16" s="33">
        <f t="shared" ref="B16:D19" si="0">H16-H29</f>
        <v>1968684.68579394</v>
      </c>
      <c r="C16" s="33">
        <f t="shared" si="0"/>
        <v>4368126.042449113</v>
      </c>
      <c r="D16" s="26">
        <f t="shared" si="0"/>
        <v>-20319.171354063408</v>
      </c>
      <c r="E16" s="77">
        <f>K16</f>
        <v>2113266.0551079549</v>
      </c>
      <c r="G16" s="354" t="s">
        <v>1041</v>
      </c>
      <c r="H16" s="33">
        <v>22085317.439746432</v>
      </c>
      <c r="I16" s="33">
        <v>22212829.027205497</v>
      </c>
      <c r="J16" s="26">
        <v>127511.58745906688</v>
      </c>
      <c r="K16" s="77">
        <v>2113266.0551079549</v>
      </c>
    </row>
    <row r="17" spans="2:11" ht="15" hidden="1" x14ac:dyDescent="0.25">
      <c r="B17" s="26">
        <f t="shared" si="0"/>
        <v>1177.6498051076996</v>
      </c>
      <c r="C17" s="26">
        <f t="shared" si="0"/>
        <v>2353.1091912310076</v>
      </c>
      <c r="D17" s="26">
        <f t="shared" si="0"/>
        <v>1175.4593861233079</v>
      </c>
      <c r="E17" s="77">
        <f t="shared" ref="E17:E19" si="1">K17</f>
        <v>200701.69682019169</v>
      </c>
      <c r="G17" s="354" t="s">
        <v>1042</v>
      </c>
      <c r="H17" s="26">
        <v>63560.495308897705</v>
      </c>
      <c r="I17" s="26">
        <v>70358.195254792008</v>
      </c>
      <c r="J17" s="26">
        <v>6797.6999458943028</v>
      </c>
      <c r="K17" s="77">
        <v>200701.69682019169</v>
      </c>
    </row>
    <row r="18" spans="2:11" ht="15" hidden="1" x14ac:dyDescent="0.25">
      <c r="B18" s="26">
        <f t="shared" si="0"/>
        <v>1045.642954025001</v>
      </c>
      <c r="C18" s="26">
        <f t="shared" si="0"/>
        <v>106.45309643100018</v>
      </c>
      <c r="D18" s="26">
        <f t="shared" si="0"/>
        <v>-939.18985759400084</v>
      </c>
      <c r="E18" s="79">
        <f t="shared" si="1"/>
        <v>2435.7188747963737</v>
      </c>
      <c r="G18" s="354" t="s">
        <v>686</v>
      </c>
      <c r="H18" s="26">
        <v>6243.6171115160005</v>
      </c>
      <c r="I18" s="26">
        <v>3992.5423128550001</v>
      </c>
      <c r="J18" s="26">
        <v>-2251.0747986610004</v>
      </c>
      <c r="K18" s="79">
        <v>2435.7188747963737</v>
      </c>
    </row>
    <row r="19" spans="2:11" hidden="1" x14ac:dyDescent="0.2">
      <c r="B19" s="33">
        <f t="shared" si="0"/>
        <v>1970907.9785530753</v>
      </c>
      <c r="C19" s="33">
        <f t="shared" si="0"/>
        <v>4370585.6047367789</v>
      </c>
      <c r="D19" s="26">
        <f t="shared" si="0"/>
        <v>-20082.901825534092</v>
      </c>
      <c r="E19" s="77">
        <f t="shared" si="1"/>
        <v>2316403.4708029428</v>
      </c>
      <c r="G19" s="352" t="s">
        <v>150</v>
      </c>
      <c r="H19" s="33">
        <v>22155121.552166846</v>
      </c>
      <c r="I19" s="33">
        <v>22287179.764773145</v>
      </c>
      <c r="J19" s="26">
        <v>132058.21260630019</v>
      </c>
      <c r="K19" s="77">
        <v>2316403.4708029428</v>
      </c>
    </row>
    <row r="20" spans="2:11" ht="15" hidden="1" x14ac:dyDescent="0.25">
      <c r="G20" s="354"/>
      <c r="H20" s="355"/>
      <c r="I20" s="355"/>
      <c r="J20" s="355"/>
      <c r="K20" s="354"/>
    </row>
    <row r="21" spans="2:11" ht="15" hidden="1" x14ac:dyDescent="0.25">
      <c r="G21" s="352" t="s">
        <v>1043</v>
      </c>
      <c r="H21" s="354"/>
      <c r="I21" s="354"/>
      <c r="J21" s="354"/>
      <c r="K21" s="354"/>
    </row>
    <row r="22" spans="2:11" hidden="1" x14ac:dyDescent="0.2"/>
    <row r="23" spans="2:11" hidden="1" x14ac:dyDescent="0.2"/>
    <row r="24" spans="2:11" hidden="1" x14ac:dyDescent="0.2"/>
    <row r="25" spans="2:11" hidden="1" x14ac:dyDescent="0.2"/>
    <row r="26" spans="2:11" ht="38.25" hidden="1" x14ac:dyDescent="0.2">
      <c r="D26" s="366" t="s">
        <v>1038</v>
      </c>
      <c r="E26" s="366" t="s">
        <v>1044</v>
      </c>
      <c r="G26" s="352" t="s">
        <v>679</v>
      </c>
      <c r="H26" s="484" t="s">
        <v>1044</v>
      </c>
      <c r="I26" s="485"/>
      <c r="J26" s="485"/>
      <c r="K26" s="353" t="s">
        <v>1045</v>
      </c>
    </row>
    <row r="27" spans="2:11" ht="15" hidden="1" x14ac:dyDescent="0.25">
      <c r="D27" s="26">
        <f>I16-H16</f>
        <v>127511.58745906502</v>
      </c>
      <c r="E27" s="367">
        <f>I29-H29</f>
        <v>-2271929.769196108</v>
      </c>
      <c r="G27" s="354"/>
      <c r="H27" s="352" t="s">
        <v>1040</v>
      </c>
      <c r="I27" s="352" t="s">
        <v>682</v>
      </c>
      <c r="J27" s="352" t="s">
        <v>683</v>
      </c>
      <c r="K27" s="354"/>
    </row>
    <row r="28" spans="2:11" ht="15" hidden="1" x14ac:dyDescent="0.25">
      <c r="D28" s="26">
        <f t="shared" ref="D28:D30" si="2">I17-H17</f>
        <v>6797.6999458943028</v>
      </c>
      <c r="E28" s="26">
        <f t="shared" ref="E28:E30" si="3">I30-H30</f>
        <v>5622.2405597709949</v>
      </c>
      <c r="G28" s="354"/>
      <c r="H28" s="352"/>
      <c r="I28" s="352"/>
      <c r="J28" s="352"/>
      <c r="K28" s="354"/>
    </row>
    <row r="29" spans="2:11" ht="15" hidden="1" x14ac:dyDescent="0.25">
      <c r="D29" s="26">
        <f t="shared" si="2"/>
        <v>-2251.0747986610004</v>
      </c>
      <c r="E29" s="26">
        <f t="shared" si="3"/>
        <v>-1311.8849410669995</v>
      </c>
      <c r="G29" s="354" t="s">
        <v>1041</v>
      </c>
      <c r="H29" s="33">
        <v>20116632.753952492</v>
      </c>
      <c r="I29" s="33">
        <v>17844702.984756384</v>
      </c>
      <c r="J29" s="367">
        <v>147830.75881313029</v>
      </c>
      <c r="K29" s="77">
        <v>2134855.8113510008</v>
      </c>
    </row>
    <row r="30" spans="2:11" ht="15" hidden="1" x14ac:dyDescent="0.25">
      <c r="D30" s="26">
        <f t="shared" si="2"/>
        <v>132058.21260629967</v>
      </c>
      <c r="E30" s="26">
        <f t="shared" si="3"/>
        <v>-2267619.4135774039</v>
      </c>
      <c r="G30" s="354" t="s">
        <v>1042</v>
      </c>
      <c r="H30" s="26">
        <v>62382.845503790006</v>
      </c>
      <c r="I30" s="26">
        <v>68005.086063561001</v>
      </c>
      <c r="J30" s="26">
        <v>5622.2405597709949</v>
      </c>
      <c r="K30" s="77">
        <v>198887.61126394448</v>
      </c>
    </row>
    <row r="31" spans="2:11" ht="15" hidden="1" x14ac:dyDescent="0.25">
      <c r="G31" s="354" t="s">
        <v>686</v>
      </c>
      <c r="H31" s="26">
        <v>5197.9741574909995</v>
      </c>
      <c r="I31" s="26">
        <v>3886.0892164239999</v>
      </c>
      <c r="J31" s="26">
        <v>-1311.8849410669995</v>
      </c>
      <c r="K31" s="79">
        <v>3374.5395441996911</v>
      </c>
    </row>
    <row r="32" spans="2:11" hidden="1" x14ac:dyDescent="0.2">
      <c r="G32" s="352" t="s">
        <v>150</v>
      </c>
      <c r="H32" s="33">
        <v>20184213.57361377</v>
      </c>
      <c r="I32" s="33">
        <v>17916594.160036366</v>
      </c>
      <c r="J32" s="26">
        <v>152141.11443183428</v>
      </c>
      <c r="K32" s="77">
        <v>2337117.9621591447</v>
      </c>
    </row>
    <row r="33" spans="7:11" ht="15" hidden="1" x14ac:dyDescent="0.25">
      <c r="G33" s="354"/>
      <c r="H33" s="355"/>
      <c r="I33" s="355"/>
      <c r="J33" s="355"/>
      <c r="K33" s="354"/>
    </row>
    <row r="34" spans="7:11" ht="15" hidden="1" x14ac:dyDescent="0.25">
      <c r="G34" s="352" t="s">
        <v>1043</v>
      </c>
      <c r="H34" s="354"/>
      <c r="I34" s="354"/>
      <c r="J34" s="354"/>
      <c r="K34" s="354"/>
    </row>
    <row r="35" spans="7:11" hidden="1" x14ac:dyDescent="0.2"/>
    <row r="36" spans="7:11" hidden="1" x14ac:dyDescent="0.2"/>
    <row r="37" spans="7:11" hidden="1" x14ac:dyDescent="0.2"/>
    <row r="38" spans="7:11" hidden="1" x14ac:dyDescent="0.2"/>
    <row r="39" spans="7:11" hidden="1" x14ac:dyDescent="0.2"/>
    <row r="40" spans="7:11" hidden="1" x14ac:dyDescent="0.2"/>
    <row r="41" spans="7:11" hidden="1" x14ac:dyDescent="0.2">
      <c r="H41" s="356"/>
      <c r="I41" s="356"/>
      <c r="J41" s="356"/>
      <c r="K41" s="356"/>
    </row>
    <row r="42" spans="7:11" x14ac:dyDescent="0.2">
      <c r="H42" s="356"/>
      <c r="I42" s="356"/>
      <c r="J42" s="356"/>
      <c r="K42" s="356"/>
    </row>
    <row r="43" spans="7:11" x14ac:dyDescent="0.2">
      <c r="H43" s="356"/>
      <c r="I43" s="356"/>
      <c r="J43" s="356"/>
      <c r="K43" s="356"/>
    </row>
  </sheetData>
  <customSheetViews>
    <customSheetView guid="{B9B27D37-53F8-4AD8-9221-6458C3026417}" fitToPage="1" topLeftCell="C1">
      <selection sqref="A1:M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topLeftCell="C1">
      <selection sqref="A1:M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1">
    <mergeCell ref="H13:J13"/>
    <mergeCell ref="H26:J26"/>
    <mergeCell ref="A8:L8"/>
    <mergeCell ref="A9:L9"/>
    <mergeCell ref="A1:M1"/>
    <mergeCell ref="K2:K3"/>
    <mergeCell ref="L2:L3"/>
    <mergeCell ref="A2:A3"/>
    <mergeCell ref="B2:D2"/>
    <mergeCell ref="E2:G2"/>
    <mergeCell ref="H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21"/>
  <sheetViews>
    <sheetView topLeftCell="D1" zoomScaleNormal="100" workbookViewId="0">
      <selection sqref="A1:K1"/>
    </sheetView>
  </sheetViews>
  <sheetFormatPr defaultRowHeight="12.75" x14ac:dyDescent="0.2"/>
  <cols>
    <col min="1" max="1" width="35.5703125" bestFit="1" customWidth="1"/>
    <col min="2" max="12" width="14.7109375" bestFit="1" customWidth="1"/>
    <col min="13" max="13" width="5" bestFit="1" customWidth="1"/>
  </cols>
  <sheetData>
    <row r="1" spans="1:12" ht="15" customHeight="1" x14ac:dyDescent="0.2">
      <c r="A1" s="455" t="s">
        <v>687</v>
      </c>
      <c r="B1" s="455"/>
      <c r="C1" s="455"/>
      <c r="D1" s="455"/>
      <c r="E1" s="455"/>
      <c r="F1" s="455"/>
      <c r="G1" s="455"/>
      <c r="H1" s="455"/>
      <c r="I1" s="455"/>
      <c r="J1" s="455"/>
      <c r="K1" s="455"/>
    </row>
    <row r="2" spans="1:12" s="5" customFormat="1" ht="18" customHeight="1" x14ac:dyDescent="0.2">
      <c r="A2" s="428" t="s">
        <v>688</v>
      </c>
      <c r="B2" s="430" t="s">
        <v>689</v>
      </c>
      <c r="C2" s="431"/>
      <c r="D2" s="431"/>
      <c r="E2" s="432"/>
      <c r="F2" s="430" t="s">
        <v>70</v>
      </c>
      <c r="G2" s="431"/>
      <c r="H2" s="431"/>
      <c r="I2" s="432"/>
      <c r="J2" s="430" t="s">
        <v>690</v>
      </c>
      <c r="K2" s="431"/>
      <c r="L2" s="432"/>
    </row>
    <row r="3" spans="1:12" s="5" customFormat="1" ht="24" customHeight="1" x14ac:dyDescent="0.2">
      <c r="A3" s="429"/>
      <c r="B3" s="46" t="s">
        <v>681</v>
      </c>
      <c r="C3" s="46" t="s">
        <v>682</v>
      </c>
      <c r="D3" s="46" t="s">
        <v>683</v>
      </c>
      <c r="E3" s="46" t="s">
        <v>691</v>
      </c>
      <c r="F3" s="46" t="s">
        <v>681</v>
      </c>
      <c r="G3" s="46" t="s">
        <v>682</v>
      </c>
      <c r="H3" s="46" t="s">
        <v>683</v>
      </c>
      <c r="I3" s="46" t="s">
        <v>691</v>
      </c>
      <c r="J3" s="46" t="s">
        <v>681</v>
      </c>
      <c r="K3" s="46" t="s">
        <v>682</v>
      </c>
      <c r="L3" s="46" t="s">
        <v>683</v>
      </c>
    </row>
    <row r="4" spans="1:12" s="5" customFormat="1" ht="18" customHeight="1" x14ac:dyDescent="0.2">
      <c r="A4" s="30" t="s">
        <v>692</v>
      </c>
      <c r="B4" s="47">
        <v>20432029.269386936</v>
      </c>
      <c r="C4" s="47">
        <v>20420304.722268537</v>
      </c>
      <c r="D4" s="8">
        <v>-11724.547118406999</v>
      </c>
      <c r="E4" s="45">
        <v>1134949.7105709789</v>
      </c>
      <c r="F4" s="47">
        <v>21892951.905945413</v>
      </c>
      <c r="G4" s="47">
        <v>21882081.815892667</v>
      </c>
      <c r="H4" s="8">
        <v>-10870.090052783</v>
      </c>
      <c r="I4" s="45">
        <v>1194438.9627778679</v>
      </c>
      <c r="J4" s="45">
        <v>1940348.2376485949</v>
      </c>
      <c r="K4" s="45">
        <v>1911476.930950318</v>
      </c>
      <c r="L4" s="8">
        <v>-28871.306698265998</v>
      </c>
    </row>
    <row r="5" spans="1:12" s="5" customFormat="1" ht="18" customHeight="1" x14ac:dyDescent="0.2">
      <c r="A5" s="30" t="s">
        <v>693</v>
      </c>
      <c r="B5" s="47">
        <v>19505850.3990409</v>
      </c>
      <c r="C5" s="47">
        <v>19502914.1412265</v>
      </c>
      <c r="D5" s="8">
        <v>-2936.2578144069998</v>
      </c>
      <c r="E5" s="45">
        <v>335524.82189830701</v>
      </c>
      <c r="F5" s="47">
        <v>21267311.599362802</v>
      </c>
      <c r="G5" s="47">
        <v>21394747.6282789</v>
      </c>
      <c r="H5" s="45">
        <v>127436.028916065</v>
      </c>
      <c r="I5" s="45">
        <v>487980.18683124002</v>
      </c>
      <c r="J5" s="45">
        <v>1900741.0296133</v>
      </c>
      <c r="K5" s="45">
        <v>1876231.3322606999</v>
      </c>
      <c r="L5" s="8">
        <v>-24509.697352587998</v>
      </c>
    </row>
    <row r="6" spans="1:12" s="5" customFormat="1" ht="18" customHeight="1" x14ac:dyDescent="0.2">
      <c r="A6" s="30" t="s">
        <v>694</v>
      </c>
      <c r="B6" s="8">
        <v>11254.743316751001</v>
      </c>
      <c r="C6" s="8">
        <v>7977.3015841160004</v>
      </c>
      <c r="D6" s="8">
        <v>-3277.4417326339999</v>
      </c>
      <c r="E6" s="8">
        <v>11404.162072792</v>
      </c>
      <c r="F6" s="8">
        <v>5241.5919195790002</v>
      </c>
      <c r="G6" s="8">
        <v>1763.1539291940001</v>
      </c>
      <c r="H6" s="8">
        <v>-3478.4379903859999</v>
      </c>
      <c r="I6" s="8">
        <v>7934.5078982309997</v>
      </c>
      <c r="J6" s="8">
        <v>263.24469095299997</v>
      </c>
      <c r="K6" s="8">
        <v>115.714185195</v>
      </c>
      <c r="L6" s="8">
        <v>-147.53050575899999</v>
      </c>
    </row>
    <row r="7" spans="1:12" s="5" customFormat="1" ht="18" customHeight="1" x14ac:dyDescent="0.2">
      <c r="A7" s="30" t="s">
        <v>695</v>
      </c>
      <c r="B7" s="45">
        <v>914924.127029286</v>
      </c>
      <c r="C7" s="45">
        <v>909073.27945792</v>
      </c>
      <c r="D7" s="8">
        <v>-5850.847571366</v>
      </c>
      <c r="E7" s="45">
        <v>785552.93716160802</v>
      </c>
      <c r="F7" s="45">
        <v>620398.714663035</v>
      </c>
      <c r="G7" s="45">
        <v>485418.03368457302</v>
      </c>
      <c r="H7" s="8">
        <v>-134980.68097846201</v>
      </c>
      <c r="I7" s="45">
        <v>695779.96508478804</v>
      </c>
      <c r="J7" s="8">
        <v>39343.963344342003</v>
      </c>
      <c r="K7" s="8">
        <v>35129.884504422997</v>
      </c>
      <c r="L7" s="8">
        <v>-4214.0788399189996</v>
      </c>
    </row>
    <row r="8" spans="1:12" s="5" customFormat="1" ht="18" customHeight="1" x14ac:dyDescent="0.2">
      <c r="A8" s="30" t="s">
        <v>696</v>
      </c>
      <c r="B8" s="8">
        <v>0</v>
      </c>
      <c r="C8" s="8">
        <v>0</v>
      </c>
      <c r="D8" s="8">
        <v>0</v>
      </c>
      <c r="E8" s="8">
        <v>0</v>
      </c>
      <c r="F8" s="8">
        <v>0</v>
      </c>
      <c r="G8" s="8">
        <v>0</v>
      </c>
      <c r="H8" s="8">
        <v>0</v>
      </c>
      <c r="I8" s="8">
        <v>0</v>
      </c>
      <c r="J8" s="8">
        <v>0</v>
      </c>
      <c r="K8" s="8">
        <v>0</v>
      </c>
      <c r="L8" s="8">
        <v>0</v>
      </c>
    </row>
    <row r="9" spans="1:12" s="5" customFormat="1" ht="18" customHeight="1" x14ac:dyDescent="0.2">
      <c r="A9" s="30" t="s">
        <v>697</v>
      </c>
      <c r="B9" s="8">
        <v>0</v>
      </c>
      <c r="C9" s="8">
        <v>340</v>
      </c>
      <c r="D9" s="8">
        <v>340</v>
      </c>
      <c r="E9" s="8">
        <v>2467.7894382720001</v>
      </c>
      <c r="F9" s="8">
        <v>0</v>
      </c>
      <c r="G9" s="8">
        <v>153</v>
      </c>
      <c r="H9" s="8">
        <v>153</v>
      </c>
      <c r="I9" s="8">
        <v>2744.302963609</v>
      </c>
      <c r="J9" s="8">
        <v>0</v>
      </c>
      <c r="K9" s="8">
        <v>0</v>
      </c>
      <c r="L9" s="8">
        <v>0</v>
      </c>
    </row>
    <row r="10" spans="1:12" s="5" customFormat="1" ht="18" customHeight="1" x14ac:dyDescent="0.2">
      <c r="A10" s="30" t="s">
        <v>698</v>
      </c>
      <c r="B10" s="45">
        <v>229382.46339660301</v>
      </c>
      <c r="C10" s="45">
        <v>400451.36173162702</v>
      </c>
      <c r="D10" s="45">
        <v>171068.89833502399</v>
      </c>
      <c r="E10" s="45">
        <v>749789.73411921703</v>
      </c>
      <c r="F10" s="45">
        <v>172125.59495300401</v>
      </c>
      <c r="G10" s="45">
        <v>272337.37769615999</v>
      </c>
      <c r="H10" s="45">
        <v>100211.782743156</v>
      </c>
      <c r="I10" s="45">
        <v>829182.02222523396</v>
      </c>
      <c r="J10" s="8">
        <v>14513.054824676001</v>
      </c>
      <c r="K10" s="8">
        <v>19151.967022663001</v>
      </c>
      <c r="L10" s="8">
        <v>4638.9121979869997</v>
      </c>
    </row>
    <row r="11" spans="1:12" s="5" customFormat="1" ht="18" customHeight="1" x14ac:dyDescent="0.2">
      <c r="A11" s="30" t="s">
        <v>699</v>
      </c>
      <c r="B11" s="8">
        <v>7976.0731168129996</v>
      </c>
      <c r="C11" s="8">
        <v>22291.473888861001</v>
      </c>
      <c r="D11" s="8">
        <v>14315.400772048</v>
      </c>
      <c r="E11" s="8">
        <v>80582.994457944005</v>
      </c>
      <c r="F11" s="8">
        <v>6722.9589388909999</v>
      </c>
      <c r="G11" s="8">
        <v>16752.100515235001</v>
      </c>
      <c r="H11" s="8">
        <v>10029.141576344</v>
      </c>
      <c r="I11" s="8">
        <v>87219.523236107998</v>
      </c>
      <c r="J11" s="8">
        <v>563.93831660599994</v>
      </c>
      <c r="K11" s="8">
        <v>1738.2515533410001</v>
      </c>
      <c r="L11" s="8">
        <v>1174.3132367349999</v>
      </c>
    </row>
    <row r="12" spans="1:12" s="5" customFormat="1" ht="18" customHeight="1" x14ac:dyDescent="0.2">
      <c r="A12" s="30" t="s">
        <v>700</v>
      </c>
      <c r="B12" s="45">
        <v>221406.39027979001</v>
      </c>
      <c r="C12" s="45">
        <v>378159.88784276601</v>
      </c>
      <c r="D12" s="45">
        <v>156753.497562976</v>
      </c>
      <c r="E12" s="45">
        <v>669206.73966127296</v>
      </c>
      <c r="F12" s="45">
        <v>165402.636014113</v>
      </c>
      <c r="G12" s="45">
        <v>255585.27718092501</v>
      </c>
      <c r="H12" s="8">
        <v>90182.641166811998</v>
      </c>
      <c r="I12" s="45">
        <v>741962.49898912595</v>
      </c>
      <c r="J12" s="8">
        <v>13949.116508069999</v>
      </c>
      <c r="K12" s="8">
        <v>17413.715469322</v>
      </c>
      <c r="L12" s="8">
        <v>3464.5989612520002</v>
      </c>
    </row>
    <row r="13" spans="1:12" s="5" customFormat="1" ht="18" customHeight="1" x14ac:dyDescent="0.2">
      <c r="A13" s="30" t="s">
        <v>701</v>
      </c>
      <c r="B13" s="8">
        <v>29568.580283931999</v>
      </c>
      <c r="C13" s="45">
        <v>119325.960226023</v>
      </c>
      <c r="D13" s="8">
        <v>89757.379942091007</v>
      </c>
      <c r="E13" s="45">
        <v>172151.24990376999</v>
      </c>
      <c r="F13" s="8">
        <v>38649.080776741001</v>
      </c>
      <c r="G13" s="8">
        <v>48694.896951014001</v>
      </c>
      <c r="H13" s="8">
        <v>10045.816174273001</v>
      </c>
      <c r="I13" s="45">
        <v>175608.01284830901</v>
      </c>
      <c r="J13" s="8">
        <v>3664.2249398610002</v>
      </c>
      <c r="K13" s="8">
        <v>2587.019158568</v>
      </c>
      <c r="L13" s="8">
        <v>-1077.205781292</v>
      </c>
    </row>
    <row r="14" spans="1:12" s="5" customFormat="1" ht="18" customHeight="1" x14ac:dyDescent="0.2">
      <c r="A14" s="30" t="s">
        <v>702</v>
      </c>
      <c r="B14" s="8">
        <v>35248.693014017001</v>
      </c>
      <c r="C14" s="8">
        <v>58371.767337493002</v>
      </c>
      <c r="D14" s="8">
        <v>23123.074323476001</v>
      </c>
      <c r="E14" s="8">
        <v>77694.062402337004</v>
      </c>
      <c r="F14" s="8">
        <v>51073.022035911003</v>
      </c>
      <c r="G14" s="8">
        <v>83510.109206374997</v>
      </c>
      <c r="H14" s="8">
        <v>32437.087170464001</v>
      </c>
      <c r="I14" s="45">
        <v>118117.014722215</v>
      </c>
      <c r="J14" s="8">
        <v>12355.406739302</v>
      </c>
      <c r="K14" s="8">
        <v>17576.806305309001</v>
      </c>
      <c r="L14" s="8">
        <v>5221.3995660070004</v>
      </c>
    </row>
    <row r="15" spans="1:12" s="5" customFormat="1" ht="18" customHeight="1" x14ac:dyDescent="0.2">
      <c r="A15" s="30" t="s">
        <v>703</v>
      </c>
      <c r="B15" s="8">
        <v>865.88554256400005</v>
      </c>
      <c r="C15" s="8">
        <v>31.45812243</v>
      </c>
      <c r="D15" s="8">
        <v>-834.42742013400004</v>
      </c>
      <c r="E15" s="8">
        <v>4806.0582168569999</v>
      </c>
      <c r="F15" s="8">
        <v>492.72527676099998</v>
      </c>
      <c r="G15" s="8">
        <v>118.719702232</v>
      </c>
      <c r="H15" s="8">
        <v>-374.005574529</v>
      </c>
      <c r="I15" s="8">
        <v>4736.5081459459998</v>
      </c>
      <c r="J15" s="8">
        <v>32.690813992999999</v>
      </c>
      <c r="K15" s="8">
        <v>19.263698779999999</v>
      </c>
      <c r="L15" s="8">
        <v>-13.427115213</v>
      </c>
    </row>
    <row r="16" spans="1:12" s="5" customFormat="1" ht="18" customHeight="1" x14ac:dyDescent="0.2">
      <c r="A16" s="30" t="s">
        <v>704</v>
      </c>
      <c r="B16" s="8">
        <v>34382.807471453001</v>
      </c>
      <c r="C16" s="8">
        <v>58340.309215062996</v>
      </c>
      <c r="D16" s="8">
        <v>23957.501743609999</v>
      </c>
      <c r="E16" s="8">
        <v>72888.004185479993</v>
      </c>
      <c r="F16" s="8">
        <v>50580.296759149998</v>
      </c>
      <c r="G16" s="8">
        <v>83391.389504142993</v>
      </c>
      <c r="H16" s="8">
        <v>32811.092744993002</v>
      </c>
      <c r="I16" s="45">
        <v>113380.50657626901</v>
      </c>
      <c r="J16" s="8">
        <v>12322.715925308999</v>
      </c>
      <c r="K16" s="8">
        <v>17557.542606529001</v>
      </c>
      <c r="L16" s="8">
        <v>5234.82668122</v>
      </c>
    </row>
    <row r="17" spans="1:12" s="5" customFormat="1" ht="18" customHeight="1" x14ac:dyDescent="0.2">
      <c r="A17" s="30" t="s">
        <v>705</v>
      </c>
      <c r="B17" s="8">
        <v>626.34805069699996</v>
      </c>
      <c r="C17" s="8">
        <v>198.14333539699999</v>
      </c>
      <c r="D17" s="8">
        <v>-428.20471529999998</v>
      </c>
      <c r="E17" s="8">
        <v>1450.9949928230001</v>
      </c>
      <c r="F17" s="8">
        <v>321.94845576699998</v>
      </c>
      <c r="G17" s="8">
        <v>555.56502695799998</v>
      </c>
      <c r="H17" s="8">
        <v>233.61657119099999</v>
      </c>
      <c r="I17" s="8">
        <v>1882.379882704</v>
      </c>
      <c r="J17" s="8">
        <v>27.054400665999999</v>
      </c>
      <c r="K17" s="8">
        <v>32.353290696999998</v>
      </c>
      <c r="L17" s="8">
        <v>5.298890031</v>
      </c>
    </row>
    <row r="18" spans="1:12" s="5" customFormat="1" ht="18" customHeight="1" x14ac:dyDescent="0.2">
      <c r="A18" s="30" t="s">
        <v>706</v>
      </c>
      <c r="B18" s="47">
        <v>20726855.354132202</v>
      </c>
      <c r="C18" s="47">
        <v>20998651.954899099</v>
      </c>
      <c r="D18" s="45">
        <v>271796.60076688399</v>
      </c>
      <c r="E18" s="45">
        <v>2136035.7519891299</v>
      </c>
      <c r="F18" s="47">
        <v>22155121.552166801</v>
      </c>
      <c r="G18" s="47">
        <v>22287179.764773101</v>
      </c>
      <c r="H18" s="45">
        <v>132058.21260629999</v>
      </c>
      <c r="I18" s="45">
        <v>2316403.47080294</v>
      </c>
      <c r="J18" s="45">
        <v>1970907.9785529999</v>
      </c>
      <c r="K18" s="45">
        <v>1950825.0767275</v>
      </c>
      <c r="L18" s="8">
        <v>-20082.901825534002</v>
      </c>
    </row>
    <row r="19" spans="1:12" s="5" customFormat="1" ht="19.5" customHeight="1" x14ac:dyDescent="0.2">
      <c r="A19" s="371" t="s">
        <v>105</v>
      </c>
      <c r="B19" s="371"/>
      <c r="C19" s="371"/>
      <c r="D19" s="371"/>
      <c r="E19" s="371"/>
      <c r="F19" s="371"/>
      <c r="G19" s="371"/>
      <c r="H19" s="371"/>
      <c r="I19" s="371"/>
      <c r="J19" s="371"/>
      <c r="K19" s="371"/>
      <c r="L19" s="371"/>
    </row>
    <row r="20" spans="1:12" s="5" customFormat="1" ht="18.75" customHeight="1" x14ac:dyDescent="0.2">
      <c r="A20" s="371" t="s">
        <v>126</v>
      </c>
      <c r="B20" s="371"/>
      <c r="C20" s="371"/>
      <c r="D20" s="371"/>
      <c r="E20" s="371"/>
      <c r="F20" s="371"/>
      <c r="G20" s="371"/>
      <c r="H20" s="371"/>
      <c r="I20" s="371"/>
      <c r="J20" s="371"/>
      <c r="K20" s="371"/>
      <c r="L20" s="371"/>
    </row>
    <row r="21" spans="1:12" s="5" customFormat="1" ht="28.35" customHeight="1" x14ac:dyDescent="0.2"/>
  </sheetData>
  <customSheetViews>
    <customSheetView guid="{B9B27D37-53F8-4AD8-9221-6458C3026417}" fitToPage="1" topLeftCell="D1">
      <selection sqref="A1:K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topLeftCell="D1">
      <selection sqref="A1:K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7">
    <mergeCell ref="A20:L20"/>
    <mergeCell ref="A1:K1"/>
    <mergeCell ref="A2:A3"/>
    <mergeCell ref="B2:E2"/>
    <mergeCell ref="F2:I2"/>
    <mergeCell ref="J2:L2"/>
    <mergeCell ref="A19:L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4"/>
  <sheetViews>
    <sheetView view="pageBreakPreview" topLeftCell="C1" zoomScale="60" zoomScaleNormal="55" workbookViewId="0">
      <selection sqref="A1:Q1"/>
    </sheetView>
  </sheetViews>
  <sheetFormatPr defaultRowHeight="12.75" x14ac:dyDescent="0.2"/>
  <cols>
    <col min="1" max="1" width="30" bestFit="1" customWidth="1"/>
    <col min="2" max="13" width="14.7109375" bestFit="1" customWidth="1"/>
    <col min="14" max="14" width="11.7109375" bestFit="1" customWidth="1"/>
    <col min="15" max="15" width="17.7109375" bestFit="1" customWidth="1"/>
    <col min="16" max="17" width="14.7109375" bestFit="1" customWidth="1"/>
    <col min="18" max="18" width="4.7109375" bestFit="1" customWidth="1"/>
  </cols>
  <sheetData>
    <row r="1" spans="1:17" ht="16.5" customHeight="1" x14ac:dyDescent="0.2">
      <c r="A1" s="403" t="s">
        <v>707</v>
      </c>
      <c r="B1" s="403"/>
      <c r="C1" s="403"/>
      <c r="D1" s="403"/>
      <c r="E1" s="403"/>
      <c r="F1" s="403"/>
      <c r="G1" s="403"/>
      <c r="H1" s="403"/>
      <c r="I1" s="403"/>
      <c r="J1" s="403"/>
      <c r="K1" s="403"/>
      <c r="L1" s="403"/>
      <c r="M1" s="403"/>
      <c r="N1" s="403"/>
      <c r="O1" s="403"/>
      <c r="P1" s="403"/>
      <c r="Q1" s="403"/>
    </row>
    <row r="2" spans="1:17" s="5" customFormat="1" ht="18" customHeight="1" x14ac:dyDescent="0.2">
      <c r="A2" s="381" t="s">
        <v>688</v>
      </c>
      <c r="B2" s="393" t="s">
        <v>69</v>
      </c>
      <c r="C2" s="394"/>
      <c r="D2" s="394"/>
      <c r="E2" s="394"/>
      <c r="F2" s="394"/>
      <c r="G2" s="394"/>
      <c r="H2" s="394"/>
      <c r="I2" s="395"/>
      <c r="J2" s="393" t="s">
        <v>70</v>
      </c>
      <c r="K2" s="394"/>
      <c r="L2" s="394"/>
      <c r="M2" s="394"/>
      <c r="N2" s="394"/>
      <c r="O2" s="394"/>
      <c r="P2" s="394"/>
      <c r="Q2" s="395"/>
    </row>
    <row r="3" spans="1:17" s="5" customFormat="1" ht="18" customHeight="1" x14ac:dyDescent="0.2">
      <c r="A3" s="382"/>
      <c r="B3" s="393" t="s">
        <v>708</v>
      </c>
      <c r="C3" s="394"/>
      <c r="D3" s="394"/>
      <c r="E3" s="395"/>
      <c r="F3" s="393" t="s">
        <v>709</v>
      </c>
      <c r="G3" s="394"/>
      <c r="H3" s="394"/>
      <c r="I3" s="395"/>
      <c r="J3" s="393" t="s">
        <v>708</v>
      </c>
      <c r="K3" s="394"/>
      <c r="L3" s="394"/>
      <c r="M3" s="395"/>
      <c r="N3" s="393" t="s">
        <v>709</v>
      </c>
      <c r="O3" s="394"/>
      <c r="P3" s="394"/>
      <c r="Q3" s="395"/>
    </row>
    <row r="4" spans="1:17" s="5" customFormat="1" ht="17.25" customHeight="1" x14ac:dyDescent="0.2">
      <c r="A4" s="383"/>
      <c r="B4" s="7" t="s">
        <v>710</v>
      </c>
      <c r="C4" s="7" t="s">
        <v>711</v>
      </c>
      <c r="D4" s="7" t="s">
        <v>686</v>
      </c>
      <c r="E4" s="9" t="s">
        <v>150</v>
      </c>
      <c r="F4" s="9" t="s">
        <v>710</v>
      </c>
      <c r="G4" s="9" t="s">
        <v>711</v>
      </c>
      <c r="H4" s="9" t="s">
        <v>686</v>
      </c>
      <c r="I4" s="9" t="s">
        <v>150</v>
      </c>
      <c r="J4" s="7" t="s">
        <v>710</v>
      </c>
      <c r="K4" s="7" t="s">
        <v>711</v>
      </c>
      <c r="L4" s="7" t="s">
        <v>686</v>
      </c>
      <c r="M4" s="9" t="s">
        <v>150</v>
      </c>
      <c r="N4" s="9" t="s">
        <v>710</v>
      </c>
      <c r="O4" s="9" t="s">
        <v>711</v>
      </c>
      <c r="P4" s="9" t="s">
        <v>686</v>
      </c>
      <c r="Q4" s="9" t="s">
        <v>150</v>
      </c>
    </row>
    <row r="5" spans="1:17" s="5" customFormat="1" ht="28.5" customHeight="1" x14ac:dyDescent="0.2">
      <c r="A5" s="12" t="s">
        <v>692</v>
      </c>
      <c r="B5" s="26">
        <v>343</v>
      </c>
      <c r="C5" s="26">
        <v>983</v>
      </c>
      <c r="D5" s="26">
        <v>31</v>
      </c>
      <c r="E5" s="26">
        <v>1357</v>
      </c>
      <c r="F5" s="33">
        <v>9504514</v>
      </c>
      <c r="G5" s="33">
        <v>1237976</v>
      </c>
      <c r="H5" s="26">
        <v>5592</v>
      </c>
      <c r="I5" s="43">
        <v>10748082</v>
      </c>
      <c r="J5" s="26">
        <v>332</v>
      </c>
      <c r="K5" s="26">
        <v>956</v>
      </c>
      <c r="L5" s="26">
        <v>27</v>
      </c>
      <c r="M5" s="26">
        <v>1315</v>
      </c>
      <c r="N5" s="43">
        <v>10342035</v>
      </c>
      <c r="O5" s="33">
        <v>1246251</v>
      </c>
      <c r="P5" s="26">
        <v>4708</v>
      </c>
      <c r="Q5" s="43">
        <v>11592994</v>
      </c>
    </row>
    <row r="6" spans="1:17" s="5" customFormat="1" ht="28.5" customHeight="1" x14ac:dyDescent="0.2">
      <c r="A6" s="12" t="s">
        <v>693</v>
      </c>
      <c r="B6" s="26">
        <v>52</v>
      </c>
      <c r="C6" s="26">
        <v>0</v>
      </c>
      <c r="D6" s="26">
        <v>0</v>
      </c>
      <c r="E6" s="26">
        <v>52</v>
      </c>
      <c r="F6" s="33">
        <v>1095226</v>
      </c>
      <c r="G6" s="26">
        <v>0</v>
      </c>
      <c r="H6" s="26">
        <v>0</v>
      </c>
      <c r="I6" s="33">
        <v>1095226</v>
      </c>
      <c r="J6" s="26">
        <v>61</v>
      </c>
      <c r="K6" s="26">
        <v>0</v>
      </c>
      <c r="L6" s="26">
        <v>0</v>
      </c>
      <c r="M6" s="26">
        <v>61</v>
      </c>
      <c r="N6" s="33">
        <v>1649410</v>
      </c>
      <c r="O6" s="26">
        <v>0</v>
      </c>
      <c r="P6" s="26">
        <v>0</v>
      </c>
      <c r="Q6" s="33">
        <v>1649410</v>
      </c>
    </row>
    <row r="7" spans="1:17" s="5" customFormat="1" ht="28.5" customHeight="1" x14ac:dyDescent="0.2">
      <c r="A7" s="12" t="s">
        <v>694</v>
      </c>
      <c r="B7" s="26">
        <v>38</v>
      </c>
      <c r="C7" s="26">
        <v>0</v>
      </c>
      <c r="D7" s="26">
        <v>0</v>
      </c>
      <c r="E7" s="26">
        <v>38</v>
      </c>
      <c r="F7" s="26">
        <v>75553</v>
      </c>
      <c r="G7" s="26">
        <v>0</v>
      </c>
      <c r="H7" s="26">
        <v>0</v>
      </c>
      <c r="I7" s="26">
        <v>75553</v>
      </c>
      <c r="J7" s="26">
        <v>27</v>
      </c>
      <c r="K7" s="26">
        <v>0</v>
      </c>
      <c r="L7" s="26">
        <v>0</v>
      </c>
      <c r="M7" s="26">
        <v>27</v>
      </c>
      <c r="N7" s="26">
        <v>70742</v>
      </c>
      <c r="O7" s="26">
        <v>0</v>
      </c>
      <c r="P7" s="26">
        <v>0</v>
      </c>
      <c r="Q7" s="26">
        <v>70742</v>
      </c>
    </row>
    <row r="8" spans="1:17" s="5" customFormat="1" ht="28.5" customHeight="1" x14ac:dyDescent="0.2">
      <c r="A8" s="12" t="s">
        <v>695</v>
      </c>
      <c r="B8" s="26">
        <v>253</v>
      </c>
      <c r="C8" s="26">
        <v>974</v>
      </c>
      <c r="D8" s="26">
        <v>31</v>
      </c>
      <c r="E8" s="26">
        <v>1258</v>
      </c>
      <c r="F8" s="33">
        <v>8333735</v>
      </c>
      <c r="G8" s="33">
        <v>1237891</v>
      </c>
      <c r="H8" s="26">
        <v>5592</v>
      </c>
      <c r="I8" s="33">
        <v>9577218</v>
      </c>
      <c r="J8" s="26">
        <v>244</v>
      </c>
      <c r="K8" s="26">
        <v>946</v>
      </c>
      <c r="L8" s="26">
        <v>27</v>
      </c>
      <c r="M8" s="26">
        <v>1217</v>
      </c>
      <c r="N8" s="33">
        <v>8621883</v>
      </c>
      <c r="O8" s="33">
        <v>1246154</v>
      </c>
      <c r="P8" s="26">
        <v>4708</v>
      </c>
      <c r="Q8" s="33">
        <v>9872745</v>
      </c>
    </row>
    <row r="9" spans="1:17" s="5" customFormat="1" ht="28.5" customHeight="1" x14ac:dyDescent="0.2">
      <c r="A9" s="12" t="s">
        <v>696</v>
      </c>
      <c r="B9" s="26">
        <v>0</v>
      </c>
      <c r="C9" s="26">
        <v>0</v>
      </c>
      <c r="D9" s="26">
        <v>0</v>
      </c>
      <c r="E9" s="26">
        <v>0</v>
      </c>
      <c r="F9" s="26">
        <v>0</v>
      </c>
      <c r="G9" s="26">
        <v>0</v>
      </c>
      <c r="H9" s="26">
        <v>0</v>
      </c>
      <c r="I9" s="26">
        <v>0</v>
      </c>
      <c r="J9" s="26">
        <v>0</v>
      </c>
      <c r="K9" s="26">
        <v>0</v>
      </c>
      <c r="L9" s="26">
        <v>0</v>
      </c>
      <c r="M9" s="26">
        <v>0</v>
      </c>
      <c r="N9" s="26">
        <v>0</v>
      </c>
      <c r="O9" s="26">
        <v>0</v>
      </c>
      <c r="P9" s="26">
        <v>0</v>
      </c>
      <c r="Q9" s="26">
        <v>0</v>
      </c>
    </row>
    <row r="10" spans="1:17" s="5" customFormat="1" ht="28.5" customHeight="1" x14ac:dyDescent="0.2">
      <c r="A10" s="12" t="s">
        <v>697</v>
      </c>
      <c r="B10" s="26">
        <v>0</v>
      </c>
      <c r="C10" s="26">
        <v>9</v>
      </c>
      <c r="D10" s="26">
        <v>0</v>
      </c>
      <c r="E10" s="26">
        <v>9</v>
      </c>
      <c r="F10" s="26">
        <v>0</v>
      </c>
      <c r="G10" s="26">
        <v>85</v>
      </c>
      <c r="H10" s="26">
        <v>0</v>
      </c>
      <c r="I10" s="26">
        <v>85</v>
      </c>
      <c r="J10" s="26">
        <v>0</v>
      </c>
      <c r="K10" s="26">
        <v>10</v>
      </c>
      <c r="L10" s="26">
        <v>0</v>
      </c>
      <c r="M10" s="26">
        <v>10</v>
      </c>
      <c r="N10" s="26">
        <v>0</v>
      </c>
      <c r="O10" s="26">
        <v>97</v>
      </c>
      <c r="P10" s="26">
        <v>0</v>
      </c>
      <c r="Q10" s="26">
        <v>97</v>
      </c>
    </row>
    <row r="11" spans="1:17" s="5" customFormat="1" ht="28.5" customHeight="1" x14ac:dyDescent="0.2">
      <c r="A11" s="12" t="s">
        <v>698</v>
      </c>
      <c r="B11" s="26">
        <v>370</v>
      </c>
      <c r="C11" s="26">
        <v>144</v>
      </c>
      <c r="D11" s="26">
        <v>0</v>
      </c>
      <c r="E11" s="26">
        <v>514</v>
      </c>
      <c r="F11" s="43">
        <v>51633997</v>
      </c>
      <c r="G11" s="33">
        <v>1900988</v>
      </c>
      <c r="H11" s="26">
        <v>0</v>
      </c>
      <c r="I11" s="43">
        <v>53534985</v>
      </c>
      <c r="J11" s="26">
        <v>415</v>
      </c>
      <c r="K11" s="26">
        <v>135</v>
      </c>
      <c r="L11" s="26">
        <v>1</v>
      </c>
      <c r="M11" s="26">
        <v>551</v>
      </c>
      <c r="N11" s="43">
        <v>60499599</v>
      </c>
      <c r="O11" s="33">
        <v>1814186</v>
      </c>
      <c r="P11" s="26">
        <v>12017</v>
      </c>
      <c r="Q11" s="43">
        <v>62325802</v>
      </c>
    </row>
    <row r="12" spans="1:17" s="5" customFormat="1" ht="28.5" customHeight="1" x14ac:dyDescent="0.2">
      <c r="A12" s="12" t="s">
        <v>699</v>
      </c>
      <c r="B12" s="26">
        <v>44</v>
      </c>
      <c r="C12" s="26">
        <v>28</v>
      </c>
      <c r="D12" s="26">
        <v>0</v>
      </c>
      <c r="E12" s="26">
        <v>72</v>
      </c>
      <c r="F12" s="33">
        <v>9781472</v>
      </c>
      <c r="G12" s="33">
        <v>633215</v>
      </c>
      <c r="H12" s="26">
        <v>0</v>
      </c>
      <c r="I12" s="43">
        <v>10414687</v>
      </c>
      <c r="J12" s="26">
        <v>43</v>
      </c>
      <c r="K12" s="26">
        <v>28</v>
      </c>
      <c r="L12" s="26">
        <v>0</v>
      </c>
      <c r="M12" s="26">
        <v>71</v>
      </c>
      <c r="N12" s="43">
        <v>11106665</v>
      </c>
      <c r="O12" s="33">
        <v>513793</v>
      </c>
      <c r="P12" s="26">
        <v>0</v>
      </c>
      <c r="Q12" s="43">
        <v>11620458</v>
      </c>
    </row>
    <row r="13" spans="1:17" s="5" customFormat="1" ht="28.5" customHeight="1" x14ac:dyDescent="0.2">
      <c r="A13" s="12" t="s">
        <v>700</v>
      </c>
      <c r="B13" s="26">
        <v>326</v>
      </c>
      <c r="C13" s="26">
        <v>116</v>
      </c>
      <c r="D13" s="26">
        <v>0</v>
      </c>
      <c r="E13" s="26">
        <v>442</v>
      </c>
      <c r="F13" s="43">
        <v>41852525</v>
      </c>
      <c r="G13" s="33">
        <v>1267773</v>
      </c>
      <c r="H13" s="26">
        <v>0</v>
      </c>
      <c r="I13" s="43">
        <v>43120298</v>
      </c>
      <c r="J13" s="26">
        <v>372</v>
      </c>
      <c r="K13" s="26">
        <v>107</v>
      </c>
      <c r="L13" s="26">
        <v>1</v>
      </c>
      <c r="M13" s="26">
        <v>480</v>
      </c>
      <c r="N13" s="43">
        <v>49392934</v>
      </c>
      <c r="O13" s="33">
        <v>1300393</v>
      </c>
      <c r="P13" s="26">
        <v>12017</v>
      </c>
      <c r="Q13" s="43">
        <v>50705344</v>
      </c>
    </row>
    <row r="14" spans="1:17" s="5" customFormat="1" ht="28.5" customHeight="1" x14ac:dyDescent="0.2">
      <c r="A14" s="12" t="s">
        <v>701</v>
      </c>
      <c r="B14" s="26">
        <v>31</v>
      </c>
      <c r="C14" s="26">
        <v>0</v>
      </c>
      <c r="D14" s="26">
        <v>0</v>
      </c>
      <c r="E14" s="26">
        <v>31</v>
      </c>
      <c r="F14" s="33">
        <v>5889085</v>
      </c>
      <c r="G14" s="26">
        <v>0</v>
      </c>
      <c r="H14" s="26">
        <v>0</v>
      </c>
      <c r="I14" s="33">
        <v>5889085</v>
      </c>
      <c r="J14" s="26">
        <v>28</v>
      </c>
      <c r="K14" s="26">
        <v>0</v>
      </c>
      <c r="L14" s="26">
        <v>0</v>
      </c>
      <c r="M14" s="26">
        <v>28</v>
      </c>
      <c r="N14" s="33">
        <v>6416340</v>
      </c>
      <c r="O14" s="26">
        <v>0</v>
      </c>
      <c r="P14" s="26">
        <v>0</v>
      </c>
      <c r="Q14" s="33">
        <v>6416340</v>
      </c>
    </row>
    <row r="15" spans="1:17" s="5" customFormat="1" ht="28.5" customHeight="1" x14ac:dyDescent="0.2">
      <c r="A15" s="12" t="s">
        <v>702</v>
      </c>
      <c r="B15" s="11"/>
      <c r="C15" s="11"/>
      <c r="D15" s="11"/>
      <c r="E15" s="11"/>
      <c r="F15" s="11"/>
      <c r="G15" s="11"/>
      <c r="H15" s="11"/>
      <c r="I15" s="11"/>
      <c r="J15" s="26">
        <v>77</v>
      </c>
      <c r="K15" s="26">
        <v>0</v>
      </c>
      <c r="L15" s="26">
        <v>0</v>
      </c>
      <c r="M15" s="26">
        <v>77</v>
      </c>
      <c r="N15" s="33">
        <v>1332952</v>
      </c>
      <c r="O15" s="26">
        <v>0</v>
      </c>
      <c r="P15" s="26">
        <v>0</v>
      </c>
      <c r="Q15" s="33">
        <v>1332952</v>
      </c>
    </row>
    <row r="16" spans="1:17" s="5" customFormat="1" ht="28.5" customHeight="1" x14ac:dyDescent="0.2">
      <c r="A16" s="12" t="s">
        <v>712</v>
      </c>
      <c r="B16" s="26">
        <v>68</v>
      </c>
      <c r="C16" s="26">
        <v>0</v>
      </c>
      <c r="D16" s="26">
        <v>0</v>
      </c>
      <c r="E16" s="26">
        <v>68</v>
      </c>
      <c r="F16" s="33">
        <v>1081290</v>
      </c>
      <c r="G16" s="26">
        <v>0</v>
      </c>
      <c r="H16" s="26">
        <v>0</v>
      </c>
      <c r="I16" s="33">
        <v>1081290</v>
      </c>
      <c r="J16" s="11"/>
      <c r="K16" s="11"/>
      <c r="L16" s="11"/>
      <c r="M16" s="11"/>
      <c r="N16" s="11"/>
      <c r="O16" s="11"/>
      <c r="P16" s="11"/>
      <c r="Q16" s="11"/>
    </row>
    <row r="17" spans="1:17" s="5" customFormat="1" ht="28.5" customHeight="1" x14ac:dyDescent="0.2">
      <c r="A17" s="12" t="s">
        <v>703</v>
      </c>
      <c r="B17" s="26">
        <v>12</v>
      </c>
      <c r="C17" s="26">
        <v>0</v>
      </c>
      <c r="D17" s="26">
        <v>0</v>
      </c>
      <c r="E17" s="26">
        <v>12</v>
      </c>
      <c r="F17" s="33">
        <v>329343</v>
      </c>
      <c r="G17" s="26">
        <v>0</v>
      </c>
      <c r="H17" s="26">
        <v>0</v>
      </c>
      <c r="I17" s="33">
        <v>329343</v>
      </c>
      <c r="J17" s="26">
        <v>12</v>
      </c>
      <c r="K17" s="26">
        <v>0</v>
      </c>
      <c r="L17" s="26">
        <v>0</v>
      </c>
      <c r="M17" s="26">
        <v>12</v>
      </c>
      <c r="N17" s="33">
        <v>318808</v>
      </c>
      <c r="O17" s="26">
        <v>0</v>
      </c>
      <c r="P17" s="26">
        <v>0</v>
      </c>
      <c r="Q17" s="33">
        <v>318808</v>
      </c>
    </row>
    <row r="18" spans="1:17" s="5" customFormat="1" ht="28.5" customHeight="1" x14ac:dyDescent="0.2">
      <c r="A18" s="12" t="s">
        <v>704</v>
      </c>
      <c r="B18" s="26">
        <v>56</v>
      </c>
      <c r="C18" s="26">
        <v>0</v>
      </c>
      <c r="D18" s="26">
        <v>0</v>
      </c>
      <c r="E18" s="26">
        <v>56</v>
      </c>
      <c r="F18" s="33">
        <v>751947</v>
      </c>
      <c r="G18" s="26">
        <v>0</v>
      </c>
      <c r="H18" s="26">
        <v>0</v>
      </c>
      <c r="I18" s="33">
        <v>751947</v>
      </c>
      <c r="J18" s="26">
        <v>65</v>
      </c>
      <c r="K18" s="26">
        <v>0</v>
      </c>
      <c r="L18" s="26">
        <v>0</v>
      </c>
      <c r="M18" s="26">
        <v>65</v>
      </c>
      <c r="N18" s="33">
        <v>1014144</v>
      </c>
      <c r="O18" s="26">
        <v>0</v>
      </c>
      <c r="P18" s="26">
        <v>0</v>
      </c>
      <c r="Q18" s="33">
        <v>1014144</v>
      </c>
    </row>
    <row r="19" spans="1:17" s="5" customFormat="1" ht="28.5" customHeight="1" x14ac:dyDescent="0.2">
      <c r="A19" s="12" t="s">
        <v>705</v>
      </c>
      <c r="B19" s="26">
        <v>28</v>
      </c>
      <c r="C19" s="26">
        <v>0</v>
      </c>
      <c r="D19" s="26">
        <v>0</v>
      </c>
      <c r="E19" s="26">
        <v>28</v>
      </c>
      <c r="F19" s="26">
        <v>93859</v>
      </c>
      <c r="G19" s="26">
        <v>0</v>
      </c>
      <c r="H19" s="26">
        <v>0</v>
      </c>
      <c r="I19" s="26">
        <v>93859</v>
      </c>
      <c r="J19" s="26">
        <v>29</v>
      </c>
      <c r="K19" s="26">
        <v>0</v>
      </c>
      <c r="L19" s="26">
        <v>0</v>
      </c>
      <c r="M19" s="26">
        <v>29</v>
      </c>
      <c r="N19" s="33">
        <v>124676</v>
      </c>
      <c r="O19" s="26">
        <v>0</v>
      </c>
      <c r="P19" s="26">
        <v>0</v>
      </c>
      <c r="Q19" s="33">
        <v>124676</v>
      </c>
    </row>
    <row r="20" spans="1:17" s="5" customFormat="1" ht="28.5" customHeight="1" x14ac:dyDescent="0.2">
      <c r="A20" s="12" t="s">
        <v>706</v>
      </c>
      <c r="B20" s="26">
        <v>840</v>
      </c>
      <c r="C20" s="26">
        <v>1127</v>
      </c>
      <c r="D20" s="26">
        <v>31</v>
      </c>
      <c r="E20" s="26">
        <v>1998</v>
      </c>
      <c r="F20" s="43">
        <v>68202745</v>
      </c>
      <c r="G20" s="33">
        <v>3138964</v>
      </c>
      <c r="H20" s="26">
        <v>5592</v>
      </c>
      <c r="I20" s="43">
        <v>71347301</v>
      </c>
      <c r="J20" s="26">
        <v>881</v>
      </c>
      <c r="K20" s="26">
        <v>1091</v>
      </c>
      <c r="L20" s="26">
        <v>28</v>
      </c>
      <c r="M20" s="26">
        <v>2000</v>
      </c>
      <c r="N20" s="43">
        <v>78715602</v>
      </c>
      <c r="O20" s="33">
        <v>3060437</v>
      </c>
      <c r="P20" s="26">
        <v>16725</v>
      </c>
      <c r="Q20" s="43">
        <v>81792764</v>
      </c>
    </row>
    <row r="21" spans="1:17" s="5" customFormat="1" ht="14.25" customHeight="1" x14ac:dyDescent="0.2">
      <c r="A21" s="391" t="s">
        <v>1034</v>
      </c>
      <c r="B21" s="391"/>
      <c r="C21" s="391"/>
      <c r="D21" s="391"/>
      <c r="E21" s="391"/>
      <c r="F21" s="391"/>
      <c r="G21" s="391"/>
      <c r="H21" s="391"/>
      <c r="I21" s="391"/>
      <c r="J21" s="391"/>
      <c r="K21" s="391"/>
      <c r="L21" s="391"/>
      <c r="M21" s="391"/>
      <c r="N21" s="391"/>
    </row>
    <row r="22" spans="1:17" s="5" customFormat="1" ht="13.5" customHeight="1" x14ac:dyDescent="0.2">
      <c r="A22" s="391" t="s">
        <v>105</v>
      </c>
      <c r="B22" s="391"/>
      <c r="C22" s="391"/>
      <c r="D22" s="391"/>
      <c r="E22" s="391"/>
      <c r="F22" s="391"/>
      <c r="G22" s="391"/>
      <c r="H22" s="391"/>
      <c r="I22" s="391"/>
      <c r="J22" s="391"/>
      <c r="K22" s="391"/>
      <c r="L22" s="391"/>
      <c r="M22" s="391"/>
      <c r="N22" s="391"/>
    </row>
    <row r="23" spans="1:17" s="5" customFormat="1" ht="13.5" customHeight="1" x14ac:dyDescent="0.2">
      <c r="A23" s="391" t="s">
        <v>126</v>
      </c>
      <c r="B23" s="391"/>
      <c r="C23" s="391"/>
      <c r="D23" s="391"/>
      <c r="E23" s="391"/>
      <c r="F23" s="391"/>
      <c r="G23" s="391"/>
      <c r="H23" s="391"/>
      <c r="I23" s="391"/>
      <c r="J23" s="391"/>
      <c r="K23" s="391"/>
      <c r="L23" s="391"/>
      <c r="M23" s="391"/>
      <c r="N23" s="391"/>
    </row>
    <row r="24" spans="1:17" s="5" customFormat="1" ht="26.85" customHeight="1" x14ac:dyDescent="0.2"/>
  </sheetData>
  <customSheetViews>
    <customSheetView guid="{B9B27D37-53F8-4AD8-9221-6458C3026417}" scale="60" showPageBreaks="1" fitToPage="1" view="pageBreakPreview" topLeftCell="C1">
      <selection sqref="A1:Q1"/>
      <pageMargins left="0.78431372549019618" right="0.78431372549019618" top="0.98039215686274517" bottom="0.98039215686274517" header="0.50980392156862753" footer="0.50980392156862753"/>
      <pageSetup paperSize="9" scale="49" orientation="landscape" useFirstPageNumber="1" r:id="rId1"/>
      <headerFooter alignWithMargins="0"/>
    </customSheetView>
    <customSheetView guid="{F9A1D58D-8337-4577-94AF-0D6370657575}" scale="60" showPageBreaks="1" fitToPage="1" view="pageBreakPreview" topLeftCell="C1">
      <selection sqref="A1:Q1"/>
      <pageMargins left="0.78431372549019618" right="0.78431372549019618" top="0.98039215686274517" bottom="0.98039215686274517" header="0.50980392156862753" footer="0.50980392156862753"/>
      <pageSetup paperSize="9" scale="49" orientation="landscape" useFirstPageNumber="1" r:id="rId2"/>
      <headerFooter alignWithMargins="0"/>
    </customSheetView>
  </customSheetViews>
  <mergeCells count="11">
    <mergeCell ref="A21:N21"/>
    <mergeCell ref="A22:N22"/>
    <mergeCell ref="A23:N23"/>
    <mergeCell ref="A1:Q1"/>
    <mergeCell ref="A2:A4"/>
    <mergeCell ref="B2:I2"/>
    <mergeCell ref="J2:Q2"/>
    <mergeCell ref="B3:E3"/>
    <mergeCell ref="F3:I3"/>
    <mergeCell ref="J3:M3"/>
    <mergeCell ref="N3:Q3"/>
  </mergeCells>
  <pageMargins left="0.78431372549019618" right="0.78431372549019618" top="0.98039215686274517" bottom="0.98039215686274517" header="0.50980392156862753" footer="0.50980392156862753"/>
  <pageSetup paperSize="9" scale="49" orientation="landscape" useFirstPageNumber="1" r:id="rId3"/>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J19"/>
  <sheetViews>
    <sheetView zoomScaleNormal="100" workbookViewId="0">
      <selection activeCell="J8" sqref="J8"/>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490" t="s">
        <v>713</v>
      </c>
      <c r="B1" s="490"/>
      <c r="C1" s="490"/>
      <c r="D1" s="490"/>
      <c r="E1" s="490"/>
      <c r="F1" s="490"/>
      <c r="G1" s="490"/>
      <c r="H1" s="490"/>
      <c r="I1" s="490"/>
    </row>
    <row r="2" spans="1:10" s="5" customFormat="1" ht="18.75" customHeight="1" x14ac:dyDescent="0.2">
      <c r="A2" s="428" t="s">
        <v>714</v>
      </c>
      <c r="B2" s="404" t="s">
        <v>119</v>
      </c>
      <c r="C2" s="470"/>
      <c r="D2" s="405"/>
      <c r="E2" s="404" t="s">
        <v>176</v>
      </c>
      <c r="F2" s="470"/>
      <c r="G2" s="405"/>
      <c r="H2" s="404" t="s">
        <v>150</v>
      </c>
      <c r="I2" s="470"/>
      <c r="J2" s="405"/>
    </row>
    <row r="3" spans="1:10" s="5" customFormat="1" ht="34.5" customHeight="1" x14ac:dyDescent="0.2">
      <c r="A3" s="429"/>
      <c r="B3" s="46" t="s">
        <v>715</v>
      </c>
      <c r="C3" s="46" t="s">
        <v>716</v>
      </c>
      <c r="D3" s="46" t="s">
        <v>717</v>
      </c>
      <c r="E3" s="46" t="s">
        <v>715</v>
      </c>
      <c r="F3" s="46" t="s">
        <v>716</v>
      </c>
      <c r="G3" s="46" t="s">
        <v>717</v>
      </c>
      <c r="H3" s="46" t="s">
        <v>715</v>
      </c>
      <c r="I3" s="46" t="s">
        <v>716</v>
      </c>
      <c r="J3" s="46" t="s">
        <v>718</v>
      </c>
    </row>
    <row r="4" spans="1:10" s="5" customFormat="1" ht="22.5" customHeight="1" x14ac:dyDescent="0.2">
      <c r="A4" s="56" t="s">
        <v>69</v>
      </c>
      <c r="B4" s="53">
        <v>667008.81999999995</v>
      </c>
      <c r="C4" s="53">
        <v>525239.54</v>
      </c>
      <c r="D4" s="53">
        <v>141769.28</v>
      </c>
      <c r="E4" s="53">
        <v>1825230.98</v>
      </c>
      <c r="F4" s="53">
        <v>1454514.96</v>
      </c>
      <c r="G4" s="53">
        <v>370715.95</v>
      </c>
      <c r="H4" s="53">
        <v>2492239.7999999998</v>
      </c>
      <c r="I4" s="53">
        <v>1979754.5</v>
      </c>
      <c r="J4" s="53">
        <v>512485.23</v>
      </c>
    </row>
    <row r="5" spans="1:10" s="5" customFormat="1" ht="22.5" customHeight="1" x14ac:dyDescent="0.2">
      <c r="A5" s="56" t="s">
        <v>70</v>
      </c>
      <c r="B5" s="52">
        <f>SUM(B6:B16)</f>
        <v>652126.65</v>
      </c>
      <c r="C5" s="52">
        <f t="shared" ref="C5:J5" si="0">SUM(C6:C16)</f>
        <v>556582.96</v>
      </c>
      <c r="D5" s="52">
        <f t="shared" si="0"/>
        <v>95543.689999999988</v>
      </c>
      <c r="E5" s="52">
        <f t="shared" si="0"/>
        <v>1956065.6399999997</v>
      </c>
      <c r="F5" s="52">
        <f t="shared" si="0"/>
        <v>1641181.5799999998</v>
      </c>
      <c r="G5" s="52">
        <f t="shared" si="0"/>
        <v>343055.16000000003</v>
      </c>
      <c r="H5" s="52">
        <f t="shared" si="0"/>
        <v>2608192.29</v>
      </c>
      <c r="I5" s="52">
        <f t="shared" si="0"/>
        <v>2197764.54</v>
      </c>
      <c r="J5" s="52">
        <f t="shared" si="0"/>
        <v>438598.85</v>
      </c>
    </row>
    <row r="6" spans="1:10" s="5" customFormat="1" ht="22.5" customHeight="1" x14ac:dyDescent="0.2">
      <c r="A6" s="56" t="s">
        <v>156</v>
      </c>
      <c r="B6" s="52">
        <v>57598.19</v>
      </c>
      <c r="C6" s="52">
        <v>46304.73</v>
      </c>
      <c r="D6" s="52">
        <v>11293.46</v>
      </c>
      <c r="E6" s="53">
        <v>171450.16</v>
      </c>
      <c r="F6" s="53">
        <v>151285.34</v>
      </c>
      <c r="G6" s="52">
        <v>20164.82</v>
      </c>
      <c r="H6" s="53">
        <v>229048.35</v>
      </c>
      <c r="I6" s="53">
        <v>197590.07</v>
      </c>
      <c r="J6" s="52">
        <v>31458.28</v>
      </c>
    </row>
    <row r="7" spans="1:10" s="5" customFormat="1" ht="22.5" customHeight="1" x14ac:dyDescent="0.2">
      <c r="A7" s="56" t="s">
        <v>157</v>
      </c>
      <c r="B7" s="52">
        <v>68739.62</v>
      </c>
      <c r="C7" s="52">
        <v>55120.800000000003</v>
      </c>
      <c r="D7" s="52">
        <v>13618.82</v>
      </c>
      <c r="E7" s="53">
        <v>174469.22</v>
      </c>
      <c r="F7" s="53">
        <v>188554.77</v>
      </c>
      <c r="G7" s="52">
        <v>14085.55</v>
      </c>
      <c r="H7" s="53">
        <v>243208.84</v>
      </c>
      <c r="I7" s="53">
        <v>243675.57</v>
      </c>
      <c r="J7" s="52">
        <v>27704.37</v>
      </c>
    </row>
    <row r="8" spans="1:10" s="5" customFormat="1" ht="22.5" customHeight="1" x14ac:dyDescent="0.2">
      <c r="A8" s="56" t="s">
        <v>158</v>
      </c>
      <c r="B8" s="52">
        <v>57543.15</v>
      </c>
      <c r="C8" s="52">
        <v>48100.59</v>
      </c>
      <c r="D8" s="52">
        <v>9442.56</v>
      </c>
      <c r="E8" s="53">
        <v>185365.02</v>
      </c>
      <c r="F8" s="53">
        <v>144950.09</v>
      </c>
      <c r="G8" s="52">
        <v>40414.93</v>
      </c>
      <c r="H8" s="53">
        <v>242908.17</v>
      </c>
      <c r="I8" s="53">
        <v>193050.68</v>
      </c>
      <c r="J8" s="52">
        <v>49857.49</v>
      </c>
    </row>
    <row r="9" spans="1:10" s="5" customFormat="1" ht="22.5" customHeight="1" x14ac:dyDescent="0.2">
      <c r="A9" s="56" t="s">
        <v>159</v>
      </c>
      <c r="B9" s="52">
        <v>59897.02</v>
      </c>
      <c r="C9" s="52">
        <v>55977.87</v>
      </c>
      <c r="D9" s="52">
        <v>3919.15</v>
      </c>
      <c r="E9" s="53">
        <v>142717.37</v>
      </c>
      <c r="F9" s="53">
        <v>146352.57999999999</v>
      </c>
      <c r="G9" s="52">
        <v>-3635.21</v>
      </c>
      <c r="H9" s="53">
        <v>202614.39</v>
      </c>
      <c r="I9" s="53">
        <v>202330.45</v>
      </c>
      <c r="J9" s="52">
        <v>283.94</v>
      </c>
    </row>
    <row r="10" spans="1:10" s="5" customFormat="1" ht="22.5" customHeight="1" x14ac:dyDescent="0.2">
      <c r="A10" s="56" t="s">
        <v>160</v>
      </c>
      <c r="B10" s="52">
        <v>57455.32</v>
      </c>
      <c r="C10" s="52">
        <v>53360.79</v>
      </c>
      <c r="D10" s="52">
        <v>4094.53</v>
      </c>
      <c r="E10" s="53">
        <v>161151.51</v>
      </c>
      <c r="F10" s="53">
        <v>125407.15</v>
      </c>
      <c r="G10" s="52">
        <v>35744.36</v>
      </c>
      <c r="H10" s="53">
        <v>218606.83</v>
      </c>
      <c r="I10" s="53">
        <v>178767.94</v>
      </c>
      <c r="J10" s="52">
        <v>39838.89</v>
      </c>
    </row>
    <row r="11" spans="1:10" s="5" customFormat="1" ht="22.5" customHeight="1" x14ac:dyDescent="0.2">
      <c r="A11" s="56" t="s">
        <v>161</v>
      </c>
      <c r="B11" s="52">
        <v>61772.13</v>
      </c>
      <c r="C11" s="52">
        <v>50133.95</v>
      </c>
      <c r="D11" s="52">
        <v>11638.18</v>
      </c>
      <c r="E11" s="53">
        <v>170019.25</v>
      </c>
      <c r="F11" s="53">
        <v>151332.76999999999</v>
      </c>
      <c r="G11" s="52">
        <v>18686.48</v>
      </c>
      <c r="H11" s="53">
        <v>231791.38</v>
      </c>
      <c r="I11" s="53">
        <v>201466.72</v>
      </c>
      <c r="J11" s="52">
        <v>30324.66</v>
      </c>
    </row>
    <row r="12" spans="1:10" s="5" customFormat="1" ht="22.5" customHeight="1" x14ac:dyDescent="0.2">
      <c r="A12" s="56" t="s">
        <v>162</v>
      </c>
      <c r="B12" s="52">
        <v>78340.33</v>
      </c>
      <c r="C12" s="52">
        <v>54293.01</v>
      </c>
      <c r="D12" s="52">
        <v>24047.32</v>
      </c>
      <c r="E12" s="53">
        <v>144356.66</v>
      </c>
      <c r="F12" s="53">
        <v>116992.15</v>
      </c>
      <c r="G12" s="52">
        <v>27364.51</v>
      </c>
      <c r="H12" s="53">
        <v>222696.99</v>
      </c>
      <c r="I12" s="53">
        <v>171285.16</v>
      </c>
      <c r="J12" s="52">
        <v>51411.83</v>
      </c>
    </row>
    <row r="13" spans="1:10" s="5" customFormat="1" ht="22.5" customHeight="1" x14ac:dyDescent="0.2">
      <c r="A13" s="56" t="s">
        <v>163</v>
      </c>
      <c r="B13" s="52">
        <v>53828.26</v>
      </c>
      <c r="C13" s="52">
        <v>48591.78</v>
      </c>
      <c r="D13" s="52">
        <v>5236.4799999999996</v>
      </c>
      <c r="E13" s="53">
        <v>180633.86</v>
      </c>
      <c r="F13" s="53">
        <v>129241.29</v>
      </c>
      <c r="G13" s="52">
        <v>51392.57</v>
      </c>
      <c r="H13" s="53">
        <v>234462.12</v>
      </c>
      <c r="I13" s="53">
        <v>177833.07</v>
      </c>
      <c r="J13" s="52">
        <v>56629.05</v>
      </c>
    </row>
    <row r="14" spans="1:10" s="5" customFormat="1" ht="22.5" customHeight="1" x14ac:dyDescent="0.2">
      <c r="A14" s="56" t="s">
        <v>164</v>
      </c>
      <c r="B14" s="52">
        <v>48199.59</v>
      </c>
      <c r="C14" s="52">
        <v>45280.62</v>
      </c>
      <c r="D14" s="52">
        <v>2918.97</v>
      </c>
      <c r="E14" s="53">
        <v>241205.45</v>
      </c>
      <c r="F14" s="53">
        <v>175970.45</v>
      </c>
      <c r="G14" s="52">
        <v>65235</v>
      </c>
      <c r="H14" s="53">
        <v>289405.03999999998</v>
      </c>
      <c r="I14" s="53">
        <v>221251.07</v>
      </c>
      <c r="J14" s="52">
        <v>68153.97</v>
      </c>
    </row>
    <row r="15" spans="1:10" s="5" customFormat="1" ht="22.5" customHeight="1" x14ac:dyDescent="0.2">
      <c r="A15" s="56" t="s">
        <v>165</v>
      </c>
      <c r="B15" s="52">
        <v>57222.37</v>
      </c>
      <c r="C15" s="52">
        <v>50061.760000000002</v>
      </c>
      <c r="D15" s="52">
        <v>7160.61</v>
      </c>
      <c r="E15" s="53">
        <v>220033</v>
      </c>
      <c r="F15" s="53">
        <v>172881.06</v>
      </c>
      <c r="G15" s="52">
        <v>47151.94</v>
      </c>
      <c r="H15" s="53">
        <v>277255.37</v>
      </c>
      <c r="I15" s="53">
        <v>222942.82</v>
      </c>
      <c r="J15" s="52">
        <v>54312.55</v>
      </c>
    </row>
    <row r="16" spans="1:10" s="5" customFormat="1" ht="22.5" customHeight="1" x14ac:dyDescent="0.2">
      <c r="A16" s="56" t="s">
        <v>166</v>
      </c>
      <c r="B16" s="52">
        <v>51530.67</v>
      </c>
      <c r="C16" s="52">
        <v>49357.06</v>
      </c>
      <c r="D16" s="52">
        <v>2173.61</v>
      </c>
      <c r="E16" s="53">
        <v>164664.14000000001</v>
      </c>
      <c r="F16" s="53">
        <v>138213.93</v>
      </c>
      <c r="G16" s="52">
        <v>26450.21</v>
      </c>
      <c r="H16" s="53">
        <v>216194.81</v>
      </c>
      <c r="I16" s="53">
        <v>187570.99</v>
      </c>
      <c r="J16" s="52">
        <v>28623.82</v>
      </c>
    </row>
    <row r="17" spans="1:7" s="5" customFormat="1" ht="18.75" customHeight="1" x14ac:dyDescent="0.2">
      <c r="A17" s="371" t="s">
        <v>297</v>
      </c>
      <c r="B17" s="371"/>
      <c r="C17" s="371"/>
      <c r="D17" s="371"/>
      <c r="E17" s="371"/>
      <c r="F17" s="371"/>
      <c r="G17" s="371"/>
    </row>
    <row r="18" spans="1:7" s="5" customFormat="1" ht="18" customHeight="1" x14ac:dyDescent="0.2">
      <c r="A18" s="371" t="s">
        <v>196</v>
      </c>
      <c r="B18" s="371"/>
      <c r="C18" s="371"/>
      <c r="D18" s="371"/>
      <c r="E18" s="371"/>
      <c r="F18" s="371"/>
      <c r="G18" s="371"/>
    </row>
    <row r="19" spans="1:7" s="5" customFormat="1" ht="28.35" customHeight="1" x14ac:dyDescent="0.2"/>
  </sheetData>
  <customSheetViews>
    <customSheetView guid="{B9B27D37-53F8-4AD8-9221-6458C3026417}" fitToPage="1">
      <selection activeCell="J8" sqref="J8"/>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J8" sqref="J8"/>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A18:G18"/>
    <mergeCell ref="A1:I1"/>
    <mergeCell ref="A2:A3"/>
    <mergeCell ref="B2:D2"/>
    <mergeCell ref="E2:G2"/>
    <mergeCell ref="H2:J2"/>
    <mergeCell ref="A17:G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G17"/>
  <sheetViews>
    <sheetView zoomScaleNormal="100" workbookViewId="0">
      <selection activeCell="F18" sqref="F18"/>
    </sheetView>
  </sheetViews>
  <sheetFormatPr defaultRowHeight="12.75" x14ac:dyDescent="0.2"/>
  <cols>
    <col min="1" max="1" width="21.140625" bestFit="1" customWidth="1"/>
    <col min="2" max="6" width="17.7109375" bestFit="1" customWidth="1"/>
    <col min="7" max="7" width="14.140625" bestFit="1" customWidth="1"/>
    <col min="8" max="8" width="8.28515625" bestFit="1" customWidth="1"/>
  </cols>
  <sheetData>
    <row r="1" spans="1:7" ht="15" customHeight="1" x14ac:dyDescent="0.2">
      <c r="A1" s="403" t="s">
        <v>719</v>
      </c>
      <c r="B1" s="403"/>
      <c r="C1" s="403"/>
      <c r="D1" s="403"/>
    </row>
    <row r="2" spans="1:7" s="5" customFormat="1" ht="18" customHeight="1" x14ac:dyDescent="0.2">
      <c r="A2" s="42" t="s">
        <v>147</v>
      </c>
      <c r="B2" s="7" t="s">
        <v>69</v>
      </c>
      <c r="C2" s="7" t="s">
        <v>69</v>
      </c>
      <c r="D2" s="7" t="s">
        <v>69</v>
      </c>
      <c r="E2" s="7" t="s">
        <v>70</v>
      </c>
      <c r="F2" s="7" t="s">
        <v>70</v>
      </c>
      <c r="G2" s="7" t="s">
        <v>70</v>
      </c>
    </row>
    <row r="3" spans="1:7" s="5" customFormat="1" ht="27" customHeight="1" x14ac:dyDescent="0.2">
      <c r="A3" s="25" t="s">
        <v>720</v>
      </c>
      <c r="B3" s="24" t="s">
        <v>721</v>
      </c>
      <c r="C3" s="24" t="s">
        <v>722</v>
      </c>
      <c r="D3" s="24" t="s">
        <v>723</v>
      </c>
      <c r="E3" s="24" t="s">
        <v>721</v>
      </c>
      <c r="F3" s="24" t="s">
        <v>722</v>
      </c>
      <c r="G3" s="24" t="s">
        <v>723</v>
      </c>
    </row>
    <row r="4" spans="1:7" s="5" customFormat="1" ht="18" customHeight="1" x14ac:dyDescent="0.2">
      <c r="A4" s="3" t="s">
        <v>724</v>
      </c>
      <c r="B4" s="33">
        <v>113776</v>
      </c>
      <c r="C4" s="26">
        <v>5427</v>
      </c>
      <c r="D4" s="26">
        <v>2158</v>
      </c>
      <c r="E4" s="33">
        <v>136586</v>
      </c>
      <c r="F4" s="26">
        <v>6729</v>
      </c>
      <c r="G4" s="26">
        <v>3998</v>
      </c>
    </row>
    <row r="5" spans="1:7" s="5" customFormat="1" ht="18" customHeight="1" x14ac:dyDescent="0.2">
      <c r="A5" s="81" t="s">
        <v>725</v>
      </c>
      <c r="B5" s="3"/>
      <c r="C5" s="3"/>
      <c r="D5" s="3"/>
      <c r="E5" s="3"/>
      <c r="F5" s="3"/>
      <c r="G5" s="3"/>
    </row>
    <row r="6" spans="1:7" s="5" customFormat="1" ht="18" customHeight="1" x14ac:dyDescent="0.2">
      <c r="A6" s="3" t="s">
        <v>726</v>
      </c>
      <c r="B6" s="33">
        <v>102587.34</v>
      </c>
      <c r="C6" s="26">
        <v>15278.95</v>
      </c>
      <c r="D6" s="491">
        <v>225131.32</v>
      </c>
      <c r="E6" s="33">
        <v>100608.91</v>
      </c>
      <c r="F6" s="26">
        <v>17743.990000000002</v>
      </c>
      <c r="G6" s="491">
        <v>171266.86</v>
      </c>
    </row>
    <row r="7" spans="1:7" s="5" customFormat="1" ht="18" customHeight="1" x14ac:dyDescent="0.2">
      <c r="A7" s="3" t="s">
        <v>727</v>
      </c>
      <c r="B7" s="26">
        <v>479.87</v>
      </c>
      <c r="C7" s="26">
        <v>127.54</v>
      </c>
      <c r="D7" s="492">
        <v>0</v>
      </c>
      <c r="E7" s="26">
        <v>575.20000000000005</v>
      </c>
      <c r="F7" s="26">
        <v>77.84</v>
      </c>
      <c r="G7" s="492"/>
    </row>
    <row r="8" spans="1:7" s="5" customFormat="1" ht="18" customHeight="1" x14ac:dyDescent="0.2">
      <c r="A8" s="3" t="s">
        <v>728</v>
      </c>
      <c r="B8" s="33">
        <v>1018735.82</v>
      </c>
      <c r="C8" s="26">
        <v>63135.72</v>
      </c>
      <c r="D8" s="492">
        <v>0</v>
      </c>
      <c r="E8" s="33">
        <v>1144568.02</v>
      </c>
      <c r="F8" s="26">
        <v>74074.77</v>
      </c>
      <c r="G8" s="492"/>
    </row>
    <row r="9" spans="1:7" s="5" customFormat="1" ht="18" customHeight="1" x14ac:dyDescent="0.2">
      <c r="A9" s="3" t="s">
        <v>729</v>
      </c>
      <c r="B9" s="26">
        <v>386.37</v>
      </c>
      <c r="C9" s="26">
        <v>440.42</v>
      </c>
      <c r="D9" s="492">
        <v>0</v>
      </c>
      <c r="E9" s="26">
        <v>645.82000000000005</v>
      </c>
      <c r="F9" s="26">
        <v>460.07</v>
      </c>
      <c r="G9" s="492"/>
    </row>
    <row r="10" spans="1:7" s="5" customFormat="1" ht="18" customHeight="1" x14ac:dyDescent="0.2">
      <c r="A10" s="3" t="s">
        <v>730</v>
      </c>
      <c r="B10" s="26">
        <v>825.32</v>
      </c>
      <c r="C10" s="26">
        <v>-3.14</v>
      </c>
      <c r="D10" s="492">
        <v>0</v>
      </c>
      <c r="E10" s="26">
        <v>483.68</v>
      </c>
      <c r="F10" s="26">
        <v>-2.15</v>
      </c>
      <c r="G10" s="492"/>
    </row>
    <row r="11" spans="1:7" s="5" customFormat="1" ht="18" customHeight="1" x14ac:dyDescent="0.2">
      <c r="A11" s="3" t="s">
        <v>97</v>
      </c>
      <c r="B11" s="26">
        <v>11643.02</v>
      </c>
      <c r="C11" s="26">
        <v>9844.2900000000009</v>
      </c>
      <c r="D11" s="492">
        <v>0</v>
      </c>
      <c r="E11" s="26">
        <v>13776.08</v>
      </c>
      <c r="F11" s="26">
        <v>13611.91</v>
      </c>
      <c r="G11" s="492"/>
    </row>
    <row r="12" spans="1:7" s="5" customFormat="1" ht="18" customHeight="1" x14ac:dyDescent="0.2">
      <c r="A12" s="3" t="s">
        <v>330</v>
      </c>
      <c r="B12" s="26">
        <v>17465.29</v>
      </c>
      <c r="C12" s="26">
        <v>973.07</v>
      </c>
      <c r="D12" s="492">
        <v>0</v>
      </c>
      <c r="E12" s="26">
        <v>15572.11</v>
      </c>
      <c r="F12" s="26">
        <v>1257.57</v>
      </c>
      <c r="G12" s="492"/>
    </row>
    <row r="13" spans="1:7" s="5" customFormat="1" ht="18" customHeight="1" x14ac:dyDescent="0.2">
      <c r="A13" s="3" t="s">
        <v>150</v>
      </c>
      <c r="B13" s="33">
        <v>1152123.03</v>
      </c>
      <c r="C13" s="26">
        <v>89796.85</v>
      </c>
      <c r="D13" s="493">
        <v>225131.32</v>
      </c>
      <c r="E13" s="33">
        <v>1276229.82</v>
      </c>
      <c r="F13" s="33">
        <v>107224</v>
      </c>
      <c r="G13" s="493"/>
    </row>
    <row r="14" spans="1:7" s="5" customFormat="1" ht="24.75" customHeight="1" x14ac:dyDescent="0.2">
      <c r="A14" s="391" t="s">
        <v>1036</v>
      </c>
      <c r="B14" s="391"/>
      <c r="C14" s="391"/>
      <c r="D14" s="391"/>
      <c r="E14" s="391"/>
      <c r="F14" s="391"/>
      <c r="G14" s="391"/>
    </row>
    <row r="15" spans="1:7" s="5" customFormat="1" ht="13.5" customHeight="1" x14ac:dyDescent="0.2">
      <c r="A15" s="391" t="s">
        <v>105</v>
      </c>
      <c r="B15" s="391"/>
      <c r="C15" s="391"/>
      <c r="D15" s="391"/>
      <c r="E15" s="391"/>
      <c r="F15" s="391"/>
      <c r="G15" s="391"/>
    </row>
    <row r="16" spans="1:7" s="5" customFormat="1" ht="13.5" customHeight="1" x14ac:dyDescent="0.2">
      <c r="A16" s="391" t="s">
        <v>126</v>
      </c>
      <c r="B16" s="391"/>
      <c r="C16" s="391"/>
      <c r="D16" s="391"/>
      <c r="E16" s="391"/>
      <c r="F16" s="391"/>
      <c r="G16" s="391"/>
    </row>
    <row r="17" s="5" customFormat="1" ht="28.35" customHeight="1" x14ac:dyDescent="0.2"/>
  </sheetData>
  <customSheetViews>
    <customSheetView guid="{B9B27D37-53F8-4AD8-9221-6458C3026417}" fitToPage="1">
      <selection activeCell="B2" sqref="B2:D2"/>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B2" sqref="B2:D2"/>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6">
    <mergeCell ref="A1:D1"/>
    <mergeCell ref="A14:G14"/>
    <mergeCell ref="A15:G15"/>
    <mergeCell ref="A16:G16"/>
    <mergeCell ref="G6:G13"/>
    <mergeCell ref="D6:D1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0"/>
  <sheetViews>
    <sheetView zoomScaleNormal="100" workbookViewId="0"/>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6" t="s">
        <v>731</v>
      </c>
    </row>
    <row r="2" spans="1:14" s="5" customFormat="1" ht="18.75" customHeight="1" x14ac:dyDescent="0.2">
      <c r="A2" s="496" t="s">
        <v>732</v>
      </c>
      <c r="B2" s="496" t="s">
        <v>733</v>
      </c>
      <c r="C2" s="404" t="s">
        <v>734</v>
      </c>
      <c r="D2" s="470"/>
      <c r="E2" s="470"/>
      <c r="F2" s="470"/>
      <c r="G2" s="470"/>
      <c r="H2" s="404" t="s">
        <v>735</v>
      </c>
      <c r="I2" s="470"/>
      <c r="J2" s="470"/>
      <c r="K2" s="470"/>
      <c r="L2" s="470"/>
      <c r="M2" s="405"/>
      <c r="N2" s="82"/>
    </row>
    <row r="3" spans="1:14" s="5" customFormat="1" ht="37.5" customHeight="1" x14ac:dyDescent="0.2">
      <c r="A3" s="497"/>
      <c r="B3" s="497"/>
      <c r="C3" s="36" t="s">
        <v>166</v>
      </c>
      <c r="D3" s="36" t="s">
        <v>165</v>
      </c>
      <c r="E3" s="36" t="s">
        <v>736</v>
      </c>
      <c r="F3" s="46" t="s">
        <v>737</v>
      </c>
      <c r="G3" s="46" t="s">
        <v>738</v>
      </c>
      <c r="H3" s="36" t="s">
        <v>166</v>
      </c>
      <c r="I3" s="36" t="s">
        <v>165</v>
      </c>
      <c r="J3" s="36" t="s">
        <v>736</v>
      </c>
      <c r="K3" s="46" t="s">
        <v>737</v>
      </c>
      <c r="L3" s="430" t="s">
        <v>738</v>
      </c>
      <c r="M3" s="432"/>
      <c r="N3" s="83"/>
    </row>
    <row r="4" spans="1:14" s="5" customFormat="1" ht="18" customHeight="1" x14ac:dyDescent="0.2">
      <c r="A4" s="84" t="s">
        <v>739</v>
      </c>
      <c r="B4" s="85" t="s">
        <v>740</v>
      </c>
      <c r="C4" s="8">
        <v>6136</v>
      </c>
      <c r="D4" s="8">
        <v>6126</v>
      </c>
      <c r="E4" s="8">
        <v>5889</v>
      </c>
      <c r="F4" s="86">
        <v>4.1942604860000001</v>
      </c>
      <c r="G4" s="86">
        <v>0.16323865500000001</v>
      </c>
      <c r="H4" s="8">
        <v>6886</v>
      </c>
      <c r="I4" s="8">
        <v>6876</v>
      </c>
      <c r="J4" s="8">
        <v>6682</v>
      </c>
      <c r="K4" s="86">
        <v>3.05</v>
      </c>
      <c r="L4" s="494">
        <v>0.15</v>
      </c>
      <c r="M4" s="495"/>
      <c r="N4" s="87" t="s">
        <v>739</v>
      </c>
    </row>
    <row r="5" spans="1:14" s="5" customFormat="1" ht="18" customHeight="1" x14ac:dyDescent="0.2">
      <c r="A5" s="84" t="s">
        <v>741</v>
      </c>
      <c r="B5" s="85" t="s">
        <v>740</v>
      </c>
      <c r="C5" s="8">
        <v>277</v>
      </c>
      <c r="D5" s="8">
        <v>276</v>
      </c>
      <c r="E5" s="8">
        <v>276</v>
      </c>
      <c r="F5" s="86">
        <v>0.362318841</v>
      </c>
      <c r="G5" s="86">
        <v>0.362318841</v>
      </c>
      <c r="H5" s="8">
        <v>595</v>
      </c>
      <c r="I5" s="8">
        <v>592</v>
      </c>
      <c r="J5" s="8">
        <v>592</v>
      </c>
      <c r="K5" s="86">
        <v>0.51</v>
      </c>
      <c r="L5" s="494">
        <v>0.51</v>
      </c>
      <c r="M5" s="495"/>
      <c r="N5" s="87" t="s">
        <v>741</v>
      </c>
    </row>
    <row r="6" spans="1:14" s="5" customFormat="1" ht="18" customHeight="1" x14ac:dyDescent="0.2">
      <c r="A6" s="84" t="s">
        <v>742</v>
      </c>
      <c r="B6" s="85" t="s">
        <v>740</v>
      </c>
      <c r="C6" s="8">
        <v>3</v>
      </c>
      <c r="D6" s="8">
        <v>3</v>
      </c>
      <c r="E6" s="8">
        <v>3</v>
      </c>
      <c r="F6" s="86">
        <v>0</v>
      </c>
      <c r="G6" s="86">
        <v>0</v>
      </c>
      <c r="H6" s="8">
        <v>3</v>
      </c>
      <c r="I6" s="8">
        <v>3</v>
      </c>
      <c r="J6" s="8">
        <v>3</v>
      </c>
      <c r="K6" s="86">
        <v>0</v>
      </c>
      <c r="L6" s="494">
        <v>0</v>
      </c>
      <c r="M6" s="495"/>
      <c r="N6" s="87" t="s">
        <v>742</v>
      </c>
    </row>
    <row r="7" spans="1:14" s="5" customFormat="1" ht="18" customHeight="1" x14ac:dyDescent="0.2">
      <c r="A7" s="84" t="s">
        <v>743</v>
      </c>
      <c r="B7" s="85" t="s">
        <v>744</v>
      </c>
      <c r="C7" s="8">
        <v>184.08647999999999</v>
      </c>
      <c r="D7" s="8">
        <v>182.77974</v>
      </c>
      <c r="E7" s="8">
        <v>169.93616</v>
      </c>
      <c r="F7" s="86">
        <v>8.3268446219999994</v>
      </c>
      <c r="G7" s="86">
        <v>0.71492606299999995</v>
      </c>
      <c r="H7" s="8">
        <v>169.71</v>
      </c>
      <c r="I7" s="8">
        <v>167.25</v>
      </c>
      <c r="J7" s="8">
        <v>144.16</v>
      </c>
      <c r="K7" s="86">
        <v>17.72</v>
      </c>
      <c r="L7" s="494">
        <v>1.47</v>
      </c>
      <c r="M7" s="495"/>
      <c r="N7" s="87" t="s">
        <v>743</v>
      </c>
    </row>
    <row r="8" spans="1:14" s="5" customFormat="1" ht="18" customHeight="1" x14ac:dyDescent="0.2">
      <c r="A8" s="84" t="s">
        <v>745</v>
      </c>
      <c r="B8" s="85" t="s">
        <v>746</v>
      </c>
      <c r="C8" s="8">
        <v>52810.217303999998</v>
      </c>
      <c r="D8" s="8">
        <v>52576.752291299999</v>
      </c>
      <c r="E8" s="8">
        <v>48368.5540778</v>
      </c>
      <c r="F8" s="86">
        <v>9.1829563870000008</v>
      </c>
      <c r="G8" s="86">
        <v>0.44404609</v>
      </c>
      <c r="H8" s="8">
        <v>17690.39</v>
      </c>
      <c r="I8" s="8">
        <v>17633.87</v>
      </c>
      <c r="J8" s="8">
        <v>14388.71</v>
      </c>
      <c r="K8" s="86">
        <v>22.95</v>
      </c>
      <c r="L8" s="494">
        <v>0.32</v>
      </c>
      <c r="M8" s="495"/>
      <c r="N8" s="87" t="s">
        <v>745</v>
      </c>
    </row>
    <row r="9" spans="1:14" s="5" customFormat="1" ht="18" customHeight="1" x14ac:dyDescent="0.2">
      <c r="A9" s="84" t="s">
        <v>747</v>
      </c>
      <c r="B9" s="85" t="s">
        <v>746</v>
      </c>
      <c r="C9" s="47">
        <v>12236295.1927469</v>
      </c>
      <c r="D9" s="47">
        <v>12268632.161276</v>
      </c>
      <c r="E9" s="47">
        <v>12695644.0649432</v>
      </c>
      <c r="F9" s="86">
        <v>-3.6181612360000002</v>
      </c>
      <c r="G9" s="86">
        <v>-0.26357435899999998</v>
      </c>
      <c r="H9" s="45">
        <v>1639025.84</v>
      </c>
      <c r="I9" s="45">
        <v>1721837.67</v>
      </c>
      <c r="J9" s="45">
        <v>1922156.28</v>
      </c>
      <c r="K9" s="86">
        <v>-14.72</v>
      </c>
      <c r="L9" s="494">
        <v>-4.8099999999999996</v>
      </c>
      <c r="M9" s="495"/>
      <c r="N9" s="87" t="s">
        <v>747</v>
      </c>
    </row>
    <row r="10" spans="1:14" s="5" customFormat="1" ht="18" customHeight="1" x14ac:dyDescent="0.2">
      <c r="A10" s="84" t="s">
        <v>748</v>
      </c>
      <c r="B10" s="85" t="s">
        <v>746</v>
      </c>
      <c r="C10" s="8">
        <v>56762.077402335999</v>
      </c>
      <c r="D10" s="8">
        <v>56315.719321757002</v>
      </c>
      <c r="E10" s="8">
        <v>51618.016054264001</v>
      </c>
      <c r="F10" s="86">
        <v>9.9656316559999993</v>
      </c>
      <c r="G10" s="86">
        <v>0.79259944800000004</v>
      </c>
      <c r="H10" s="8">
        <v>19243.59</v>
      </c>
      <c r="I10" s="8">
        <v>19394.009999999998</v>
      </c>
      <c r="J10" s="8">
        <v>15453.57</v>
      </c>
      <c r="K10" s="86">
        <v>24.53</v>
      </c>
      <c r="L10" s="494">
        <v>-0.78</v>
      </c>
      <c r="M10" s="495"/>
      <c r="N10" s="87" t="s">
        <v>748</v>
      </c>
    </row>
    <row r="11" spans="1:14" s="5" customFormat="1" ht="18" customHeight="1" x14ac:dyDescent="0.2">
      <c r="A11" s="84" t="s">
        <v>749</v>
      </c>
      <c r="B11" s="85" t="s">
        <v>746</v>
      </c>
      <c r="C11" s="47">
        <v>14942504.164913701</v>
      </c>
      <c r="D11" s="47">
        <v>14953464.143589601</v>
      </c>
      <c r="E11" s="47">
        <v>15214039.0554031</v>
      </c>
      <c r="F11" s="86">
        <v>-1.7847653050000001</v>
      </c>
      <c r="G11" s="86">
        <v>-7.3293911000000003E-2</v>
      </c>
      <c r="H11" s="45">
        <v>1753530.55</v>
      </c>
      <c r="I11" s="45">
        <v>1840459.05</v>
      </c>
      <c r="J11" s="45">
        <v>2014431.42</v>
      </c>
      <c r="K11" s="86">
        <v>-12.95</v>
      </c>
      <c r="L11" s="494">
        <v>-4.72</v>
      </c>
      <c r="M11" s="495"/>
      <c r="N11" s="87" t="s">
        <v>749</v>
      </c>
    </row>
    <row r="12" spans="1:14" s="5" customFormat="1" ht="18" customHeight="1" x14ac:dyDescent="0.2">
      <c r="A12" s="84" t="s">
        <v>750</v>
      </c>
      <c r="B12" s="85" t="s">
        <v>746</v>
      </c>
      <c r="C12" s="8">
        <v>1093.9460263000001</v>
      </c>
      <c r="D12" s="8">
        <v>902.94400810000002</v>
      </c>
      <c r="E12" s="8">
        <v>1051.6212346</v>
      </c>
      <c r="F12" s="86">
        <v>4.0247182449999999</v>
      </c>
      <c r="G12" s="86">
        <v>21.153251640000001</v>
      </c>
      <c r="H12" s="8">
        <v>501.66</v>
      </c>
      <c r="I12" s="8">
        <v>432.34</v>
      </c>
      <c r="J12" s="8">
        <v>1397.5</v>
      </c>
      <c r="K12" s="86">
        <v>-64.099999999999994</v>
      </c>
      <c r="L12" s="494">
        <v>16.03</v>
      </c>
      <c r="M12" s="495"/>
      <c r="N12" s="87" t="s">
        <v>750</v>
      </c>
    </row>
    <row r="13" spans="1:14" s="5" customFormat="1" ht="18" customHeight="1" x14ac:dyDescent="0.2">
      <c r="A13" s="84" t="s">
        <v>751</v>
      </c>
      <c r="B13" s="85" t="s">
        <v>746</v>
      </c>
      <c r="C13" s="8">
        <v>57.576106647000003</v>
      </c>
      <c r="D13" s="8">
        <v>39.258435134999999</v>
      </c>
      <c r="E13" s="8">
        <v>55.348486031999997</v>
      </c>
      <c r="F13" s="86">
        <v>4.0247182449999999</v>
      </c>
      <c r="G13" s="86">
        <v>46.659199352999998</v>
      </c>
      <c r="H13" s="8">
        <v>16.18</v>
      </c>
      <c r="I13" s="8">
        <v>13.95</v>
      </c>
      <c r="J13" s="8">
        <v>45.08</v>
      </c>
      <c r="K13" s="86">
        <v>-64.099999999999994</v>
      </c>
      <c r="L13" s="494">
        <v>16</v>
      </c>
      <c r="M13" s="495"/>
      <c r="N13" s="87" t="s">
        <v>751</v>
      </c>
    </row>
    <row r="14" spans="1:14" s="5" customFormat="1" ht="18" customHeight="1" x14ac:dyDescent="0.2">
      <c r="A14" s="84" t="s">
        <v>752</v>
      </c>
      <c r="B14" s="85" t="s">
        <v>746</v>
      </c>
      <c r="C14" s="45">
        <v>289333.78699701402</v>
      </c>
      <c r="D14" s="45">
        <v>216447.15299248701</v>
      </c>
      <c r="E14" s="45">
        <v>258408.88196673599</v>
      </c>
      <c r="F14" s="86">
        <v>11.967431147999999</v>
      </c>
      <c r="G14" s="86">
        <v>33.674101506</v>
      </c>
      <c r="H14" s="8">
        <v>51174.43</v>
      </c>
      <c r="I14" s="8">
        <v>47859.72</v>
      </c>
      <c r="J14" s="45">
        <v>108182.6</v>
      </c>
      <c r="K14" s="86">
        <v>-52.7</v>
      </c>
      <c r="L14" s="494">
        <v>6.93</v>
      </c>
      <c r="M14" s="495"/>
      <c r="N14" s="87" t="s">
        <v>752</v>
      </c>
    </row>
    <row r="15" spans="1:14" s="5" customFormat="1" ht="18" customHeight="1" x14ac:dyDescent="0.2">
      <c r="A15" s="84" t="s">
        <v>753</v>
      </c>
      <c r="B15" s="85" t="s">
        <v>746</v>
      </c>
      <c r="C15" s="8">
        <v>15228.094052474</v>
      </c>
      <c r="D15" s="8">
        <v>9410.7457822819997</v>
      </c>
      <c r="E15" s="8">
        <v>13600.467471934</v>
      </c>
      <c r="F15" s="86">
        <v>11.967431147999999</v>
      </c>
      <c r="G15" s="86">
        <v>61.816017612000003</v>
      </c>
      <c r="H15" s="8">
        <v>1650.79</v>
      </c>
      <c r="I15" s="8">
        <v>1543.86</v>
      </c>
      <c r="J15" s="8">
        <v>3489.76</v>
      </c>
      <c r="K15" s="86">
        <v>-52.7</v>
      </c>
      <c r="L15" s="494">
        <v>6.93</v>
      </c>
      <c r="M15" s="495"/>
      <c r="N15" s="87" t="s">
        <v>753</v>
      </c>
    </row>
    <row r="16" spans="1:14" s="5" customFormat="1" ht="18" customHeight="1" x14ac:dyDescent="0.2">
      <c r="A16" s="84" t="s">
        <v>754</v>
      </c>
      <c r="B16" s="85" t="s">
        <v>740</v>
      </c>
      <c r="C16" s="8">
        <v>9</v>
      </c>
      <c r="D16" s="8">
        <v>9</v>
      </c>
      <c r="E16" s="8">
        <v>9</v>
      </c>
      <c r="F16" s="86">
        <v>0</v>
      </c>
      <c r="G16" s="86">
        <v>0</v>
      </c>
      <c r="H16" s="8">
        <v>40</v>
      </c>
      <c r="I16" s="8">
        <v>91</v>
      </c>
      <c r="J16" s="8">
        <v>133</v>
      </c>
      <c r="K16" s="86">
        <v>-69.92</v>
      </c>
      <c r="L16" s="494">
        <v>-56.04</v>
      </c>
      <c r="M16" s="495"/>
      <c r="N16" s="87" t="s">
        <v>754</v>
      </c>
    </row>
    <row r="17" spans="1:14" s="5" customFormat="1" ht="18" customHeight="1" x14ac:dyDescent="0.2">
      <c r="A17" s="84" t="s">
        <v>755</v>
      </c>
      <c r="B17" s="85" t="s">
        <v>756</v>
      </c>
      <c r="C17" s="8">
        <v>87.142635018999997</v>
      </c>
      <c r="D17" s="8">
        <v>87.132316713999998</v>
      </c>
      <c r="E17" s="8">
        <v>85.769301800999997</v>
      </c>
      <c r="F17" s="86">
        <v>1.601194354</v>
      </c>
      <c r="G17" s="86">
        <v>1.1842111000000001E-2</v>
      </c>
      <c r="H17" s="8">
        <v>11.59</v>
      </c>
      <c r="I17" s="8">
        <v>11.77</v>
      </c>
      <c r="J17" s="8">
        <v>13.21</v>
      </c>
      <c r="K17" s="86">
        <v>-12.26</v>
      </c>
      <c r="L17" s="494">
        <v>-1.51</v>
      </c>
      <c r="M17" s="495"/>
      <c r="N17" s="88" t="s">
        <v>757</v>
      </c>
    </row>
    <row r="18" spans="1:14" s="5" customFormat="1" ht="24.75" customHeight="1" x14ac:dyDescent="0.2">
      <c r="A18" s="392" t="s">
        <v>1026</v>
      </c>
      <c r="B18" s="392"/>
      <c r="C18" s="392"/>
      <c r="D18" s="392"/>
      <c r="E18" s="392"/>
      <c r="F18" s="392"/>
      <c r="G18" s="392"/>
      <c r="H18" s="392"/>
      <c r="I18" s="392"/>
      <c r="J18" s="392"/>
      <c r="K18" s="392"/>
      <c r="L18" s="392"/>
    </row>
    <row r="19" spans="1:14" s="5" customFormat="1" ht="13.5" customHeight="1" x14ac:dyDescent="0.2">
      <c r="A19" s="391" t="s">
        <v>758</v>
      </c>
      <c r="B19" s="391"/>
      <c r="C19" s="391"/>
      <c r="D19" s="391"/>
      <c r="E19" s="391"/>
      <c r="F19" s="391"/>
      <c r="G19" s="391"/>
      <c r="H19" s="391"/>
      <c r="I19" s="391"/>
      <c r="J19" s="391"/>
      <c r="K19" s="391"/>
      <c r="L19" s="391"/>
    </row>
    <row r="20" spans="1:14" s="5" customFormat="1" ht="28.35" customHeight="1" x14ac:dyDescent="0.2"/>
  </sheetData>
  <customSheetViews>
    <customSheetView guid="{B9B27D37-53F8-4AD8-9221-6458C3026417}" fitToPage="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tabColor rgb="FFFFC000"/>
    <pageSetUpPr fitToPage="1"/>
  </sheetPr>
  <dimension ref="A1:K20"/>
  <sheetViews>
    <sheetView tabSelected="1" zoomScaleNormal="100" workbookViewId="0">
      <selection activeCell="F23" sqref="F23"/>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403" t="s">
        <v>67</v>
      </c>
      <c r="B1" s="403"/>
      <c r="C1" s="403"/>
      <c r="D1" s="403"/>
      <c r="E1" s="403"/>
      <c r="F1" s="403"/>
      <c r="G1" s="403"/>
      <c r="H1" s="403"/>
      <c r="I1" s="403"/>
      <c r="J1" s="403"/>
    </row>
    <row r="2" spans="1:11" s="5" customFormat="1" ht="18" customHeight="1" x14ac:dyDescent="0.2">
      <c r="A2" s="381" t="s">
        <v>182</v>
      </c>
      <c r="B2" s="393" t="s">
        <v>734</v>
      </c>
      <c r="C2" s="394"/>
      <c r="D2" s="394"/>
      <c r="E2" s="394"/>
      <c r="F2" s="395"/>
      <c r="G2" s="393" t="s">
        <v>735</v>
      </c>
      <c r="H2" s="394"/>
      <c r="I2" s="394"/>
      <c r="J2" s="394"/>
      <c r="K2" s="395"/>
    </row>
    <row r="3" spans="1:11" s="5" customFormat="1" ht="51" customHeight="1" x14ac:dyDescent="0.2">
      <c r="A3" s="383"/>
      <c r="B3" s="9" t="s">
        <v>759</v>
      </c>
      <c r="C3" s="9" t="s">
        <v>760</v>
      </c>
      <c r="D3" s="17" t="s">
        <v>761</v>
      </c>
      <c r="E3" s="17" t="s">
        <v>762</v>
      </c>
      <c r="F3" s="10" t="s">
        <v>763</v>
      </c>
      <c r="G3" s="9" t="s">
        <v>759</v>
      </c>
      <c r="H3" s="9" t="s">
        <v>760</v>
      </c>
      <c r="I3" s="17" t="s">
        <v>761</v>
      </c>
      <c r="J3" s="17" t="s">
        <v>762</v>
      </c>
      <c r="K3" s="10" t="s">
        <v>764</v>
      </c>
    </row>
    <row r="4" spans="1:11" s="5" customFormat="1" ht="18" customHeight="1" x14ac:dyDescent="0.2">
      <c r="A4" s="3" t="s">
        <v>69</v>
      </c>
      <c r="B4" s="26">
        <v>19865</v>
      </c>
      <c r="C4" s="26">
        <v>276</v>
      </c>
      <c r="D4" s="26">
        <v>30385</v>
      </c>
      <c r="E4" s="33">
        <v>1506339</v>
      </c>
      <c r="F4" s="43">
        <v>17220166.752</v>
      </c>
      <c r="G4" s="26">
        <v>10628</v>
      </c>
      <c r="H4" s="26">
        <v>593</v>
      </c>
      <c r="I4" s="26">
        <v>17473</v>
      </c>
      <c r="J4" s="33">
        <v>283805</v>
      </c>
      <c r="K4" s="33">
        <v>1983981.03</v>
      </c>
    </row>
    <row r="5" spans="1:11" s="5" customFormat="1" ht="18" customHeight="1" x14ac:dyDescent="0.2">
      <c r="A5" s="3" t="s">
        <v>70</v>
      </c>
      <c r="B5" s="26">
        <v>24510</v>
      </c>
      <c r="C5" s="26">
        <v>277</v>
      </c>
      <c r="D5" s="26">
        <v>30764</v>
      </c>
      <c r="E5" s="33">
        <v>1790175.67</v>
      </c>
      <c r="F5" s="43">
        <v>17579016.796999998</v>
      </c>
      <c r="G5" s="26">
        <v>12110</v>
      </c>
      <c r="H5" s="26">
        <v>595</v>
      </c>
      <c r="I5" s="26">
        <v>19312</v>
      </c>
      <c r="J5" s="33">
        <v>350133.72850000003</v>
      </c>
      <c r="K5" s="33">
        <v>1944171.65</v>
      </c>
    </row>
    <row r="6" spans="1:11" s="5" customFormat="1" ht="18" customHeight="1" x14ac:dyDescent="0.2">
      <c r="A6" s="3" t="s">
        <v>156</v>
      </c>
      <c r="B6" s="26">
        <v>20089</v>
      </c>
      <c r="C6" s="26">
        <v>277</v>
      </c>
      <c r="D6" s="26">
        <v>30439</v>
      </c>
      <c r="E6" s="33">
        <v>1532784.55</v>
      </c>
      <c r="F6" s="43">
        <v>18187157.223999999</v>
      </c>
      <c r="G6" s="26">
        <v>10761</v>
      </c>
      <c r="H6" s="26">
        <v>601</v>
      </c>
      <c r="I6" s="26">
        <v>17454</v>
      </c>
      <c r="J6" s="33">
        <v>298670.46000000002</v>
      </c>
      <c r="K6" s="33">
        <v>2121782.2400000002</v>
      </c>
    </row>
    <row r="7" spans="1:11" s="5" customFormat="1" ht="18" customHeight="1" x14ac:dyDescent="0.2">
      <c r="A7" s="3" t="s">
        <v>157</v>
      </c>
      <c r="B7" s="26">
        <v>20282</v>
      </c>
      <c r="C7" s="26">
        <v>277</v>
      </c>
      <c r="D7" s="26">
        <v>30563</v>
      </c>
      <c r="E7" s="33">
        <v>1549218.47</v>
      </c>
      <c r="F7" s="43">
        <v>17570560.171</v>
      </c>
      <c r="G7" s="26">
        <v>10892</v>
      </c>
      <c r="H7" s="26">
        <v>602</v>
      </c>
      <c r="I7" s="26">
        <v>19172</v>
      </c>
      <c r="J7" s="33">
        <v>300622.23</v>
      </c>
      <c r="K7" s="33">
        <v>2069038.28</v>
      </c>
    </row>
    <row r="8" spans="1:11" s="5" customFormat="1" ht="18" customHeight="1" x14ac:dyDescent="0.2">
      <c r="A8" s="3" t="s">
        <v>158</v>
      </c>
      <c r="B8" s="26">
        <v>20462</v>
      </c>
      <c r="C8" s="26">
        <v>275</v>
      </c>
      <c r="D8" s="26">
        <v>30512</v>
      </c>
      <c r="E8" s="33">
        <v>1576579.85</v>
      </c>
      <c r="F8" s="43">
        <v>17586565.919</v>
      </c>
      <c r="G8" s="26">
        <v>10992</v>
      </c>
      <c r="H8" s="26">
        <v>597</v>
      </c>
      <c r="I8" s="26">
        <v>19176</v>
      </c>
      <c r="J8" s="33">
        <v>305639</v>
      </c>
      <c r="K8" s="33">
        <v>1995128</v>
      </c>
    </row>
    <row r="9" spans="1:11" s="5" customFormat="1" ht="18" customHeight="1" x14ac:dyDescent="0.2">
      <c r="A9" s="3" t="s">
        <v>159</v>
      </c>
      <c r="B9" s="26">
        <v>20648</v>
      </c>
      <c r="C9" s="26">
        <v>275</v>
      </c>
      <c r="D9" s="26">
        <v>30560</v>
      </c>
      <c r="E9" s="33">
        <v>1566791.49</v>
      </c>
      <c r="F9" s="43">
        <v>18447742.013</v>
      </c>
      <c r="G9" s="26">
        <v>11088</v>
      </c>
      <c r="H9" s="26">
        <v>596</v>
      </c>
      <c r="I9" s="26">
        <v>19154</v>
      </c>
      <c r="J9" s="33">
        <v>307852</v>
      </c>
      <c r="K9" s="33">
        <v>2095750</v>
      </c>
    </row>
    <row r="10" spans="1:11" s="5" customFormat="1" ht="18" customHeight="1" x14ac:dyDescent="0.2">
      <c r="A10" s="3" t="s">
        <v>160</v>
      </c>
      <c r="B10" s="26">
        <v>20809</v>
      </c>
      <c r="C10" s="26">
        <v>276</v>
      </c>
      <c r="D10" s="26">
        <v>30562</v>
      </c>
      <c r="E10" s="33">
        <v>1557557.97</v>
      </c>
      <c r="F10" s="43">
        <v>18964146.857000001</v>
      </c>
      <c r="G10" s="26">
        <v>11174</v>
      </c>
      <c r="H10" s="26">
        <v>595</v>
      </c>
      <c r="I10" s="26">
        <v>19189</v>
      </c>
      <c r="J10" s="33">
        <v>311080</v>
      </c>
      <c r="K10" s="33">
        <v>2168984</v>
      </c>
    </row>
    <row r="11" spans="1:11" s="5" customFormat="1" ht="18" customHeight="1" x14ac:dyDescent="0.2">
      <c r="A11" s="3" t="s">
        <v>161</v>
      </c>
      <c r="B11" s="26">
        <v>20942</v>
      </c>
      <c r="C11" s="26">
        <v>276</v>
      </c>
      <c r="D11" s="26">
        <v>30729</v>
      </c>
      <c r="E11" s="33">
        <v>1583551.87</v>
      </c>
      <c r="F11" s="33">
        <v>176330.15426000001</v>
      </c>
      <c r="G11" s="26">
        <v>11237</v>
      </c>
      <c r="H11" s="26">
        <v>595</v>
      </c>
      <c r="I11" s="26">
        <v>19221</v>
      </c>
      <c r="J11" s="33">
        <v>310691.96000000002</v>
      </c>
      <c r="K11" s="33">
        <v>1950935.76</v>
      </c>
    </row>
    <row r="12" spans="1:11" s="5" customFormat="1" ht="18" customHeight="1" x14ac:dyDescent="0.2">
      <c r="A12" s="3" t="s">
        <v>162</v>
      </c>
      <c r="B12" s="26">
        <v>21392</v>
      </c>
      <c r="C12" s="26">
        <v>274</v>
      </c>
      <c r="D12" s="26">
        <v>30797</v>
      </c>
      <c r="E12" s="33">
        <v>1601695.62</v>
      </c>
      <c r="F12" s="26">
        <v>1705.566466</v>
      </c>
      <c r="G12" s="26">
        <v>11362</v>
      </c>
      <c r="H12" s="26">
        <v>593</v>
      </c>
      <c r="I12" s="26">
        <v>19277</v>
      </c>
      <c r="J12" s="33">
        <v>321519.11</v>
      </c>
      <c r="K12" s="33">
        <v>1909449.27</v>
      </c>
    </row>
    <row r="13" spans="1:11" s="5" customFormat="1" ht="18" customHeight="1" x14ac:dyDescent="0.2">
      <c r="A13" s="3" t="s">
        <v>163</v>
      </c>
      <c r="B13" s="26">
        <v>22018</v>
      </c>
      <c r="C13" s="26">
        <v>273</v>
      </c>
      <c r="D13" s="26">
        <v>30761</v>
      </c>
      <c r="E13" s="33">
        <v>1622141.97</v>
      </c>
      <c r="F13" s="26">
        <v>1758.5678614999999</v>
      </c>
      <c r="G13" s="26">
        <v>11539</v>
      </c>
      <c r="H13" s="26">
        <v>592</v>
      </c>
      <c r="I13" s="26">
        <v>19288</v>
      </c>
      <c r="J13" s="33">
        <v>329296.12</v>
      </c>
      <c r="K13" s="33">
        <v>1928099.12</v>
      </c>
    </row>
    <row r="14" spans="1:11" s="5" customFormat="1" ht="18" customHeight="1" x14ac:dyDescent="0.2">
      <c r="A14" s="3" t="s">
        <v>164</v>
      </c>
      <c r="B14" s="26">
        <v>22897</v>
      </c>
      <c r="C14" s="26">
        <v>276</v>
      </c>
      <c r="D14" s="26">
        <v>30738</v>
      </c>
      <c r="E14" s="33">
        <v>1676903.19</v>
      </c>
      <c r="F14" s="43">
        <v>17812043.581999999</v>
      </c>
      <c r="G14" s="26">
        <v>11800</v>
      </c>
      <c r="H14" s="26">
        <v>592</v>
      </c>
      <c r="I14" s="26">
        <v>19267</v>
      </c>
      <c r="J14" s="33">
        <v>340758.56</v>
      </c>
      <c r="K14" s="33">
        <v>2022692.64</v>
      </c>
    </row>
    <row r="15" spans="1:11" s="5" customFormat="1" ht="18" customHeight="1" x14ac:dyDescent="0.2">
      <c r="A15" s="3" t="s">
        <v>165</v>
      </c>
      <c r="B15" s="26">
        <v>23837</v>
      </c>
      <c r="C15" s="26">
        <v>276</v>
      </c>
      <c r="D15" s="26">
        <v>30739</v>
      </c>
      <c r="E15" s="33">
        <v>1754160.22</v>
      </c>
      <c r="F15" s="43">
        <v>17584348.105999999</v>
      </c>
      <c r="G15" s="26">
        <v>12110</v>
      </c>
      <c r="H15" s="26">
        <v>595</v>
      </c>
      <c r="I15" s="26">
        <v>19312</v>
      </c>
      <c r="J15" s="33">
        <v>350133.72850000003</v>
      </c>
      <c r="K15" s="33">
        <v>1944171.65</v>
      </c>
    </row>
    <row r="16" spans="1:11" s="5" customFormat="1" ht="18" customHeight="1" x14ac:dyDescent="0.2">
      <c r="A16" s="3" t="s">
        <v>166</v>
      </c>
      <c r="B16" s="26">
        <v>24510</v>
      </c>
      <c r="C16" s="26">
        <v>277</v>
      </c>
      <c r="D16" s="26">
        <v>30764</v>
      </c>
      <c r="E16" s="33">
        <v>1790175.67</v>
      </c>
      <c r="F16" s="43">
        <v>17579016.796999998</v>
      </c>
      <c r="G16" s="35"/>
      <c r="H16" s="35"/>
      <c r="I16" s="35"/>
      <c r="J16" s="35"/>
      <c r="K16" s="35"/>
    </row>
    <row r="17" spans="1:8" s="5" customFormat="1" ht="18.75" customHeight="1" x14ac:dyDescent="0.2">
      <c r="A17" s="498" t="s">
        <v>1016</v>
      </c>
      <c r="B17" s="498"/>
      <c r="C17" s="498"/>
      <c r="D17" s="498"/>
      <c r="E17" s="498"/>
      <c r="F17" s="498"/>
      <c r="G17" s="498"/>
      <c r="H17" s="498"/>
    </row>
    <row r="18" spans="1:8" s="5" customFormat="1" ht="18" customHeight="1" x14ac:dyDescent="0.2">
      <c r="A18" s="371" t="s">
        <v>765</v>
      </c>
      <c r="B18" s="371"/>
      <c r="C18" s="371"/>
      <c r="D18" s="371"/>
      <c r="E18" s="371"/>
      <c r="F18" s="371"/>
      <c r="G18" s="371"/>
      <c r="H18" s="371"/>
    </row>
    <row r="19" spans="1:8" s="5" customFormat="1" ht="18" customHeight="1" x14ac:dyDescent="0.2">
      <c r="A19" s="371" t="s">
        <v>758</v>
      </c>
      <c r="B19" s="371"/>
      <c r="C19" s="371"/>
      <c r="D19" s="371"/>
      <c r="E19" s="371"/>
      <c r="F19" s="371"/>
      <c r="G19" s="371"/>
      <c r="H19" s="371"/>
    </row>
    <row r="20" spans="1:8" s="5" customFormat="1" ht="28.35" customHeight="1" x14ac:dyDescent="0.2"/>
  </sheetData>
  <customSheetViews>
    <customSheetView guid="{B9B27D37-53F8-4AD8-9221-6458C3026417}" fitToPage="1">
      <selection sqref="A1:J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sqref="A1:J1"/>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7">
    <mergeCell ref="A19:H19"/>
    <mergeCell ref="A1:J1"/>
    <mergeCell ref="A2:A3"/>
    <mergeCell ref="B2:F2"/>
    <mergeCell ref="G2:K2"/>
    <mergeCell ref="A17:H17"/>
    <mergeCell ref="A18:H18"/>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J20"/>
  <sheetViews>
    <sheetView zoomScaleNormal="100" workbookViewId="0">
      <selection activeCell="D8" sqref="D8"/>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89" t="s">
        <v>68</v>
      </c>
    </row>
    <row r="2" spans="1:10" s="5" customFormat="1" ht="18" customHeight="1" x14ac:dyDescent="0.2">
      <c r="A2" s="381" t="s">
        <v>720</v>
      </c>
      <c r="B2" s="381" t="s">
        <v>733</v>
      </c>
      <c r="C2" s="393" t="s">
        <v>176</v>
      </c>
      <c r="D2" s="395"/>
      <c r="E2" s="393" t="s">
        <v>119</v>
      </c>
      <c r="F2" s="395"/>
      <c r="G2" s="393" t="s">
        <v>330</v>
      </c>
      <c r="H2" s="395"/>
      <c r="I2" s="393" t="s">
        <v>150</v>
      </c>
      <c r="J2" s="395"/>
    </row>
    <row r="3" spans="1:10" s="5" customFormat="1" ht="16.5" customHeight="1" x14ac:dyDescent="0.2">
      <c r="A3" s="383"/>
      <c r="B3" s="383"/>
      <c r="C3" s="7" t="s">
        <v>172</v>
      </c>
      <c r="D3" s="7" t="s">
        <v>766</v>
      </c>
      <c r="E3" s="7" t="s">
        <v>172</v>
      </c>
      <c r="F3" s="7" t="s">
        <v>766</v>
      </c>
      <c r="G3" s="7" t="s">
        <v>172</v>
      </c>
      <c r="H3" s="7" t="s">
        <v>766</v>
      </c>
      <c r="I3" s="7" t="s">
        <v>172</v>
      </c>
      <c r="J3" s="7" t="s">
        <v>766</v>
      </c>
    </row>
    <row r="4" spans="1:10" s="5" customFormat="1" ht="18" customHeight="1" x14ac:dyDescent="0.2">
      <c r="A4" s="499" t="s">
        <v>734</v>
      </c>
      <c r="B4" s="500"/>
      <c r="C4" s="500"/>
      <c r="D4" s="500"/>
      <c r="E4" s="500"/>
      <c r="F4" s="500"/>
      <c r="G4" s="500"/>
      <c r="H4" s="500"/>
      <c r="I4" s="500"/>
      <c r="J4" s="501"/>
    </row>
    <row r="5" spans="1:10" s="5" customFormat="1" ht="27" customHeight="1" x14ac:dyDescent="0.2">
      <c r="A5" s="12" t="s">
        <v>767</v>
      </c>
      <c r="B5" s="36" t="s">
        <v>768</v>
      </c>
      <c r="C5" s="8">
        <v>711</v>
      </c>
      <c r="D5" s="8">
        <v>1801</v>
      </c>
      <c r="E5" s="8">
        <v>6136</v>
      </c>
      <c r="F5" s="8">
        <v>15163</v>
      </c>
      <c r="G5" s="8">
        <v>69</v>
      </c>
      <c r="H5" s="8">
        <v>4496</v>
      </c>
      <c r="I5" s="8">
        <v>6916</v>
      </c>
      <c r="J5" s="8">
        <v>21460</v>
      </c>
    </row>
    <row r="6" spans="1:10" s="5" customFormat="1" ht="15" customHeight="1" x14ac:dyDescent="0.2">
      <c r="A6" s="12" t="s">
        <v>769</v>
      </c>
      <c r="B6" s="36" t="s">
        <v>768</v>
      </c>
      <c r="C6" s="8">
        <v>10806</v>
      </c>
      <c r="D6" s="8">
        <v>6183</v>
      </c>
      <c r="E6" s="8">
        <v>12453</v>
      </c>
      <c r="F6" s="8">
        <v>15817</v>
      </c>
      <c r="G6" s="8">
        <v>8404</v>
      </c>
      <c r="H6" s="8">
        <v>32259</v>
      </c>
      <c r="I6" s="8">
        <v>31663</v>
      </c>
      <c r="J6" s="8">
        <v>54259</v>
      </c>
    </row>
    <row r="7" spans="1:10" s="5" customFormat="1" ht="15" customHeight="1" x14ac:dyDescent="0.2">
      <c r="A7" s="12" t="s">
        <v>770</v>
      </c>
      <c r="B7" s="36" t="s">
        <v>771</v>
      </c>
      <c r="C7" s="45">
        <v>114886.86266</v>
      </c>
      <c r="D7" s="45">
        <v>421294.28354999999</v>
      </c>
      <c r="E7" s="45">
        <v>5281021.7303999998</v>
      </c>
      <c r="F7" s="45">
        <v>8224657.8899499997</v>
      </c>
      <c r="G7" s="45">
        <v>280299.14717357</v>
      </c>
      <c r="H7" s="45">
        <v>3579596.7778661698</v>
      </c>
      <c r="I7" s="45">
        <v>5676207.7402335703</v>
      </c>
      <c r="J7" s="47">
        <v>12225548.951366199</v>
      </c>
    </row>
    <row r="8" spans="1:10" s="5" customFormat="1" ht="15" customHeight="1" x14ac:dyDescent="0.2">
      <c r="A8" s="12" t="s">
        <v>772</v>
      </c>
      <c r="B8" s="36" t="s">
        <v>773</v>
      </c>
      <c r="C8" s="45">
        <v>2535413.8783009802</v>
      </c>
      <c r="D8" s="45">
        <v>489451.882975302</v>
      </c>
      <c r="E8" s="47">
        <v>12236295.1927469</v>
      </c>
      <c r="F8" s="45">
        <v>834986.70296967798</v>
      </c>
      <c r="G8" s="45">
        <v>170795.09386581401</v>
      </c>
      <c r="H8" s="45">
        <v>1312074.04660439</v>
      </c>
      <c r="I8" s="47">
        <v>14942504.164913701</v>
      </c>
      <c r="J8" s="45">
        <v>2636512.6325493702</v>
      </c>
    </row>
    <row r="9" spans="1:10" s="5" customFormat="1" ht="27" customHeight="1" x14ac:dyDescent="0.2">
      <c r="A9" s="12" t="s">
        <v>774</v>
      </c>
      <c r="B9" s="36" t="s">
        <v>775</v>
      </c>
      <c r="C9" s="8">
        <v>13787.573179999999</v>
      </c>
      <c r="D9" s="8">
        <v>16896.182850000001</v>
      </c>
      <c r="E9" s="45">
        <v>109394.60262999999</v>
      </c>
      <c r="F9" s="8">
        <v>114.05328</v>
      </c>
      <c r="G9" s="8">
        <v>6980.4833731799999</v>
      </c>
      <c r="H9" s="8">
        <v>628.28689970000005</v>
      </c>
      <c r="I9" s="45">
        <v>130162.65918318</v>
      </c>
      <c r="J9" s="8">
        <v>17638.523029700002</v>
      </c>
    </row>
    <row r="10" spans="1:10" s="5" customFormat="1" ht="15" customHeight="1" x14ac:dyDescent="0.2">
      <c r="A10" s="12" t="s">
        <v>776</v>
      </c>
      <c r="B10" s="36" t="s">
        <v>777</v>
      </c>
      <c r="C10" s="45">
        <v>319954.2268065</v>
      </c>
      <c r="D10" s="8">
        <v>22203.145791499999</v>
      </c>
      <c r="E10" s="45">
        <v>289333.78699701402</v>
      </c>
      <c r="F10" s="8">
        <v>326.33084073499998</v>
      </c>
      <c r="G10" s="8">
        <v>3168.663722712</v>
      </c>
      <c r="H10" s="8">
        <v>169.96252269300001</v>
      </c>
      <c r="I10" s="45">
        <v>612456.67752572603</v>
      </c>
      <c r="J10" s="8">
        <v>22699.439154928001</v>
      </c>
    </row>
    <row r="11" spans="1:10" s="5" customFormat="1" ht="18" customHeight="1" x14ac:dyDescent="0.2">
      <c r="A11" s="499" t="s">
        <v>735</v>
      </c>
      <c r="B11" s="500"/>
      <c r="C11" s="500"/>
      <c r="D11" s="500"/>
      <c r="E11" s="500"/>
      <c r="F11" s="500"/>
      <c r="G11" s="500"/>
      <c r="H11" s="500"/>
      <c r="I11" s="500"/>
      <c r="J11" s="501"/>
    </row>
    <row r="12" spans="1:10" s="5" customFormat="1" ht="27" customHeight="1" x14ac:dyDescent="0.2">
      <c r="A12" s="12" t="s">
        <v>778</v>
      </c>
      <c r="B12" s="36" t="s">
        <v>768</v>
      </c>
      <c r="C12" s="26">
        <v>559</v>
      </c>
      <c r="D12" s="26">
        <v>373</v>
      </c>
      <c r="E12" s="26">
        <v>6886</v>
      </c>
      <c r="F12" s="26">
        <v>4188</v>
      </c>
      <c r="G12" s="26">
        <v>2456</v>
      </c>
      <c r="H12" s="26">
        <v>521</v>
      </c>
      <c r="I12" s="26">
        <v>9901</v>
      </c>
      <c r="J12" s="26">
        <v>5082</v>
      </c>
    </row>
    <row r="13" spans="1:10" s="5" customFormat="1" ht="15" customHeight="1" x14ac:dyDescent="0.2">
      <c r="A13" s="12" t="s">
        <v>779</v>
      </c>
      <c r="B13" s="36" t="s">
        <v>768</v>
      </c>
      <c r="C13" s="26">
        <v>8365</v>
      </c>
      <c r="D13" s="26">
        <v>1878</v>
      </c>
      <c r="E13" s="26">
        <v>7003</v>
      </c>
      <c r="F13" s="26">
        <v>4393</v>
      </c>
      <c r="G13" s="26">
        <v>19159</v>
      </c>
      <c r="H13" s="26">
        <v>1817</v>
      </c>
      <c r="I13" s="26">
        <v>34527</v>
      </c>
      <c r="J13" s="26">
        <v>8088</v>
      </c>
    </row>
    <row r="14" spans="1:10" s="5" customFormat="1" ht="15" customHeight="1" x14ac:dyDescent="0.2">
      <c r="A14" s="12" t="s">
        <v>770</v>
      </c>
      <c r="B14" s="36" t="s">
        <v>780</v>
      </c>
      <c r="C14" s="26">
        <v>3567.31</v>
      </c>
      <c r="D14" s="26">
        <v>98168.61</v>
      </c>
      <c r="E14" s="33">
        <v>1769038.6</v>
      </c>
      <c r="F14" s="33">
        <v>1305127.08</v>
      </c>
      <c r="G14" s="33">
        <v>151753.01999999999</v>
      </c>
      <c r="H14" s="33">
        <v>173682.66</v>
      </c>
      <c r="I14" s="33">
        <v>1924358.93</v>
      </c>
      <c r="J14" s="33">
        <v>1576978.36</v>
      </c>
    </row>
    <row r="15" spans="1:10" s="5" customFormat="1" ht="15" customHeight="1" x14ac:dyDescent="0.2">
      <c r="A15" s="12" t="s">
        <v>772</v>
      </c>
      <c r="B15" s="36" t="s">
        <v>781</v>
      </c>
      <c r="C15" s="26">
        <v>60645.05</v>
      </c>
      <c r="D15" s="26">
        <v>32377.69</v>
      </c>
      <c r="E15" s="33">
        <v>1639025.84</v>
      </c>
      <c r="F15" s="33">
        <v>132154.85</v>
      </c>
      <c r="G15" s="26">
        <v>53859.65</v>
      </c>
      <c r="H15" s="26">
        <v>26108.57</v>
      </c>
      <c r="I15" s="33">
        <v>1753530.55</v>
      </c>
      <c r="J15" s="33">
        <v>190641.11</v>
      </c>
    </row>
    <row r="16" spans="1:10" s="5" customFormat="1" ht="27" customHeight="1" x14ac:dyDescent="0.2">
      <c r="A16" s="12" t="s">
        <v>774</v>
      </c>
      <c r="B16" s="36" t="s">
        <v>780</v>
      </c>
      <c r="C16" s="26">
        <v>45.73</v>
      </c>
      <c r="D16" s="26">
        <v>0</v>
      </c>
      <c r="E16" s="26">
        <v>50166.48</v>
      </c>
      <c r="F16" s="26">
        <v>0</v>
      </c>
      <c r="G16" s="26">
        <v>10158.040000000001</v>
      </c>
      <c r="H16" s="26">
        <v>0</v>
      </c>
      <c r="I16" s="26">
        <v>60370.25</v>
      </c>
      <c r="J16" s="26">
        <v>0</v>
      </c>
    </row>
    <row r="17" spans="1:10" s="5" customFormat="1" ht="15" customHeight="1" x14ac:dyDescent="0.2">
      <c r="A17" s="12" t="s">
        <v>776</v>
      </c>
      <c r="B17" s="36" t="s">
        <v>781</v>
      </c>
      <c r="C17" s="26">
        <v>1318.17</v>
      </c>
      <c r="D17" s="26">
        <v>0</v>
      </c>
      <c r="E17" s="26">
        <v>51174.43</v>
      </c>
      <c r="F17" s="26">
        <v>0</v>
      </c>
      <c r="G17" s="26">
        <v>7408.33</v>
      </c>
      <c r="H17" s="26">
        <v>0</v>
      </c>
      <c r="I17" s="26">
        <v>59900.93</v>
      </c>
      <c r="J17" s="26">
        <v>0</v>
      </c>
    </row>
    <row r="18" spans="1:10" s="5" customFormat="1" ht="14.25" customHeight="1" x14ac:dyDescent="0.2">
      <c r="A18" s="391" t="s">
        <v>1035</v>
      </c>
      <c r="B18" s="391"/>
      <c r="C18" s="391"/>
      <c r="D18" s="391"/>
      <c r="E18" s="391"/>
      <c r="F18" s="391"/>
      <c r="G18" s="391"/>
      <c r="H18" s="391"/>
      <c r="I18" s="391"/>
      <c r="J18" s="391"/>
    </row>
    <row r="19" spans="1:10" s="5" customFormat="1" ht="13.5" customHeight="1" x14ac:dyDescent="0.2">
      <c r="A19" s="391" t="s">
        <v>758</v>
      </c>
      <c r="B19" s="391"/>
      <c r="C19" s="391"/>
      <c r="D19" s="391"/>
      <c r="E19" s="391"/>
      <c r="F19" s="391"/>
      <c r="G19" s="391"/>
      <c r="H19" s="391"/>
      <c r="I19" s="391"/>
      <c r="J19" s="391"/>
    </row>
    <row r="20" spans="1:10" s="5" customFormat="1" ht="27.6" customHeight="1" x14ac:dyDescent="0.2"/>
  </sheetData>
  <customSheetViews>
    <customSheetView guid="{B9B27D37-53F8-4AD8-9221-6458C3026417}" fitToPage="1">
      <selection activeCell="D8" sqref="D8"/>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 guid="{F9A1D58D-8337-4577-94AF-0D6370657575}" fitToPage="1">
      <selection activeCell="D8" sqref="D8"/>
      <pageMargins left="0.78431372549019618" right="0.78431372549019618" top="0.98039215686274517" bottom="0.98039215686274517" header="0.50980392156862753" footer="0.50980392156862753"/>
      <pageSetup paperSize="9" orientation="landscape" useFirstPageNumber="1"/>
      <headerFooter alignWithMargins="0"/>
    </customSheetView>
  </customSheetViews>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P29"/>
  <sheetViews>
    <sheetView view="pageBreakPreview" zoomScale="120" zoomScaleNormal="115" zoomScaleSheetLayoutView="120" workbookViewId="0">
      <selection activeCell="G7" sqref="G7"/>
    </sheetView>
  </sheetViews>
  <sheetFormatPr defaultRowHeight="12.75" x14ac:dyDescent="0.2"/>
  <cols>
    <col min="1" max="1" width="9.140625" style="91" customWidth="1"/>
    <col min="2" max="2" width="18.5703125" style="91" customWidth="1"/>
    <col min="3" max="3" width="10.140625" style="91" bestFit="1" customWidth="1"/>
    <col min="4" max="4" width="11.42578125" style="91" customWidth="1"/>
    <col min="5" max="5" width="7.42578125" style="91" bestFit="1" customWidth="1"/>
    <col min="6" max="6" width="7.140625" style="91" bestFit="1" customWidth="1"/>
    <col min="7" max="7" width="8.7109375" style="91" bestFit="1" customWidth="1"/>
    <col min="8" max="8" width="10.42578125" style="91" customWidth="1"/>
    <col min="9" max="9" width="8.7109375" style="91" customWidth="1"/>
    <col min="10" max="10" width="6.7109375" style="91" bestFit="1" customWidth="1"/>
    <col min="11" max="11" width="10.140625" style="91" bestFit="1" customWidth="1"/>
    <col min="12" max="16384" width="9.140625" style="91"/>
  </cols>
  <sheetData>
    <row r="1" spans="1:16" ht="15.75" thickBot="1" x14ac:dyDescent="0.25">
      <c r="A1" s="90" t="s">
        <v>878</v>
      </c>
      <c r="B1" s="90"/>
      <c r="C1" s="90"/>
      <c r="D1" s="90"/>
      <c r="E1" s="90"/>
      <c r="F1" s="90"/>
      <c r="G1" s="90"/>
      <c r="H1" s="90"/>
      <c r="I1" s="90"/>
      <c r="J1" s="90"/>
    </row>
    <row r="2" spans="1:16" ht="15" x14ac:dyDescent="0.2">
      <c r="A2" s="504" t="s">
        <v>782</v>
      </c>
      <c r="B2" s="506" t="s">
        <v>720</v>
      </c>
      <c r="C2" s="508" t="s">
        <v>783</v>
      </c>
      <c r="D2" s="508"/>
      <c r="E2" s="508"/>
      <c r="F2" s="508"/>
      <c r="G2" s="508"/>
      <c r="H2" s="508" t="s">
        <v>784</v>
      </c>
      <c r="I2" s="508"/>
      <c r="J2" s="508"/>
      <c r="K2" s="509"/>
    </row>
    <row r="3" spans="1:16" ht="51.75" customHeight="1" x14ac:dyDescent="0.2">
      <c r="A3" s="505"/>
      <c r="B3" s="507"/>
      <c r="C3" s="92" t="s">
        <v>785</v>
      </c>
      <c r="D3" s="93" t="s">
        <v>786</v>
      </c>
      <c r="E3" s="92" t="s">
        <v>787</v>
      </c>
      <c r="F3" s="92" t="s">
        <v>879</v>
      </c>
      <c r="G3" s="93" t="s">
        <v>789</v>
      </c>
      <c r="H3" s="92" t="s">
        <v>785</v>
      </c>
      <c r="I3" s="93" t="s">
        <v>786</v>
      </c>
      <c r="J3" s="92" t="s">
        <v>787</v>
      </c>
      <c r="K3" s="94" t="s">
        <v>879</v>
      </c>
    </row>
    <row r="4" spans="1:16" x14ac:dyDescent="0.2">
      <c r="A4" s="510" t="s">
        <v>791</v>
      </c>
      <c r="B4" s="95" t="s">
        <v>792</v>
      </c>
      <c r="C4" s="96">
        <v>19</v>
      </c>
      <c r="D4" s="96">
        <v>2</v>
      </c>
      <c r="E4" s="96">
        <v>1</v>
      </c>
      <c r="F4" s="96">
        <v>1</v>
      </c>
      <c r="G4" s="96">
        <v>0</v>
      </c>
      <c r="H4" s="96">
        <v>5</v>
      </c>
      <c r="I4" s="96">
        <v>0</v>
      </c>
      <c r="J4" s="96">
        <v>0</v>
      </c>
      <c r="K4" s="97">
        <v>0</v>
      </c>
      <c r="L4" s="98"/>
    </row>
    <row r="5" spans="1:16" x14ac:dyDescent="0.2">
      <c r="A5" s="510"/>
      <c r="B5" s="95" t="s">
        <v>880</v>
      </c>
      <c r="C5" s="96">
        <v>19</v>
      </c>
      <c r="D5" s="96">
        <v>0</v>
      </c>
      <c r="E5" s="96">
        <v>0</v>
      </c>
      <c r="F5" s="96">
        <v>0</v>
      </c>
      <c r="G5" s="96">
        <v>0</v>
      </c>
      <c r="H5" s="96">
        <v>5</v>
      </c>
      <c r="I5" s="96">
        <v>0</v>
      </c>
      <c r="J5" s="96">
        <v>0</v>
      </c>
      <c r="K5" s="97">
        <v>0</v>
      </c>
      <c r="L5" s="98"/>
    </row>
    <row r="6" spans="1:16" x14ac:dyDescent="0.2">
      <c r="A6" s="510"/>
      <c r="B6" s="95" t="s">
        <v>793</v>
      </c>
      <c r="C6" s="96">
        <v>15</v>
      </c>
      <c r="D6" s="96">
        <v>0</v>
      </c>
      <c r="E6" s="96">
        <v>0</v>
      </c>
      <c r="F6" s="96">
        <v>0</v>
      </c>
      <c r="G6" s="96">
        <v>0</v>
      </c>
      <c r="H6" s="96">
        <v>5</v>
      </c>
      <c r="I6" s="96">
        <v>0</v>
      </c>
      <c r="J6" s="96">
        <v>0</v>
      </c>
      <c r="K6" s="97">
        <v>0</v>
      </c>
      <c r="L6" s="98"/>
    </row>
    <row r="7" spans="1:16" x14ac:dyDescent="0.2">
      <c r="A7" s="510" t="s">
        <v>794</v>
      </c>
      <c r="B7" s="95" t="s">
        <v>792</v>
      </c>
      <c r="C7" s="99">
        <v>8</v>
      </c>
      <c r="D7" s="99">
        <v>6</v>
      </c>
      <c r="E7" s="99">
        <v>3</v>
      </c>
      <c r="F7" s="99">
        <v>2</v>
      </c>
      <c r="G7" s="99">
        <v>0</v>
      </c>
      <c r="H7" s="99">
        <v>0</v>
      </c>
      <c r="I7" s="99">
        <v>2</v>
      </c>
      <c r="J7" s="99">
        <v>2</v>
      </c>
      <c r="K7" s="100">
        <v>1</v>
      </c>
    </row>
    <row r="8" spans="1:16" x14ac:dyDescent="0.2">
      <c r="A8" s="510"/>
      <c r="B8" s="95" t="s">
        <v>880</v>
      </c>
      <c r="C8" s="99">
        <v>8</v>
      </c>
      <c r="D8" s="99">
        <v>6</v>
      </c>
      <c r="E8" s="99">
        <v>2</v>
      </c>
      <c r="F8" s="99">
        <v>2</v>
      </c>
      <c r="G8" s="99">
        <v>0</v>
      </c>
      <c r="H8" s="99">
        <v>0</v>
      </c>
      <c r="I8" s="99">
        <v>1</v>
      </c>
      <c r="J8" s="99">
        <v>2</v>
      </c>
      <c r="K8" s="100">
        <v>1</v>
      </c>
    </row>
    <row r="9" spans="1:16" x14ac:dyDescent="0.2">
      <c r="A9" s="510"/>
      <c r="B9" s="95" t="s">
        <v>793</v>
      </c>
      <c r="C9" s="99">
        <v>4</v>
      </c>
      <c r="D9" s="99">
        <v>5</v>
      </c>
      <c r="E9" s="99">
        <v>2</v>
      </c>
      <c r="F9" s="99">
        <v>2</v>
      </c>
      <c r="G9" s="99">
        <v>0</v>
      </c>
      <c r="H9" s="99">
        <v>0</v>
      </c>
      <c r="I9" s="99">
        <v>1</v>
      </c>
      <c r="J9" s="99">
        <v>2</v>
      </c>
      <c r="K9" s="100">
        <v>1</v>
      </c>
    </row>
    <row r="10" spans="1:16" x14ac:dyDescent="0.2">
      <c r="A10" s="510" t="s">
        <v>881</v>
      </c>
      <c r="B10" s="95" t="s">
        <v>792</v>
      </c>
      <c r="C10" s="99">
        <v>11</v>
      </c>
      <c r="D10" s="99">
        <v>1</v>
      </c>
      <c r="E10" s="99">
        <v>0</v>
      </c>
      <c r="F10" s="99">
        <v>0</v>
      </c>
      <c r="G10" s="96">
        <v>1</v>
      </c>
      <c r="H10" s="99">
        <v>0</v>
      </c>
      <c r="I10" s="99">
        <v>0</v>
      </c>
      <c r="J10" s="99">
        <v>0</v>
      </c>
      <c r="K10" s="101">
        <v>0</v>
      </c>
      <c r="M10" s="91" t="s">
        <v>882</v>
      </c>
    </row>
    <row r="11" spans="1:16" x14ac:dyDescent="0.2">
      <c r="A11" s="510"/>
      <c r="B11" s="95" t="s">
        <v>880</v>
      </c>
      <c r="C11" s="99">
        <v>11</v>
      </c>
      <c r="D11" s="99">
        <v>1</v>
      </c>
      <c r="E11" s="99">
        <v>0</v>
      </c>
      <c r="F11" s="99">
        <v>0</v>
      </c>
      <c r="G11" s="96">
        <v>1</v>
      </c>
      <c r="H11" s="99">
        <v>0</v>
      </c>
      <c r="I11" s="99">
        <v>0</v>
      </c>
      <c r="J11" s="99">
        <v>0</v>
      </c>
      <c r="K11" s="101">
        <v>0</v>
      </c>
    </row>
    <row r="12" spans="1:16" x14ac:dyDescent="0.2">
      <c r="A12" s="510"/>
      <c r="B12" s="95" t="s">
        <v>793</v>
      </c>
      <c r="C12" s="99">
        <v>1</v>
      </c>
      <c r="D12" s="99">
        <v>1</v>
      </c>
      <c r="E12" s="99">
        <v>0</v>
      </c>
      <c r="F12" s="99">
        <v>0</v>
      </c>
      <c r="G12" s="99">
        <v>1</v>
      </c>
      <c r="H12" s="99">
        <v>0</v>
      </c>
      <c r="I12" s="99">
        <v>0</v>
      </c>
      <c r="J12" s="99">
        <v>0</v>
      </c>
      <c r="K12" s="100">
        <v>0</v>
      </c>
    </row>
    <row r="13" spans="1:16" x14ac:dyDescent="0.2">
      <c r="A13" s="502" t="s">
        <v>252</v>
      </c>
      <c r="B13" s="102" t="s">
        <v>792</v>
      </c>
      <c r="C13" s="99">
        <v>3</v>
      </c>
      <c r="D13" s="99">
        <v>1</v>
      </c>
      <c r="E13" s="99">
        <v>2</v>
      </c>
      <c r="F13" s="99">
        <v>1</v>
      </c>
      <c r="G13" s="99">
        <v>0</v>
      </c>
      <c r="H13" s="99">
        <v>0</v>
      </c>
      <c r="I13" s="99">
        <v>0</v>
      </c>
      <c r="J13" s="99">
        <v>0</v>
      </c>
      <c r="K13" s="100">
        <v>0</v>
      </c>
      <c r="P13" s="91" t="s">
        <v>882</v>
      </c>
    </row>
    <row r="14" spans="1:16" ht="15" customHeight="1" x14ac:dyDescent="0.2">
      <c r="A14" s="502"/>
      <c r="B14" s="102" t="s">
        <v>880</v>
      </c>
      <c r="C14" s="99">
        <v>3</v>
      </c>
      <c r="D14" s="99">
        <v>1</v>
      </c>
      <c r="E14" s="99">
        <v>2</v>
      </c>
      <c r="F14" s="99">
        <v>1</v>
      </c>
      <c r="G14" s="99">
        <v>0</v>
      </c>
      <c r="H14" s="99">
        <v>0</v>
      </c>
      <c r="I14" s="99">
        <v>0</v>
      </c>
      <c r="J14" s="99">
        <v>0</v>
      </c>
      <c r="K14" s="100">
        <v>0</v>
      </c>
    </row>
    <row r="15" spans="1:16" ht="15.75" customHeight="1" x14ac:dyDescent="0.2">
      <c r="A15" s="502"/>
      <c r="B15" s="102" t="s">
        <v>793</v>
      </c>
      <c r="C15" s="99">
        <v>3</v>
      </c>
      <c r="D15" s="99">
        <v>0</v>
      </c>
      <c r="E15" s="99">
        <v>2</v>
      </c>
      <c r="F15" s="99">
        <v>0</v>
      </c>
      <c r="G15" s="99">
        <v>0</v>
      </c>
      <c r="H15" s="99">
        <v>0</v>
      </c>
      <c r="I15" s="99">
        <v>0</v>
      </c>
      <c r="J15" s="99">
        <v>0</v>
      </c>
      <c r="K15" s="100">
        <v>0</v>
      </c>
      <c r="N15" s="91" t="s">
        <v>882</v>
      </c>
    </row>
    <row r="16" spans="1:16" ht="15.75" customHeight="1" x14ac:dyDescent="0.2">
      <c r="A16" s="502" t="s">
        <v>253</v>
      </c>
      <c r="B16" s="102" t="s">
        <v>792</v>
      </c>
      <c r="C16" s="99">
        <v>0</v>
      </c>
      <c r="D16" s="99">
        <v>1</v>
      </c>
      <c r="E16" s="99">
        <v>2</v>
      </c>
      <c r="F16" s="99">
        <v>1</v>
      </c>
      <c r="G16" s="99">
        <v>0</v>
      </c>
      <c r="H16" s="99">
        <v>0</v>
      </c>
      <c r="I16" s="99">
        <v>0</v>
      </c>
      <c r="J16" s="99">
        <v>0</v>
      </c>
      <c r="K16" s="100">
        <v>0</v>
      </c>
    </row>
    <row r="17" spans="1:13" ht="15.75" customHeight="1" x14ac:dyDescent="0.2">
      <c r="A17" s="502"/>
      <c r="B17" s="102" t="s">
        <v>880</v>
      </c>
      <c r="C17" s="99">
        <v>0</v>
      </c>
      <c r="D17" s="99">
        <v>0</v>
      </c>
      <c r="E17" s="99">
        <v>2</v>
      </c>
      <c r="F17" s="99">
        <v>0</v>
      </c>
      <c r="G17" s="99">
        <v>0</v>
      </c>
      <c r="H17" s="99">
        <v>0</v>
      </c>
      <c r="I17" s="99">
        <v>0</v>
      </c>
      <c r="J17" s="99">
        <v>0</v>
      </c>
      <c r="K17" s="100">
        <v>0</v>
      </c>
    </row>
    <row r="18" spans="1:13" ht="15.75" customHeight="1" thickBot="1" x14ac:dyDescent="0.25">
      <c r="A18" s="503"/>
      <c r="B18" s="103" t="s">
        <v>793</v>
      </c>
      <c r="C18" s="104">
        <v>0</v>
      </c>
      <c r="D18" s="104">
        <v>0</v>
      </c>
      <c r="E18" s="104">
        <v>2</v>
      </c>
      <c r="F18" s="104" t="s">
        <v>883</v>
      </c>
      <c r="G18" s="104">
        <v>0</v>
      </c>
      <c r="H18" s="104">
        <v>0</v>
      </c>
      <c r="I18" s="104">
        <v>0</v>
      </c>
      <c r="J18" s="104">
        <v>0</v>
      </c>
      <c r="K18" s="105">
        <v>0</v>
      </c>
    </row>
    <row r="19" spans="1:13" ht="15" customHeight="1" x14ac:dyDescent="0.2">
      <c r="A19" s="106" t="s">
        <v>884</v>
      </c>
      <c r="B19" s="107"/>
      <c r="C19" s="107"/>
      <c r="D19" s="107"/>
      <c r="E19" s="108"/>
      <c r="F19" s="108"/>
      <c r="G19" s="108"/>
      <c r="H19" s="108"/>
      <c r="I19" s="108"/>
      <c r="J19" s="108"/>
      <c r="M19" s="91" t="s">
        <v>882</v>
      </c>
    </row>
    <row r="20" spans="1:13" ht="15" customHeight="1" x14ac:dyDescent="0.2">
      <c r="B20" s="108"/>
      <c r="C20" s="108"/>
      <c r="D20" s="108"/>
      <c r="E20" s="108"/>
      <c r="F20" s="108"/>
      <c r="G20" s="108"/>
      <c r="H20" s="108"/>
      <c r="I20" s="108"/>
      <c r="J20" s="108"/>
    </row>
    <row r="29" spans="1:13" x14ac:dyDescent="0.2">
      <c r="E29" s="91" t="s">
        <v>882</v>
      </c>
    </row>
  </sheetData>
  <customSheetViews>
    <customSheetView guid="{B9B27D37-53F8-4AD8-9221-6458C3026417}" scale="120" showPageBreaks="1" fitToPage="1" printArea="1" view="pageBreakPreview">
      <selection activeCell="G7" sqref="G7"/>
      <pageMargins left="0.7" right="0.7" top="0.75" bottom="0.75" header="0.3" footer="0.3"/>
      <pageSetup scale="85" orientation="portrait" r:id="rId1"/>
    </customSheetView>
    <customSheetView guid="{F9A1D58D-8337-4577-94AF-0D6370657575}" scale="120" showPageBreaks="1" fitToPage="1" printArea="1" view="pageBreakPreview">
      <selection activeCell="G7" sqref="G7"/>
      <pageMargins left="0.7" right="0.7" top="0.75" bottom="0.75" header="0.3" footer="0.3"/>
      <pageSetup scale="85" orientation="portrait" r:id="rId2"/>
    </customSheetView>
  </customSheetViews>
  <mergeCells count="9">
    <mergeCell ref="A16:A18"/>
    <mergeCell ref="A2:A3"/>
    <mergeCell ref="B2:B3"/>
    <mergeCell ref="C2:G2"/>
    <mergeCell ref="H2:K2"/>
    <mergeCell ref="A4:A6"/>
    <mergeCell ref="A7:A9"/>
    <mergeCell ref="A10:A12"/>
    <mergeCell ref="A13:A15"/>
  </mergeCells>
  <pageMargins left="0.7" right="0.7" top="0.75" bottom="0.75" header="0.3" footer="0.3"/>
  <pageSetup scale="85" orientation="portrait"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K19"/>
  <sheetViews>
    <sheetView view="pageBreakPreview" zoomScale="130" zoomScaleNormal="115" zoomScaleSheetLayoutView="130" workbookViewId="0">
      <selection activeCell="G7" sqref="G7"/>
    </sheetView>
  </sheetViews>
  <sheetFormatPr defaultRowHeight="12.75" x14ac:dyDescent="0.2"/>
  <cols>
    <col min="1" max="2" width="9" style="110" customWidth="1"/>
    <col min="3" max="5" width="10" style="110" customWidth="1"/>
    <col min="6" max="16384" width="9.140625" style="110"/>
  </cols>
  <sheetData>
    <row r="1" spans="1:11" s="109" customFormat="1" ht="15" customHeight="1" thickBot="1" x14ac:dyDescent="0.3">
      <c r="A1" s="511" t="s">
        <v>885</v>
      </c>
      <c r="B1" s="511"/>
      <c r="C1" s="511"/>
      <c r="D1" s="511"/>
      <c r="E1" s="511"/>
      <c r="F1" s="511"/>
      <c r="G1" s="511"/>
      <c r="H1" s="511"/>
      <c r="I1" s="511"/>
    </row>
    <row r="2" spans="1:11" ht="16.5" customHeight="1" x14ac:dyDescent="0.2">
      <c r="A2" s="512" t="s">
        <v>714</v>
      </c>
      <c r="B2" s="514" t="s">
        <v>886</v>
      </c>
      <c r="C2" s="515"/>
      <c r="D2" s="515"/>
      <c r="E2" s="516"/>
      <c r="F2" s="514" t="s">
        <v>795</v>
      </c>
      <c r="G2" s="515"/>
      <c r="H2" s="515"/>
      <c r="I2" s="516"/>
    </row>
    <row r="3" spans="1:11" ht="15.75" customHeight="1" x14ac:dyDescent="0.2">
      <c r="A3" s="513"/>
      <c r="B3" s="111" t="s">
        <v>710</v>
      </c>
      <c r="C3" s="112" t="s">
        <v>290</v>
      </c>
      <c r="D3" s="112" t="s">
        <v>291</v>
      </c>
      <c r="E3" s="113" t="s">
        <v>292</v>
      </c>
      <c r="F3" s="111" t="s">
        <v>710</v>
      </c>
      <c r="G3" s="112" t="s">
        <v>290</v>
      </c>
      <c r="H3" s="112" t="s">
        <v>291</v>
      </c>
      <c r="I3" s="113" t="s">
        <v>292</v>
      </c>
    </row>
    <row r="4" spans="1:11" s="118" customFormat="1" x14ac:dyDescent="0.2">
      <c r="A4" s="114" t="s">
        <v>69</v>
      </c>
      <c r="B4" s="115">
        <v>3244.07</v>
      </c>
      <c r="C4" s="115">
        <v>3729.64</v>
      </c>
      <c r="D4" s="115">
        <v>2966.02</v>
      </c>
      <c r="E4" s="115">
        <v>3662.7</v>
      </c>
      <c r="F4" s="115">
        <v>3107.24</v>
      </c>
      <c r="G4" s="115">
        <v>3205.12</v>
      </c>
      <c r="H4" s="115">
        <v>2794.83</v>
      </c>
      <c r="I4" s="115">
        <v>3036.86</v>
      </c>
      <c r="J4" s="116"/>
      <c r="K4" s="117"/>
    </row>
    <row r="5" spans="1:11" s="118" customFormat="1" x14ac:dyDescent="0.2">
      <c r="A5" s="114" t="s">
        <v>70</v>
      </c>
      <c r="B5" s="115">
        <v>3662.99</v>
      </c>
      <c r="C5" s="115">
        <f>LARGE(C6:C26,1)</f>
        <v>4171.5600000000004</v>
      </c>
      <c r="D5" s="115">
        <f>SMALL(D6:D30,1)</f>
        <v>3311.89</v>
      </c>
      <c r="E5" s="115">
        <f>E16</f>
        <v>3752.04</v>
      </c>
      <c r="F5" s="115">
        <v>3051.23</v>
      </c>
      <c r="G5" s="115">
        <f>LARGE(G6:G26,1)</f>
        <v>3589.79</v>
      </c>
      <c r="H5" s="115">
        <f>SMALL(H6:H30,1)</f>
        <v>2838.4</v>
      </c>
      <c r="I5" s="115">
        <f>I16</f>
        <v>3268.22</v>
      </c>
      <c r="J5" s="116"/>
      <c r="K5" s="117"/>
    </row>
    <row r="6" spans="1:11" x14ac:dyDescent="0.2">
      <c r="A6" s="119">
        <v>43191</v>
      </c>
      <c r="B6" s="120">
        <v>3662.99</v>
      </c>
      <c r="C6" s="120">
        <v>3887.58</v>
      </c>
      <c r="D6" s="120">
        <v>3613.55</v>
      </c>
      <c r="E6" s="120">
        <v>3789.4</v>
      </c>
      <c r="F6" s="120">
        <v>3051.23</v>
      </c>
      <c r="G6" s="120">
        <v>3110.84</v>
      </c>
      <c r="H6" s="120">
        <v>2881.06</v>
      </c>
      <c r="I6" s="120">
        <v>2898.52</v>
      </c>
    </row>
    <row r="7" spans="1:11" x14ac:dyDescent="0.2">
      <c r="A7" s="119">
        <v>43222</v>
      </c>
      <c r="B7" s="120">
        <v>3791.8</v>
      </c>
      <c r="C7" s="120">
        <v>3964.29</v>
      </c>
      <c r="D7" s="120">
        <v>3761.67</v>
      </c>
      <c r="E7" s="120">
        <v>3860.6</v>
      </c>
      <c r="F7" s="120">
        <v>2899.04</v>
      </c>
      <c r="G7" s="120">
        <v>3013.64</v>
      </c>
      <c r="H7" s="120">
        <v>2862.52</v>
      </c>
      <c r="I7" s="120">
        <v>2876.57</v>
      </c>
    </row>
    <row r="8" spans="1:11" x14ac:dyDescent="0.2">
      <c r="A8" s="119">
        <v>43254</v>
      </c>
      <c r="B8" s="120">
        <v>3859.43</v>
      </c>
      <c r="C8" s="120">
        <v>3954.26</v>
      </c>
      <c r="D8" s="120">
        <v>3795.96</v>
      </c>
      <c r="E8" s="120">
        <v>3933.05</v>
      </c>
      <c r="F8" s="120">
        <v>2883.01</v>
      </c>
      <c r="G8" s="120">
        <v>3001.49</v>
      </c>
      <c r="H8" s="120">
        <v>2838.4</v>
      </c>
      <c r="I8" s="120">
        <v>2981.37</v>
      </c>
    </row>
    <row r="9" spans="1:11" x14ac:dyDescent="0.2">
      <c r="A9" s="119">
        <v>43285</v>
      </c>
      <c r="B9" s="120">
        <v>3932.33</v>
      </c>
      <c r="C9" s="120">
        <v>3938.24</v>
      </c>
      <c r="D9" s="120">
        <v>3722.08</v>
      </c>
      <c r="E9" s="120">
        <v>3793.01</v>
      </c>
      <c r="F9" s="120">
        <v>2989.54</v>
      </c>
      <c r="G9" s="120">
        <v>3274.25</v>
      </c>
      <c r="H9" s="120">
        <v>2989.54</v>
      </c>
      <c r="I9" s="120">
        <v>3265.13</v>
      </c>
    </row>
    <row r="10" spans="1:11" x14ac:dyDescent="0.2">
      <c r="A10" s="119">
        <v>43317</v>
      </c>
      <c r="B10" s="120">
        <v>3792.28</v>
      </c>
      <c r="C10" s="120">
        <v>3892.41</v>
      </c>
      <c r="D10" s="120">
        <v>3698.71</v>
      </c>
      <c r="E10" s="120">
        <v>3859.13</v>
      </c>
      <c r="F10" s="120">
        <v>3268.66</v>
      </c>
      <c r="G10" s="120">
        <v>3297.36</v>
      </c>
      <c r="H10" s="120">
        <v>3035.96</v>
      </c>
      <c r="I10" s="120">
        <v>3117.78</v>
      </c>
    </row>
    <row r="11" spans="1:11" x14ac:dyDescent="0.2">
      <c r="A11" s="119">
        <v>43349</v>
      </c>
      <c r="B11" s="120">
        <v>3858.42</v>
      </c>
      <c r="C11" s="120">
        <v>4022.09</v>
      </c>
      <c r="D11" s="120">
        <v>3820.7</v>
      </c>
      <c r="E11" s="120">
        <v>4009.9</v>
      </c>
      <c r="F11" s="120">
        <v>3132.06</v>
      </c>
      <c r="G11" s="120">
        <v>3190.19</v>
      </c>
      <c r="H11" s="120">
        <v>3106.06</v>
      </c>
      <c r="I11" s="120">
        <v>3167.53</v>
      </c>
    </row>
    <row r="12" spans="1:11" x14ac:dyDescent="0.2">
      <c r="A12" s="119">
        <v>43379</v>
      </c>
      <c r="B12" s="120">
        <v>4009.24</v>
      </c>
      <c r="C12" s="120">
        <v>4171.5600000000004</v>
      </c>
      <c r="D12" s="120">
        <v>3907.93</v>
      </c>
      <c r="E12" s="120">
        <v>3912.77</v>
      </c>
      <c r="F12" s="120">
        <v>3199.07</v>
      </c>
      <c r="G12" s="120">
        <v>3368.51</v>
      </c>
      <c r="H12" s="120">
        <v>3168.79</v>
      </c>
      <c r="I12" s="120">
        <v>3349.02</v>
      </c>
    </row>
    <row r="13" spans="1:11" x14ac:dyDescent="0.2">
      <c r="A13" s="119">
        <v>43405</v>
      </c>
      <c r="B13" s="120">
        <v>3913.32</v>
      </c>
      <c r="C13" s="120">
        <v>3916.26</v>
      </c>
      <c r="D13" s="120">
        <v>3480.63</v>
      </c>
      <c r="E13" s="120">
        <v>3510.69</v>
      </c>
      <c r="F13" s="120">
        <v>3362.35</v>
      </c>
      <c r="G13" s="120">
        <v>3589.79</v>
      </c>
      <c r="H13" s="120">
        <v>3329.33</v>
      </c>
      <c r="I13" s="120">
        <v>3384.58</v>
      </c>
    </row>
    <row r="14" spans="1:11" x14ac:dyDescent="0.2">
      <c r="A14" s="119">
        <v>43436</v>
      </c>
      <c r="B14" s="120">
        <v>3512.27</v>
      </c>
      <c r="C14" s="120">
        <v>3663.99</v>
      </c>
      <c r="D14" s="120">
        <v>3311.89</v>
      </c>
      <c r="E14" s="120">
        <v>3334.68</v>
      </c>
      <c r="F14" s="120">
        <v>3381.89</v>
      </c>
      <c r="G14" s="120">
        <v>3426.74</v>
      </c>
      <c r="H14" s="120">
        <v>3212.68</v>
      </c>
      <c r="I14" s="120">
        <v>3321.74</v>
      </c>
    </row>
    <row r="15" spans="1:11" x14ac:dyDescent="0.2">
      <c r="A15" s="119">
        <v>43468</v>
      </c>
      <c r="B15" s="120">
        <v>3336.35</v>
      </c>
      <c r="C15" s="120">
        <v>3695.65</v>
      </c>
      <c r="D15" s="120">
        <v>3322.71</v>
      </c>
      <c r="E15" s="120">
        <v>3671.65</v>
      </c>
      <c r="F15" s="120">
        <v>3340.26</v>
      </c>
      <c r="G15" s="120">
        <v>3422.04</v>
      </c>
      <c r="H15" s="120">
        <v>3325.28</v>
      </c>
      <c r="I15" s="120">
        <v>3391.29</v>
      </c>
    </row>
    <row r="16" spans="1:11" x14ac:dyDescent="0.2">
      <c r="A16" s="119">
        <v>43500</v>
      </c>
      <c r="B16" s="120">
        <v>3670.83</v>
      </c>
      <c r="C16" s="120">
        <v>3781.35</v>
      </c>
      <c r="D16" s="120">
        <v>3582.27</v>
      </c>
      <c r="E16" s="120">
        <v>3752.04</v>
      </c>
      <c r="F16" s="120">
        <v>3395.11</v>
      </c>
      <c r="G16" s="120">
        <v>3398.98</v>
      </c>
      <c r="H16" s="120">
        <v>3264.85</v>
      </c>
      <c r="I16" s="120">
        <v>3268.22</v>
      </c>
    </row>
    <row r="17" spans="1:9" x14ac:dyDescent="0.2">
      <c r="A17" s="110" t="s">
        <v>540</v>
      </c>
      <c r="B17" s="118"/>
      <c r="C17" s="118"/>
      <c r="D17" s="121"/>
      <c r="E17" s="121"/>
      <c r="F17" s="122"/>
      <c r="G17" s="122"/>
      <c r="H17" s="122"/>
      <c r="I17" s="122"/>
    </row>
    <row r="18" spans="1:9" s="118" customFormat="1" x14ac:dyDescent="0.2">
      <c r="A18" s="123" t="s">
        <v>796</v>
      </c>
      <c r="B18" s="124"/>
      <c r="C18" s="124"/>
      <c r="D18" s="122"/>
      <c r="E18" s="122" t="s">
        <v>882</v>
      </c>
      <c r="F18" s="122"/>
      <c r="G18" s="122"/>
      <c r="H18" s="122"/>
      <c r="I18" s="122"/>
    </row>
    <row r="19" spans="1:9" s="118" customFormat="1" x14ac:dyDescent="0.2">
      <c r="A19" s="122"/>
      <c r="B19" s="125"/>
      <c r="C19" s="122"/>
      <c r="D19" s="122"/>
      <c r="E19" s="122"/>
      <c r="F19" s="122"/>
      <c r="G19" s="122"/>
      <c r="H19" s="122"/>
      <c r="I19" s="122"/>
    </row>
  </sheetData>
  <customSheetViews>
    <customSheetView guid="{B9B27D37-53F8-4AD8-9221-6458C3026417}" scale="130" showPageBreaks="1" fitToPage="1" printArea="1" view="pageBreakPreview">
      <selection activeCell="G7" sqref="G7"/>
      <pageMargins left="0.7" right="0.7" top="0.75" bottom="0.75" header="0.3" footer="0.3"/>
      <pageSetup orientation="portrait" r:id="rId1"/>
    </customSheetView>
    <customSheetView guid="{F9A1D58D-8337-4577-94AF-0D6370657575}" scale="130" showPageBreaks="1" fitToPage="1" printArea="1" view="pageBreakPreview">
      <selection activeCell="G7" sqref="G7"/>
      <pageMargins left="0.7" right="0.7" top="0.75" bottom="0.75" header="0.3" footer="0.3"/>
      <pageSetup orientation="portrait" r:id="rId2"/>
    </customSheetView>
  </customSheetViews>
  <mergeCells count="4">
    <mergeCell ref="A1:I1"/>
    <mergeCell ref="A2:A3"/>
    <mergeCell ref="B2:E2"/>
    <mergeCell ref="F2:I2"/>
  </mergeCells>
  <pageMargins left="0.7" right="0.7" top="0.75" bottom="0.75" header="0.3" footer="0.3"/>
  <pageSetup orientation="portrait"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R58"/>
  <sheetViews>
    <sheetView view="pageBreakPreview" topLeftCell="F10" zoomScale="130" zoomScaleNormal="115" zoomScaleSheetLayoutView="130" workbookViewId="0">
      <selection activeCell="G7" sqref="G7"/>
    </sheetView>
  </sheetViews>
  <sheetFormatPr defaultRowHeight="12.75" x14ac:dyDescent="0.2"/>
  <cols>
    <col min="1" max="1" width="9.140625" style="110" customWidth="1"/>
    <col min="2" max="2" width="7.140625" style="110" customWidth="1"/>
    <col min="3" max="3" width="11.28515625" style="110" bestFit="1" customWidth="1"/>
    <col min="4" max="5" width="10" style="110" customWidth="1"/>
    <col min="6" max="6" width="9.5703125" style="110" customWidth="1"/>
    <col min="7" max="7" width="11.140625" style="110" customWidth="1"/>
    <col min="8" max="8" width="10.7109375" style="110" customWidth="1"/>
    <col min="9" max="9" width="9.5703125" style="110" customWidth="1"/>
    <col min="10" max="10" width="12.5703125" style="110" customWidth="1"/>
    <col min="11" max="11" width="7.5703125" style="110" customWidth="1"/>
    <col min="12" max="12" width="11.140625" style="110" customWidth="1"/>
    <col min="13" max="13" width="10.140625" style="110" customWidth="1"/>
    <col min="14" max="14" width="10.42578125" style="110" customWidth="1"/>
    <col min="15" max="15" width="10.42578125" style="136" customWidth="1"/>
    <col min="16" max="16" width="12.42578125" style="110" bestFit="1" customWidth="1"/>
    <col min="17" max="17" width="8.5703125" style="110" customWidth="1"/>
    <col min="18" max="18" width="9.140625" style="110"/>
    <col min="19" max="19" width="8.140625" style="110" bestFit="1" customWidth="1"/>
    <col min="20" max="16384" width="9.140625" style="110"/>
  </cols>
  <sheetData>
    <row r="1" spans="1:18" s="109" customFormat="1" ht="15" x14ac:dyDescent="0.25">
      <c r="A1" s="517" t="s">
        <v>887</v>
      </c>
      <c r="B1" s="517"/>
      <c r="C1" s="517"/>
      <c r="D1" s="517"/>
      <c r="E1" s="517"/>
      <c r="F1" s="517"/>
      <c r="G1" s="517"/>
      <c r="H1" s="517"/>
      <c r="I1" s="517"/>
      <c r="J1" s="517"/>
      <c r="K1" s="517"/>
      <c r="L1" s="517"/>
      <c r="M1" s="517"/>
      <c r="N1" s="517"/>
      <c r="O1" s="517"/>
      <c r="P1" s="517"/>
      <c r="Q1" s="517"/>
    </row>
    <row r="2" spans="1:18" s="109" customFormat="1" ht="15" x14ac:dyDescent="0.25">
      <c r="A2" s="518" t="s">
        <v>888</v>
      </c>
      <c r="B2" s="518"/>
      <c r="C2" s="518"/>
      <c r="D2" s="518"/>
      <c r="E2" s="518"/>
      <c r="F2" s="518"/>
      <c r="G2" s="518"/>
      <c r="H2" s="518"/>
      <c r="I2" s="518"/>
      <c r="J2" s="518"/>
      <c r="K2" s="518"/>
      <c r="L2" s="518"/>
      <c r="M2" s="518"/>
      <c r="N2" s="518"/>
      <c r="O2" s="518"/>
      <c r="P2" s="518"/>
      <c r="Q2" s="518"/>
      <c r="R2" s="518"/>
    </row>
    <row r="3" spans="1:18" s="126" customFormat="1" ht="27.75" customHeight="1" x14ac:dyDescent="0.2">
      <c r="A3" s="519" t="s">
        <v>714</v>
      </c>
      <c r="B3" s="519" t="s">
        <v>801</v>
      </c>
      <c r="C3" s="521" t="s">
        <v>785</v>
      </c>
      <c r="D3" s="522"/>
      <c r="E3" s="523"/>
      <c r="F3" s="524" t="s">
        <v>797</v>
      </c>
      <c r="G3" s="524"/>
      <c r="H3" s="524"/>
      <c r="I3" s="524" t="s">
        <v>790</v>
      </c>
      <c r="J3" s="524"/>
      <c r="K3" s="524"/>
      <c r="L3" s="524" t="s">
        <v>788</v>
      </c>
      <c r="M3" s="524"/>
      <c r="N3" s="524"/>
      <c r="O3" s="525" t="s">
        <v>150</v>
      </c>
      <c r="P3" s="526"/>
      <c r="Q3" s="524" t="s">
        <v>805</v>
      </c>
      <c r="R3" s="524"/>
    </row>
    <row r="4" spans="1:18" s="126" customFormat="1" ht="38.25" customHeight="1" x14ac:dyDescent="0.2">
      <c r="A4" s="520"/>
      <c r="B4" s="520"/>
      <c r="C4" s="127" t="s">
        <v>798</v>
      </c>
      <c r="D4" s="127" t="s">
        <v>803</v>
      </c>
      <c r="E4" s="128" t="s">
        <v>889</v>
      </c>
      <c r="F4" s="127" t="s">
        <v>798</v>
      </c>
      <c r="G4" s="127" t="s">
        <v>803</v>
      </c>
      <c r="H4" s="127" t="s">
        <v>889</v>
      </c>
      <c r="I4" s="127" t="s">
        <v>798</v>
      </c>
      <c r="J4" s="127" t="s">
        <v>803</v>
      </c>
      <c r="K4" s="127" t="s">
        <v>889</v>
      </c>
      <c r="L4" s="127" t="s">
        <v>890</v>
      </c>
      <c r="M4" s="127" t="s">
        <v>803</v>
      </c>
      <c r="N4" s="127" t="s">
        <v>889</v>
      </c>
      <c r="O4" s="127" t="s">
        <v>803</v>
      </c>
      <c r="P4" s="127" t="s">
        <v>889</v>
      </c>
      <c r="Q4" s="128" t="s">
        <v>891</v>
      </c>
      <c r="R4" s="129" t="s">
        <v>892</v>
      </c>
    </row>
    <row r="5" spans="1:18" s="108" customFormat="1" x14ac:dyDescent="0.2">
      <c r="A5" s="130" t="s">
        <v>69</v>
      </c>
      <c r="B5" s="131">
        <v>254</v>
      </c>
      <c r="C5" s="131">
        <v>11648.450269999999</v>
      </c>
      <c r="D5" s="131">
        <v>2317338</v>
      </c>
      <c r="E5" s="131">
        <v>114082</v>
      </c>
      <c r="F5" s="131">
        <v>95153</v>
      </c>
      <c r="G5" s="131">
        <v>68133042</v>
      </c>
      <c r="H5" s="131">
        <v>2112532</v>
      </c>
      <c r="I5" s="131">
        <v>164</v>
      </c>
      <c r="J5" s="131">
        <v>27840060</v>
      </c>
      <c r="K5" s="131">
        <v>1363703</v>
      </c>
      <c r="L5" s="131">
        <v>574029</v>
      </c>
      <c r="M5" s="131">
        <v>107634572</v>
      </c>
      <c r="N5" s="131">
        <v>1792678</v>
      </c>
      <c r="O5" s="131">
        <v>205925012</v>
      </c>
      <c r="P5" s="131">
        <v>5382996</v>
      </c>
      <c r="Q5" s="131">
        <v>300172</v>
      </c>
      <c r="R5" s="131">
        <v>11204.52972755</v>
      </c>
    </row>
    <row r="6" spans="1:18" s="108" customFormat="1" x14ac:dyDescent="0.2">
      <c r="A6" s="130" t="s">
        <v>70</v>
      </c>
      <c r="B6" s="131">
        <f>SUM(B7:B17)</f>
        <v>236</v>
      </c>
      <c r="C6" s="131">
        <f t="shared" ref="C6:O6" si="0">SUM(C7:C17)</f>
        <v>8725.5654799999993</v>
      </c>
      <c r="D6" s="131">
        <f t="shared" si="0"/>
        <v>1647637</v>
      </c>
      <c r="E6" s="131">
        <f t="shared" si="0"/>
        <v>91526.039376600005</v>
      </c>
      <c r="F6" s="131">
        <f t="shared" si="0"/>
        <v>102874.4617</v>
      </c>
      <c r="G6" s="131">
        <f t="shared" si="0"/>
        <v>72609744</v>
      </c>
      <c r="H6" s="131">
        <f>SUM(H7:H17)</f>
        <v>2328428.4346144996</v>
      </c>
      <c r="I6" s="131">
        <f t="shared" si="0"/>
        <v>155.57612631100002</v>
      </c>
      <c r="J6" s="131">
        <f t="shared" si="0"/>
        <v>26377462</v>
      </c>
      <c r="K6" s="131">
        <f t="shared" si="0"/>
        <v>1361963.6646822002</v>
      </c>
      <c r="L6" s="131">
        <f t="shared" si="0"/>
        <v>603172.72088788811</v>
      </c>
      <c r="M6" s="131">
        <f t="shared" si="0"/>
        <v>123064563</v>
      </c>
      <c r="N6" s="131">
        <f t="shared" si="0"/>
        <v>2232042.1624379996</v>
      </c>
      <c r="O6" s="131">
        <f t="shared" si="0"/>
        <v>223699406</v>
      </c>
      <c r="P6" s="131">
        <f>SUM(P7:P17)</f>
        <v>6013960.3011112986</v>
      </c>
      <c r="Q6" s="131">
        <f>Q17</f>
        <v>257544</v>
      </c>
      <c r="R6" s="131">
        <f>R17</f>
        <v>14376.10990675</v>
      </c>
    </row>
    <row r="7" spans="1:18" s="118" customFormat="1" x14ac:dyDescent="0.2">
      <c r="A7" s="132">
        <v>43191</v>
      </c>
      <c r="B7" s="133">
        <v>21</v>
      </c>
      <c r="C7" s="133">
        <v>681.38720000000001</v>
      </c>
      <c r="D7" s="133">
        <v>135772</v>
      </c>
      <c r="E7" s="134">
        <v>7382.0749536000003</v>
      </c>
      <c r="F7" s="133">
        <v>10995.0242</v>
      </c>
      <c r="G7" s="133">
        <v>7867869</v>
      </c>
      <c r="H7" s="133">
        <v>253029.93565525001</v>
      </c>
      <c r="I7" s="133">
        <v>15.435435751</v>
      </c>
      <c r="J7" s="133">
        <v>2673160</v>
      </c>
      <c r="K7" s="133">
        <v>125840.43495369999</v>
      </c>
      <c r="L7" s="133">
        <v>50265.019828434</v>
      </c>
      <c r="M7" s="133">
        <v>9663715</v>
      </c>
      <c r="N7" s="133">
        <v>175610.706412</v>
      </c>
      <c r="O7" s="133">
        <f t="shared" ref="O7:P14" si="1">M7+J7+G7+D7</f>
        <v>20340516</v>
      </c>
      <c r="P7" s="133">
        <f t="shared" si="1"/>
        <v>561863.15197454998</v>
      </c>
      <c r="Q7" s="133">
        <v>272419</v>
      </c>
      <c r="R7" s="133">
        <v>10252.262687599999</v>
      </c>
    </row>
    <row r="8" spans="1:18" s="118" customFormat="1" x14ac:dyDescent="0.2">
      <c r="A8" s="132">
        <v>43222</v>
      </c>
      <c r="B8" s="133">
        <v>23</v>
      </c>
      <c r="C8" s="133">
        <v>856.49570999999992</v>
      </c>
      <c r="D8" s="133">
        <v>155130</v>
      </c>
      <c r="E8" s="134">
        <v>8621.0231897999984</v>
      </c>
      <c r="F8" s="133">
        <v>8950.3651000000027</v>
      </c>
      <c r="G8" s="133">
        <v>6394869</v>
      </c>
      <c r="H8" s="133">
        <v>214667.64891300007</v>
      </c>
      <c r="I8" s="133">
        <v>12.383254719999989</v>
      </c>
      <c r="J8" s="133">
        <v>2253461</v>
      </c>
      <c r="K8" s="133">
        <v>122585.98756219998</v>
      </c>
      <c r="L8" s="133">
        <v>46250.697805696997</v>
      </c>
      <c r="M8" s="133">
        <v>8895210</v>
      </c>
      <c r="N8" s="133">
        <v>177009.70433549999</v>
      </c>
      <c r="O8" s="133">
        <f t="shared" si="1"/>
        <v>17698670</v>
      </c>
      <c r="P8" s="133">
        <f t="shared" si="1"/>
        <v>522884.36400050001</v>
      </c>
      <c r="Q8" s="133">
        <v>247940</v>
      </c>
      <c r="R8" s="133">
        <v>9719.0455908500007</v>
      </c>
    </row>
    <row r="9" spans="1:18" s="118" customFormat="1" x14ac:dyDescent="0.2">
      <c r="A9" s="132">
        <v>43254</v>
      </c>
      <c r="B9" s="133">
        <v>21</v>
      </c>
      <c r="C9" s="133">
        <v>886.41457000000003</v>
      </c>
      <c r="D9" s="133">
        <v>175959</v>
      </c>
      <c r="E9" s="134">
        <v>9715.8885376000017</v>
      </c>
      <c r="F9" s="133">
        <v>8167.2401499999996</v>
      </c>
      <c r="G9" s="133">
        <v>6121070</v>
      </c>
      <c r="H9" s="133">
        <v>212443.22107649996</v>
      </c>
      <c r="I9" s="133">
        <v>14.222909230000006</v>
      </c>
      <c r="J9" s="133">
        <v>2357607</v>
      </c>
      <c r="K9" s="133">
        <v>110300.49011349997</v>
      </c>
      <c r="L9" s="133">
        <v>44502.367630277498</v>
      </c>
      <c r="M9" s="133">
        <v>8569510</v>
      </c>
      <c r="N9" s="133">
        <v>166191.54131099998</v>
      </c>
      <c r="O9" s="133">
        <f t="shared" si="1"/>
        <v>17224146</v>
      </c>
      <c r="P9" s="133">
        <f t="shared" si="1"/>
        <v>498651.14103859989</v>
      </c>
      <c r="Q9" s="133">
        <v>298803</v>
      </c>
      <c r="R9" s="133">
        <v>11252.63975545</v>
      </c>
    </row>
    <row r="10" spans="1:18" s="118" customFormat="1" x14ac:dyDescent="0.2">
      <c r="A10" s="132">
        <v>43285</v>
      </c>
      <c r="B10" s="133">
        <v>22</v>
      </c>
      <c r="C10" s="133">
        <v>771.97490999999968</v>
      </c>
      <c r="D10" s="133">
        <v>160034</v>
      </c>
      <c r="E10" s="134">
        <v>9145.5647799999988</v>
      </c>
      <c r="F10" s="133">
        <v>10913.253750000005</v>
      </c>
      <c r="G10" s="133">
        <v>7272721</v>
      </c>
      <c r="H10" s="133">
        <v>238764.25842024985</v>
      </c>
      <c r="I10" s="133">
        <v>11.516052817000004</v>
      </c>
      <c r="J10" s="133">
        <v>1962672</v>
      </c>
      <c r="K10" s="133">
        <v>99642.057857999956</v>
      </c>
      <c r="L10" s="133">
        <v>44769.445396769523</v>
      </c>
      <c r="M10" s="133">
        <v>8301841</v>
      </c>
      <c r="N10" s="133">
        <v>171692.95187299995</v>
      </c>
      <c r="O10" s="133">
        <f t="shared" si="1"/>
        <v>17697268</v>
      </c>
      <c r="P10" s="133">
        <f t="shared" si="1"/>
        <v>519244.83293124981</v>
      </c>
      <c r="Q10" s="133">
        <v>300324</v>
      </c>
      <c r="R10" s="133">
        <v>11624.4839803</v>
      </c>
    </row>
    <row r="11" spans="1:18" s="118" customFormat="1" x14ac:dyDescent="0.2">
      <c r="A11" s="132">
        <v>43317</v>
      </c>
      <c r="B11" s="133">
        <v>22</v>
      </c>
      <c r="C11" s="133">
        <v>680.41464999999982</v>
      </c>
      <c r="D11" s="133">
        <v>130026</v>
      </c>
      <c r="E11" s="134">
        <v>7635.2630787999997</v>
      </c>
      <c r="F11" s="133">
        <v>10505.019249999996</v>
      </c>
      <c r="G11" s="133">
        <v>7287437</v>
      </c>
      <c r="H11" s="133">
        <v>229026.26477574999</v>
      </c>
      <c r="I11" s="133">
        <v>16.539243868000003</v>
      </c>
      <c r="J11" s="133">
        <v>2450524</v>
      </c>
      <c r="K11" s="133">
        <v>115911.34298379997</v>
      </c>
      <c r="L11" s="133">
        <v>41038.600867911002</v>
      </c>
      <c r="M11" s="133">
        <v>8179663</v>
      </c>
      <c r="N11" s="133">
        <v>158522.4713725</v>
      </c>
      <c r="O11" s="133">
        <f t="shared" si="1"/>
        <v>18047650</v>
      </c>
      <c r="P11" s="133">
        <f t="shared" si="1"/>
        <v>511095.34221084998</v>
      </c>
      <c r="Q11" s="133">
        <v>337203</v>
      </c>
      <c r="R11" s="133">
        <v>12937.8600744</v>
      </c>
    </row>
    <row r="12" spans="1:18" s="118" customFormat="1" x14ac:dyDescent="0.2">
      <c r="A12" s="132">
        <v>43349</v>
      </c>
      <c r="B12" s="133">
        <v>20</v>
      </c>
      <c r="C12" s="133">
        <v>644.88196999999991</v>
      </c>
      <c r="D12" s="133">
        <v>126410</v>
      </c>
      <c r="E12" s="134">
        <v>7423.7061147999984</v>
      </c>
      <c r="F12" s="133">
        <v>10275.787449999998</v>
      </c>
      <c r="G12" s="133">
        <v>7038163</v>
      </c>
      <c r="H12" s="133">
        <v>225426.85332999993</v>
      </c>
      <c r="I12" s="133">
        <v>15.594591025000003</v>
      </c>
      <c r="J12" s="133">
        <v>2505658</v>
      </c>
      <c r="K12" s="133">
        <v>134224.12622810001</v>
      </c>
      <c r="L12" s="133">
        <v>43708.060661051997</v>
      </c>
      <c r="M12" s="133">
        <v>8617984</v>
      </c>
      <c r="N12" s="133">
        <v>180485.20806599996</v>
      </c>
      <c r="O12" s="133">
        <f t="shared" si="1"/>
        <v>18288215</v>
      </c>
      <c r="P12" s="133">
        <f t="shared" si="1"/>
        <v>547559.89373889985</v>
      </c>
      <c r="Q12" s="133">
        <v>293647</v>
      </c>
      <c r="R12" s="133">
        <v>12632.030690400001</v>
      </c>
    </row>
    <row r="13" spans="1:18" s="118" customFormat="1" x14ac:dyDescent="0.2">
      <c r="A13" s="132">
        <v>43380</v>
      </c>
      <c r="B13" s="133">
        <v>22</v>
      </c>
      <c r="C13" s="133">
        <v>713.76738000000012</v>
      </c>
      <c r="D13" s="133">
        <v>135899</v>
      </c>
      <c r="E13" s="133">
        <v>7922.7077328000023</v>
      </c>
      <c r="F13" s="133">
        <v>10507.373749999993</v>
      </c>
      <c r="G13" s="133">
        <v>7274845</v>
      </c>
      <c r="H13" s="133">
        <v>242104.49399274995</v>
      </c>
      <c r="I13" s="133">
        <v>15.778854025000003</v>
      </c>
      <c r="J13" s="133">
        <v>2716283</v>
      </c>
      <c r="K13" s="133">
        <v>137468.71074590003</v>
      </c>
      <c r="L13" s="133">
        <v>47470.920197196006</v>
      </c>
      <c r="M13" s="133">
        <v>10202221</v>
      </c>
      <c r="N13" s="133">
        <v>222820.31827699993</v>
      </c>
      <c r="O13" s="133">
        <f t="shared" si="1"/>
        <v>20329248</v>
      </c>
      <c r="P13" s="133">
        <f t="shared" si="1"/>
        <v>610316.23074844992</v>
      </c>
      <c r="Q13" s="133">
        <v>326788</v>
      </c>
      <c r="R13" s="133">
        <v>14618.3493985</v>
      </c>
    </row>
    <row r="14" spans="1:18" s="118" customFormat="1" x14ac:dyDescent="0.2">
      <c r="A14" s="132">
        <v>43405</v>
      </c>
      <c r="B14" s="133">
        <v>22</v>
      </c>
      <c r="C14" s="133">
        <v>880.84587999999985</v>
      </c>
      <c r="D14" s="133">
        <v>146737</v>
      </c>
      <c r="E14" s="133">
        <v>8040.6244112000004</v>
      </c>
      <c r="F14" s="133">
        <v>7868.6852499999995</v>
      </c>
      <c r="G14" s="133">
        <v>5781903</v>
      </c>
      <c r="H14" s="133">
        <v>176376.59872675</v>
      </c>
      <c r="I14" s="133">
        <v>15.451757733000004</v>
      </c>
      <c r="J14" s="133">
        <v>2404522</v>
      </c>
      <c r="K14" s="133">
        <v>122191.62583010001</v>
      </c>
      <c r="L14" s="133">
        <v>58249.487884180991</v>
      </c>
      <c r="M14" s="133">
        <v>13204283</v>
      </c>
      <c r="N14" s="133">
        <v>261805.16760849999</v>
      </c>
      <c r="O14" s="133">
        <f t="shared" si="1"/>
        <v>21537445</v>
      </c>
      <c r="P14" s="133">
        <f t="shared" si="1"/>
        <v>568414.01657655009</v>
      </c>
      <c r="Q14" s="133">
        <v>328316</v>
      </c>
      <c r="R14" s="133">
        <v>12267.826862149999</v>
      </c>
    </row>
    <row r="15" spans="1:18" s="118" customFormat="1" x14ac:dyDescent="0.2">
      <c r="A15" s="132">
        <v>43436</v>
      </c>
      <c r="B15" s="133">
        <v>20</v>
      </c>
      <c r="C15" s="133">
        <v>973.94295999999986</v>
      </c>
      <c r="D15" s="133">
        <v>173622</v>
      </c>
      <c r="E15" s="133">
        <v>9155.3991984000022</v>
      </c>
      <c r="F15" s="133">
        <v>7145.4594499999994</v>
      </c>
      <c r="G15" s="133">
        <v>5228208</v>
      </c>
      <c r="H15" s="133">
        <v>155530.51851125003</v>
      </c>
      <c r="I15" s="133">
        <v>12.463301932999999</v>
      </c>
      <c r="J15" s="133">
        <v>2255493</v>
      </c>
      <c r="K15" s="133">
        <v>117881.0374382</v>
      </c>
      <c r="L15" s="133">
        <v>75804.095232856518</v>
      </c>
      <c r="M15" s="133">
        <v>15931498</v>
      </c>
      <c r="N15" s="133">
        <v>242020.18974650005</v>
      </c>
      <c r="O15" s="133">
        <v>23588821</v>
      </c>
      <c r="P15" s="133">
        <v>524587.14489435009</v>
      </c>
      <c r="Q15" s="133">
        <v>325197</v>
      </c>
      <c r="R15" s="133">
        <v>13161.636522500001</v>
      </c>
    </row>
    <row r="16" spans="1:18" s="118" customFormat="1" x14ac:dyDescent="0.2">
      <c r="A16" s="132">
        <v>43468</v>
      </c>
      <c r="B16" s="133">
        <v>23</v>
      </c>
      <c r="C16" s="133">
        <v>842.58994000000007</v>
      </c>
      <c r="D16" s="133">
        <v>157073</v>
      </c>
      <c r="E16" s="133">
        <v>8419.2546623999988</v>
      </c>
      <c r="F16" s="133">
        <v>9397.7367000000049</v>
      </c>
      <c r="G16" s="133">
        <v>6500061</v>
      </c>
      <c r="H16" s="133">
        <v>195705.29755699984</v>
      </c>
      <c r="I16" s="133">
        <v>13.373667385000001</v>
      </c>
      <c r="J16" s="133">
        <v>2526183</v>
      </c>
      <c r="K16" s="133">
        <v>144350.72707420005</v>
      </c>
      <c r="L16" s="133">
        <v>81981.645117792534</v>
      </c>
      <c r="M16" s="133">
        <v>17407316</v>
      </c>
      <c r="N16" s="133">
        <v>260414.52844949986</v>
      </c>
      <c r="O16" s="133">
        <v>26590633</v>
      </c>
      <c r="P16" s="133">
        <v>608889.80774309975</v>
      </c>
      <c r="Q16" s="133">
        <v>261376</v>
      </c>
      <c r="R16" s="133">
        <v>14907.6099636</v>
      </c>
    </row>
    <row r="17" spans="1:18" s="118" customFormat="1" x14ac:dyDescent="0.2">
      <c r="A17" s="132">
        <v>43500</v>
      </c>
      <c r="B17" s="133">
        <v>20</v>
      </c>
      <c r="C17" s="133">
        <v>792.85031000000004</v>
      </c>
      <c r="D17" s="133">
        <v>150975</v>
      </c>
      <c r="E17" s="133">
        <v>8064.5327172000007</v>
      </c>
      <c r="F17" s="133">
        <v>8148.5166499999996</v>
      </c>
      <c r="G17" s="133">
        <v>5842598</v>
      </c>
      <c r="H17" s="133">
        <v>185353.34365600004</v>
      </c>
      <c r="I17" s="133">
        <v>12.817057824000004</v>
      </c>
      <c r="J17" s="133">
        <v>2271899</v>
      </c>
      <c r="K17" s="133">
        <v>131567.12389449996</v>
      </c>
      <c r="L17" s="133">
        <v>69132.380265721004</v>
      </c>
      <c r="M17" s="133">
        <v>14091322</v>
      </c>
      <c r="N17" s="133">
        <v>215469.37498650001</v>
      </c>
      <c r="O17" s="133">
        <v>22356794</v>
      </c>
      <c r="P17" s="133">
        <v>540454.37525420007</v>
      </c>
      <c r="Q17" s="133">
        <v>257544</v>
      </c>
      <c r="R17" s="133">
        <v>14376.10990675</v>
      </c>
    </row>
    <row r="18" spans="1:18" x14ac:dyDescent="0.2">
      <c r="A18" s="527" t="s">
        <v>841</v>
      </c>
      <c r="B18" s="527"/>
      <c r="C18" s="527"/>
      <c r="D18" s="527"/>
      <c r="E18" s="527"/>
      <c r="F18" s="527"/>
      <c r="G18" s="527"/>
      <c r="H18" s="527"/>
      <c r="I18" s="527"/>
      <c r="J18" s="527"/>
      <c r="K18" s="527"/>
      <c r="L18" s="527"/>
      <c r="M18" s="527"/>
      <c r="N18" s="527"/>
      <c r="O18" s="527"/>
      <c r="P18" s="527"/>
      <c r="Q18" s="527"/>
      <c r="R18" s="527"/>
    </row>
    <row r="19" spans="1:18" ht="24" customHeight="1" x14ac:dyDescent="0.2">
      <c r="A19" s="528" t="s">
        <v>893</v>
      </c>
      <c r="B19" s="528" t="s">
        <v>801</v>
      </c>
      <c r="C19" s="529" t="s">
        <v>797</v>
      </c>
      <c r="D19" s="529"/>
      <c r="E19" s="529"/>
      <c r="F19" s="529"/>
      <c r="G19" s="529" t="s">
        <v>790</v>
      </c>
      <c r="H19" s="529"/>
      <c r="I19" s="529"/>
      <c r="J19" s="529"/>
      <c r="K19" s="529" t="s">
        <v>788</v>
      </c>
      <c r="L19" s="529"/>
      <c r="M19" s="529"/>
      <c r="N19" s="529"/>
      <c r="O19" s="529" t="s">
        <v>150</v>
      </c>
      <c r="P19" s="529"/>
      <c r="Q19" s="529" t="s">
        <v>805</v>
      </c>
      <c r="R19" s="529"/>
    </row>
    <row r="20" spans="1:18" x14ac:dyDescent="0.2">
      <c r="A20" s="528"/>
      <c r="B20" s="528"/>
      <c r="C20" s="532" t="s">
        <v>894</v>
      </c>
      <c r="D20" s="532"/>
      <c r="E20" s="532" t="s">
        <v>895</v>
      </c>
      <c r="F20" s="532"/>
      <c r="G20" s="532" t="s">
        <v>894</v>
      </c>
      <c r="H20" s="532"/>
      <c r="I20" s="532" t="s">
        <v>895</v>
      </c>
      <c r="J20" s="532"/>
      <c r="K20" s="532" t="s">
        <v>894</v>
      </c>
      <c r="L20" s="532"/>
      <c r="M20" s="532" t="s">
        <v>895</v>
      </c>
      <c r="N20" s="532"/>
      <c r="O20" s="530" t="s">
        <v>891</v>
      </c>
      <c r="P20" s="519" t="s">
        <v>896</v>
      </c>
      <c r="Q20" s="530" t="s">
        <v>891</v>
      </c>
      <c r="R20" s="530" t="s">
        <v>897</v>
      </c>
    </row>
    <row r="21" spans="1:18" ht="38.25" x14ac:dyDescent="0.2">
      <c r="A21" s="528"/>
      <c r="B21" s="528"/>
      <c r="C21" s="135" t="s">
        <v>891</v>
      </c>
      <c r="D21" s="128" t="s">
        <v>889</v>
      </c>
      <c r="E21" s="135" t="s">
        <v>891</v>
      </c>
      <c r="F21" s="128" t="s">
        <v>889</v>
      </c>
      <c r="G21" s="135" t="s">
        <v>891</v>
      </c>
      <c r="H21" s="128" t="s">
        <v>889</v>
      </c>
      <c r="I21" s="135" t="s">
        <v>891</v>
      </c>
      <c r="J21" s="128" t="s">
        <v>889</v>
      </c>
      <c r="K21" s="135" t="s">
        <v>891</v>
      </c>
      <c r="L21" s="128" t="s">
        <v>889</v>
      </c>
      <c r="M21" s="135" t="s">
        <v>891</v>
      </c>
      <c r="N21" s="128" t="s">
        <v>889</v>
      </c>
      <c r="O21" s="531"/>
      <c r="P21" s="520"/>
      <c r="Q21" s="531"/>
      <c r="R21" s="531"/>
    </row>
    <row r="22" spans="1:18" x14ac:dyDescent="0.2">
      <c r="A22" s="130" t="s">
        <v>69</v>
      </c>
      <c r="B22" s="131">
        <v>116</v>
      </c>
      <c r="C22" s="131" t="s">
        <v>898</v>
      </c>
      <c r="D22" s="131" t="s">
        <v>898</v>
      </c>
      <c r="E22" s="131" t="s">
        <v>898</v>
      </c>
      <c r="F22" s="131" t="s">
        <v>898</v>
      </c>
      <c r="G22" s="131">
        <v>23207</v>
      </c>
      <c r="H22" s="131">
        <v>6955</v>
      </c>
      <c r="I22" s="131">
        <v>11545</v>
      </c>
      <c r="J22" s="131">
        <v>3399</v>
      </c>
      <c r="K22" s="131" t="s">
        <v>898</v>
      </c>
      <c r="L22" s="131" t="s">
        <v>898</v>
      </c>
      <c r="M22" s="131" t="s">
        <v>898</v>
      </c>
      <c r="N22" s="131" t="s">
        <v>898</v>
      </c>
      <c r="O22" s="131">
        <f>G22+I22</f>
        <v>34752</v>
      </c>
      <c r="P22" s="131">
        <f>H22+J22</f>
        <v>10354</v>
      </c>
      <c r="Q22" s="131">
        <v>298</v>
      </c>
      <c r="R22" s="131">
        <v>92</v>
      </c>
    </row>
    <row r="23" spans="1:18" x14ac:dyDescent="0.2">
      <c r="A23" s="130" t="s">
        <v>70</v>
      </c>
      <c r="B23" s="131">
        <f>SUM(B24:B34)</f>
        <v>236</v>
      </c>
      <c r="C23" s="131">
        <f t="shared" ref="C23:P23" si="2">SUM(C24:C34)</f>
        <v>64814</v>
      </c>
      <c r="D23" s="131">
        <f t="shared" si="2"/>
        <v>3413.9712629999999</v>
      </c>
      <c r="E23" s="131">
        <f t="shared" si="2"/>
        <v>49304</v>
      </c>
      <c r="F23" s="131">
        <f t="shared" si="2"/>
        <v>2414.2785439999998</v>
      </c>
      <c r="G23" s="131">
        <f t="shared" si="2"/>
        <v>246719</v>
      </c>
      <c r="H23" s="131">
        <f t="shared" si="2"/>
        <v>69983.596406000011</v>
      </c>
      <c r="I23" s="131">
        <f t="shared" si="2"/>
        <v>196713</v>
      </c>
      <c r="J23" s="131">
        <f t="shared" si="2"/>
        <v>57432.629556499996</v>
      </c>
      <c r="K23" s="131">
        <f t="shared" si="2"/>
        <v>434710</v>
      </c>
      <c r="L23" s="131">
        <f t="shared" si="2"/>
        <v>19017.118280000002</v>
      </c>
      <c r="M23" s="131">
        <f t="shared" si="2"/>
        <v>373110</v>
      </c>
      <c r="N23" s="131">
        <f t="shared" si="2"/>
        <v>16031.875914</v>
      </c>
      <c r="O23" s="131">
        <f t="shared" si="2"/>
        <v>1365640</v>
      </c>
      <c r="P23" s="131">
        <f t="shared" si="2"/>
        <v>168293.4689635</v>
      </c>
      <c r="Q23" s="131">
        <f>Q34</f>
        <v>9204</v>
      </c>
      <c r="R23" s="131">
        <f>R34</f>
        <v>1270.565458</v>
      </c>
    </row>
    <row r="24" spans="1:18" x14ac:dyDescent="0.2">
      <c r="A24" s="132">
        <v>43191</v>
      </c>
      <c r="B24" s="133">
        <v>21</v>
      </c>
      <c r="C24" s="133">
        <v>0</v>
      </c>
      <c r="D24" s="133">
        <v>0</v>
      </c>
      <c r="E24" s="133">
        <v>0</v>
      </c>
      <c r="F24" s="133">
        <v>0</v>
      </c>
      <c r="G24" s="133">
        <v>4584</v>
      </c>
      <c r="H24" s="133">
        <v>1533.95</v>
      </c>
      <c r="I24" s="133">
        <v>3534</v>
      </c>
      <c r="J24" s="133">
        <v>1106.47</v>
      </c>
      <c r="K24" s="133">
        <v>0</v>
      </c>
      <c r="L24" s="133">
        <v>0</v>
      </c>
      <c r="M24" s="133">
        <v>0</v>
      </c>
      <c r="N24" s="133">
        <v>0</v>
      </c>
      <c r="O24" s="133">
        <v>8388</v>
      </c>
      <c r="P24" s="133">
        <f>H24+J24</f>
        <v>2640.42</v>
      </c>
      <c r="Q24" s="133">
        <v>1650</v>
      </c>
      <c r="R24" s="133">
        <v>517.55999999999995</v>
      </c>
    </row>
    <row r="25" spans="1:18" x14ac:dyDescent="0.2">
      <c r="A25" s="132">
        <v>43221</v>
      </c>
      <c r="B25" s="133">
        <v>23</v>
      </c>
      <c r="C25" s="133">
        <v>3575</v>
      </c>
      <c r="D25" s="133">
        <v>169.95</v>
      </c>
      <c r="E25" s="133">
        <v>2777</v>
      </c>
      <c r="F25" s="133">
        <v>130.75</v>
      </c>
      <c r="G25" s="133">
        <v>26483</v>
      </c>
      <c r="H25" s="133">
        <v>8134.5899999999992</v>
      </c>
      <c r="I25" s="133">
        <v>22435</v>
      </c>
      <c r="J25" s="133">
        <v>6916.01</v>
      </c>
      <c r="K25" s="133">
        <v>17615</v>
      </c>
      <c r="L25" s="133">
        <v>861.47</v>
      </c>
      <c r="M25" s="133">
        <v>13660</v>
      </c>
      <c r="N25" s="133">
        <v>657.54</v>
      </c>
      <c r="O25" s="133">
        <f t="shared" ref="O25:P31" si="3">G25+I25+C25+E25+K25+M25</f>
        <v>86545</v>
      </c>
      <c r="P25" s="133">
        <f t="shared" si="3"/>
        <v>16870.309999999998</v>
      </c>
      <c r="Q25" s="133">
        <v>5677</v>
      </c>
      <c r="R25" s="133">
        <v>528.70000000000005</v>
      </c>
    </row>
    <row r="26" spans="1:18" x14ac:dyDescent="0.2">
      <c r="A26" s="132">
        <v>43252</v>
      </c>
      <c r="B26" s="133">
        <v>21</v>
      </c>
      <c r="C26" s="133">
        <v>12624</v>
      </c>
      <c r="D26" s="133">
        <v>681.89</v>
      </c>
      <c r="E26" s="133">
        <v>9217</v>
      </c>
      <c r="F26" s="133">
        <v>448.87</v>
      </c>
      <c r="G26" s="133">
        <v>24430</v>
      </c>
      <c r="H26" s="133">
        <v>6551.92</v>
      </c>
      <c r="I26" s="133">
        <v>20714</v>
      </c>
      <c r="J26" s="133">
        <v>5617.14</v>
      </c>
      <c r="K26" s="133">
        <v>31403</v>
      </c>
      <c r="L26" s="133">
        <v>1464.8</v>
      </c>
      <c r="M26" s="133">
        <v>26661</v>
      </c>
      <c r="N26" s="133">
        <v>1223.1199999999999</v>
      </c>
      <c r="O26" s="133">
        <f t="shared" si="3"/>
        <v>125049</v>
      </c>
      <c r="P26" s="133">
        <f t="shared" si="3"/>
        <v>15987.740000000002</v>
      </c>
      <c r="Q26" s="133">
        <v>10748</v>
      </c>
      <c r="R26" s="133">
        <v>1389.3999999999999</v>
      </c>
    </row>
    <row r="27" spans="1:18" x14ac:dyDescent="0.2">
      <c r="A27" s="132">
        <v>43282</v>
      </c>
      <c r="B27" s="133">
        <v>22</v>
      </c>
      <c r="C27" s="133">
        <v>9967</v>
      </c>
      <c r="D27" s="133">
        <v>611.25</v>
      </c>
      <c r="E27" s="133">
        <v>3844</v>
      </c>
      <c r="F27" s="133">
        <v>203.52</v>
      </c>
      <c r="G27" s="133">
        <v>29249</v>
      </c>
      <c r="H27" s="133">
        <v>8447.2999999999993</v>
      </c>
      <c r="I27" s="133">
        <v>25159</v>
      </c>
      <c r="J27" s="133">
        <v>7394.52</v>
      </c>
      <c r="K27" s="133">
        <v>26313</v>
      </c>
      <c r="L27" s="133">
        <v>1313.15</v>
      </c>
      <c r="M27" s="133">
        <v>35238</v>
      </c>
      <c r="N27" s="133">
        <v>1702.25</v>
      </c>
      <c r="O27" s="133">
        <f t="shared" si="3"/>
        <v>129770</v>
      </c>
      <c r="P27" s="133">
        <f t="shared" si="3"/>
        <v>19671.990000000002</v>
      </c>
      <c r="Q27" s="133">
        <v>5971</v>
      </c>
      <c r="R27" s="133">
        <v>535.56999999999994</v>
      </c>
    </row>
    <row r="28" spans="1:18" x14ac:dyDescent="0.2">
      <c r="A28" s="132">
        <v>43313</v>
      </c>
      <c r="B28" s="133">
        <v>22</v>
      </c>
      <c r="C28" s="133">
        <v>10066</v>
      </c>
      <c r="D28" s="133">
        <v>487.48</v>
      </c>
      <c r="E28" s="133">
        <v>5386</v>
      </c>
      <c r="F28" s="133">
        <v>249.66000000000003</v>
      </c>
      <c r="G28" s="133">
        <v>17000</v>
      </c>
      <c r="H28" s="133">
        <v>4150.34</v>
      </c>
      <c r="I28" s="133">
        <v>12647</v>
      </c>
      <c r="J28" s="133">
        <v>3416.64</v>
      </c>
      <c r="K28" s="133">
        <v>30747</v>
      </c>
      <c r="L28" s="133">
        <v>1486.43</v>
      </c>
      <c r="M28" s="133">
        <v>26732</v>
      </c>
      <c r="N28" s="133">
        <v>1250.83</v>
      </c>
      <c r="O28" s="133">
        <f t="shared" si="3"/>
        <v>102578</v>
      </c>
      <c r="P28" s="133">
        <f t="shared" si="3"/>
        <v>11041.38</v>
      </c>
      <c r="Q28" s="133">
        <v>5735</v>
      </c>
      <c r="R28" s="133">
        <v>657.73</v>
      </c>
    </row>
    <row r="29" spans="1:18" x14ac:dyDescent="0.2">
      <c r="A29" s="132">
        <v>43344</v>
      </c>
      <c r="B29" s="133">
        <v>20</v>
      </c>
      <c r="C29" s="133">
        <v>3053</v>
      </c>
      <c r="D29" s="133">
        <v>172.47193300000001</v>
      </c>
      <c r="E29" s="133">
        <v>4308</v>
      </c>
      <c r="F29" s="133">
        <v>215.48277400000001</v>
      </c>
      <c r="G29" s="133">
        <v>83236</v>
      </c>
      <c r="H29" s="133">
        <v>25124.147906000002</v>
      </c>
      <c r="I29" s="133">
        <v>59085</v>
      </c>
      <c r="J29" s="133">
        <v>17949.004356499998</v>
      </c>
      <c r="K29" s="133">
        <v>28034</v>
      </c>
      <c r="L29" s="133">
        <v>1445.20128</v>
      </c>
      <c r="M29" s="133">
        <v>34418</v>
      </c>
      <c r="N29" s="133">
        <v>1717.826914</v>
      </c>
      <c r="O29" s="133">
        <f t="shared" si="3"/>
        <v>212134</v>
      </c>
      <c r="P29" s="133">
        <f t="shared" si="3"/>
        <v>46624.135163499996</v>
      </c>
      <c r="Q29" s="133">
        <v>6441</v>
      </c>
      <c r="R29" s="133">
        <v>528.00232249999999</v>
      </c>
    </row>
    <row r="30" spans="1:18" x14ac:dyDescent="0.2">
      <c r="A30" s="132">
        <v>43380</v>
      </c>
      <c r="B30" s="133">
        <v>22</v>
      </c>
      <c r="C30" s="133">
        <v>4312</v>
      </c>
      <c r="D30" s="133">
        <v>223.8</v>
      </c>
      <c r="E30" s="133">
        <v>5332</v>
      </c>
      <c r="F30" s="133">
        <v>265.19</v>
      </c>
      <c r="G30" s="133">
        <v>20488</v>
      </c>
      <c r="H30" s="133">
        <v>5973.91</v>
      </c>
      <c r="I30" s="133">
        <v>16640</v>
      </c>
      <c r="J30" s="133">
        <v>5051.4199999999992</v>
      </c>
      <c r="K30" s="133">
        <v>39583</v>
      </c>
      <c r="L30" s="133">
        <v>2141.4</v>
      </c>
      <c r="M30" s="133">
        <v>37645</v>
      </c>
      <c r="N30" s="133">
        <v>1989.11</v>
      </c>
      <c r="O30" s="133">
        <f t="shared" si="3"/>
        <v>124000</v>
      </c>
      <c r="P30" s="133">
        <f t="shared" si="3"/>
        <v>15644.829999999998</v>
      </c>
      <c r="Q30" s="133">
        <v>7666</v>
      </c>
      <c r="R30" s="133">
        <v>903.96</v>
      </c>
    </row>
    <row r="31" spans="1:18" x14ac:dyDescent="0.2">
      <c r="A31" s="132">
        <v>43405</v>
      </c>
      <c r="B31" s="133">
        <v>22</v>
      </c>
      <c r="C31" s="133">
        <v>5460</v>
      </c>
      <c r="D31" s="133">
        <v>259.68745999999999</v>
      </c>
      <c r="E31" s="133">
        <v>5173</v>
      </c>
      <c r="F31" s="133">
        <v>241.76313999999999</v>
      </c>
      <c r="G31" s="133">
        <v>14307</v>
      </c>
      <c r="H31" s="133">
        <v>3315.2145</v>
      </c>
      <c r="I31" s="133">
        <v>7228</v>
      </c>
      <c r="J31" s="133">
        <v>1779.0653</v>
      </c>
      <c r="K31" s="133">
        <v>67680</v>
      </c>
      <c r="L31" s="133">
        <v>2915.99</v>
      </c>
      <c r="M31" s="133">
        <v>41202</v>
      </c>
      <c r="N31" s="133">
        <v>1723</v>
      </c>
      <c r="O31" s="133">
        <f t="shared" si="3"/>
        <v>141050</v>
      </c>
      <c r="P31" s="133">
        <f t="shared" si="3"/>
        <v>10234.7204</v>
      </c>
      <c r="Q31" s="133">
        <v>8862</v>
      </c>
      <c r="R31" s="133">
        <v>675.52</v>
      </c>
    </row>
    <row r="32" spans="1:18" x14ac:dyDescent="0.2">
      <c r="A32" s="132">
        <v>43436</v>
      </c>
      <c r="B32" s="133">
        <v>20</v>
      </c>
      <c r="C32" s="133">
        <v>3743</v>
      </c>
      <c r="D32" s="133">
        <v>185.48786999999999</v>
      </c>
      <c r="E32" s="133">
        <v>2885</v>
      </c>
      <c r="F32" s="133">
        <v>140.62682999999998</v>
      </c>
      <c r="G32" s="133">
        <v>8483</v>
      </c>
      <c r="H32" s="133">
        <v>2296.9849999999997</v>
      </c>
      <c r="I32" s="133">
        <v>9156</v>
      </c>
      <c r="J32" s="133">
        <v>2648.1091999999999</v>
      </c>
      <c r="K32" s="133">
        <v>77534</v>
      </c>
      <c r="L32" s="133">
        <v>2921.9169999999999</v>
      </c>
      <c r="M32" s="133">
        <v>44777</v>
      </c>
      <c r="N32" s="133">
        <v>1620.779</v>
      </c>
      <c r="O32" s="133">
        <v>146578</v>
      </c>
      <c r="P32" s="133">
        <v>9813.9138999999996</v>
      </c>
      <c r="Q32" s="133">
        <v>13117</v>
      </c>
      <c r="R32" s="133">
        <v>1132.9499999999998</v>
      </c>
    </row>
    <row r="33" spans="1:18" x14ac:dyDescent="0.2">
      <c r="A33" s="132">
        <v>43468</v>
      </c>
      <c r="B33" s="133">
        <v>23</v>
      </c>
      <c r="C33" s="133">
        <v>5748</v>
      </c>
      <c r="D33" s="133">
        <v>276.76</v>
      </c>
      <c r="E33" s="133">
        <v>3692</v>
      </c>
      <c r="F33" s="133">
        <v>175.6</v>
      </c>
      <c r="G33" s="133">
        <v>9323</v>
      </c>
      <c r="H33" s="133">
        <v>2220.88</v>
      </c>
      <c r="I33" s="133">
        <v>10589</v>
      </c>
      <c r="J33" s="133">
        <v>2947.4700000000003</v>
      </c>
      <c r="K33" s="133">
        <v>67738</v>
      </c>
      <c r="L33" s="133">
        <v>2531.4</v>
      </c>
      <c r="M33" s="133">
        <v>65512</v>
      </c>
      <c r="N33" s="133">
        <v>2320.62</v>
      </c>
      <c r="O33" s="133">
        <v>162602</v>
      </c>
      <c r="P33" s="133">
        <v>10472.720000000001</v>
      </c>
      <c r="Q33" s="133">
        <v>9625</v>
      </c>
      <c r="R33" s="133">
        <v>736.74</v>
      </c>
    </row>
    <row r="34" spans="1:18" x14ac:dyDescent="0.2">
      <c r="A34" s="132">
        <v>43500</v>
      </c>
      <c r="B34" s="133">
        <v>20</v>
      </c>
      <c r="C34" s="133">
        <v>6266</v>
      </c>
      <c r="D34" s="133">
        <v>345.19400000000002</v>
      </c>
      <c r="E34" s="133">
        <v>6690</v>
      </c>
      <c r="F34" s="133">
        <v>342.81580000000002</v>
      </c>
      <c r="G34" s="133">
        <v>9136</v>
      </c>
      <c r="H34" s="133">
        <v>2234.3589999999999</v>
      </c>
      <c r="I34" s="133">
        <v>9526</v>
      </c>
      <c r="J34" s="133">
        <v>2606.7807000000003</v>
      </c>
      <c r="K34" s="133">
        <v>48063</v>
      </c>
      <c r="L34" s="133">
        <v>1935.36</v>
      </c>
      <c r="M34" s="133">
        <v>47265</v>
      </c>
      <c r="N34" s="133">
        <v>1826.8</v>
      </c>
      <c r="O34" s="133">
        <v>126946</v>
      </c>
      <c r="P34" s="133">
        <v>9291.3094999999994</v>
      </c>
      <c r="Q34" s="133">
        <v>9204</v>
      </c>
      <c r="R34" s="133">
        <v>1270.565458</v>
      </c>
    </row>
    <row r="35" spans="1:18" x14ac:dyDescent="0.2">
      <c r="A35" s="110" t="str">
        <f>'66'!A17</f>
        <v>$ indicates as on February 28, 2019</v>
      </c>
    </row>
    <row r="36" spans="1:18" x14ac:dyDescent="0.2">
      <c r="A36" s="110" t="s">
        <v>1027</v>
      </c>
      <c r="O36" s="110"/>
    </row>
    <row r="37" spans="1:18" x14ac:dyDescent="0.2">
      <c r="A37" s="533" t="s">
        <v>799</v>
      </c>
      <c r="B37" s="533"/>
      <c r="C37" s="533"/>
      <c r="D37" s="533"/>
      <c r="E37" s="533"/>
      <c r="F37" s="533"/>
      <c r="G37" s="533"/>
      <c r="H37" s="533"/>
      <c r="I37" s="533"/>
      <c r="J37" s="533"/>
      <c r="O37" s="110"/>
    </row>
    <row r="42" spans="1:18" x14ac:dyDescent="0.2">
      <c r="B42" s="118" t="s">
        <v>899</v>
      </c>
    </row>
    <row r="43" spans="1:18" x14ac:dyDescent="0.2">
      <c r="B43" s="110" t="s">
        <v>900</v>
      </c>
      <c r="D43" s="110" t="s">
        <v>901</v>
      </c>
      <c r="E43" s="110" t="s">
        <v>902</v>
      </c>
      <c r="F43" s="110" t="s">
        <v>150</v>
      </c>
      <c r="H43" s="110" t="s">
        <v>903</v>
      </c>
      <c r="I43" s="110" t="s">
        <v>904</v>
      </c>
      <c r="J43" s="110" t="s">
        <v>905</v>
      </c>
      <c r="K43" s="110" t="s">
        <v>906</v>
      </c>
    </row>
    <row r="44" spans="1:18" x14ac:dyDescent="0.2">
      <c r="D44" s="137"/>
    </row>
    <row r="45" spans="1:18" x14ac:dyDescent="0.2">
      <c r="B45" s="110" t="s">
        <v>907</v>
      </c>
      <c r="C45" s="138"/>
      <c r="D45" s="138">
        <f>E6+'68'!E6+'69'!E5+'68'!I6+'68'!K6</f>
        <v>604953.37073590013</v>
      </c>
      <c r="E45" s="137">
        <f>P23+H6+K6+N6+'69'!K5+'69'!H5+'70'!P4+'71'!E5</f>
        <v>6140445.7390424013</v>
      </c>
      <c r="F45" s="139">
        <f>D45+E45</f>
        <v>6745399.1097783018</v>
      </c>
      <c r="H45" s="137">
        <f>P6+'68'!E6+'69'!M5+'70'!P4+'71'!E5</f>
        <v>6576936.9108147994</v>
      </c>
      <c r="I45" s="137">
        <f>P23+'68'!I6+'68'!K6</f>
        <v>168462.19896349998</v>
      </c>
      <c r="J45" s="140">
        <f>H45+I45</f>
        <v>6745399.109778299</v>
      </c>
      <c r="K45" s="138" t="b">
        <f>F45=J45</f>
        <v>1</v>
      </c>
      <c r="M45" s="141">
        <f>'73'!D28+'73'!D40+'74'!D21+'74'!D28+'75'!D16+'75'!D26+'75'!D35+0.51</f>
        <v>6745400.2782185972</v>
      </c>
    </row>
    <row r="46" spans="1:18" x14ac:dyDescent="0.2">
      <c r="B46" s="132">
        <v>43191</v>
      </c>
      <c r="C46" s="138"/>
      <c r="D46" s="138">
        <f>E7+'68'!E7+'69'!E6+'68'!I7+'68'!K7</f>
        <v>50188.155097600007</v>
      </c>
      <c r="E46" s="137">
        <f>P24+H7+K7+N7+'69'!K6</f>
        <v>557600.75702095008</v>
      </c>
      <c r="F46" s="138">
        <f>D46+E46</f>
        <v>607788.91211855004</v>
      </c>
      <c r="H46" s="137">
        <f>P7+'68'!E7+'69'!M6</f>
        <v>605127.23211854999</v>
      </c>
      <c r="I46" s="137">
        <f>P24+'68'!I7+'68'!K7</f>
        <v>2661.6800000000003</v>
      </c>
      <c r="J46" s="137">
        <f>H46+I46</f>
        <v>607788.91211855004</v>
      </c>
      <c r="K46" s="138" t="b">
        <f t="shared" ref="K46:K53" si="4">F46=J46</f>
        <v>1</v>
      </c>
    </row>
    <row r="47" spans="1:18" x14ac:dyDescent="0.2">
      <c r="B47" s="132">
        <v>43221</v>
      </c>
      <c r="C47" s="138"/>
      <c r="D47" s="138">
        <f>E8+'68'!E8+'69'!E7+'68'!I8+'68'!K8</f>
        <v>53494.710803800008</v>
      </c>
      <c r="E47" s="137">
        <f>P25+H8+K8+N8+'69'!K7</f>
        <v>531496.06771069998</v>
      </c>
      <c r="F47" s="138">
        <f t="shared" ref="F47:F53" si="5">D47+E47</f>
        <v>584990.77851450001</v>
      </c>
      <c r="H47" s="137">
        <f>P8+'68'!E8+'69'!M7</f>
        <v>568107.16851450002</v>
      </c>
      <c r="I47" s="137">
        <f>P25+'68'!I8+'68'!K8</f>
        <v>16883.609999999997</v>
      </c>
      <c r="J47" s="137">
        <f t="shared" ref="J47:J53" si="6">H47+I47</f>
        <v>584990.77851450001</v>
      </c>
      <c r="K47" s="138" t="b">
        <f t="shared" si="4"/>
        <v>1</v>
      </c>
    </row>
    <row r="48" spans="1:18" x14ac:dyDescent="0.2">
      <c r="B48" s="132">
        <v>43252</v>
      </c>
      <c r="C48" s="138"/>
      <c r="D48" s="138">
        <f>E9+'68'!E9+'69'!E8+'68'!I9+'68'!K9</f>
        <v>54011.814916100026</v>
      </c>
      <c r="E48" s="137">
        <f>P26+H9+K9+N9+'69'!K8</f>
        <v>505217.87177264993</v>
      </c>
      <c r="F48" s="138">
        <f t="shared" si="5"/>
        <v>559229.68668874993</v>
      </c>
      <c r="H48" s="137">
        <f>P9+'68'!E9+'69'!M8</f>
        <v>543225.35668874998</v>
      </c>
      <c r="I48" s="137">
        <f>P26+'68'!I9+'68'!K9</f>
        <v>16004.33</v>
      </c>
      <c r="J48" s="137">
        <f t="shared" si="6"/>
        <v>559229.68668874993</v>
      </c>
      <c r="K48" s="138" t="b">
        <f t="shared" si="4"/>
        <v>1</v>
      </c>
    </row>
    <row r="49" spans="2:11" x14ac:dyDescent="0.2">
      <c r="B49" s="132">
        <v>43282</v>
      </c>
      <c r="C49" s="138"/>
      <c r="D49" s="138">
        <f>E10+'68'!E10+'69'!E9+'68'!I10+'68'!K10</f>
        <v>72925.606925800006</v>
      </c>
      <c r="E49" s="137">
        <f>P27+H10+K10+N10+'69'!K9</f>
        <v>530236.34815124969</v>
      </c>
      <c r="F49" s="138">
        <f t="shared" si="5"/>
        <v>603161.95507704967</v>
      </c>
      <c r="H49" s="137">
        <f>P10+'68'!E10+'69'!M9</f>
        <v>583474.39507704985</v>
      </c>
      <c r="I49" s="137">
        <f>P27+'68'!I10+'68'!K10</f>
        <v>19687.560000000001</v>
      </c>
      <c r="J49" s="137">
        <f t="shared" si="6"/>
        <v>603161.9550770499</v>
      </c>
      <c r="K49" s="138" t="b">
        <f t="shared" si="4"/>
        <v>1</v>
      </c>
    </row>
    <row r="50" spans="2:11" x14ac:dyDescent="0.2">
      <c r="B50" s="132">
        <v>43313</v>
      </c>
      <c r="C50" s="138"/>
      <c r="D50" s="138">
        <f>E11+'68'!E11+'69'!E10+'68'!I11+'68'!K11</f>
        <v>67565.119550799995</v>
      </c>
      <c r="E50" s="137">
        <f>P28+H11+K11+N11+'69'!K10+'69'!H10</f>
        <v>514933.93913204997</v>
      </c>
      <c r="F50" s="138">
        <f t="shared" si="5"/>
        <v>582499.05868284998</v>
      </c>
      <c r="H50" s="137">
        <f>P11+'68'!E11+'69'!M10</f>
        <v>571445.62868284993</v>
      </c>
      <c r="I50" s="137">
        <f>P28+'68'!I11+'68'!K11</f>
        <v>11053.429999999998</v>
      </c>
      <c r="J50" s="137">
        <f t="shared" si="6"/>
        <v>582499.05868284998</v>
      </c>
      <c r="K50" s="138" t="b">
        <f t="shared" si="4"/>
        <v>1</v>
      </c>
    </row>
    <row r="51" spans="2:11" x14ac:dyDescent="0.2">
      <c r="B51" s="132">
        <v>43344</v>
      </c>
      <c r="C51" s="138"/>
      <c r="D51" s="138">
        <f>E12+'68'!E12+'69'!E11+'68'!I12+'68'!K12</f>
        <v>46857.933979800036</v>
      </c>
      <c r="E51" s="137">
        <f>P29+H12+K12+N12+'69'!K11+'69'!H11+'70'!P4+'71'!E5</f>
        <v>619084.40443859994</v>
      </c>
      <c r="F51" s="138">
        <f t="shared" si="5"/>
        <v>665942.33841840003</v>
      </c>
      <c r="H51" s="137">
        <f>P12+'68'!E12+'69'!M11+'70'!P4+'71'!E5</f>
        <v>619305.0132549</v>
      </c>
      <c r="I51" s="137">
        <f>P29+'68'!I12+'68'!K12</f>
        <v>46637.325163499998</v>
      </c>
      <c r="J51" s="137">
        <f t="shared" si="6"/>
        <v>665942.33841840003</v>
      </c>
      <c r="K51" s="138" t="b">
        <f t="shared" si="4"/>
        <v>1</v>
      </c>
    </row>
    <row r="52" spans="2:11" x14ac:dyDescent="0.2">
      <c r="B52" s="132">
        <v>43380</v>
      </c>
      <c r="C52" s="138"/>
      <c r="D52" s="138">
        <f>E13+'68'!E13+'69'!E12+'68'!I13+'68'!K13</f>
        <v>62124.013927799999</v>
      </c>
      <c r="E52" s="137">
        <f>P30+H13+K13+N13+'69'!K12+'69'!H12+'70'!P5+'71'!E6</f>
        <v>627389.32683919987</v>
      </c>
      <c r="F52" s="138">
        <f t="shared" si="5"/>
        <v>689513.34076699987</v>
      </c>
      <c r="H52" s="137">
        <f>P13+'68'!E13+'69'!M12+'70'!P5+'71'!E6</f>
        <v>673827.53076699993</v>
      </c>
      <c r="I52" s="137">
        <f>P30+'68'!I13+'68'!K13</f>
        <v>15685.809999999998</v>
      </c>
      <c r="J52" s="137">
        <f t="shared" si="6"/>
        <v>689513.34076699987</v>
      </c>
      <c r="K52" s="138" t="b">
        <f t="shared" si="4"/>
        <v>1</v>
      </c>
    </row>
    <row r="53" spans="2:11" x14ac:dyDescent="0.2">
      <c r="B53" s="132">
        <v>43405</v>
      </c>
      <c r="C53" s="138"/>
      <c r="D53" s="138">
        <f>E14+'68'!E14+'69'!E13+'68'!I14+'68'!K14</f>
        <v>65485.592621200049</v>
      </c>
      <c r="E53" s="137">
        <f>P31+H14+K14+N14+'69'!K13+'69'!H13+'70'!P6+'71'!E7</f>
        <v>580956.00408135005</v>
      </c>
      <c r="F53" s="138">
        <f t="shared" si="5"/>
        <v>646441.59670255007</v>
      </c>
      <c r="H53" s="137">
        <f>P14+'68'!E14+'69'!M13+'70'!P6+'71'!E7</f>
        <v>636186.96630255016</v>
      </c>
      <c r="I53" s="137">
        <f>P31+'68'!I14+'68'!K14</f>
        <v>10254.6304</v>
      </c>
      <c r="J53" s="137">
        <f t="shared" si="6"/>
        <v>646441.59670255019</v>
      </c>
      <c r="K53" s="138" t="b">
        <f t="shared" si="4"/>
        <v>1</v>
      </c>
    </row>
    <row r="54" spans="2:11" x14ac:dyDescent="0.2">
      <c r="H54" s="137"/>
      <c r="I54" s="137"/>
      <c r="J54" s="137"/>
    </row>
    <row r="56" spans="2:11" x14ac:dyDescent="0.2">
      <c r="D56" s="137"/>
    </row>
    <row r="58" spans="2:11" x14ac:dyDescent="0.2">
      <c r="D58" s="142"/>
    </row>
  </sheetData>
  <customSheetViews>
    <customSheetView guid="{B9B27D37-53F8-4AD8-9221-6458C3026417}" scale="130" showPageBreaks="1" fitToPage="1" printArea="1" view="pageBreakPreview" topLeftCell="F10">
      <selection activeCell="G7" sqref="G7"/>
      <pageMargins left="0.7" right="0.7" top="0.75" bottom="0.75" header="0.3" footer="0.3"/>
      <pageSetup scale="69" orientation="landscape" r:id="rId1"/>
    </customSheetView>
    <customSheetView guid="{F9A1D58D-8337-4577-94AF-0D6370657575}" scale="130" showPageBreaks="1" fitToPage="1" printArea="1" view="pageBreakPreview" topLeftCell="F10">
      <selection activeCell="G7" sqref="G7"/>
      <pageMargins left="0.7" right="0.7" top="0.75" bottom="0.75" header="0.3" footer="0.3"/>
      <pageSetup scale="69" orientation="landscape" r:id="rId2"/>
    </customSheetView>
  </customSheetViews>
  <mergeCells count="31">
    <mergeCell ref="A37:J37"/>
    <mergeCell ref="C20:D20"/>
    <mergeCell ref="E20:F20"/>
    <mergeCell ref="G20:H20"/>
    <mergeCell ref="I20:J20"/>
    <mergeCell ref="A18:R18"/>
    <mergeCell ref="A19:A21"/>
    <mergeCell ref="B19:B21"/>
    <mergeCell ref="C19:F19"/>
    <mergeCell ref="G19:J19"/>
    <mergeCell ref="K19:N19"/>
    <mergeCell ref="O19:P19"/>
    <mergeCell ref="Q19:R19"/>
    <mergeCell ref="O20:O21"/>
    <mergeCell ref="P20:P21"/>
    <mergeCell ref="Q20:Q21"/>
    <mergeCell ref="R20:R21"/>
    <mergeCell ref="K20:L20"/>
    <mergeCell ref="M20:N20"/>
    <mergeCell ref="A1:H1"/>
    <mergeCell ref="I1:O1"/>
    <mergeCell ref="P1:Q1"/>
    <mergeCell ref="A2:R2"/>
    <mergeCell ref="A3:A4"/>
    <mergeCell ref="B3:B4"/>
    <mergeCell ref="C3:E3"/>
    <mergeCell ref="F3:H3"/>
    <mergeCell ref="I3:K3"/>
    <mergeCell ref="L3:N3"/>
    <mergeCell ref="O3:P3"/>
    <mergeCell ref="Q3:R3"/>
  </mergeCells>
  <pageMargins left="0.7" right="0.7" top="0.75" bottom="0.75" header="0.3" footer="0.3"/>
  <pageSetup scale="69" orientation="landscape"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O20"/>
  <sheetViews>
    <sheetView view="pageBreakPreview" topLeftCell="A2" zoomScale="120" zoomScaleNormal="115" zoomScaleSheetLayoutView="120" workbookViewId="0">
      <selection activeCell="G7" sqref="G7"/>
    </sheetView>
  </sheetViews>
  <sheetFormatPr defaultRowHeight="12.75" x14ac:dyDescent="0.2"/>
  <cols>
    <col min="1" max="1" width="9.140625" style="110" customWidth="1"/>
    <col min="2" max="2" width="7.140625" style="110" customWidth="1"/>
    <col min="3" max="3" width="11.42578125" style="110" customWidth="1"/>
    <col min="4" max="4" width="14.140625" style="110" bestFit="1" customWidth="1"/>
    <col min="5" max="5" width="10.28515625" style="110" customWidth="1"/>
    <col min="6" max="6" width="8.7109375" style="110" customWidth="1"/>
    <col min="7" max="16384" width="9.140625" style="110"/>
  </cols>
  <sheetData>
    <row r="1" spans="1:15" ht="15" x14ac:dyDescent="0.2">
      <c r="A1" s="511" t="s">
        <v>908</v>
      </c>
      <c r="B1" s="511"/>
      <c r="C1" s="517"/>
      <c r="D1" s="517"/>
      <c r="E1" s="517"/>
      <c r="F1" s="517"/>
      <c r="G1" s="517"/>
    </row>
    <row r="2" spans="1:15" x14ac:dyDescent="0.2">
      <c r="A2" s="522" t="s">
        <v>714</v>
      </c>
      <c r="B2" s="524" t="s">
        <v>801</v>
      </c>
      <c r="C2" s="540" t="s">
        <v>888</v>
      </c>
      <c r="D2" s="540"/>
      <c r="E2" s="540"/>
      <c r="F2" s="540"/>
      <c r="G2" s="540"/>
      <c r="H2" s="540" t="s">
        <v>841</v>
      </c>
      <c r="I2" s="540"/>
      <c r="J2" s="540"/>
      <c r="K2" s="540"/>
      <c r="L2" s="540"/>
      <c r="M2" s="540"/>
    </row>
    <row r="3" spans="1:15" s="126" customFormat="1" ht="34.5" customHeight="1" x14ac:dyDescent="0.2">
      <c r="A3" s="538"/>
      <c r="B3" s="524"/>
      <c r="C3" s="524" t="s">
        <v>909</v>
      </c>
      <c r="D3" s="524" t="s">
        <v>803</v>
      </c>
      <c r="E3" s="524" t="s">
        <v>910</v>
      </c>
      <c r="F3" s="525" t="s">
        <v>805</v>
      </c>
      <c r="G3" s="526"/>
      <c r="H3" s="534" t="s">
        <v>911</v>
      </c>
      <c r="I3" s="535"/>
      <c r="J3" s="534" t="s">
        <v>912</v>
      </c>
      <c r="K3" s="535"/>
      <c r="L3" s="536" t="s">
        <v>913</v>
      </c>
      <c r="M3" s="537"/>
    </row>
    <row r="4" spans="1:15" s="126" customFormat="1" ht="41.25" customHeight="1" x14ac:dyDescent="0.2">
      <c r="A4" s="539"/>
      <c r="B4" s="524"/>
      <c r="C4" s="524"/>
      <c r="D4" s="524"/>
      <c r="E4" s="524"/>
      <c r="F4" s="143" t="s">
        <v>589</v>
      </c>
      <c r="G4" s="143" t="s">
        <v>892</v>
      </c>
      <c r="H4" s="135" t="s">
        <v>891</v>
      </c>
      <c r="I4" s="143" t="s">
        <v>889</v>
      </c>
      <c r="J4" s="135" t="s">
        <v>891</v>
      </c>
      <c r="K4" s="143" t="s">
        <v>910</v>
      </c>
      <c r="L4" s="144" t="s">
        <v>891</v>
      </c>
      <c r="M4" s="144" t="s">
        <v>914</v>
      </c>
    </row>
    <row r="5" spans="1:15" s="118" customFormat="1" x14ac:dyDescent="0.2">
      <c r="A5" s="145" t="s">
        <v>69</v>
      </c>
      <c r="B5" s="146">
        <v>248</v>
      </c>
      <c r="C5" s="146">
        <v>133172</v>
      </c>
      <c r="D5" s="146">
        <v>15187625</v>
      </c>
      <c r="E5" s="146">
        <v>589497</v>
      </c>
      <c r="F5" s="146">
        <v>135902</v>
      </c>
      <c r="G5" s="146">
        <v>5099.9600000000009</v>
      </c>
      <c r="H5" s="147">
        <v>5169</v>
      </c>
      <c r="I5" s="147">
        <v>233.66</v>
      </c>
      <c r="J5" s="147">
        <v>1440</v>
      </c>
      <c r="K5" s="148">
        <v>64.650000000000006</v>
      </c>
      <c r="L5" s="147">
        <v>569</v>
      </c>
      <c r="M5" s="149">
        <v>25.32</v>
      </c>
    </row>
    <row r="6" spans="1:15" s="118" customFormat="1" x14ac:dyDescent="0.2">
      <c r="A6" s="145" t="s">
        <v>70</v>
      </c>
      <c r="B6" s="150">
        <f>SUM(B7:B17)</f>
        <v>229</v>
      </c>
      <c r="C6" s="151">
        <f t="shared" ref="C6:E6" si="0">SUM(C7:C17)</f>
        <v>112887.65200000003</v>
      </c>
      <c r="D6" s="151">
        <f t="shared" si="0"/>
        <v>13094931</v>
      </c>
      <c r="E6" s="151">
        <f t="shared" si="0"/>
        <v>498725.16735000012</v>
      </c>
      <c r="F6" s="152">
        <f>F17</f>
        <v>148375</v>
      </c>
      <c r="G6" s="152">
        <f>G17</f>
        <v>5257.8200000000006</v>
      </c>
      <c r="H6" s="152">
        <f>SUM(H7:H17)</f>
        <v>3530</v>
      </c>
      <c r="I6" s="152">
        <f t="shared" ref="I6:K6" si="1">SUM(I7:I17)</f>
        <v>154.76999999999998</v>
      </c>
      <c r="J6" s="152">
        <f t="shared" si="1"/>
        <v>328</v>
      </c>
      <c r="K6" s="153">
        <f t="shared" si="1"/>
        <v>13.959999999999999</v>
      </c>
      <c r="L6" s="152">
        <f>L17</f>
        <v>41</v>
      </c>
      <c r="M6" s="154">
        <f>M17</f>
        <v>1.78</v>
      </c>
    </row>
    <row r="7" spans="1:15" x14ac:dyDescent="0.2">
      <c r="A7" s="132">
        <v>43191</v>
      </c>
      <c r="B7" s="155">
        <v>21</v>
      </c>
      <c r="C7" s="155">
        <v>9906.9610000000048</v>
      </c>
      <c r="D7" s="155">
        <v>1080591</v>
      </c>
      <c r="E7" s="155">
        <v>39618.825600000011</v>
      </c>
      <c r="F7" s="155">
        <v>151062</v>
      </c>
      <c r="G7" s="155">
        <v>5180.63</v>
      </c>
      <c r="H7" s="156">
        <v>401</v>
      </c>
      <c r="I7" s="157">
        <v>17.38</v>
      </c>
      <c r="J7" s="156">
        <v>95</v>
      </c>
      <c r="K7" s="157">
        <v>3.88</v>
      </c>
      <c r="L7" s="156">
        <v>78</v>
      </c>
      <c r="M7" s="158">
        <v>3.31</v>
      </c>
    </row>
    <row r="8" spans="1:15" x14ac:dyDescent="0.2">
      <c r="A8" s="132">
        <v>43222</v>
      </c>
      <c r="B8" s="155">
        <v>22</v>
      </c>
      <c r="C8" s="155">
        <v>10347.103999999998</v>
      </c>
      <c r="D8" s="155">
        <v>1124310</v>
      </c>
      <c r="E8" s="155">
        <v>41737.886115000008</v>
      </c>
      <c r="F8" s="155">
        <v>132329</v>
      </c>
      <c r="G8" s="155">
        <v>4692.6000000000013</v>
      </c>
      <c r="H8" s="156">
        <v>315</v>
      </c>
      <c r="I8" s="157">
        <v>12.5</v>
      </c>
      <c r="J8" s="156">
        <v>20</v>
      </c>
      <c r="K8" s="157">
        <v>0.8</v>
      </c>
      <c r="L8" s="156">
        <v>32</v>
      </c>
      <c r="M8" s="158">
        <v>1.24</v>
      </c>
    </row>
    <row r="9" spans="1:15" x14ac:dyDescent="0.2">
      <c r="A9" s="132">
        <v>43254</v>
      </c>
      <c r="B9" s="155">
        <v>21</v>
      </c>
      <c r="C9" s="155">
        <v>10948.554999999998</v>
      </c>
      <c r="D9" s="155">
        <v>1184196</v>
      </c>
      <c r="E9" s="155">
        <v>41893.866110000024</v>
      </c>
      <c r="F9" s="155">
        <v>125671</v>
      </c>
      <c r="G9" s="155">
        <v>4629.2800000000025</v>
      </c>
      <c r="H9" s="156">
        <v>413</v>
      </c>
      <c r="I9" s="157">
        <v>15.88</v>
      </c>
      <c r="J9" s="156">
        <v>18</v>
      </c>
      <c r="K9" s="157">
        <v>0.71</v>
      </c>
      <c r="L9" s="156">
        <v>145</v>
      </c>
      <c r="M9" s="158">
        <v>6</v>
      </c>
    </row>
    <row r="10" spans="1:15" x14ac:dyDescent="0.2">
      <c r="A10" s="132">
        <v>43285</v>
      </c>
      <c r="B10" s="155">
        <v>22</v>
      </c>
      <c r="C10" s="159">
        <v>14388.817000000005</v>
      </c>
      <c r="D10" s="155">
        <v>1565853</v>
      </c>
      <c r="E10" s="155">
        <v>61323.259640000011</v>
      </c>
      <c r="F10" s="155">
        <v>119819</v>
      </c>
      <c r="G10" s="155">
        <v>4913.880000000001</v>
      </c>
      <c r="H10" s="156">
        <v>360</v>
      </c>
      <c r="I10" s="157">
        <v>15.25</v>
      </c>
      <c r="J10" s="156">
        <v>8</v>
      </c>
      <c r="K10" s="160">
        <v>0.32</v>
      </c>
      <c r="L10" s="156">
        <v>155</v>
      </c>
      <c r="M10" s="158">
        <v>6.91</v>
      </c>
    </row>
    <row r="11" spans="1:15" x14ac:dyDescent="0.2">
      <c r="A11" s="132">
        <v>43317</v>
      </c>
      <c r="B11" s="155">
        <v>21</v>
      </c>
      <c r="C11" s="159">
        <v>12897.352000000008</v>
      </c>
      <c r="D11" s="155">
        <v>1431248</v>
      </c>
      <c r="E11" s="155">
        <v>58371.162804999993</v>
      </c>
      <c r="F11" s="155">
        <v>109058</v>
      </c>
      <c r="G11" s="155">
        <v>4425.5900000000011</v>
      </c>
      <c r="H11" s="156">
        <v>243</v>
      </c>
      <c r="I11" s="157">
        <v>10.96</v>
      </c>
      <c r="J11" s="156">
        <v>24</v>
      </c>
      <c r="K11" s="157">
        <v>1.0900000000000001</v>
      </c>
      <c r="L11" s="156">
        <v>256</v>
      </c>
      <c r="M11" s="158">
        <v>11.53</v>
      </c>
    </row>
    <row r="12" spans="1:15" x14ac:dyDescent="0.2">
      <c r="A12" s="132">
        <v>43349</v>
      </c>
      <c r="B12" s="155">
        <v>18</v>
      </c>
      <c r="C12" s="155">
        <v>8241.8620000000046</v>
      </c>
      <c r="D12" s="155">
        <v>922621</v>
      </c>
      <c r="E12" s="155">
        <v>38248.203240000032</v>
      </c>
      <c r="F12" s="155">
        <v>106059</v>
      </c>
      <c r="G12" s="155">
        <v>4414.4500000000007</v>
      </c>
      <c r="H12" s="156">
        <v>287</v>
      </c>
      <c r="I12" s="157">
        <v>12.8</v>
      </c>
      <c r="J12" s="156">
        <v>9</v>
      </c>
      <c r="K12" s="160">
        <v>0.39</v>
      </c>
      <c r="L12" s="156">
        <v>109</v>
      </c>
      <c r="M12" s="158">
        <v>4.92</v>
      </c>
    </row>
    <row r="13" spans="1:15" x14ac:dyDescent="0.2">
      <c r="A13" s="132">
        <v>43380</v>
      </c>
      <c r="B13" s="155">
        <v>21</v>
      </c>
      <c r="C13" s="155">
        <v>11217.003999999992</v>
      </c>
      <c r="D13" s="155">
        <v>1419259</v>
      </c>
      <c r="E13" s="155">
        <v>54025.149295000003</v>
      </c>
      <c r="F13" s="155">
        <v>126089</v>
      </c>
      <c r="G13" s="155">
        <v>5539.36</v>
      </c>
      <c r="H13" s="155">
        <v>814</v>
      </c>
      <c r="I13" s="161">
        <v>37.21</v>
      </c>
      <c r="J13" s="155">
        <v>86</v>
      </c>
      <c r="K13" s="159">
        <v>3.77</v>
      </c>
      <c r="L13" s="155">
        <v>86.5</v>
      </c>
      <c r="M13" s="162">
        <v>4.2</v>
      </c>
    </row>
    <row r="14" spans="1:15" x14ac:dyDescent="0.2">
      <c r="A14" s="132">
        <v>43405</v>
      </c>
      <c r="B14" s="155">
        <v>20</v>
      </c>
      <c r="C14" s="155">
        <v>11567.297000000011</v>
      </c>
      <c r="D14" s="155">
        <v>1478815</v>
      </c>
      <c r="E14" s="155">
        <v>57347.978210000052</v>
      </c>
      <c r="F14" s="155">
        <v>122788</v>
      </c>
      <c r="G14" s="155">
        <v>5165.9099999999989</v>
      </c>
      <c r="H14" s="155">
        <v>374</v>
      </c>
      <c r="I14" s="155">
        <v>18.02</v>
      </c>
      <c r="J14" s="155">
        <v>41</v>
      </c>
      <c r="K14" s="159">
        <v>1.89</v>
      </c>
      <c r="L14" s="155">
        <v>33</v>
      </c>
      <c r="M14" s="162">
        <v>1.77</v>
      </c>
      <c r="N14" s="137"/>
      <c r="O14" s="137"/>
    </row>
    <row r="15" spans="1:15" x14ac:dyDescent="0.2">
      <c r="A15" s="132">
        <v>43436</v>
      </c>
      <c r="B15" s="155">
        <v>20</v>
      </c>
      <c r="C15" s="155">
        <v>7587.1119999999955</v>
      </c>
      <c r="D15" s="155">
        <v>961336</v>
      </c>
      <c r="E15" s="155">
        <v>35475.966544999974</v>
      </c>
      <c r="F15" s="155">
        <v>120973</v>
      </c>
      <c r="G15" s="155">
        <v>4997.4299999999985</v>
      </c>
      <c r="H15" s="155">
        <v>94</v>
      </c>
      <c r="I15" s="155">
        <v>4.5999999999999996</v>
      </c>
      <c r="J15" s="155">
        <v>10</v>
      </c>
      <c r="K15" s="163">
        <v>0.42</v>
      </c>
      <c r="L15" s="155">
        <v>2</v>
      </c>
      <c r="M15" s="162">
        <v>0.89</v>
      </c>
      <c r="N15" s="137"/>
      <c r="O15" s="137"/>
    </row>
    <row r="16" spans="1:15" x14ac:dyDescent="0.2">
      <c r="A16" s="132">
        <v>43468</v>
      </c>
      <c r="B16" s="155">
        <v>23</v>
      </c>
      <c r="C16" s="155">
        <v>9294.6480000000101</v>
      </c>
      <c r="D16" s="155">
        <v>1121343</v>
      </c>
      <c r="E16" s="155">
        <v>41595.639790000016</v>
      </c>
      <c r="F16" s="155">
        <v>131282</v>
      </c>
      <c r="G16" s="155">
        <v>5496.1100000000015</v>
      </c>
      <c r="H16" s="155">
        <v>128</v>
      </c>
      <c r="I16" s="155">
        <v>5.72</v>
      </c>
      <c r="J16" s="155">
        <v>8</v>
      </c>
      <c r="K16" s="163">
        <v>0.32</v>
      </c>
      <c r="L16" s="155">
        <v>10</v>
      </c>
      <c r="M16" s="164">
        <v>0.45</v>
      </c>
      <c r="N16" s="137"/>
      <c r="O16" s="137"/>
    </row>
    <row r="17" spans="1:15" x14ac:dyDescent="0.2">
      <c r="A17" s="132">
        <v>43500</v>
      </c>
      <c r="B17" s="155">
        <v>20</v>
      </c>
      <c r="C17" s="155">
        <v>6490.9400000000114</v>
      </c>
      <c r="D17" s="155">
        <v>805359</v>
      </c>
      <c r="E17" s="155">
        <v>29087.23000000001</v>
      </c>
      <c r="F17" s="155">
        <v>148375</v>
      </c>
      <c r="G17" s="155">
        <v>5257.8200000000006</v>
      </c>
      <c r="H17" s="155">
        <v>101</v>
      </c>
      <c r="I17" s="155">
        <v>4.45</v>
      </c>
      <c r="J17" s="155">
        <v>9</v>
      </c>
      <c r="K17" s="163">
        <v>0.37</v>
      </c>
      <c r="L17" s="155">
        <v>41</v>
      </c>
      <c r="M17" s="162">
        <v>1.78</v>
      </c>
      <c r="N17" s="137"/>
      <c r="O17" s="137"/>
    </row>
    <row r="18" spans="1:15" ht="15" x14ac:dyDescent="0.25">
      <c r="A18" s="110" t="str">
        <f>'66'!A17</f>
        <v>$ indicates as on February 28, 2019</v>
      </c>
      <c r="B18" s="118"/>
      <c r="C18" s="165"/>
      <c r="D18" s="166"/>
      <c r="E18" s="167"/>
      <c r="F18" s="167"/>
      <c r="G18" s="167"/>
      <c r="I18" s="168"/>
      <c r="J18" s="169"/>
    </row>
    <row r="19" spans="1:15" x14ac:dyDescent="0.2">
      <c r="A19" s="170" t="s">
        <v>800</v>
      </c>
      <c r="C19" s="124"/>
      <c r="I19" s="171"/>
      <c r="J19" s="172"/>
    </row>
    <row r="20" spans="1:15" ht="15" x14ac:dyDescent="0.25">
      <c r="A20" s="170"/>
      <c r="B20" s="170"/>
      <c r="C20" s="170"/>
      <c r="D20" s="173"/>
      <c r="E20" s="173"/>
      <c r="F20" s="173"/>
      <c r="G20" s="173"/>
      <c r="H20" s="173"/>
      <c r="I20" s="173"/>
      <c r="J20" s="173"/>
    </row>
  </sheetData>
  <customSheetViews>
    <customSheetView guid="{B9B27D37-53F8-4AD8-9221-6458C3026417}" scale="120" showPageBreaks="1" fitToPage="1" printArea="1" view="pageBreakPreview" topLeftCell="A2">
      <selection activeCell="G7" sqref="G7"/>
      <pageMargins left="0.7" right="0.7" top="0.75" bottom="0.75" header="0.3" footer="0.3"/>
      <pageSetup orientation="landscape" r:id="rId1"/>
    </customSheetView>
    <customSheetView guid="{F9A1D58D-8337-4577-94AF-0D6370657575}" scale="120" showPageBreaks="1" fitToPage="1" printArea="1" view="pageBreakPreview" topLeftCell="A2">
      <selection activeCell="G7" sqref="G7"/>
      <pageMargins left="0.7" right="0.7" top="0.75" bottom="0.75" header="0.3" footer="0.3"/>
      <pageSetup orientation="landscape" r:id="rId2"/>
    </customSheetView>
  </customSheetViews>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orientation="landscape"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O21"/>
  <sheetViews>
    <sheetView view="pageBreakPreview" zoomScale="110" zoomScaleNormal="100" zoomScaleSheetLayoutView="110" workbookViewId="0">
      <selection activeCell="G7" sqref="G7"/>
    </sheetView>
  </sheetViews>
  <sheetFormatPr defaultRowHeight="15" x14ac:dyDescent="0.25"/>
  <cols>
    <col min="1" max="2" width="9.140625" style="173"/>
    <col min="3" max="3" width="10.5703125" style="173" bestFit="1" customWidth="1"/>
    <col min="4" max="4" width="9.28515625" style="173" bestFit="1" customWidth="1"/>
    <col min="5" max="5" width="9.140625" style="173"/>
    <col min="6" max="6" width="9.85546875" style="173" customWidth="1"/>
    <col min="7" max="7" width="9.85546875" style="173" bestFit="1" customWidth="1"/>
    <col min="8" max="8" width="9.28515625" style="173" bestFit="1" customWidth="1"/>
    <col min="9" max="9" width="13.28515625" style="173" customWidth="1"/>
    <col min="10" max="10" width="9.42578125" style="173" customWidth="1"/>
    <col min="11" max="11" width="9.140625" style="173"/>
    <col min="12" max="12" width="11.7109375" style="173" bestFit="1" customWidth="1"/>
    <col min="13" max="13" width="9.85546875" style="173" bestFit="1" customWidth="1"/>
    <col min="14" max="16384" width="9.140625" style="173"/>
  </cols>
  <sheetData>
    <row r="1" spans="1:15" ht="15" customHeight="1" x14ac:dyDescent="0.25">
      <c r="A1" s="174" t="s">
        <v>915</v>
      </c>
      <c r="B1" s="174"/>
      <c r="F1" s="170"/>
      <c r="G1" s="170"/>
      <c r="I1" s="174"/>
      <c r="J1" s="175"/>
      <c r="K1" s="90"/>
    </row>
    <row r="2" spans="1:15" ht="41.25" customHeight="1" x14ac:dyDescent="0.25">
      <c r="A2" s="519" t="s">
        <v>714</v>
      </c>
      <c r="B2" s="519" t="s">
        <v>801</v>
      </c>
      <c r="C2" s="525" t="s">
        <v>916</v>
      </c>
      <c r="D2" s="542"/>
      <c r="E2" s="526"/>
      <c r="F2" s="524" t="s">
        <v>917</v>
      </c>
      <c r="G2" s="524"/>
      <c r="H2" s="524"/>
      <c r="I2" s="524" t="s">
        <v>918</v>
      </c>
      <c r="J2" s="524"/>
      <c r="K2" s="524"/>
      <c r="L2" s="525" t="s">
        <v>919</v>
      </c>
      <c r="M2" s="526"/>
      <c r="N2" s="525" t="s">
        <v>805</v>
      </c>
      <c r="O2" s="526"/>
    </row>
    <row r="3" spans="1:15" ht="41.25" customHeight="1" x14ac:dyDescent="0.25">
      <c r="A3" s="520"/>
      <c r="B3" s="520"/>
      <c r="C3" s="129" t="s">
        <v>920</v>
      </c>
      <c r="D3" s="129" t="s">
        <v>803</v>
      </c>
      <c r="E3" s="129" t="s">
        <v>910</v>
      </c>
      <c r="F3" s="129" t="s">
        <v>909</v>
      </c>
      <c r="G3" s="129" t="s">
        <v>803</v>
      </c>
      <c r="H3" s="129" t="s">
        <v>910</v>
      </c>
      <c r="I3" s="129" t="s">
        <v>802</v>
      </c>
      <c r="J3" s="129" t="s">
        <v>803</v>
      </c>
      <c r="K3" s="143" t="s">
        <v>910</v>
      </c>
      <c r="L3" s="129" t="s">
        <v>803</v>
      </c>
      <c r="M3" s="129" t="s">
        <v>910</v>
      </c>
      <c r="N3" s="129" t="s">
        <v>804</v>
      </c>
      <c r="O3" s="129" t="s">
        <v>892</v>
      </c>
    </row>
    <row r="4" spans="1:15" x14ac:dyDescent="0.25">
      <c r="A4" s="145" t="s">
        <v>69</v>
      </c>
      <c r="B4" s="146">
        <v>246</v>
      </c>
      <c r="C4" s="146">
        <v>7512</v>
      </c>
      <c r="D4" s="146">
        <v>1653274</v>
      </c>
      <c r="E4" s="146">
        <v>34591</v>
      </c>
      <c r="F4" s="176" t="s">
        <v>864</v>
      </c>
      <c r="G4" s="176" t="s">
        <v>864</v>
      </c>
      <c r="H4" s="176" t="s">
        <v>864</v>
      </c>
      <c r="I4" s="146">
        <v>7362673</v>
      </c>
      <c r="J4" s="146">
        <v>7362673</v>
      </c>
      <c r="K4" s="146">
        <v>2158</v>
      </c>
      <c r="L4" s="151">
        <f t="shared" ref="L4:M4" si="0">SUM(J4,G4,D4)</f>
        <v>9015947</v>
      </c>
      <c r="M4" s="151">
        <f t="shared" si="0"/>
        <v>36749</v>
      </c>
      <c r="N4" s="146">
        <v>42771</v>
      </c>
      <c r="O4" s="146">
        <v>58.654043000000001</v>
      </c>
    </row>
    <row r="5" spans="1:15" x14ac:dyDescent="0.25">
      <c r="A5" s="145" t="s">
        <v>70</v>
      </c>
      <c r="B5" s="146">
        <f>SUM(B6:B16)</f>
        <v>236</v>
      </c>
      <c r="C5" s="146">
        <f t="shared" ref="C5:M5" si="1">SUM(C6:C16)</f>
        <v>3177.8932</v>
      </c>
      <c r="D5" s="146">
        <f t="shared" si="1"/>
        <v>665581</v>
      </c>
      <c r="E5" s="146">
        <f t="shared" si="1"/>
        <v>14533.434009300001</v>
      </c>
      <c r="F5" s="146">
        <f t="shared" si="1"/>
        <v>844.17</v>
      </c>
      <c r="G5" s="146">
        <f t="shared" si="1"/>
        <v>98678</v>
      </c>
      <c r="H5" s="146">
        <f t="shared" si="1"/>
        <v>3485.4997299999995</v>
      </c>
      <c r="I5" s="146">
        <f t="shared" si="1"/>
        <v>43165533</v>
      </c>
      <c r="J5" s="146">
        <f t="shared" si="1"/>
        <v>43165533</v>
      </c>
      <c r="K5" s="146">
        <f t="shared" si="1"/>
        <v>14839.566963199999</v>
      </c>
      <c r="L5" s="146">
        <f t="shared" si="1"/>
        <v>43929792</v>
      </c>
      <c r="M5" s="146">
        <f t="shared" si="1"/>
        <v>32858.500702500001</v>
      </c>
      <c r="N5" s="146">
        <f>N16</f>
        <v>157090</v>
      </c>
      <c r="O5" s="146">
        <f>O16</f>
        <v>91.09</v>
      </c>
    </row>
    <row r="6" spans="1:15" x14ac:dyDescent="0.25">
      <c r="A6" s="119">
        <v>43191</v>
      </c>
      <c r="B6" s="177">
        <v>21</v>
      </c>
      <c r="C6" s="177">
        <v>688.82162500000004</v>
      </c>
      <c r="D6" s="177">
        <v>179598</v>
      </c>
      <c r="E6" s="177">
        <v>3165.9945440000001</v>
      </c>
      <c r="F6" s="178" t="s">
        <v>864</v>
      </c>
      <c r="G6" s="178" t="s">
        <v>864</v>
      </c>
      <c r="H6" s="178" t="s">
        <v>864</v>
      </c>
      <c r="I6" s="177">
        <v>1764149</v>
      </c>
      <c r="J6" s="177">
        <v>1764149</v>
      </c>
      <c r="K6" s="179">
        <v>479.26</v>
      </c>
      <c r="L6" s="180">
        <v>1943747</v>
      </c>
      <c r="M6" s="180">
        <f>E6+K6</f>
        <v>3645.2545440000004</v>
      </c>
      <c r="N6" s="177">
        <v>64616</v>
      </c>
      <c r="O6" s="179">
        <v>58.016363500000004</v>
      </c>
    </row>
    <row r="7" spans="1:15" x14ac:dyDescent="0.25">
      <c r="A7" s="119">
        <v>43222</v>
      </c>
      <c r="B7" s="177">
        <v>23</v>
      </c>
      <c r="C7" s="177">
        <v>685.49514999999997</v>
      </c>
      <c r="D7" s="177">
        <v>166702</v>
      </c>
      <c r="E7" s="177">
        <v>3122.501499</v>
      </c>
      <c r="F7" s="178" t="s">
        <v>864</v>
      </c>
      <c r="G7" s="178" t="s">
        <v>864</v>
      </c>
      <c r="H7" s="178" t="s">
        <v>864</v>
      </c>
      <c r="I7" s="177">
        <v>1252759</v>
      </c>
      <c r="J7" s="177">
        <v>1252759</v>
      </c>
      <c r="K7" s="179">
        <v>362.4169</v>
      </c>
      <c r="L7" s="180">
        <v>1419461</v>
      </c>
      <c r="M7" s="180">
        <f>E7+K7</f>
        <v>3484.9183990000001</v>
      </c>
      <c r="N7" s="177">
        <v>44701</v>
      </c>
      <c r="O7" s="179">
        <v>55.181910000000002</v>
      </c>
    </row>
    <row r="8" spans="1:15" x14ac:dyDescent="0.25">
      <c r="A8" s="119">
        <v>43254</v>
      </c>
      <c r="B8" s="177">
        <v>21</v>
      </c>
      <c r="C8" s="177">
        <v>552.41610000000003</v>
      </c>
      <c r="D8" s="177">
        <v>118634</v>
      </c>
      <c r="E8" s="177">
        <v>2385.4702685000002</v>
      </c>
      <c r="F8" s="178" t="s">
        <v>864</v>
      </c>
      <c r="G8" s="178" t="s">
        <v>864</v>
      </c>
      <c r="H8" s="178" t="s">
        <v>864</v>
      </c>
      <c r="I8" s="177">
        <v>1010150</v>
      </c>
      <c r="J8" s="177">
        <v>1010150</v>
      </c>
      <c r="K8" s="179">
        <v>294.87927165000002</v>
      </c>
      <c r="L8" s="180">
        <v>1128784</v>
      </c>
      <c r="M8" s="180">
        <f>E8+K8</f>
        <v>2680.3495401500004</v>
      </c>
      <c r="N8" s="177">
        <v>41951</v>
      </c>
      <c r="O8" s="179">
        <v>39.937000600000005</v>
      </c>
    </row>
    <row r="9" spans="1:15" x14ac:dyDescent="0.25">
      <c r="A9" s="119">
        <v>43285</v>
      </c>
      <c r="B9" s="177">
        <v>22</v>
      </c>
      <c r="C9" s="177">
        <v>556.22927500000003</v>
      </c>
      <c r="D9" s="177">
        <v>79255</v>
      </c>
      <c r="E9" s="177">
        <v>2441.2125058000001</v>
      </c>
      <c r="F9" s="178" t="s">
        <v>864</v>
      </c>
      <c r="G9" s="178" t="s">
        <v>864</v>
      </c>
      <c r="H9" s="178" t="s">
        <v>864</v>
      </c>
      <c r="I9" s="177">
        <v>1529890</v>
      </c>
      <c r="J9" s="177">
        <v>1529890</v>
      </c>
      <c r="K9" s="179">
        <v>465.09</v>
      </c>
      <c r="L9" s="180">
        <v>1609145</v>
      </c>
      <c r="M9" s="180">
        <f>E9+K9</f>
        <v>2906.3025058000003</v>
      </c>
      <c r="N9" s="177">
        <v>63875</v>
      </c>
      <c r="O9" s="179">
        <v>35.555507000000006</v>
      </c>
    </row>
    <row r="10" spans="1:15" x14ac:dyDescent="0.25">
      <c r="A10" s="119">
        <v>43317</v>
      </c>
      <c r="B10" s="177">
        <v>22</v>
      </c>
      <c r="C10" s="177">
        <v>362.67804999999998</v>
      </c>
      <c r="D10" s="177">
        <v>39115</v>
      </c>
      <c r="E10" s="177">
        <v>1546.6436670000001</v>
      </c>
      <c r="F10" s="177">
        <v>30.78</v>
      </c>
      <c r="G10" s="177">
        <v>3078</v>
      </c>
      <c r="H10" s="177">
        <v>118.04</v>
      </c>
      <c r="I10" s="177">
        <v>1068842</v>
      </c>
      <c r="J10" s="177">
        <v>1068842</v>
      </c>
      <c r="K10" s="179">
        <v>314.44</v>
      </c>
      <c r="L10" s="180">
        <v>1111035</v>
      </c>
      <c r="M10" s="180">
        <f>E10+K10+H10</f>
        <v>1979.1236670000001</v>
      </c>
      <c r="N10" s="177">
        <v>56449</v>
      </c>
      <c r="O10" s="179">
        <v>26.897641999999998</v>
      </c>
    </row>
    <row r="11" spans="1:15" x14ac:dyDescent="0.25">
      <c r="A11" s="119">
        <v>43349</v>
      </c>
      <c r="B11" s="177">
        <v>20</v>
      </c>
      <c r="C11" s="177">
        <v>266.97300000000001</v>
      </c>
      <c r="D11" s="177">
        <v>31266</v>
      </c>
      <c r="E11" s="177">
        <v>1172.834625</v>
      </c>
      <c r="F11" s="177">
        <v>159.6</v>
      </c>
      <c r="G11" s="177">
        <v>15960</v>
      </c>
      <c r="H11" s="177">
        <v>613.23</v>
      </c>
      <c r="I11" s="177">
        <v>1012245</v>
      </c>
      <c r="J11" s="177">
        <v>1012245</v>
      </c>
      <c r="K11" s="179">
        <v>317.91000000000003</v>
      </c>
      <c r="L11" s="180">
        <v>1059471</v>
      </c>
      <c r="M11" s="180">
        <f>E11+K11+H11</f>
        <v>2103.9746249999998</v>
      </c>
      <c r="N11" s="177">
        <v>48875</v>
      </c>
      <c r="O11" s="179">
        <v>32.420299999999997</v>
      </c>
    </row>
    <row r="12" spans="1:15" x14ac:dyDescent="0.25">
      <c r="A12" s="119">
        <v>43380</v>
      </c>
      <c r="B12" s="177">
        <v>22</v>
      </c>
      <c r="C12" s="181">
        <v>20.111000000000001</v>
      </c>
      <c r="D12" s="181">
        <v>6233</v>
      </c>
      <c r="E12" s="182">
        <v>135.17689999999999</v>
      </c>
      <c r="F12" s="181">
        <v>183.85</v>
      </c>
      <c r="G12" s="181">
        <v>18385</v>
      </c>
      <c r="H12" s="177">
        <v>661.73572999999999</v>
      </c>
      <c r="I12" s="177">
        <v>2677357</v>
      </c>
      <c r="J12" s="177">
        <v>2677357</v>
      </c>
      <c r="K12" s="177">
        <v>943.6736915500004</v>
      </c>
      <c r="L12" s="180">
        <v>2701975</v>
      </c>
      <c r="M12" s="180">
        <f>E12+K12+H12</f>
        <v>1740.5863215500003</v>
      </c>
      <c r="N12" s="177">
        <v>32859</v>
      </c>
      <c r="O12" s="179">
        <v>22.369999999999997</v>
      </c>
    </row>
    <row r="13" spans="1:15" x14ac:dyDescent="0.25">
      <c r="A13" s="119">
        <v>43411</v>
      </c>
      <c r="B13" s="177">
        <v>22</v>
      </c>
      <c r="C13" s="177">
        <v>6.5890000000000004</v>
      </c>
      <c r="D13" s="177">
        <v>6175</v>
      </c>
      <c r="E13" s="177">
        <v>77.08</v>
      </c>
      <c r="F13" s="177">
        <v>127.46</v>
      </c>
      <c r="G13" s="177">
        <v>12746</v>
      </c>
      <c r="H13" s="177">
        <v>447.38400000000001</v>
      </c>
      <c r="I13" s="177">
        <v>5138963</v>
      </c>
      <c r="J13" s="177">
        <v>5138963</v>
      </c>
      <c r="K13" s="177">
        <v>1834.4269999999999</v>
      </c>
      <c r="L13" s="177">
        <v>5157884</v>
      </c>
      <c r="M13" s="180">
        <f>E13+K13+H13</f>
        <v>2358.8909999999996</v>
      </c>
      <c r="N13" s="177">
        <v>9537</v>
      </c>
      <c r="O13" s="177">
        <v>19.46</v>
      </c>
    </row>
    <row r="14" spans="1:15" x14ac:dyDescent="0.25">
      <c r="A14" s="119">
        <v>43442</v>
      </c>
      <c r="B14" s="177">
        <v>20</v>
      </c>
      <c r="C14" s="177">
        <v>10.071999999999999</v>
      </c>
      <c r="D14" s="177">
        <v>10072</v>
      </c>
      <c r="E14" s="177">
        <v>126.75</v>
      </c>
      <c r="F14" s="177">
        <v>150.63</v>
      </c>
      <c r="G14" s="177">
        <v>15063</v>
      </c>
      <c r="H14" s="177">
        <v>508.41</v>
      </c>
      <c r="I14" s="177">
        <v>6662853</v>
      </c>
      <c r="J14" s="177">
        <v>6662853</v>
      </c>
      <c r="K14" s="177">
        <v>2356.4</v>
      </c>
      <c r="L14" s="177">
        <v>6687988</v>
      </c>
      <c r="M14" s="180">
        <v>2991.56</v>
      </c>
      <c r="N14" s="177">
        <v>32498</v>
      </c>
      <c r="O14" s="177">
        <v>38.840000000000003</v>
      </c>
    </row>
    <row r="15" spans="1:15" x14ac:dyDescent="0.25">
      <c r="A15" s="119">
        <v>43474</v>
      </c>
      <c r="B15" s="177">
        <v>23</v>
      </c>
      <c r="C15" s="177">
        <v>13.507999999999999</v>
      </c>
      <c r="D15" s="177">
        <v>13508</v>
      </c>
      <c r="E15" s="177">
        <v>169.87</v>
      </c>
      <c r="F15" s="177">
        <v>15.85</v>
      </c>
      <c r="G15" s="177">
        <v>15853</v>
      </c>
      <c r="H15" s="177">
        <v>525.6</v>
      </c>
      <c r="I15" s="177">
        <v>8345922</v>
      </c>
      <c r="J15" s="177">
        <v>8345922</v>
      </c>
      <c r="K15" s="177">
        <v>2939.57</v>
      </c>
      <c r="L15" s="177">
        <v>8375283</v>
      </c>
      <c r="M15" s="180">
        <v>3635.04</v>
      </c>
      <c r="N15" s="177">
        <v>113812</v>
      </c>
      <c r="O15" s="177">
        <v>64.180000000000007</v>
      </c>
    </row>
    <row r="16" spans="1:15" x14ac:dyDescent="0.25">
      <c r="A16" s="119">
        <v>43506</v>
      </c>
      <c r="B16" s="177">
        <v>20</v>
      </c>
      <c r="C16" s="177">
        <v>15</v>
      </c>
      <c r="D16" s="177">
        <v>15023</v>
      </c>
      <c r="E16" s="177">
        <v>189.9</v>
      </c>
      <c r="F16" s="177">
        <v>176</v>
      </c>
      <c r="G16" s="177">
        <v>17593</v>
      </c>
      <c r="H16" s="177">
        <v>611.1</v>
      </c>
      <c r="I16" s="177">
        <v>12702403</v>
      </c>
      <c r="J16" s="177">
        <v>12702403</v>
      </c>
      <c r="K16" s="177">
        <v>4531.5001000000002</v>
      </c>
      <c r="L16" s="177">
        <v>12735019</v>
      </c>
      <c r="M16" s="180">
        <v>5332.5001000000002</v>
      </c>
      <c r="N16" s="177">
        <v>157090</v>
      </c>
      <c r="O16" s="177">
        <v>91.09</v>
      </c>
    </row>
    <row r="17" spans="1:15" x14ac:dyDescent="0.25">
      <c r="A17" s="183" t="str">
        <f>'66'!A17</f>
        <v>$ indicates as on February 28, 2019</v>
      </c>
      <c r="B17" s="184"/>
      <c r="F17" s="185"/>
      <c r="I17" s="186"/>
    </row>
    <row r="18" spans="1:15" x14ac:dyDescent="0.25">
      <c r="A18" s="183" t="s">
        <v>1017</v>
      </c>
      <c r="B18" s="187"/>
      <c r="I18" s="187"/>
      <c r="J18" s="187"/>
    </row>
    <row r="19" spans="1:15" x14ac:dyDescent="0.25">
      <c r="A19" s="188" t="s">
        <v>921</v>
      </c>
      <c r="B19" s="188"/>
      <c r="I19" s="188"/>
      <c r="J19" s="188"/>
    </row>
    <row r="20" spans="1:15" ht="30" customHeight="1" x14ac:dyDescent="0.25">
      <c r="A20" s="541" t="s">
        <v>922</v>
      </c>
      <c r="B20" s="541"/>
      <c r="C20" s="541"/>
      <c r="D20" s="541"/>
      <c r="E20" s="541"/>
      <c r="F20" s="541"/>
      <c r="G20" s="541"/>
      <c r="H20" s="541"/>
      <c r="I20" s="541"/>
      <c r="J20" s="541"/>
      <c r="K20" s="541"/>
      <c r="L20" s="541"/>
      <c r="M20" s="541"/>
      <c r="N20" s="541"/>
      <c r="O20" s="541"/>
    </row>
    <row r="21" spans="1:15" ht="19.5" customHeight="1" x14ac:dyDescent="0.25">
      <c r="A21" s="123" t="s">
        <v>923</v>
      </c>
      <c r="F21" s="173" t="s">
        <v>882</v>
      </c>
      <c r="H21" s="173" t="s">
        <v>882</v>
      </c>
    </row>
  </sheetData>
  <customSheetViews>
    <customSheetView guid="{B9B27D37-53F8-4AD8-9221-6458C3026417}" scale="110" showPageBreaks="1" fitToPage="1" printArea="1" view="pageBreakPreview">
      <selection activeCell="G7" sqref="G7"/>
      <pageMargins left="0.7" right="0.7" top="0.75" bottom="0.75" header="0.3" footer="0.3"/>
      <pageSetup paperSize="9" scale="90" orientation="landscape" r:id="rId1"/>
    </customSheetView>
    <customSheetView guid="{F9A1D58D-8337-4577-94AF-0D6370657575}" scale="110" showPageBreaks="1" fitToPage="1" printArea="1" view="pageBreakPreview">
      <selection activeCell="G7" sqref="G7"/>
      <pageMargins left="0.7" right="0.7" top="0.75" bottom="0.75" header="0.3" footer="0.3"/>
      <pageSetup paperSize="9" scale="90" orientation="landscape" r:id="rId2"/>
    </customSheetView>
  </customSheetViews>
  <mergeCells count="8">
    <mergeCell ref="N2:O2"/>
    <mergeCell ref="A20:O20"/>
    <mergeCell ref="A2:A3"/>
    <mergeCell ref="B2:B3"/>
    <mergeCell ref="C2:E2"/>
    <mergeCell ref="F2:H2"/>
    <mergeCell ref="I2:K2"/>
    <mergeCell ref="L2:M2"/>
  </mergeCells>
  <pageMargins left="0.7" right="0.7" top="0.75" bottom="0.75" header="0.3" footer="0.3"/>
  <pageSetup paperSize="9" scale="90" orientation="landscape"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R19"/>
  <sheetViews>
    <sheetView view="pageBreakPreview" zoomScale="110" zoomScaleNormal="100" zoomScaleSheetLayoutView="110" workbookViewId="0">
      <selection activeCell="G7" sqref="G7"/>
    </sheetView>
  </sheetViews>
  <sheetFormatPr defaultRowHeight="15" x14ac:dyDescent="0.25"/>
  <cols>
    <col min="1" max="7" width="9.140625" style="173"/>
    <col min="8" max="8" width="13.7109375" style="173" customWidth="1"/>
    <col min="9" max="15" width="9.140625" style="173"/>
    <col min="16" max="16" width="10.85546875" style="173" bestFit="1" customWidth="1"/>
    <col min="17" max="17" width="11.28515625" style="173" customWidth="1"/>
    <col min="18" max="18" width="9.140625" style="173" customWidth="1"/>
    <col min="19" max="16384" width="9.140625" style="173"/>
  </cols>
  <sheetData>
    <row r="1" spans="1:18" x14ac:dyDescent="0.25">
      <c r="A1" s="517" t="s">
        <v>924</v>
      </c>
      <c r="B1" s="517"/>
      <c r="C1" s="517"/>
      <c r="D1" s="517"/>
      <c r="E1" s="517"/>
      <c r="F1" s="517"/>
      <c r="G1" s="517"/>
      <c r="H1" s="517"/>
      <c r="I1" s="517"/>
      <c r="J1" s="517"/>
      <c r="K1" s="517"/>
      <c r="L1" s="517"/>
      <c r="M1" s="517"/>
      <c r="N1" s="517"/>
      <c r="O1" s="517"/>
      <c r="P1" s="517"/>
      <c r="Q1" s="517"/>
      <c r="R1" s="517"/>
    </row>
    <row r="2" spans="1:18" ht="30" customHeight="1" x14ac:dyDescent="0.25">
      <c r="A2" s="524" t="s">
        <v>714</v>
      </c>
      <c r="B2" s="524" t="s">
        <v>801</v>
      </c>
      <c r="C2" s="524" t="s">
        <v>925</v>
      </c>
      <c r="D2" s="524"/>
      <c r="E2" s="524"/>
      <c r="F2" s="524" t="s">
        <v>926</v>
      </c>
      <c r="G2" s="524"/>
      <c r="H2" s="524"/>
      <c r="I2" s="524" t="s">
        <v>927</v>
      </c>
      <c r="J2" s="524"/>
      <c r="K2" s="524"/>
      <c r="L2" s="525" t="s">
        <v>785</v>
      </c>
      <c r="M2" s="542"/>
      <c r="N2" s="526"/>
      <c r="O2" s="129" t="s">
        <v>150</v>
      </c>
      <c r="P2" s="129"/>
      <c r="Q2" s="524" t="s">
        <v>805</v>
      </c>
      <c r="R2" s="524"/>
    </row>
    <row r="3" spans="1:18" ht="38.25" x14ac:dyDescent="0.25">
      <c r="A3" s="524"/>
      <c r="B3" s="524"/>
      <c r="C3" s="129" t="s">
        <v>928</v>
      </c>
      <c r="D3" s="129" t="s">
        <v>803</v>
      </c>
      <c r="E3" s="129" t="s">
        <v>910</v>
      </c>
      <c r="F3" s="129" t="s">
        <v>929</v>
      </c>
      <c r="G3" s="129" t="s">
        <v>803</v>
      </c>
      <c r="H3" s="129" t="s">
        <v>910</v>
      </c>
      <c r="I3" s="129" t="s">
        <v>930</v>
      </c>
      <c r="J3" s="129" t="s">
        <v>803</v>
      </c>
      <c r="K3" s="129" t="s">
        <v>910</v>
      </c>
      <c r="L3" s="129" t="s">
        <v>930</v>
      </c>
      <c r="M3" s="129" t="s">
        <v>803</v>
      </c>
      <c r="N3" s="129" t="s">
        <v>910</v>
      </c>
      <c r="O3" s="129" t="s">
        <v>803</v>
      </c>
      <c r="P3" s="129" t="s">
        <v>910</v>
      </c>
      <c r="Q3" s="129" t="s">
        <v>891</v>
      </c>
      <c r="R3" s="129" t="s">
        <v>892</v>
      </c>
    </row>
    <row r="4" spans="1:18" x14ac:dyDescent="0.25">
      <c r="A4" s="145" t="s">
        <v>70</v>
      </c>
      <c r="B4" s="146">
        <f t="shared" ref="B4:H4" si="0">SUM(B5:B9)</f>
        <v>107</v>
      </c>
      <c r="C4" s="189">
        <f t="shared" si="0"/>
        <v>2.1000000000000001E-2</v>
      </c>
      <c r="D4" s="146">
        <f t="shared" si="0"/>
        <v>21</v>
      </c>
      <c r="E4" s="146">
        <f t="shared" si="0"/>
        <v>0.99</v>
      </c>
      <c r="F4" s="146">
        <f t="shared" si="0"/>
        <v>716.92099999999994</v>
      </c>
      <c r="G4" s="146">
        <f t="shared" si="0"/>
        <v>97170</v>
      </c>
      <c r="H4" s="146">
        <f t="shared" si="0"/>
        <v>26555.828538000002</v>
      </c>
      <c r="I4" s="146">
        <f t="shared" ref="I4:K4" si="1">SUM(I5:I9)</f>
        <v>1050.4934897680764</v>
      </c>
      <c r="J4" s="146">
        <f t="shared" si="1"/>
        <v>77</v>
      </c>
      <c r="K4" s="146">
        <f t="shared" si="1"/>
        <v>4.2851400000000002</v>
      </c>
      <c r="L4" s="146">
        <f>SUM(L5:L9)</f>
        <v>566.41999999999996</v>
      </c>
      <c r="M4" s="146">
        <f t="shared" ref="M4:P4" si="2">SUM(M5:M9)</f>
        <v>40558</v>
      </c>
      <c r="N4" s="146">
        <f t="shared" si="2"/>
        <v>1817.62</v>
      </c>
      <c r="O4" s="146">
        <f t="shared" si="2"/>
        <v>137826</v>
      </c>
      <c r="P4" s="146">
        <f t="shared" si="2"/>
        <v>28378.723677999998</v>
      </c>
      <c r="Q4" s="146">
        <f>Q9</f>
        <v>1099</v>
      </c>
      <c r="R4" s="146">
        <f>R9</f>
        <v>78.39</v>
      </c>
    </row>
    <row r="5" spans="1:18" x14ac:dyDescent="0.25">
      <c r="A5" s="119">
        <v>43374</v>
      </c>
      <c r="B5" s="177">
        <v>22</v>
      </c>
      <c r="C5" s="190">
        <v>0</v>
      </c>
      <c r="D5" s="177">
        <v>0</v>
      </c>
      <c r="E5" s="179">
        <v>0</v>
      </c>
      <c r="F5" s="177">
        <v>274.21199999999999</v>
      </c>
      <c r="G5" s="177">
        <v>27509</v>
      </c>
      <c r="H5" s="179">
        <v>7045.08</v>
      </c>
      <c r="I5" s="177">
        <f>7700/7.33</f>
        <v>1050.4774897680763</v>
      </c>
      <c r="J5" s="177">
        <v>77</v>
      </c>
      <c r="K5" s="179">
        <v>4.2851400000000002</v>
      </c>
      <c r="L5" s="179"/>
      <c r="M5" s="179"/>
      <c r="N5" s="179"/>
      <c r="O5" s="177">
        <f>D5+G5+J5</f>
        <v>27586</v>
      </c>
      <c r="P5" s="177">
        <f>E5+H5+K5</f>
        <v>7049.3651399999999</v>
      </c>
      <c r="Q5" s="177">
        <v>374</v>
      </c>
      <c r="R5" s="177">
        <v>58.18</v>
      </c>
    </row>
    <row r="6" spans="1:18" x14ac:dyDescent="0.25">
      <c r="A6" s="119">
        <v>43405</v>
      </c>
      <c r="B6" s="177">
        <v>22</v>
      </c>
      <c r="C6" s="190">
        <v>2.1000000000000001E-2</v>
      </c>
      <c r="D6" s="177">
        <v>21</v>
      </c>
      <c r="E6" s="179">
        <v>0.99</v>
      </c>
      <c r="F6" s="177">
        <v>179.18</v>
      </c>
      <c r="G6" s="177">
        <v>26668</v>
      </c>
      <c r="H6" s="177">
        <v>7227.19</v>
      </c>
      <c r="I6" s="177">
        <f t="shared" ref="I6:I7" si="3">(8/1000)</f>
        <v>8.0000000000000002E-3</v>
      </c>
      <c r="J6" s="179">
        <v>0</v>
      </c>
      <c r="K6" s="177">
        <v>0</v>
      </c>
      <c r="L6" s="177"/>
      <c r="M6" s="177"/>
      <c r="N6" s="177"/>
      <c r="O6" s="177">
        <f>D6+G6+J6</f>
        <v>26689</v>
      </c>
      <c r="P6" s="177">
        <f>E6+H6+K6</f>
        <v>7228.1799999999994</v>
      </c>
      <c r="Q6" s="177">
        <v>899</v>
      </c>
      <c r="R6" s="177">
        <v>113.35</v>
      </c>
    </row>
    <row r="7" spans="1:18" x14ac:dyDescent="0.25">
      <c r="A7" s="119">
        <v>43436</v>
      </c>
      <c r="B7" s="177">
        <v>20</v>
      </c>
      <c r="C7" s="190">
        <v>0</v>
      </c>
      <c r="D7" s="177">
        <v>0</v>
      </c>
      <c r="E7" s="179">
        <v>0</v>
      </c>
      <c r="F7" s="177">
        <v>109.88900000000001</v>
      </c>
      <c r="G7" s="177">
        <v>14073</v>
      </c>
      <c r="H7" s="177">
        <v>3754.7995000000001</v>
      </c>
      <c r="I7" s="177">
        <f t="shared" si="3"/>
        <v>8.0000000000000002E-3</v>
      </c>
      <c r="J7" s="179">
        <v>0</v>
      </c>
      <c r="K7" s="177">
        <v>0</v>
      </c>
      <c r="L7" s="177"/>
      <c r="M7" s="177"/>
      <c r="N7" s="177"/>
      <c r="O7" s="177">
        <v>14073</v>
      </c>
      <c r="P7" s="177">
        <v>3754.7995000000001</v>
      </c>
      <c r="Q7" s="177">
        <v>865</v>
      </c>
      <c r="R7" s="177">
        <v>133.65</v>
      </c>
    </row>
    <row r="8" spans="1:18" x14ac:dyDescent="0.25">
      <c r="A8" s="119">
        <v>43468</v>
      </c>
      <c r="B8" s="177">
        <v>23</v>
      </c>
      <c r="C8" s="190">
        <v>0</v>
      </c>
      <c r="D8" s="177">
        <v>0</v>
      </c>
      <c r="E8" s="179">
        <v>0</v>
      </c>
      <c r="F8" s="177">
        <v>74</v>
      </c>
      <c r="G8" s="177">
        <v>21483</v>
      </c>
      <c r="H8" s="177">
        <v>6538.5090380000001</v>
      </c>
      <c r="I8" s="177">
        <v>0</v>
      </c>
      <c r="J8" s="179">
        <v>0</v>
      </c>
      <c r="K8" s="177">
        <v>0</v>
      </c>
      <c r="L8" s="177"/>
      <c r="M8" s="177"/>
      <c r="N8" s="177"/>
      <c r="O8" s="177">
        <v>21483</v>
      </c>
      <c r="P8" s="177">
        <v>6538.5090380000001</v>
      </c>
      <c r="Q8" s="177">
        <v>771</v>
      </c>
      <c r="R8" s="177">
        <v>121.84</v>
      </c>
    </row>
    <row r="9" spans="1:18" x14ac:dyDescent="0.25">
      <c r="A9" s="119">
        <v>43500</v>
      </c>
      <c r="B9" s="177">
        <v>20</v>
      </c>
      <c r="C9" s="190">
        <v>0</v>
      </c>
      <c r="D9" s="177">
        <v>0</v>
      </c>
      <c r="E9" s="179">
        <v>0</v>
      </c>
      <c r="F9" s="177">
        <v>79.64</v>
      </c>
      <c r="G9" s="177">
        <v>7437</v>
      </c>
      <c r="H9" s="177">
        <v>1990.25</v>
      </c>
      <c r="I9" s="177">
        <v>0</v>
      </c>
      <c r="J9" s="179">
        <v>0</v>
      </c>
      <c r="K9" s="177">
        <v>0</v>
      </c>
      <c r="L9" s="177">
        <v>566.41999999999996</v>
      </c>
      <c r="M9" s="177">
        <v>40558</v>
      </c>
      <c r="N9" s="177">
        <v>1817.62</v>
      </c>
      <c r="O9" s="177">
        <v>47995</v>
      </c>
      <c r="P9" s="177">
        <v>3807.87</v>
      </c>
      <c r="Q9" s="177">
        <v>1099</v>
      </c>
      <c r="R9" s="177">
        <v>78.39</v>
      </c>
    </row>
    <row r="10" spans="1:18" x14ac:dyDescent="0.25">
      <c r="A10" s="110" t="s">
        <v>540</v>
      </c>
      <c r="B10" s="191"/>
      <c r="C10" s="191"/>
      <c r="D10" s="191"/>
      <c r="E10" s="191"/>
      <c r="F10" s="191"/>
      <c r="G10" s="191"/>
      <c r="H10" s="191"/>
      <c r="I10" s="192"/>
      <c r="J10" s="192"/>
      <c r="K10" s="192"/>
      <c r="L10" s="192"/>
      <c r="M10" s="192"/>
      <c r="N10" s="192"/>
      <c r="O10" s="192"/>
      <c r="P10" s="192"/>
      <c r="Q10" s="193"/>
      <c r="R10" s="194"/>
    </row>
    <row r="11" spans="1:18" x14ac:dyDescent="0.25">
      <c r="A11" s="543" t="s">
        <v>931</v>
      </c>
      <c r="B11" s="543"/>
      <c r="C11" s="543"/>
      <c r="D11" s="543"/>
      <c r="E11" s="543"/>
      <c r="F11" s="543"/>
      <c r="G11" s="543"/>
      <c r="H11" s="543"/>
      <c r="I11" s="543"/>
      <c r="J11" s="192"/>
      <c r="K11" s="192"/>
      <c r="L11" s="192"/>
      <c r="M11" s="192"/>
      <c r="N11" s="192"/>
      <c r="O11" s="192"/>
      <c r="P11" s="192"/>
      <c r="Q11" s="193"/>
      <c r="R11" s="194"/>
    </row>
    <row r="12" spans="1:18" x14ac:dyDescent="0.25">
      <c r="A12" s="123" t="s">
        <v>592</v>
      </c>
      <c r="B12" s="110"/>
      <c r="C12" s="110"/>
      <c r="D12" s="110"/>
      <c r="E12" s="110"/>
      <c r="F12" s="110"/>
      <c r="G12" s="110"/>
      <c r="H12" s="110"/>
      <c r="I12" s="110"/>
      <c r="J12" s="110"/>
      <c r="K12" s="110"/>
      <c r="L12" s="110"/>
      <c r="M12" s="110"/>
      <c r="N12" s="110"/>
      <c r="O12" s="110"/>
      <c r="P12" s="110"/>
      <c r="Q12" s="110"/>
      <c r="R12" s="110"/>
    </row>
    <row r="13" spans="1:18" x14ac:dyDescent="0.25">
      <c r="A13" s="123"/>
      <c r="B13" s="110"/>
      <c r="C13" s="110"/>
      <c r="D13" s="110"/>
      <c r="E13" s="110"/>
      <c r="F13" s="110"/>
      <c r="G13" s="110"/>
      <c r="H13" s="110"/>
      <c r="I13" s="137"/>
      <c r="J13" s="110" t="s">
        <v>882</v>
      </c>
      <c r="K13" s="110"/>
      <c r="L13" s="110"/>
      <c r="M13" s="110"/>
      <c r="N13" s="110"/>
      <c r="O13" s="110"/>
      <c r="P13" s="110"/>
      <c r="Q13" s="110"/>
      <c r="R13" s="110"/>
    </row>
    <row r="15" spans="1:18" x14ac:dyDescent="0.25">
      <c r="P15" s="195"/>
    </row>
    <row r="16" spans="1:18" x14ac:dyDescent="0.25">
      <c r="H16" s="195"/>
      <c r="P16" s="195"/>
      <c r="Q16" s="195"/>
    </row>
    <row r="17" spans="8:16" x14ac:dyDescent="0.25">
      <c r="H17" s="195"/>
      <c r="P17" s="195"/>
    </row>
    <row r="18" spans="8:16" x14ac:dyDescent="0.25">
      <c r="P18" s="195"/>
    </row>
    <row r="19" spans="8:16" x14ac:dyDescent="0.25">
      <c r="H19" s="195"/>
      <c r="P19" s="195"/>
    </row>
  </sheetData>
  <customSheetViews>
    <customSheetView guid="{B9B27D37-53F8-4AD8-9221-6458C3026417}" scale="110" showPageBreaks="1" fitToPage="1" printArea="1" view="pageBreakPreview">
      <selection activeCell="G7" sqref="G7"/>
      <pageMargins left="0.7" right="0.7" top="0.75" bottom="0.75" header="0.3" footer="0.3"/>
      <pageSetup scale="54" orientation="landscape" r:id="rId1"/>
    </customSheetView>
    <customSheetView guid="{F9A1D58D-8337-4577-94AF-0D6370657575}" scale="110" showPageBreaks="1" fitToPage="1" printArea="1" view="pageBreakPreview">
      <selection activeCell="G7" sqref="G7"/>
      <pageMargins left="0.7" right="0.7" top="0.75" bottom="0.75" header="0.3" footer="0.3"/>
      <pageSetup scale="54" orientation="landscape" r:id="rId2"/>
    </customSheetView>
  </customSheetViews>
  <mergeCells count="9">
    <mergeCell ref="A11:I11"/>
    <mergeCell ref="A1:R1"/>
    <mergeCell ref="A2:A3"/>
    <mergeCell ref="B2:B3"/>
    <mergeCell ref="C2:E2"/>
    <mergeCell ref="F2:H2"/>
    <mergeCell ref="I2:K2"/>
    <mergeCell ref="L2:N2"/>
    <mergeCell ref="Q2:R2"/>
  </mergeCells>
  <pageMargins left="0.7" right="0.7" top="0.75" bottom="0.75" header="0.3" footer="0.3"/>
  <pageSetup scale="54" orientation="landscape"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L26"/>
  <sheetViews>
    <sheetView view="pageBreakPreview" zoomScale="110" zoomScaleNormal="100" zoomScaleSheetLayoutView="110" workbookViewId="0">
      <selection activeCell="G7" sqref="G7"/>
    </sheetView>
  </sheetViews>
  <sheetFormatPr defaultRowHeight="15" x14ac:dyDescent="0.25"/>
  <cols>
    <col min="1" max="8" width="9.140625" style="173"/>
    <col min="9" max="9" width="9.42578125" style="173" bestFit="1" customWidth="1"/>
    <col min="10" max="16384" width="9.140625" style="173"/>
  </cols>
  <sheetData>
    <row r="1" spans="1:7" x14ac:dyDescent="0.25">
      <c r="A1" s="196" t="s">
        <v>932</v>
      </c>
    </row>
    <row r="2" spans="1:7" x14ac:dyDescent="0.25">
      <c r="A2" s="196"/>
    </row>
    <row r="3" spans="1:7" ht="30" customHeight="1" x14ac:dyDescent="0.25">
      <c r="A3" s="524" t="s">
        <v>714</v>
      </c>
      <c r="B3" s="524" t="s">
        <v>801</v>
      </c>
      <c r="C3" s="524" t="s">
        <v>926</v>
      </c>
      <c r="D3" s="524"/>
      <c r="E3" s="524"/>
      <c r="F3" s="524" t="s">
        <v>805</v>
      </c>
      <c r="G3" s="524"/>
    </row>
    <row r="4" spans="1:7" ht="38.25" x14ac:dyDescent="0.25">
      <c r="A4" s="524"/>
      <c r="B4" s="524"/>
      <c r="C4" s="129" t="s">
        <v>928</v>
      </c>
      <c r="D4" s="129" t="s">
        <v>803</v>
      </c>
      <c r="E4" s="129" t="s">
        <v>910</v>
      </c>
      <c r="F4" s="129" t="s">
        <v>891</v>
      </c>
      <c r="G4" s="129" t="s">
        <v>892</v>
      </c>
    </row>
    <row r="5" spans="1:7" x14ac:dyDescent="0.25">
      <c r="A5" s="145" t="s">
        <v>70</v>
      </c>
      <c r="B5" s="146">
        <f>SUM(B6:B10)</f>
        <v>99</v>
      </c>
      <c r="C5" s="146">
        <f t="shared" ref="C5:E5" si="0">SUM(C6:C10)</f>
        <v>136.14390000000003</v>
      </c>
      <c r="D5" s="146">
        <f t="shared" si="0"/>
        <v>27506</v>
      </c>
      <c r="E5" s="146">
        <f t="shared" si="0"/>
        <v>3014.2179730000003</v>
      </c>
      <c r="F5" s="146">
        <f>F10</f>
        <v>207</v>
      </c>
      <c r="G5" s="146">
        <f>G10</f>
        <v>19.89</v>
      </c>
    </row>
    <row r="6" spans="1:7" x14ac:dyDescent="0.25">
      <c r="A6" s="119">
        <v>43374</v>
      </c>
      <c r="B6" s="177">
        <v>14</v>
      </c>
      <c r="C6" s="177">
        <v>24.879000000000001</v>
      </c>
      <c r="D6" s="177">
        <v>2881</v>
      </c>
      <c r="E6" s="177">
        <v>696.19926200000009</v>
      </c>
      <c r="F6" s="177">
        <v>139</v>
      </c>
      <c r="G6" s="177">
        <v>29.009999999999998</v>
      </c>
    </row>
    <row r="7" spans="1:7" x14ac:dyDescent="0.25">
      <c r="A7" s="119">
        <v>43405</v>
      </c>
      <c r="B7" s="177">
        <v>22</v>
      </c>
      <c r="C7" s="177">
        <v>34.4435</v>
      </c>
      <c r="D7" s="177">
        <v>3407</v>
      </c>
      <c r="E7" s="177">
        <v>837.90051600000015</v>
      </c>
      <c r="F7" s="177">
        <v>338</v>
      </c>
      <c r="G7" s="177">
        <v>68.209999999999994</v>
      </c>
    </row>
    <row r="8" spans="1:7" x14ac:dyDescent="0.25">
      <c r="A8" s="119">
        <v>43436</v>
      </c>
      <c r="B8" s="177">
        <v>20</v>
      </c>
      <c r="C8" s="177">
        <v>38.480300000000007</v>
      </c>
      <c r="D8" s="177">
        <v>3007</v>
      </c>
      <c r="E8" s="177">
        <v>532.61176099999989</v>
      </c>
      <c r="F8" s="177">
        <v>292</v>
      </c>
      <c r="G8" s="177">
        <v>60.89</v>
      </c>
    </row>
    <row r="9" spans="1:7" x14ac:dyDescent="0.25">
      <c r="A9" s="119">
        <v>43468</v>
      </c>
      <c r="B9" s="177">
        <v>23</v>
      </c>
      <c r="C9" s="177">
        <v>19.888600000000004</v>
      </c>
      <c r="D9" s="177">
        <v>6163</v>
      </c>
      <c r="E9" s="177">
        <v>448.81896000000006</v>
      </c>
      <c r="F9" s="177">
        <v>284</v>
      </c>
      <c r="G9" s="177">
        <v>36.090000000000003</v>
      </c>
    </row>
    <row r="10" spans="1:7" x14ac:dyDescent="0.25">
      <c r="A10" s="119">
        <v>43500</v>
      </c>
      <c r="B10" s="177">
        <v>20</v>
      </c>
      <c r="C10" s="177">
        <v>18.452500000000001</v>
      </c>
      <c r="D10" s="177">
        <v>12048</v>
      </c>
      <c r="E10" s="177">
        <v>498.68747400000018</v>
      </c>
      <c r="F10" s="177">
        <v>207</v>
      </c>
      <c r="G10" s="177">
        <v>19.89</v>
      </c>
    </row>
    <row r="11" spans="1:7" x14ac:dyDescent="0.25">
      <c r="A11" s="110" t="s">
        <v>540</v>
      </c>
    </row>
    <row r="12" spans="1:7" x14ac:dyDescent="0.25">
      <c r="A12" s="123" t="s">
        <v>296</v>
      </c>
    </row>
    <row r="13" spans="1:7" x14ac:dyDescent="0.25">
      <c r="A13" s="123"/>
    </row>
    <row r="18" spans="9:12" x14ac:dyDescent="0.25">
      <c r="I18" s="185"/>
      <c r="J18" s="185"/>
      <c r="K18" s="185"/>
    </row>
    <row r="19" spans="9:12" x14ac:dyDescent="0.25">
      <c r="I19" s="185"/>
      <c r="J19" s="185"/>
      <c r="K19" s="185"/>
    </row>
    <row r="20" spans="9:12" x14ac:dyDescent="0.25">
      <c r="I20" s="185"/>
      <c r="J20" s="185"/>
      <c r="K20" s="185"/>
    </row>
    <row r="21" spans="9:12" x14ac:dyDescent="0.25">
      <c r="I21" s="185"/>
      <c r="J21" s="185"/>
      <c r="K21" s="185"/>
    </row>
    <row r="22" spans="9:12" x14ac:dyDescent="0.25">
      <c r="I22" s="185"/>
      <c r="J22" s="185"/>
      <c r="K22" s="185"/>
    </row>
    <row r="26" spans="9:12" x14ac:dyDescent="0.25">
      <c r="L26" s="185"/>
    </row>
  </sheetData>
  <customSheetViews>
    <customSheetView guid="{B9B27D37-53F8-4AD8-9221-6458C3026417}" scale="110" showPageBreaks="1" fitToPage="1" printArea="1" view="pageBreakPreview">
      <selection activeCell="G7" sqref="G7"/>
      <pageMargins left="0.7" right="0.7" top="0.75" bottom="0.75" header="0.3" footer="0.3"/>
      <pageSetup orientation="portrait" r:id="rId1"/>
    </customSheetView>
    <customSheetView guid="{F9A1D58D-8337-4577-94AF-0D6370657575}" scale="110" showPageBreaks="1" fitToPage="1" printArea="1" view="pageBreakPreview">
      <selection activeCell="G7" sqref="G7"/>
      <pageMargins left="0.7" right="0.7" top="0.75" bottom="0.75" header="0.3" footer="0.3"/>
      <pageSetup orientation="portrait" r:id="rId2"/>
    </customSheetView>
  </customSheetViews>
  <mergeCells count="4">
    <mergeCell ref="A3:A4"/>
    <mergeCell ref="B3:B4"/>
    <mergeCell ref="C3:E3"/>
    <mergeCell ref="F3:G3"/>
  </mergeCells>
  <pageMargins left="0.7" right="0.7" top="0.75" bottom="0.75" header="0.3" footer="0.3"/>
  <pageSetup orientation="portrait"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U20"/>
  <sheetViews>
    <sheetView view="pageBreakPreview" zoomScaleNormal="115" zoomScaleSheetLayoutView="100" workbookViewId="0">
      <selection activeCell="G7" sqref="G7"/>
    </sheetView>
  </sheetViews>
  <sheetFormatPr defaultRowHeight="12.75" x14ac:dyDescent="0.2"/>
  <cols>
    <col min="1" max="1" width="9.140625" style="110" customWidth="1"/>
    <col min="2" max="2" width="9.7109375" style="110" customWidth="1"/>
    <col min="3" max="3" width="7.85546875" style="110" customWidth="1"/>
    <col min="4" max="5" width="9.140625" style="110"/>
    <col min="6" max="6" width="10.7109375" style="110" customWidth="1"/>
    <col min="7" max="7" width="10.28515625" style="110" customWidth="1"/>
    <col min="8" max="16384" width="9.140625" style="110"/>
  </cols>
  <sheetData>
    <row r="1" spans="1:16" s="197" customFormat="1" ht="18" customHeight="1" x14ac:dyDescent="0.25">
      <c r="A1" s="511" t="s">
        <v>933</v>
      </c>
      <c r="B1" s="511"/>
      <c r="C1" s="511"/>
      <c r="D1" s="511"/>
      <c r="E1" s="511"/>
      <c r="F1" s="511"/>
      <c r="G1" s="511"/>
      <c r="H1" s="511"/>
      <c r="I1" s="511"/>
      <c r="J1" s="511"/>
      <c r="K1" s="511"/>
      <c r="L1" s="511"/>
      <c r="M1" s="511"/>
      <c r="N1" s="511"/>
    </row>
    <row r="2" spans="1:16" ht="17.25" customHeight="1" x14ac:dyDescent="0.2">
      <c r="A2" s="544" t="s">
        <v>182</v>
      </c>
      <c r="B2" s="547" t="s">
        <v>794</v>
      </c>
      <c r="C2" s="548"/>
      <c r="D2" s="548"/>
      <c r="E2" s="549"/>
      <c r="F2" s="547" t="s">
        <v>791</v>
      </c>
      <c r="G2" s="548"/>
      <c r="H2" s="548"/>
      <c r="I2" s="547" t="s">
        <v>881</v>
      </c>
      <c r="J2" s="548"/>
      <c r="K2" s="548"/>
      <c r="L2" s="549"/>
      <c r="M2" s="547" t="s">
        <v>252</v>
      </c>
      <c r="N2" s="548"/>
      <c r="O2" s="547" t="s">
        <v>253</v>
      </c>
      <c r="P2" s="548"/>
    </row>
    <row r="3" spans="1:16" ht="12.75" customHeight="1" x14ac:dyDescent="0.2">
      <c r="A3" s="545"/>
      <c r="B3" s="550" t="s">
        <v>934</v>
      </c>
      <c r="C3" s="551"/>
      <c r="D3" s="525" t="s">
        <v>935</v>
      </c>
      <c r="E3" s="526"/>
      <c r="F3" s="550" t="s">
        <v>785</v>
      </c>
      <c r="G3" s="552"/>
      <c r="H3" s="551"/>
      <c r="I3" s="550" t="s">
        <v>785</v>
      </c>
      <c r="J3" s="551"/>
      <c r="K3" s="525" t="s">
        <v>936</v>
      </c>
      <c r="L3" s="526"/>
      <c r="M3" s="525" t="s">
        <v>936</v>
      </c>
      <c r="N3" s="526"/>
      <c r="O3" s="525" t="s">
        <v>936</v>
      </c>
      <c r="P3" s="526"/>
    </row>
    <row r="4" spans="1:16" x14ac:dyDescent="0.2">
      <c r="A4" s="546"/>
      <c r="B4" s="198" t="s">
        <v>333</v>
      </c>
      <c r="C4" s="198" t="s">
        <v>937</v>
      </c>
      <c r="D4" s="198" t="s">
        <v>333</v>
      </c>
      <c r="E4" s="198" t="s">
        <v>937</v>
      </c>
      <c r="F4" s="198" t="s">
        <v>333</v>
      </c>
      <c r="G4" s="198" t="s">
        <v>937</v>
      </c>
      <c r="H4" s="198" t="s">
        <v>806</v>
      </c>
      <c r="I4" s="198" t="s">
        <v>333</v>
      </c>
      <c r="J4" s="198" t="s">
        <v>937</v>
      </c>
      <c r="K4" s="198" t="s">
        <v>333</v>
      </c>
      <c r="L4" s="198" t="s">
        <v>937</v>
      </c>
      <c r="M4" s="198" t="s">
        <v>333</v>
      </c>
      <c r="N4" s="198" t="s">
        <v>937</v>
      </c>
      <c r="O4" s="198" t="s">
        <v>333</v>
      </c>
      <c r="P4" s="198" t="s">
        <v>937</v>
      </c>
    </row>
    <row r="5" spans="1:16" s="118" customFormat="1" x14ac:dyDescent="0.2">
      <c r="A5" s="114" t="s">
        <v>69</v>
      </c>
      <c r="B5" s="199">
        <v>35.440516926999997</v>
      </c>
      <c r="C5" s="199">
        <v>64.559483072999996</v>
      </c>
      <c r="D5" s="199">
        <v>20.606491482999999</v>
      </c>
      <c r="E5" s="199">
        <v>79.393508517000001</v>
      </c>
      <c r="F5" s="200">
        <v>41.042632143128017</v>
      </c>
      <c r="G5" s="200">
        <v>58.794851415623498</v>
      </c>
      <c r="H5" s="201">
        <v>0.16251644124848158</v>
      </c>
      <c r="I5" s="200">
        <v>2.0745345804873399</v>
      </c>
      <c r="J5" s="200">
        <v>97.925465419512705</v>
      </c>
      <c r="K5" s="200" t="s">
        <v>864</v>
      </c>
      <c r="L5" s="200" t="s">
        <v>864</v>
      </c>
      <c r="M5" s="200" t="s">
        <v>864</v>
      </c>
      <c r="N5" s="200" t="s">
        <v>864</v>
      </c>
      <c r="O5" s="200" t="s">
        <v>864</v>
      </c>
      <c r="P5" s="200" t="s">
        <v>864</v>
      </c>
    </row>
    <row r="6" spans="1:16" s="118" customFormat="1" x14ac:dyDescent="0.2">
      <c r="A6" s="114" t="s">
        <v>70</v>
      </c>
      <c r="B6" s="199">
        <v>38.24843636704783</v>
      </c>
      <c r="C6" s="199">
        <v>61.75156363295217</v>
      </c>
      <c r="D6" s="199">
        <v>26.89530348779957</v>
      </c>
      <c r="E6" s="199">
        <v>73.104696512200434</v>
      </c>
      <c r="F6" s="200">
        <v>43.989223097211813</v>
      </c>
      <c r="G6" s="200">
        <v>55.660864171179981</v>
      </c>
      <c r="H6" s="201">
        <v>0.4</v>
      </c>
      <c r="I6" s="200">
        <v>1.74</v>
      </c>
      <c r="J6" s="200">
        <v>98.26</v>
      </c>
      <c r="K6" s="200">
        <v>44.45</v>
      </c>
      <c r="L6" s="200">
        <v>55.548999999999999</v>
      </c>
      <c r="M6" s="200">
        <v>97.600921715090536</v>
      </c>
      <c r="N6" s="200">
        <v>2.3990782849094607</v>
      </c>
      <c r="O6" s="200">
        <v>84.39241591968306</v>
      </c>
      <c r="P6" s="200">
        <v>15.607584080316936</v>
      </c>
    </row>
    <row r="7" spans="1:16" x14ac:dyDescent="0.2">
      <c r="A7" s="202">
        <v>43191</v>
      </c>
      <c r="B7" s="203">
        <v>36.64062792</v>
      </c>
      <c r="C7" s="203">
        <v>63.35937208</v>
      </c>
      <c r="D7" s="203">
        <v>25.799195289</v>
      </c>
      <c r="E7" s="203">
        <v>74.200804711000004</v>
      </c>
      <c r="F7" s="204">
        <v>41.464739715300247</v>
      </c>
      <c r="G7" s="204">
        <v>58.31347569222897</v>
      </c>
      <c r="H7" s="205">
        <v>0.22178459247078966</v>
      </c>
      <c r="I7" s="203">
        <v>3.7808933759999999</v>
      </c>
      <c r="J7" s="203">
        <v>96.219106624000005</v>
      </c>
      <c r="K7" s="203">
        <v>77.62379464093874</v>
      </c>
      <c r="L7" s="203">
        <v>22.376205359061256</v>
      </c>
      <c r="M7" s="204" t="s">
        <v>864</v>
      </c>
      <c r="N7" s="204" t="s">
        <v>864</v>
      </c>
      <c r="O7" s="204" t="s">
        <v>864</v>
      </c>
      <c r="P7" s="204" t="s">
        <v>864</v>
      </c>
    </row>
    <row r="8" spans="1:16" x14ac:dyDescent="0.2">
      <c r="A8" s="202">
        <v>43222</v>
      </c>
      <c r="B8" s="203">
        <v>39.699136752692091</v>
      </c>
      <c r="C8" s="203">
        <v>60.300863247307909</v>
      </c>
      <c r="D8" s="203">
        <v>23.424539944709505</v>
      </c>
      <c r="E8" s="203">
        <v>76.575460055290492</v>
      </c>
      <c r="F8" s="204">
        <v>41.543462173012394</v>
      </c>
      <c r="G8" s="204">
        <v>57.954045200930459</v>
      </c>
      <c r="H8" s="205">
        <v>0.50249262605713574</v>
      </c>
      <c r="I8" s="203">
        <v>1.283135157</v>
      </c>
      <c r="J8" s="203">
        <v>98.716864842999996</v>
      </c>
      <c r="K8" s="203">
        <v>87.272000000000006</v>
      </c>
      <c r="L8" s="203">
        <v>12.72794</v>
      </c>
      <c r="M8" s="204" t="s">
        <v>864</v>
      </c>
      <c r="N8" s="204" t="s">
        <v>864</v>
      </c>
      <c r="O8" s="204" t="s">
        <v>864</v>
      </c>
      <c r="P8" s="204" t="s">
        <v>864</v>
      </c>
    </row>
    <row r="9" spans="1:16" x14ac:dyDescent="0.2">
      <c r="A9" s="202">
        <v>43254</v>
      </c>
      <c r="B9" s="203">
        <v>36.644849926196009</v>
      </c>
      <c r="C9" s="203">
        <v>63.355150073803991</v>
      </c>
      <c r="D9" s="203">
        <v>24.119344017571898</v>
      </c>
      <c r="E9" s="203">
        <v>75.880655982428095</v>
      </c>
      <c r="F9" s="204">
        <v>40.839522610724231</v>
      </c>
      <c r="G9" s="204">
        <v>58.456153296280277</v>
      </c>
      <c r="H9" s="205">
        <v>0.7043240929954836</v>
      </c>
      <c r="I9" s="203">
        <v>0.97375300799999998</v>
      </c>
      <c r="J9" s="203">
        <v>99.026246991999997</v>
      </c>
      <c r="K9" s="203">
        <v>88.8</v>
      </c>
      <c r="L9" s="203">
        <v>11.198</v>
      </c>
      <c r="M9" s="204" t="s">
        <v>864</v>
      </c>
      <c r="N9" s="204" t="s">
        <v>864</v>
      </c>
      <c r="O9" s="204" t="s">
        <v>864</v>
      </c>
      <c r="P9" s="204" t="s">
        <v>864</v>
      </c>
    </row>
    <row r="10" spans="1:16" x14ac:dyDescent="0.2">
      <c r="A10" s="202">
        <v>43285</v>
      </c>
      <c r="B10" s="203">
        <v>34.634726052424284</v>
      </c>
      <c r="C10" s="203">
        <v>65.365273947575702</v>
      </c>
      <c r="D10" s="203">
        <v>23.958425746782854</v>
      </c>
      <c r="E10" s="203">
        <v>76.041574253217149</v>
      </c>
      <c r="F10" s="204">
        <v>42.096345076153483</v>
      </c>
      <c r="G10" s="204">
        <v>57.666392691124145</v>
      </c>
      <c r="H10" s="205">
        <v>0.23726223272236982</v>
      </c>
      <c r="I10" s="203">
        <v>0.539231672</v>
      </c>
      <c r="J10" s="203">
        <v>99.460768328</v>
      </c>
      <c r="K10" s="203">
        <v>84.085999999999999</v>
      </c>
      <c r="L10" s="203">
        <v>15.913</v>
      </c>
      <c r="M10" s="204" t="s">
        <v>864</v>
      </c>
      <c r="N10" s="204" t="s">
        <v>864</v>
      </c>
      <c r="O10" s="204" t="s">
        <v>864</v>
      </c>
      <c r="P10" s="204" t="s">
        <v>864</v>
      </c>
    </row>
    <row r="11" spans="1:16" x14ac:dyDescent="0.2">
      <c r="A11" s="202">
        <v>43317</v>
      </c>
      <c r="B11" s="203">
        <v>35.746452557453431</v>
      </c>
      <c r="C11" s="203">
        <v>64.253547442546562</v>
      </c>
      <c r="D11" s="203">
        <v>24.638629362888313</v>
      </c>
      <c r="E11" s="203">
        <v>75.36137063711169</v>
      </c>
      <c r="F11" s="204">
        <v>46.468795825798701</v>
      </c>
      <c r="G11" s="204">
        <v>53.381877381978256</v>
      </c>
      <c r="H11" s="205">
        <v>0.14932679222304915</v>
      </c>
      <c r="I11" s="203">
        <v>0.19026690299999999</v>
      </c>
      <c r="J11" s="203">
        <v>99.809733097000006</v>
      </c>
      <c r="K11" s="203">
        <v>71.034999999999997</v>
      </c>
      <c r="L11" s="203">
        <v>28.963999999999999</v>
      </c>
      <c r="M11" s="204" t="s">
        <v>864</v>
      </c>
      <c r="N11" s="204" t="s">
        <v>864</v>
      </c>
      <c r="O11" s="204" t="s">
        <v>864</v>
      </c>
      <c r="P11" s="204" t="s">
        <v>864</v>
      </c>
    </row>
    <row r="12" spans="1:16" x14ac:dyDescent="0.2">
      <c r="A12" s="202">
        <v>43349</v>
      </c>
      <c r="B12" s="203">
        <v>39.742170877671981</v>
      </c>
      <c r="C12" s="203">
        <v>60.257829122328012</v>
      </c>
      <c r="D12" s="203">
        <v>25.029793067889571</v>
      </c>
      <c r="E12" s="203">
        <v>74.970206932110429</v>
      </c>
      <c r="F12" s="204">
        <v>44.63365497296487</v>
      </c>
      <c r="G12" s="204">
        <v>55.071884247287393</v>
      </c>
      <c r="H12" s="205">
        <v>0.2944607797477285</v>
      </c>
      <c r="I12" s="203">
        <v>0.13218172787466426</v>
      </c>
      <c r="J12" s="203">
        <v>99.867818272125348</v>
      </c>
      <c r="K12" s="203">
        <v>56.940959999999997</v>
      </c>
      <c r="L12" s="203">
        <v>43.059040000000003</v>
      </c>
      <c r="M12" s="204" t="s">
        <v>864</v>
      </c>
      <c r="N12" s="204" t="s">
        <v>864</v>
      </c>
      <c r="O12" s="204" t="s">
        <v>864</v>
      </c>
      <c r="P12" s="204" t="s">
        <v>864</v>
      </c>
    </row>
    <row r="13" spans="1:16" x14ac:dyDescent="0.2">
      <c r="A13" s="202">
        <v>43374</v>
      </c>
      <c r="B13" s="203">
        <v>41.375663733357001</v>
      </c>
      <c r="C13" s="203">
        <v>58.624336266643006</v>
      </c>
      <c r="D13" s="203">
        <v>27.632406871587584</v>
      </c>
      <c r="E13" s="203">
        <v>72.367593128412423</v>
      </c>
      <c r="F13" s="204">
        <v>45.378564571165121</v>
      </c>
      <c r="G13" s="204">
        <v>54.167546613718379</v>
      </c>
      <c r="H13" s="205">
        <v>0.45388881511650697</v>
      </c>
      <c r="I13" s="203">
        <v>14.298</v>
      </c>
      <c r="J13" s="203">
        <v>85.701800000000006</v>
      </c>
      <c r="K13" s="203">
        <v>40.319000000000003</v>
      </c>
      <c r="L13" s="203">
        <v>59.680689999999998</v>
      </c>
      <c r="M13" s="204">
        <v>97.45</v>
      </c>
      <c r="N13" s="204">
        <v>2.5499999999999998</v>
      </c>
      <c r="O13" s="204">
        <v>83.419654572974835</v>
      </c>
      <c r="P13" s="204">
        <v>16.580345427025172</v>
      </c>
    </row>
    <row r="14" spans="1:16" x14ac:dyDescent="0.2">
      <c r="A14" s="202">
        <v>43434</v>
      </c>
      <c r="B14" s="203">
        <v>40.227907740529133</v>
      </c>
      <c r="C14" s="203">
        <v>59.772092259470867</v>
      </c>
      <c r="D14" s="203">
        <v>30.488624494868429</v>
      </c>
      <c r="E14" s="203">
        <v>69.511375505131582</v>
      </c>
      <c r="F14" s="203">
        <v>46.975662657803134</v>
      </c>
      <c r="G14" s="203">
        <v>52.751552634029565</v>
      </c>
      <c r="H14" s="206">
        <v>0.2727847081673086</v>
      </c>
      <c r="I14" s="203">
        <v>11.98</v>
      </c>
      <c r="J14" s="203">
        <v>88.02</v>
      </c>
      <c r="K14" s="203">
        <v>30.75</v>
      </c>
      <c r="L14" s="203">
        <v>69.25</v>
      </c>
      <c r="M14" s="203">
        <v>98.55</v>
      </c>
      <c r="N14" s="203">
        <v>1.45</v>
      </c>
      <c r="O14" s="204">
        <v>82.748722641913247</v>
      </c>
      <c r="P14" s="204">
        <v>17.25127735808675</v>
      </c>
    </row>
    <row r="15" spans="1:16" x14ac:dyDescent="0.2">
      <c r="A15" s="202">
        <v>43435</v>
      </c>
      <c r="B15" s="203">
        <v>39.91104653676463</v>
      </c>
      <c r="C15" s="203">
        <v>60.08895346323537</v>
      </c>
      <c r="D15" s="203">
        <v>32.587843044961254</v>
      </c>
      <c r="E15" s="203">
        <v>67.412156955038753</v>
      </c>
      <c r="F15" s="203">
        <v>44.959440808380116</v>
      </c>
      <c r="G15" s="203">
        <v>54.594706455516508</v>
      </c>
      <c r="H15" s="206">
        <v>0.44585273610337406</v>
      </c>
      <c r="I15" s="203">
        <v>13.36</v>
      </c>
      <c r="J15" s="203">
        <v>86.635999999999996</v>
      </c>
      <c r="K15" s="203">
        <v>27.64</v>
      </c>
      <c r="L15" s="203">
        <v>72.356999999999999</v>
      </c>
      <c r="M15" s="203">
        <v>97.356936622048664</v>
      </c>
      <c r="N15" s="203">
        <v>2.6430633779513393</v>
      </c>
      <c r="O15" s="204">
        <v>93.674233566164162</v>
      </c>
      <c r="P15" s="204">
        <v>6.3257664338358488</v>
      </c>
    </row>
    <row r="16" spans="1:16" x14ac:dyDescent="0.2">
      <c r="A16" s="202">
        <v>43467</v>
      </c>
      <c r="B16" s="203">
        <v>38.259391515801646</v>
      </c>
      <c r="C16" s="203">
        <v>61.740608484198354</v>
      </c>
      <c r="D16" s="203">
        <v>30.226112904312984</v>
      </c>
      <c r="E16" s="203">
        <v>69.773887095687016</v>
      </c>
      <c r="F16" s="203">
        <v>45.345913406372432</v>
      </c>
      <c r="G16" s="203">
        <v>54.011735937768123</v>
      </c>
      <c r="H16" s="206">
        <v>0.64235065585945161</v>
      </c>
      <c r="I16" s="203">
        <v>23.15</v>
      </c>
      <c r="J16" s="203">
        <v>76.849999999999994</v>
      </c>
      <c r="K16" s="203">
        <v>36.06</v>
      </c>
      <c r="L16" s="203">
        <v>63.94</v>
      </c>
      <c r="M16" s="203">
        <v>96.852541117493828</v>
      </c>
      <c r="N16" s="203">
        <v>3.1474588825061738</v>
      </c>
      <c r="O16" s="204">
        <v>84.556727951065184</v>
      </c>
      <c r="P16" s="204">
        <v>15.443272048934825</v>
      </c>
    </row>
    <row r="17" spans="1:21" x14ac:dyDescent="0.2">
      <c r="A17" s="202">
        <v>43499</v>
      </c>
      <c r="B17" s="203">
        <v>36.167832850118302</v>
      </c>
      <c r="C17" s="203">
        <v>63.832167149881691</v>
      </c>
      <c r="D17" s="203">
        <v>32.505913861729582</v>
      </c>
      <c r="E17" s="203">
        <v>67.494086138270418</v>
      </c>
      <c r="F17" s="203">
        <v>44.973535282527436</v>
      </c>
      <c r="G17" s="203">
        <v>54.265041536697503</v>
      </c>
      <c r="H17" s="206">
        <v>0.7614231807750641</v>
      </c>
      <c r="I17" s="203">
        <v>36.21</v>
      </c>
      <c r="J17" s="203">
        <v>63.79</v>
      </c>
      <c r="K17" s="203">
        <v>49.36</v>
      </c>
      <c r="L17" s="203">
        <v>50.64</v>
      </c>
      <c r="M17" s="203">
        <v>78.829337067204463</v>
      </c>
      <c r="N17" s="203">
        <v>21.170662932795533</v>
      </c>
      <c r="O17" s="204">
        <v>78.451090792787781</v>
      </c>
      <c r="P17" s="204">
        <v>21.548909207212215</v>
      </c>
    </row>
    <row r="18" spans="1:21" x14ac:dyDescent="0.2">
      <c r="A18" s="207" t="str">
        <f>'66'!A17</f>
        <v>$ indicates as on February 28, 2019</v>
      </c>
      <c r="B18" s="207"/>
      <c r="C18" s="207"/>
      <c r="D18" s="207"/>
      <c r="E18" s="207"/>
    </row>
    <row r="19" spans="1:21" x14ac:dyDescent="0.2">
      <c r="A19" s="124" t="s">
        <v>938</v>
      </c>
      <c r="J19" s="110" t="s">
        <v>882</v>
      </c>
      <c r="K19" s="91"/>
      <c r="L19" s="91"/>
      <c r="M19" s="91"/>
      <c r="N19" s="91"/>
      <c r="O19" s="91"/>
      <c r="P19" s="91"/>
      <c r="Q19" s="91"/>
      <c r="R19" s="91"/>
      <c r="S19" s="91"/>
      <c r="T19" s="91"/>
      <c r="U19" s="91"/>
    </row>
    <row r="20" spans="1:21" x14ac:dyDescent="0.2">
      <c r="A20" s="123" t="s">
        <v>939</v>
      </c>
      <c r="E20" s="207"/>
      <c r="J20" s="91"/>
    </row>
  </sheetData>
  <customSheetViews>
    <customSheetView guid="{B9B27D37-53F8-4AD8-9221-6458C3026417}" showPageBreaks="1" fitToPage="1" printArea="1" view="pageBreakPreview">
      <selection activeCell="G7" sqref="G7"/>
      <pageMargins left="0.7" right="0.7" top="0.75" bottom="0.75" header="0.3" footer="0.3"/>
      <pageSetup scale="84" orientation="landscape" r:id="rId1"/>
    </customSheetView>
    <customSheetView guid="{F9A1D58D-8337-4577-94AF-0D6370657575}" showPageBreaks="1" fitToPage="1" printArea="1" view="pageBreakPreview">
      <selection activeCell="G7" sqref="G7"/>
      <pageMargins left="0.7" right="0.7" top="0.75" bottom="0.75" header="0.3" footer="0.3"/>
      <pageSetup scale="84" orientation="landscape" r:id="rId2"/>
    </customSheetView>
  </customSheetViews>
  <mergeCells count="14">
    <mergeCell ref="O2:P2"/>
    <mergeCell ref="B3:C3"/>
    <mergeCell ref="D3:E3"/>
    <mergeCell ref="F3:H3"/>
    <mergeCell ref="I3:J3"/>
    <mergeCell ref="K3:L3"/>
    <mergeCell ref="M3:N3"/>
    <mergeCell ref="O3:P3"/>
    <mergeCell ref="A1:N1"/>
    <mergeCell ref="A2:A4"/>
    <mergeCell ref="B2:E2"/>
    <mergeCell ref="F2:H2"/>
    <mergeCell ref="I2:L2"/>
    <mergeCell ref="M2:N2"/>
  </mergeCells>
  <pageMargins left="0.7" right="0.7" top="0.75" bottom="0.75" header="0.3" footer="0.3"/>
  <pageSetup scale="84" orientation="landscape"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300"/>
  <sheetViews>
    <sheetView view="pageBreakPreview" topLeftCell="A25" zoomScale="120" zoomScaleNormal="130" zoomScaleSheetLayoutView="120" workbookViewId="0">
      <selection activeCell="G7" sqref="G7"/>
    </sheetView>
  </sheetViews>
  <sheetFormatPr defaultRowHeight="12.75" x14ac:dyDescent="0.2"/>
  <cols>
    <col min="1" max="1" width="9.42578125" style="171" bestFit="1" customWidth="1"/>
    <col min="2" max="2" width="17.7109375" style="171" customWidth="1"/>
    <col min="3" max="3" width="12.42578125" style="171" customWidth="1"/>
    <col min="4" max="4" width="13" style="171" customWidth="1"/>
    <col min="5" max="5" width="11" style="246" customWidth="1"/>
    <col min="6" max="6" width="11.28515625" style="246" customWidth="1"/>
    <col min="7" max="7" width="12" style="171" customWidth="1"/>
    <col min="8" max="8" width="12.5703125" style="171" customWidth="1"/>
    <col min="9" max="9" width="13" style="246" bestFit="1" customWidth="1"/>
    <col min="10" max="10" width="12" style="246" bestFit="1" customWidth="1"/>
    <col min="11" max="11" width="9.42578125" style="171" bestFit="1" customWidth="1"/>
    <col min="12" max="16384" width="9.140625" style="171"/>
  </cols>
  <sheetData>
    <row r="1" spans="1:14" ht="15" x14ac:dyDescent="0.2">
      <c r="A1" s="517" t="s">
        <v>940</v>
      </c>
      <c r="B1" s="517"/>
      <c r="C1" s="517"/>
      <c r="D1" s="517"/>
      <c r="E1" s="517"/>
      <c r="F1" s="517"/>
      <c r="G1" s="517"/>
      <c r="H1" s="517"/>
      <c r="I1" s="517"/>
      <c r="J1" s="517"/>
    </row>
    <row r="2" spans="1:14" x14ac:dyDescent="0.2">
      <c r="A2" s="529" t="s">
        <v>941</v>
      </c>
      <c r="B2" s="553" t="s">
        <v>807</v>
      </c>
      <c r="C2" s="554" t="s">
        <v>70</v>
      </c>
      <c r="D2" s="555"/>
      <c r="E2" s="554">
        <v>43132</v>
      </c>
      <c r="F2" s="555"/>
      <c r="G2" s="554">
        <v>43466</v>
      </c>
      <c r="H2" s="555"/>
      <c r="I2" s="554">
        <v>43497</v>
      </c>
      <c r="J2" s="555"/>
    </row>
    <row r="3" spans="1:14" ht="38.25" x14ac:dyDescent="0.2">
      <c r="A3" s="529"/>
      <c r="B3" s="553"/>
      <c r="C3" s="208" t="s">
        <v>909</v>
      </c>
      <c r="D3" s="143" t="s">
        <v>892</v>
      </c>
      <c r="E3" s="208" t="s">
        <v>909</v>
      </c>
      <c r="F3" s="143" t="s">
        <v>892</v>
      </c>
      <c r="G3" s="208" t="s">
        <v>909</v>
      </c>
      <c r="H3" s="143" t="s">
        <v>892</v>
      </c>
      <c r="I3" s="208" t="s">
        <v>909</v>
      </c>
      <c r="J3" s="143" t="s">
        <v>892</v>
      </c>
    </row>
    <row r="4" spans="1:14" ht="15.75" x14ac:dyDescent="0.2">
      <c r="A4" s="557" t="s">
        <v>783</v>
      </c>
      <c r="B4" s="557"/>
      <c r="C4" s="557"/>
      <c r="D4" s="557"/>
      <c r="E4" s="557"/>
      <c r="F4" s="557"/>
      <c r="G4" s="557"/>
      <c r="H4" s="557"/>
      <c r="I4" s="557"/>
      <c r="J4" s="557"/>
    </row>
    <row r="5" spans="1:14" x14ac:dyDescent="0.2">
      <c r="A5" s="209" t="s">
        <v>942</v>
      </c>
      <c r="B5" s="558" t="s">
        <v>790</v>
      </c>
      <c r="C5" s="559"/>
      <c r="D5" s="559"/>
      <c r="E5" s="559"/>
      <c r="F5" s="559"/>
      <c r="G5" s="559"/>
      <c r="H5" s="559"/>
      <c r="I5" s="559"/>
      <c r="J5" s="560"/>
    </row>
    <row r="6" spans="1:14" x14ac:dyDescent="0.2">
      <c r="A6" s="210">
        <v>1</v>
      </c>
      <c r="B6" s="211" t="s">
        <v>808</v>
      </c>
      <c r="C6" s="212">
        <v>2.4577453109999978</v>
      </c>
      <c r="D6" s="212">
        <v>769162.55832790048</v>
      </c>
      <c r="E6" s="213">
        <v>0.19587398000000003</v>
      </c>
      <c r="F6" s="212">
        <v>59507.920709599988</v>
      </c>
      <c r="G6" s="214">
        <v>0.28802538500000002</v>
      </c>
      <c r="H6" s="215">
        <v>92678.838470799965</v>
      </c>
      <c r="I6" s="216">
        <v>0.24317182400000006</v>
      </c>
      <c r="J6" s="215">
        <v>81086.467300100034</v>
      </c>
      <c r="K6" s="217"/>
      <c r="L6" s="217"/>
      <c r="M6" s="217"/>
    </row>
    <row r="7" spans="1:14" x14ac:dyDescent="0.2">
      <c r="A7" s="210">
        <v>2</v>
      </c>
      <c r="B7" s="211" t="s">
        <v>809</v>
      </c>
      <c r="C7" s="212">
        <v>153.11838099999994</v>
      </c>
      <c r="D7" s="212">
        <v>592801.10635430005</v>
      </c>
      <c r="E7" s="212">
        <v>13.852875000000003</v>
      </c>
      <c r="F7" s="212">
        <v>53356.637767100008</v>
      </c>
      <c r="G7" s="215">
        <v>13.085642</v>
      </c>
      <c r="H7" s="215">
        <v>51671.88860340001</v>
      </c>
      <c r="I7" s="218">
        <v>12.573886</v>
      </c>
      <c r="J7" s="215">
        <v>50480.656594399981</v>
      </c>
      <c r="K7" s="217"/>
      <c r="L7" s="217"/>
      <c r="M7" s="217"/>
    </row>
    <row r="8" spans="1:14" x14ac:dyDescent="0.2">
      <c r="A8" s="210"/>
      <c r="B8" s="219" t="s">
        <v>943</v>
      </c>
      <c r="C8" s="220">
        <f>SUM(C6:C7)</f>
        <v>155.57612631099994</v>
      </c>
      <c r="D8" s="220">
        <f t="shared" ref="D8:J8" si="0">SUM(D6:D7)</f>
        <v>1361963.6646822006</v>
      </c>
      <c r="E8" s="220">
        <f t="shared" si="0"/>
        <v>14.048748980000003</v>
      </c>
      <c r="F8" s="220">
        <f t="shared" si="0"/>
        <v>112864.5584767</v>
      </c>
      <c r="G8" s="220">
        <f t="shared" si="0"/>
        <v>13.373667384999999</v>
      </c>
      <c r="H8" s="220">
        <f t="shared" si="0"/>
        <v>144350.72707419997</v>
      </c>
      <c r="I8" s="220">
        <f t="shared" si="0"/>
        <v>12.817057824000001</v>
      </c>
      <c r="J8" s="220">
        <f t="shared" si="0"/>
        <v>131567.12389450002</v>
      </c>
      <c r="K8" s="217"/>
      <c r="L8" s="217"/>
      <c r="M8" s="217"/>
    </row>
    <row r="9" spans="1:14" ht="12.75" customHeight="1" x14ac:dyDescent="0.2">
      <c r="A9" s="221" t="s">
        <v>944</v>
      </c>
      <c r="B9" s="561" t="s">
        <v>945</v>
      </c>
      <c r="C9" s="562"/>
      <c r="D9" s="562"/>
      <c r="E9" s="562"/>
      <c r="F9" s="562"/>
      <c r="G9" s="562"/>
      <c r="H9" s="562"/>
      <c r="I9" s="562"/>
      <c r="J9" s="563"/>
      <c r="K9" s="217"/>
      <c r="L9" s="217"/>
      <c r="M9" s="217"/>
    </row>
    <row r="10" spans="1:14" x14ac:dyDescent="0.2">
      <c r="A10" s="210">
        <v>1</v>
      </c>
      <c r="B10" s="211" t="s">
        <v>810</v>
      </c>
      <c r="C10" s="180">
        <v>18576.540000000015</v>
      </c>
      <c r="D10" s="180">
        <v>272374.01319999981</v>
      </c>
      <c r="E10" s="212">
        <v>1530.7299999999996</v>
      </c>
      <c r="F10" s="212">
        <v>21464.113010000005</v>
      </c>
      <c r="G10" s="180">
        <v>1657.0800000000002</v>
      </c>
      <c r="H10" s="180">
        <v>21874.245234999995</v>
      </c>
      <c r="I10" s="218">
        <v>1163.8580000000002</v>
      </c>
      <c r="J10" s="212">
        <v>15687.51254</v>
      </c>
      <c r="K10" s="217"/>
      <c r="L10" s="217"/>
      <c r="M10" s="217"/>
      <c r="N10" s="217"/>
    </row>
    <row r="11" spans="1:14" x14ac:dyDescent="0.2">
      <c r="A11" s="210">
        <v>2</v>
      </c>
      <c r="B11" s="211" t="s">
        <v>811</v>
      </c>
      <c r="C11" s="180">
        <v>5.7029999999999985</v>
      </c>
      <c r="D11" s="180">
        <v>202.87955000000002</v>
      </c>
      <c r="E11" s="212" t="s">
        <v>898</v>
      </c>
      <c r="F11" s="212" t="s">
        <v>898</v>
      </c>
      <c r="G11" s="212" t="s">
        <v>898</v>
      </c>
      <c r="H11" s="212" t="s">
        <v>898</v>
      </c>
      <c r="I11" s="212" t="s">
        <v>898</v>
      </c>
      <c r="J11" s="212" t="s">
        <v>898</v>
      </c>
      <c r="K11" s="217"/>
      <c r="L11" s="217"/>
      <c r="M11" s="217"/>
    </row>
    <row r="12" spans="1:14" x14ac:dyDescent="0.2">
      <c r="A12" s="210">
        <v>3</v>
      </c>
      <c r="B12" s="211" t="s">
        <v>812</v>
      </c>
      <c r="C12" s="180">
        <v>12995.402999999995</v>
      </c>
      <c r="D12" s="180">
        <v>572559.59911750036</v>
      </c>
      <c r="E12" s="212">
        <v>998.9617499999996</v>
      </c>
      <c r="F12" s="212">
        <v>45203.82765875</v>
      </c>
      <c r="G12" s="180">
        <v>1125.6760000000002</v>
      </c>
      <c r="H12" s="180">
        <v>47120.13271749999</v>
      </c>
      <c r="I12" s="218">
        <v>916.25874999999996</v>
      </c>
      <c r="J12" s="212">
        <v>41206.342355000008</v>
      </c>
      <c r="K12" s="217"/>
      <c r="L12" s="217"/>
      <c r="M12" s="217"/>
      <c r="N12" s="217"/>
    </row>
    <row r="13" spans="1:14" x14ac:dyDescent="0.2">
      <c r="A13" s="210">
        <v>4</v>
      </c>
      <c r="B13" s="211" t="s">
        <v>813</v>
      </c>
      <c r="C13" s="180">
        <v>24599.316000000006</v>
      </c>
      <c r="D13" s="180">
        <v>367503.80989999993</v>
      </c>
      <c r="E13" s="212">
        <v>2173.5300000000007</v>
      </c>
      <c r="F13" s="212">
        <v>36113.278814999998</v>
      </c>
      <c r="G13" s="180">
        <v>2162.9350000000004</v>
      </c>
      <c r="H13" s="180">
        <v>30719.345189999993</v>
      </c>
      <c r="I13" s="218">
        <v>1859.9850000000001</v>
      </c>
      <c r="J13" s="212">
        <v>27457.07663</v>
      </c>
      <c r="K13" s="222"/>
      <c r="L13" s="222"/>
      <c r="M13" s="222"/>
      <c r="N13" s="222"/>
    </row>
    <row r="14" spans="1:14" x14ac:dyDescent="0.2">
      <c r="A14" s="210">
        <v>5</v>
      </c>
      <c r="B14" s="211" t="s">
        <v>814</v>
      </c>
      <c r="C14" s="180">
        <v>3184.2757000000015</v>
      </c>
      <c r="D14" s="180">
        <v>291089.11017199978</v>
      </c>
      <c r="E14" s="212">
        <v>345.87400000000008</v>
      </c>
      <c r="F14" s="212">
        <v>30322.546401499992</v>
      </c>
      <c r="G14" s="180">
        <v>240.55070000000003</v>
      </c>
      <c r="H14" s="180">
        <v>19634.728729500006</v>
      </c>
      <c r="I14" s="218">
        <v>277.13889999999992</v>
      </c>
      <c r="J14" s="212">
        <v>25105.842800999995</v>
      </c>
      <c r="K14" s="217"/>
      <c r="L14" s="217"/>
      <c r="M14" s="217"/>
      <c r="N14" s="217"/>
    </row>
    <row r="15" spans="1:14" x14ac:dyDescent="0.2">
      <c r="A15" s="210">
        <v>6</v>
      </c>
      <c r="B15" s="211" t="s">
        <v>815</v>
      </c>
      <c r="C15" s="180">
        <v>43513.223999999995</v>
      </c>
      <c r="D15" s="180">
        <v>824699.02267499943</v>
      </c>
      <c r="E15" s="212">
        <v>2938.398999999999</v>
      </c>
      <c r="F15" s="212">
        <v>66527.111469999974</v>
      </c>
      <c r="G15" s="180">
        <v>4211.4950000000008</v>
      </c>
      <c r="H15" s="180">
        <v>76356.845684999993</v>
      </c>
      <c r="I15" s="218">
        <v>3931.2759999999998</v>
      </c>
      <c r="J15" s="212">
        <v>75896.569329999998</v>
      </c>
      <c r="K15" s="217"/>
      <c r="L15" s="217"/>
      <c r="M15" s="222"/>
      <c r="N15" s="222"/>
    </row>
    <row r="16" spans="1:14" x14ac:dyDescent="0.2">
      <c r="A16" s="210"/>
      <c r="B16" s="219" t="s">
        <v>946</v>
      </c>
      <c r="C16" s="220">
        <f>SUM(C10:C15)</f>
        <v>102874.46170000001</v>
      </c>
      <c r="D16" s="220">
        <f t="shared" ref="D16:J16" si="1">SUM(D10:D15)</f>
        <v>2328428.4346144991</v>
      </c>
      <c r="E16" s="220">
        <f t="shared" si="1"/>
        <v>7987.494749999998</v>
      </c>
      <c r="F16" s="220">
        <f t="shared" si="1"/>
        <v>199630.87735524998</v>
      </c>
      <c r="G16" s="220">
        <f t="shared" si="1"/>
        <v>9397.7367000000013</v>
      </c>
      <c r="H16" s="220">
        <f t="shared" si="1"/>
        <v>195705.29755699995</v>
      </c>
      <c r="I16" s="220">
        <f t="shared" si="1"/>
        <v>8148.5166499999996</v>
      </c>
      <c r="J16" s="220">
        <f t="shared" si="1"/>
        <v>185353.34365599998</v>
      </c>
      <c r="K16" s="217"/>
      <c r="L16" s="217"/>
      <c r="M16" s="217"/>
    </row>
    <row r="17" spans="1:13" ht="15" customHeight="1" x14ac:dyDescent="0.2">
      <c r="A17" s="221" t="s">
        <v>947</v>
      </c>
      <c r="B17" s="561" t="s">
        <v>948</v>
      </c>
      <c r="C17" s="562"/>
      <c r="D17" s="562"/>
      <c r="E17" s="562"/>
      <c r="F17" s="562"/>
      <c r="G17" s="562"/>
      <c r="H17" s="562"/>
      <c r="I17" s="562"/>
      <c r="J17" s="563"/>
      <c r="K17" s="217"/>
      <c r="L17" s="217"/>
      <c r="M17" s="217"/>
    </row>
    <row r="18" spans="1:13" x14ac:dyDescent="0.2">
      <c r="A18" s="210">
        <v>1</v>
      </c>
      <c r="B18" s="211" t="s">
        <v>816</v>
      </c>
      <c r="C18" s="223">
        <v>1.4976999999999989</v>
      </c>
      <c r="D18" s="180">
        <v>185.39098899999991</v>
      </c>
      <c r="E18" s="213">
        <v>0.22700000000000001</v>
      </c>
      <c r="F18" s="212">
        <v>25.986645000000003</v>
      </c>
      <c r="G18" s="223">
        <v>0.1623</v>
      </c>
      <c r="H18" s="180">
        <v>25.743171000000004</v>
      </c>
      <c r="I18" s="224">
        <v>8.0200000000000007E-2</v>
      </c>
      <c r="J18" s="212">
        <v>12.131378000000002</v>
      </c>
      <c r="K18" s="217"/>
      <c r="L18" s="217"/>
      <c r="M18" s="217"/>
    </row>
    <row r="19" spans="1:13" x14ac:dyDescent="0.2">
      <c r="A19" s="210">
        <v>2</v>
      </c>
      <c r="B19" s="211" t="s">
        <v>818</v>
      </c>
      <c r="C19" s="180">
        <v>3049.9274999999984</v>
      </c>
      <c r="D19" s="180">
        <v>39077.998950000001</v>
      </c>
      <c r="E19" s="212">
        <v>407.17975000000007</v>
      </c>
      <c r="F19" s="212">
        <v>4817.7143249999999</v>
      </c>
      <c r="G19" s="180">
        <v>322.18400000000003</v>
      </c>
      <c r="H19" s="180">
        <v>3972.9285250000003</v>
      </c>
      <c r="I19" s="218">
        <v>369.74575000000004</v>
      </c>
      <c r="J19" s="212">
        <v>4453.7328500000003</v>
      </c>
      <c r="K19" s="217"/>
      <c r="L19" s="217"/>
      <c r="M19" s="217"/>
    </row>
    <row r="20" spans="1:13" x14ac:dyDescent="0.2">
      <c r="A20" s="210">
        <v>3</v>
      </c>
      <c r="B20" s="211" t="s">
        <v>819</v>
      </c>
      <c r="C20" s="180">
        <v>5544.2699999999986</v>
      </c>
      <c r="D20" s="180">
        <v>32441.481619999999</v>
      </c>
      <c r="E20" s="212">
        <v>461.09000000000003</v>
      </c>
      <c r="F20" s="212">
        <v>2683.4349300000003</v>
      </c>
      <c r="G20" s="180">
        <v>509.93000000000012</v>
      </c>
      <c r="H20" s="180">
        <v>2799.3645500000002</v>
      </c>
      <c r="I20" s="218">
        <v>415.23</v>
      </c>
      <c r="J20" s="212">
        <v>2346.3264199999999</v>
      </c>
      <c r="K20" s="217"/>
      <c r="L20" s="217"/>
      <c r="M20" s="217"/>
    </row>
    <row r="21" spans="1:13" ht="12" customHeight="1" x14ac:dyDescent="0.2">
      <c r="A21" s="210">
        <v>4</v>
      </c>
      <c r="B21" s="211" t="s">
        <v>820</v>
      </c>
      <c r="C21" s="180">
        <v>129.79728</v>
      </c>
      <c r="D21" s="180">
        <v>19820.392437599996</v>
      </c>
      <c r="E21" s="212">
        <v>12.83724</v>
      </c>
      <c r="F21" s="212">
        <v>1768.9020876000002</v>
      </c>
      <c r="G21" s="180">
        <v>10.313640000000001</v>
      </c>
      <c r="H21" s="180">
        <v>1621.2184164</v>
      </c>
      <c r="I21" s="218">
        <v>7.7943599999999984</v>
      </c>
      <c r="J21" s="212">
        <v>1252.3420692</v>
      </c>
      <c r="K21" s="217"/>
      <c r="L21" s="217"/>
      <c r="M21" s="217"/>
    </row>
    <row r="22" spans="1:13" x14ac:dyDescent="0.2">
      <c r="A22" s="210">
        <v>5</v>
      </c>
      <c r="B22" s="211" t="s">
        <v>821</v>
      </c>
      <c r="C22" s="225">
        <v>5.3000000000000019E-2</v>
      </c>
      <c r="D22" s="226">
        <v>0.69221999999999984</v>
      </c>
      <c r="E22" s="212" t="s">
        <v>898</v>
      </c>
      <c r="F22" s="212" t="s">
        <v>898</v>
      </c>
      <c r="G22" s="212" t="s">
        <v>898</v>
      </c>
      <c r="H22" s="212" t="s">
        <v>898</v>
      </c>
      <c r="I22" s="212" t="s">
        <v>898</v>
      </c>
      <c r="J22" s="212" t="s">
        <v>898</v>
      </c>
      <c r="K22" s="217"/>
      <c r="L22" s="217"/>
      <c r="M22" s="217"/>
    </row>
    <row r="23" spans="1:13" ht="13.5" customHeight="1" x14ac:dyDescent="0.2">
      <c r="A23" s="210"/>
      <c r="B23" s="219" t="s">
        <v>949</v>
      </c>
      <c r="C23" s="220">
        <f t="shared" ref="C23:J23" si="2">SUM(C18:C22)</f>
        <v>8725.545479999997</v>
      </c>
      <c r="D23" s="220">
        <f t="shared" si="2"/>
        <v>91525.956216599981</v>
      </c>
      <c r="E23" s="220">
        <f t="shared" si="2"/>
        <v>881.33398999999997</v>
      </c>
      <c r="F23" s="220">
        <f t="shared" si="2"/>
        <v>9296.0379876000006</v>
      </c>
      <c r="G23" s="220">
        <f t="shared" si="2"/>
        <v>842.58994000000018</v>
      </c>
      <c r="H23" s="220">
        <f t="shared" si="2"/>
        <v>8419.2546624000006</v>
      </c>
      <c r="I23" s="220">
        <f t="shared" si="2"/>
        <v>792.85031000000004</v>
      </c>
      <c r="J23" s="220">
        <f t="shared" si="2"/>
        <v>8064.5327171999998</v>
      </c>
      <c r="K23" s="217"/>
      <c r="L23" s="217"/>
      <c r="M23" s="217"/>
    </row>
    <row r="24" spans="1:13" x14ac:dyDescent="0.2">
      <c r="A24" s="221" t="s">
        <v>950</v>
      </c>
      <c r="B24" s="561" t="s">
        <v>788</v>
      </c>
      <c r="C24" s="562"/>
      <c r="D24" s="562"/>
      <c r="E24" s="562"/>
      <c r="F24" s="562"/>
      <c r="G24" s="562"/>
      <c r="H24" s="562"/>
      <c r="I24" s="562"/>
      <c r="J24" s="563"/>
      <c r="K24" s="217"/>
      <c r="L24" s="217" t="s">
        <v>882</v>
      </c>
      <c r="M24" s="217"/>
    </row>
    <row r="25" spans="1:13" x14ac:dyDescent="0.2">
      <c r="A25" s="210">
        <v>1</v>
      </c>
      <c r="B25" s="211" t="s">
        <v>822</v>
      </c>
      <c r="C25" s="180">
        <v>603172.72088788706</v>
      </c>
      <c r="D25" s="180">
        <v>1896242.2984879981</v>
      </c>
      <c r="E25" s="212">
        <v>49601.768795624004</v>
      </c>
      <c r="F25" s="212">
        <v>145769.97417200002</v>
      </c>
      <c r="G25" s="180">
        <v>81981.645117792534</v>
      </c>
      <c r="H25" s="180">
        <v>217712.19821199993</v>
      </c>
      <c r="I25" s="218">
        <v>69132.380265721004</v>
      </c>
      <c r="J25" s="212">
        <v>198392.75837399997</v>
      </c>
      <c r="K25" s="217"/>
      <c r="L25" s="217"/>
      <c r="M25" s="217"/>
    </row>
    <row r="26" spans="1:13" ht="25.5" x14ac:dyDescent="0.2">
      <c r="A26" s="210">
        <v>2</v>
      </c>
      <c r="B26" s="211" t="s">
        <v>823</v>
      </c>
      <c r="C26" s="227">
        <v>14166.24625</v>
      </c>
      <c r="D26" s="227">
        <v>335799.86394999997</v>
      </c>
      <c r="E26" s="228">
        <v>1695.94625</v>
      </c>
      <c r="F26" s="228">
        <v>29503.657599999999</v>
      </c>
      <c r="G26" s="227">
        <v>1896.6912500000001</v>
      </c>
      <c r="H26" s="227">
        <v>42702.330237499998</v>
      </c>
      <c r="I26" s="229">
        <v>891.56500000000005</v>
      </c>
      <c r="J26" s="228">
        <v>17076.616612500002</v>
      </c>
      <c r="K26" s="217"/>
      <c r="L26" s="217"/>
      <c r="M26" s="217"/>
    </row>
    <row r="27" spans="1:13" x14ac:dyDescent="0.2">
      <c r="A27" s="221"/>
      <c r="B27" s="219" t="s">
        <v>951</v>
      </c>
      <c r="C27" s="151">
        <v>603172.72088788706</v>
      </c>
      <c r="D27" s="151">
        <v>2232042.1624379982</v>
      </c>
      <c r="E27" s="151">
        <v>49601.768795624004</v>
      </c>
      <c r="F27" s="151">
        <v>175273.63177200002</v>
      </c>
      <c r="G27" s="151">
        <v>81981.645117792534</v>
      </c>
      <c r="H27" s="151">
        <v>260414.52844949992</v>
      </c>
      <c r="I27" s="151">
        <v>69132.380265721004</v>
      </c>
      <c r="J27" s="151">
        <v>215469.37498649996</v>
      </c>
      <c r="K27" s="217" t="s">
        <v>882</v>
      </c>
      <c r="L27" s="217"/>
      <c r="M27" s="217"/>
    </row>
    <row r="28" spans="1:13" ht="15" customHeight="1" x14ac:dyDescent="0.2">
      <c r="A28" s="564" t="s">
        <v>824</v>
      </c>
      <c r="B28" s="564"/>
      <c r="C28" s="151">
        <f>C27+C23+C16+C8</f>
        <v>714928.30419419799</v>
      </c>
      <c r="D28" s="151">
        <f>D27+D23+D16+D8</f>
        <v>6013960.2179512978</v>
      </c>
      <c r="E28" s="151">
        <f>E27+E23+E16+E8</f>
        <v>58484.646284604001</v>
      </c>
      <c r="F28" s="151">
        <f>F27+F23+F16+F8</f>
        <v>497065.10559155</v>
      </c>
      <c r="G28" s="151">
        <f>SUM(G8+G16+G23+G27)</f>
        <v>92235.34542517754</v>
      </c>
      <c r="H28" s="151">
        <f>H27+H23+H16+H8</f>
        <v>608889.80774309987</v>
      </c>
      <c r="I28" s="151">
        <f>I27+I23+I16+I8</f>
        <v>78086.564283544998</v>
      </c>
      <c r="J28" s="151">
        <f>J27+J23+J16+J8</f>
        <v>540454.37525419996</v>
      </c>
      <c r="K28" s="230"/>
    </row>
    <row r="29" spans="1:13" ht="15" customHeight="1" x14ac:dyDescent="0.2">
      <c r="A29" s="557" t="s">
        <v>784</v>
      </c>
      <c r="B29" s="557"/>
      <c r="C29" s="557"/>
      <c r="D29" s="557"/>
      <c r="E29" s="557"/>
      <c r="F29" s="557"/>
      <c r="G29" s="557"/>
      <c r="H29" s="557"/>
      <c r="I29" s="557"/>
      <c r="J29" s="557"/>
      <c r="K29" s="171" t="s">
        <v>882</v>
      </c>
    </row>
    <row r="30" spans="1:13" ht="15" customHeight="1" x14ac:dyDescent="0.2">
      <c r="A30" s="231" t="s">
        <v>842</v>
      </c>
      <c r="B30" s="558" t="s">
        <v>790</v>
      </c>
      <c r="C30" s="559"/>
      <c r="D30" s="559"/>
      <c r="E30" s="559"/>
      <c r="F30" s="559"/>
      <c r="G30" s="559"/>
      <c r="H30" s="559"/>
      <c r="I30" s="559"/>
      <c r="J30" s="560"/>
      <c r="L30" s="171" t="s">
        <v>882</v>
      </c>
    </row>
    <row r="31" spans="1:13" ht="15" customHeight="1" x14ac:dyDescent="0.2">
      <c r="A31" s="232">
        <v>1</v>
      </c>
      <c r="B31" s="233" t="s">
        <v>808</v>
      </c>
      <c r="C31" s="223">
        <v>0.38890799999999964</v>
      </c>
      <c r="D31" s="223">
        <v>120937.25260999998</v>
      </c>
      <c r="E31" s="225">
        <v>1.673E-3</v>
      </c>
      <c r="F31" s="225">
        <v>506.57135500000004</v>
      </c>
      <c r="G31" s="223">
        <v>1.3849999999999998E-2</v>
      </c>
      <c r="H31" s="223">
        <v>4444.0630150000006</v>
      </c>
      <c r="I31" s="223">
        <v>1.2076999999999996E-2</v>
      </c>
      <c r="J31" s="223">
        <v>4041.4791300000006</v>
      </c>
      <c r="K31" s="217"/>
    </row>
    <row r="32" spans="1:13" ht="15" customHeight="1" x14ac:dyDescent="0.2">
      <c r="A32" s="232">
        <v>2</v>
      </c>
      <c r="B32" s="233" t="s">
        <v>809</v>
      </c>
      <c r="C32" s="223">
        <v>1.6438199999999996</v>
      </c>
      <c r="D32" s="223">
        <v>6479.0042639999992</v>
      </c>
      <c r="E32" s="234">
        <v>0</v>
      </c>
      <c r="F32" s="234">
        <v>0</v>
      </c>
      <c r="G32" s="225">
        <v>0.18185999999999997</v>
      </c>
      <c r="H32" s="225">
        <v>724.28339850000009</v>
      </c>
      <c r="I32" s="223">
        <v>0.19755</v>
      </c>
      <c r="J32" s="223">
        <v>799.65968250000003</v>
      </c>
    </row>
    <row r="33" spans="1:10" ht="15" customHeight="1" x14ac:dyDescent="0.2">
      <c r="A33" s="235"/>
      <c r="B33" s="236" t="s">
        <v>952</v>
      </c>
      <c r="C33" s="237">
        <f>SUM(C31:C32)</f>
        <v>2.0327279999999992</v>
      </c>
      <c r="D33" s="237">
        <f t="shared" ref="D33:J33" si="3">SUM(D31:D32)</f>
        <v>127416.25687399998</v>
      </c>
      <c r="E33" s="237">
        <f t="shared" si="3"/>
        <v>1.673E-3</v>
      </c>
      <c r="F33" s="237">
        <f t="shared" si="3"/>
        <v>506.57135500000004</v>
      </c>
      <c r="G33" s="237">
        <f t="shared" si="3"/>
        <v>0.19570999999999997</v>
      </c>
      <c r="H33" s="237">
        <f t="shared" si="3"/>
        <v>5168.3464135000004</v>
      </c>
      <c r="I33" s="237">
        <f t="shared" si="3"/>
        <v>0.20962700000000001</v>
      </c>
      <c r="J33" s="237">
        <f t="shared" si="3"/>
        <v>4841.1388125000003</v>
      </c>
    </row>
    <row r="34" spans="1:10" ht="15" customHeight="1" x14ac:dyDescent="0.2">
      <c r="A34" s="235" t="s">
        <v>953</v>
      </c>
      <c r="B34" s="565" t="s">
        <v>954</v>
      </c>
      <c r="C34" s="566"/>
      <c r="D34" s="566"/>
      <c r="E34" s="566"/>
      <c r="F34" s="566"/>
      <c r="G34" s="566"/>
      <c r="H34" s="566"/>
      <c r="I34" s="566"/>
      <c r="J34" s="567"/>
    </row>
    <row r="35" spans="1:10" ht="15" customHeight="1" x14ac:dyDescent="0.2">
      <c r="A35" s="232">
        <v>1</v>
      </c>
      <c r="B35" s="238" t="s">
        <v>812</v>
      </c>
      <c r="C35" s="223">
        <v>100.745</v>
      </c>
      <c r="D35" s="223">
        <v>4545.6857730000011</v>
      </c>
      <c r="E35" s="234">
        <v>0</v>
      </c>
      <c r="F35" s="234">
        <v>0</v>
      </c>
      <c r="G35" s="225">
        <v>8.5129999999999999</v>
      </c>
      <c r="H35" s="225">
        <v>367.41404499999993</v>
      </c>
      <c r="I35" s="223">
        <v>10.95</v>
      </c>
      <c r="J35" s="223">
        <v>492.16833700000001</v>
      </c>
    </row>
    <row r="36" spans="1:10" ht="15" customHeight="1" x14ac:dyDescent="0.2">
      <c r="A36" s="232">
        <v>2</v>
      </c>
      <c r="B36" s="238" t="s">
        <v>815</v>
      </c>
      <c r="C36" s="223">
        <v>66.864999999999952</v>
      </c>
      <c r="D36" s="223">
        <v>1282.5521700000004</v>
      </c>
      <c r="E36" s="234">
        <v>0</v>
      </c>
      <c r="F36" s="234">
        <v>0</v>
      </c>
      <c r="G36" s="225">
        <v>4.6350000000000007</v>
      </c>
      <c r="H36" s="225">
        <v>84.950095000000005</v>
      </c>
      <c r="I36" s="223">
        <v>10.029999999999999</v>
      </c>
      <c r="J36" s="223">
        <v>195.84142000000003</v>
      </c>
    </row>
    <row r="37" spans="1:10" ht="15" customHeight="1" x14ac:dyDescent="0.2">
      <c r="A37" s="232"/>
      <c r="B37" s="236" t="s">
        <v>955</v>
      </c>
      <c r="C37" s="237">
        <f>SUM(C35:C36)</f>
        <v>167.60999999999996</v>
      </c>
      <c r="D37" s="237">
        <f>SUM(D35:D36)</f>
        <v>5828.2379430000019</v>
      </c>
      <c r="E37" s="234">
        <v>0</v>
      </c>
      <c r="F37" s="234">
        <v>0</v>
      </c>
      <c r="G37" s="239">
        <f>SUM(G35:G36)</f>
        <v>13.148</v>
      </c>
      <c r="H37" s="239">
        <f>SUM(H35:H36)</f>
        <v>452.36413999999991</v>
      </c>
      <c r="I37" s="237">
        <f>SUM(I35:I36)</f>
        <v>20.979999999999997</v>
      </c>
      <c r="J37" s="237">
        <f>SUM(J35:J36)</f>
        <v>688.00975700000004</v>
      </c>
    </row>
    <row r="38" spans="1:10" ht="15" customHeight="1" x14ac:dyDescent="0.2">
      <c r="A38" s="235" t="s">
        <v>956</v>
      </c>
      <c r="B38" s="565" t="s">
        <v>788</v>
      </c>
      <c r="C38" s="566"/>
      <c r="D38" s="566"/>
      <c r="E38" s="566"/>
      <c r="F38" s="566"/>
      <c r="G38" s="566"/>
      <c r="H38" s="566"/>
      <c r="I38" s="566"/>
      <c r="J38" s="567"/>
    </row>
    <row r="39" spans="1:10" ht="15" customHeight="1" x14ac:dyDescent="0.2">
      <c r="A39" s="232">
        <v>1</v>
      </c>
      <c r="B39" s="238" t="s">
        <v>822</v>
      </c>
      <c r="C39" s="223">
        <v>11020.736858300004</v>
      </c>
      <c r="D39" s="223">
        <v>35048.998478999987</v>
      </c>
      <c r="E39" s="234">
        <v>0</v>
      </c>
      <c r="F39" s="234">
        <v>0</v>
      </c>
      <c r="G39" s="225">
        <v>1817.8717862499998</v>
      </c>
      <c r="H39" s="225">
        <v>4852.0202630000013</v>
      </c>
      <c r="I39" s="223">
        <v>1300.5184363199999</v>
      </c>
      <c r="J39" s="223">
        <v>3762.1566129999997</v>
      </c>
    </row>
    <row r="40" spans="1:10" ht="15" customHeight="1" x14ac:dyDescent="0.2">
      <c r="A40" s="568" t="s">
        <v>957</v>
      </c>
      <c r="B40" s="568"/>
      <c r="C40" s="237">
        <f t="shared" ref="C40:J40" si="4">SUM(C33+C37+C39)</f>
        <v>11190.379586300005</v>
      </c>
      <c r="D40" s="237">
        <f>SUM(D33+D37+D39)</f>
        <v>168293.493296</v>
      </c>
      <c r="E40" s="237">
        <f>SUM(E33)</f>
        <v>1.673E-3</v>
      </c>
      <c r="F40" s="237">
        <f>SUM(F33)</f>
        <v>506.57135500000004</v>
      </c>
      <c r="G40" s="237">
        <f t="shared" si="4"/>
        <v>1831.2154962499999</v>
      </c>
      <c r="H40" s="237">
        <f t="shared" si="4"/>
        <v>10472.730816500001</v>
      </c>
      <c r="I40" s="237">
        <f t="shared" si="4"/>
        <v>1321.7080633199998</v>
      </c>
      <c r="J40" s="237">
        <f t="shared" si="4"/>
        <v>9291.3051825000002</v>
      </c>
    </row>
    <row r="41" spans="1:10" x14ac:dyDescent="0.2">
      <c r="A41" s="240" t="str">
        <f>'66'!A17</f>
        <v>$ indicates as on February 28, 2019</v>
      </c>
      <c r="B41" s="241"/>
      <c r="E41" s="171"/>
      <c r="F41" s="171"/>
      <c r="I41" s="171"/>
      <c r="J41" s="242"/>
    </row>
    <row r="42" spans="1:10" x14ac:dyDescent="0.2">
      <c r="A42" s="171" t="s">
        <v>1028</v>
      </c>
      <c r="E42" s="171"/>
      <c r="F42" s="171"/>
      <c r="I42" s="171"/>
      <c r="J42" s="171"/>
    </row>
    <row r="43" spans="1:10" x14ac:dyDescent="0.2">
      <c r="A43" s="171" t="s">
        <v>958</v>
      </c>
      <c r="E43" s="171"/>
      <c r="F43" s="171" t="s">
        <v>882</v>
      </c>
      <c r="G43" s="230"/>
      <c r="I43" s="171"/>
      <c r="J43" s="171"/>
    </row>
    <row r="44" spans="1:10" x14ac:dyDescent="0.2">
      <c r="A44" s="556" t="s">
        <v>959</v>
      </c>
      <c r="B44" s="556"/>
      <c r="C44" s="556"/>
      <c r="D44" s="556"/>
      <c r="E44" s="556"/>
      <c r="F44" s="556"/>
      <c r="G44" s="556"/>
      <c r="H44" s="556"/>
      <c r="I44" s="556"/>
      <c r="J44" s="171"/>
    </row>
    <row r="45" spans="1:10" x14ac:dyDescent="0.2">
      <c r="A45" s="170" t="s">
        <v>825</v>
      </c>
      <c r="E45" s="243"/>
      <c r="F45" s="243"/>
      <c r="I45" s="217"/>
      <c r="J45" s="171"/>
    </row>
    <row r="46" spans="1:10" x14ac:dyDescent="0.2">
      <c r="C46" s="230"/>
      <c r="D46" s="230"/>
      <c r="E46" s="230"/>
      <c r="F46" s="171"/>
      <c r="G46" s="230"/>
      <c r="H46" s="230"/>
      <c r="I46" s="230"/>
      <c r="J46" s="230"/>
    </row>
    <row r="47" spans="1:10" x14ac:dyDescent="0.2">
      <c r="E47" s="243"/>
      <c r="F47" s="243"/>
      <c r="I47" s="171"/>
      <c r="J47" s="171"/>
    </row>
    <row r="48" spans="1:10" x14ac:dyDescent="0.2">
      <c r="E48" s="243"/>
      <c r="F48" s="243"/>
      <c r="I48" s="171"/>
      <c r="J48" s="171"/>
    </row>
    <row r="49" spans="5:10" x14ac:dyDescent="0.2">
      <c r="E49" s="243"/>
      <c r="F49" s="243"/>
      <c r="I49" s="171"/>
      <c r="J49" s="171"/>
    </row>
    <row r="50" spans="5:10" x14ac:dyDescent="0.2">
      <c r="E50" s="243"/>
      <c r="F50" s="243"/>
      <c r="H50" s="244"/>
      <c r="I50" s="171"/>
      <c r="J50" s="171"/>
    </row>
    <row r="51" spans="5:10" x14ac:dyDescent="0.2">
      <c r="E51" s="243"/>
      <c r="F51" s="243"/>
      <c r="I51" s="171"/>
      <c r="J51" s="171"/>
    </row>
    <row r="52" spans="5:10" x14ac:dyDescent="0.2">
      <c r="E52" s="243"/>
      <c r="F52" s="243"/>
      <c r="I52" s="171"/>
      <c r="J52" s="171"/>
    </row>
    <row r="53" spans="5:10" x14ac:dyDescent="0.2">
      <c r="E53" s="243"/>
      <c r="F53" s="243"/>
      <c r="I53" s="245"/>
      <c r="J53" s="243"/>
    </row>
    <row r="54" spans="5:10" x14ac:dyDescent="0.2">
      <c r="E54" s="243"/>
      <c r="F54" s="243"/>
      <c r="I54" s="245"/>
      <c r="J54" s="243"/>
    </row>
    <row r="55" spans="5:10" x14ac:dyDescent="0.2">
      <c r="E55" s="243"/>
      <c r="F55" s="243"/>
      <c r="I55" s="245"/>
      <c r="J55" s="243"/>
    </row>
    <row r="56" spans="5:10" x14ac:dyDescent="0.2">
      <c r="E56" s="243"/>
      <c r="F56" s="243"/>
      <c r="I56" s="245"/>
      <c r="J56" s="243"/>
    </row>
    <row r="57" spans="5:10" x14ac:dyDescent="0.2">
      <c r="E57" s="243"/>
      <c r="F57" s="243"/>
      <c r="I57" s="245"/>
      <c r="J57" s="243"/>
    </row>
    <row r="58" spans="5:10" x14ac:dyDescent="0.2">
      <c r="E58" s="243"/>
      <c r="F58" s="243"/>
      <c r="I58" s="245"/>
      <c r="J58" s="243"/>
    </row>
    <row r="59" spans="5:10" x14ac:dyDescent="0.2">
      <c r="E59" s="243"/>
      <c r="F59" s="243"/>
      <c r="I59" s="245"/>
      <c r="J59" s="243"/>
    </row>
    <row r="60" spans="5:10" x14ac:dyDescent="0.2">
      <c r="E60" s="243"/>
      <c r="F60" s="243"/>
      <c r="I60" s="245"/>
      <c r="J60" s="243"/>
    </row>
    <row r="61" spans="5:10" x14ac:dyDescent="0.2">
      <c r="E61" s="243"/>
      <c r="F61" s="243"/>
      <c r="I61" s="243"/>
      <c r="J61" s="243"/>
    </row>
    <row r="62" spans="5:10" x14ac:dyDescent="0.2">
      <c r="E62" s="243"/>
      <c r="F62" s="243"/>
      <c r="I62" s="243"/>
      <c r="J62" s="243"/>
    </row>
    <row r="63" spans="5:10" x14ac:dyDescent="0.2">
      <c r="E63" s="243"/>
      <c r="F63" s="243"/>
      <c r="I63" s="243"/>
      <c r="J63" s="243"/>
    </row>
    <row r="64" spans="5:10" x14ac:dyDescent="0.2">
      <c r="E64" s="243"/>
      <c r="F64" s="243"/>
      <c r="I64" s="243"/>
      <c r="J64" s="243"/>
    </row>
    <row r="65" spans="5:10" x14ac:dyDescent="0.2">
      <c r="E65" s="243"/>
      <c r="F65" s="243"/>
      <c r="I65" s="243"/>
      <c r="J65" s="243"/>
    </row>
    <row r="66" spans="5:10" x14ac:dyDescent="0.2">
      <c r="E66" s="243"/>
      <c r="F66" s="243"/>
      <c r="I66" s="243"/>
      <c r="J66" s="243"/>
    </row>
    <row r="67" spans="5:10" x14ac:dyDescent="0.2">
      <c r="E67" s="243"/>
      <c r="F67" s="243"/>
      <c r="I67" s="243"/>
      <c r="J67" s="243"/>
    </row>
    <row r="68" spans="5:10" x14ac:dyDescent="0.2">
      <c r="E68" s="243"/>
      <c r="F68" s="243"/>
      <c r="I68" s="243"/>
      <c r="J68" s="243"/>
    </row>
    <row r="69" spans="5:10" x14ac:dyDescent="0.2">
      <c r="E69" s="243"/>
      <c r="F69" s="243"/>
      <c r="I69" s="243"/>
      <c r="J69" s="243"/>
    </row>
    <row r="70" spans="5:10" x14ac:dyDescent="0.2">
      <c r="E70" s="243"/>
      <c r="F70" s="243"/>
      <c r="I70" s="243"/>
      <c r="J70" s="243"/>
    </row>
    <row r="71" spans="5:10" x14ac:dyDescent="0.2">
      <c r="E71" s="243"/>
      <c r="F71" s="243"/>
      <c r="I71" s="243"/>
      <c r="J71" s="243"/>
    </row>
    <row r="72" spans="5:10" x14ac:dyDescent="0.2">
      <c r="E72" s="243"/>
      <c r="F72" s="243"/>
      <c r="I72" s="243"/>
      <c r="J72" s="243"/>
    </row>
    <row r="73" spans="5:10" x14ac:dyDescent="0.2">
      <c r="E73" s="243"/>
      <c r="F73" s="243"/>
      <c r="I73" s="243"/>
      <c r="J73" s="243"/>
    </row>
    <row r="74" spans="5:10" x14ac:dyDescent="0.2">
      <c r="E74" s="243"/>
      <c r="F74" s="243"/>
      <c r="I74" s="243"/>
      <c r="J74" s="243"/>
    </row>
    <row r="75" spans="5:10" x14ac:dyDescent="0.2">
      <c r="E75" s="243"/>
      <c r="F75" s="243"/>
      <c r="I75" s="243"/>
      <c r="J75" s="243"/>
    </row>
    <row r="76" spans="5:10" x14ac:dyDescent="0.2">
      <c r="E76" s="243"/>
      <c r="F76" s="243"/>
      <c r="I76" s="243"/>
      <c r="J76" s="243"/>
    </row>
    <row r="77" spans="5:10" x14ac:dyDescent="0.2">
      <c r="E77" s="243"/>
      <c r="F77" s="243"/>
      <c r="I77" s="243"/>
      <c r="J77" s="243"/>
    </row>
    <row r="78" spans="5:10" x14ac:dyDescent="0.2">
      <c r="E78" s="243"/>
      <c r="F78" s="243"/>
      <c r="I78" s="243"/>
      <c r="J78" s="243"/>
    </row>
    <row r="79" spans="5:10" x14ac:dyDescent="0.2">
      <c r="E79" s="243"/>
      <c r="F79" s="243"/>
      <c r="I79" s="243"/>
      <c r="J79" s="243"/>
    </row>
    <row r="80" spans="5:10" x14ac:dyDescent="0.2">
      <c r="E80" s="243"/>
      <c r="F80" s="243"/>
      <c r="I80" s="243"/>
      <c r="J80" s="243"/>
    </row>
    <row r="81" spans="5:10" x14ac:dyDescent="0.2">
      <c r="E81" s="243"/>
      <c r="F81" s="243"/>
      <c r="I81" s="243"/>
      <c r="J81" s="243"/>
    </row>
    <row r="82" spans="5:10" x14ac:dyDescent="0.2">
      <c r="E82" s="243"/>
      <c r="F82" s="243"/>
      <c r="I82" s="243"/>
      <c r="J82" s="243"/>
    </row>
    <row r="83" spans="5:10" x14ac:dyDescent="0.2">
      <c r="E83" s="243"/>
      <c r="F83" s="243"/>
      <c r="I83" s="243"/>
      <c r="J83" s="243"/>
    </row>
    <row r="84" spans="5:10" x14ac:dyDescent="0.2">
      <c r="E84" s="243"/>
      <c r="F84" s="243"/>
      <c r="I84" s="243"/>
      <c r="J84" s="243"/>
    </row>
    <row r="85" spans="5:10" x14ac:dyDescent="0.2">
      <c r="E85" s="243"/>
      <c r="F85" s="243"/>
      <c r="I85" s="243"/>
      <c r="J85" s="243"/>
    </row>
    <row r="86" spans="5:10" x14ac:dyDescent="0.2">
      <c r="E86" s="243"/>
      <c r="F86" s="243"/>
      <c r="I86" s="243"/>
      <c r="J86" s="243"/>
    </row>
    <row r="87" spans="5:10" x14ac:dyDescent="0.2">
      <c r="E87" s="243"/>
      <c r="F87" s="243"/>
      <c r="I87" s="243"/>
      <c r="J87" s="243"/>
    </row>
    <row r="88" spans="5:10" x14ac:dyDescent="0.2">
      <c r="E88" s="243"/>
      <c r="F88" s="243"/>
      <c r="I88" s="243"/>
      <c r="J88" s="243"/>
    </row>
    <row r="89" spans="5:10" x14ac:dyDescent="0.2">
      <c r="E89" s="243"/>
      <c r="F89" s="243"/>
      <c r="I89" s="243"/>
      <c r="J89" s="243"/>
    </row>
    <row r="90" spans="5:10" x14ac:dyDescent="0.2">
      <c r="E90" s="243"/>
      <c r="F90" s="243"/>
      <c r="I90" s="243"/>
      <c r="J90" s="243"/>
    </row>
    <row r="91" spans="5:10" x14ac:dyDescent="0.2">
      <c r="E91" s="243"/>
      <c r="F91" s="243"/>
      <c r="I91" s="243"/>
      <c r="J91" s="243"/>
    </row>
    <row r="92" spans="5:10" x14ac:dyDescent="0.2">
      <c r="E92" s="243"/>
      <c r="F92" s="243"/>
      <c r="I92" s="243"/>
      <c r="J92" s="243"/>
    </row>
    <row r="93" spans="5:10" x14ac:dyDescent="0.2">
      <c r="E93" s="243"/>
      <c r="F93" s="243"/>
      <c r="I93" s="243"/>
      <c r="J93" s="243"/>
    </row>
    <row r="94" spans="5:10" x14ac:dyDescent="0.2">
      <c r="E94" s="243"/>
      <c r="F94" s="243"/>
      <c r="I94" s="243"/>
      <c r="J94" s="243"/>
    </row>
    <row r="95" spans="5:10" x14ac:dyDescent="0.2">
      <c r="E95" s="243"/>
      <c r="F95" s="243"/>
      <c r="I95" s="243"/>
      <c r="J95" s="243"/>
    </row>
    <row r="96" spans="5:10" x14ac:dyDescent="0.2">
      <c r="E96" s="243"/>
      <c r="F96" s="243"/>
      <c r="I96" s="243"/>
      <c r="J96" s="243"/>
    </row>
    <row r="97" spans="5:10" x14ac:dyDescent="0.2">
      <c r="E97" s="243"/>
      <c r="F97" s="243"/>
      <c r="I97" s="243"/>
      <c r="J97" s="243"/>
    </row>
    <row r="98" spans="5:10" x14ac:dyDescent="0.2">
      <c r="E98" s="243"/>
      <c r="F98" s="243"/>
      <c r="I98" s="243"/>
      <c r="J98" s="243"/>
    </row>
    <row r="99" spans="5:10" x14ac:dyDescent="0.2">
      <c r="E99" s="243"/>
      <c r="F99" s="243"/>
      <c r="I99" s="243"/>
      <c r="J99" s="243"/>
    </row>
    <row r="100" spans="5:10" x14ac:dyDescent="0.2">
      <c r="E100" s="243"/>
      <c r="F100" s="243"/>
      <c r="I100" s="243"/>
      <c r="J100" s="243"/>
    </row>
    <row r="101" spans="5:10" x14ac:dyDescent="0.2">
      <c r="E101" s="243"/>
      <c r="F101" s="243"/>
      <c r="I101" s="243"/>
      <c r="J101" s="243"/>
    </row>
    <row r="102" spans="5:10" x14ac:dyDescent="0.2">
      <c r="E102" s="243"/>
      <c r="F102" s="243"/>
      <c r="I102" s="243"/>
      <c r="J102" s="243"/>
    </row>
    <row r="103" spans="5:10" x14ac:dyDescent="0.2">
      <c r="E103" s="243"/>
      <c r="F103" s="243"/>
      <c r="I103" s="243"/>
      <c r="J103" s="243"/>
    </row>
    <row r="104" spans="5:10" x14ac:dyDescent="0.2">
      <c r="E104" s="243"/>
      <c r="F104" s="243"/>
      <c r="I104" s="243"/>
      <c r="J104" s="243"/>
    </row>
    <row r="105" spans="5:10" x14ac:dyDescent="0.2">
      <c r="E105" s="243"/>
      <c r="F105" s="243"/>
      <c r="I105" s="243"/>
      <c r="J105" s="243"/>
    </row>
    <row r="106" spans="5:10" x14ac:dyDescent="0.2">
      <c r="E106" s="243"/>
      <c r="F106" s="243"/>
      <c r="I106" s="243"/>
      <c r="J106" s="243"/>
    </row>
    <row r="107" spans="5:10" x14ac:dyDescent="0.2">
      <c r="E107" s="243"/>
      <c r="F107" s="243"/>
      <c r="I107" s="243"/>
      <c r="J107" s="243"/>
    </row>
    <row r="108" spans="5:10" x14ac:dyDescent="0.2">
      <c r="E108" s="243"/>
      <c r="F108" s="243"/>
      <c r="I108" s="243"/>
      <c r="J108" s="243"/>
    </row>
    <row r="109" spans="5:10" x14ac:dyDescent="0.2">
      <c r="E109" s="243"/>
      <c r="F109" s="243"/>
      <c r="I109" s="243"/>
      <c r="J109" s="243"/>
    </row>
    <row r="110" spans="5:10" x14ac:dyDescent="0.2">
      <c r="E110" s="243"/>
      <c r="F110" s="243"/>
      <c r="I110" s="243"/>
      <c r="J110" s="243"/>
    </row>
    <row r="111" spans="5:10" x14ac:dyDescent="0.2">
      <c r="E111" s="243"/>
      <c r="F111" s="243"/>
      <c r="I111" s="243"/>
      <c r="J111" s="243"/>
    </row>
    <row r="112" spans="5:10" x14ac:dyDescent="0.2">
      <c r="E112" s="243"/>
      <c r="F112" s="243"/>
      <c r="I112" s="243"/>
      <c r="J112" s="243"/>
    </row>
    <row r="113" spans="5:10" x14ac:dyDescent="0.2">
      <c r="E113" s="243"/>
      <c r="F113" s="243"/>
      <c r="I113" s="243"/>
      <c r="J113" s="243"/>
    </row>
    <row r="114" spans="5:10" x14ac:dyDescent="0.2">
      <c r="E114" s="243"/>
      <c r="F114" s="243"/>
      <c r="I114" s="243"/>
      <c r="J114" s="243"/>
    </row>
    <row r="115" spans="5:10" x14ac:dyDescent="0.2">
      <c r="E115" s="243"/>
      <c r="F115" s="243"/>
      <c r="I115" s="243"/>
      <c r="J115" s="243"/>
    </row>
    <row r="116" spans="5:10" x14ac:dyDescent="0.2">
      <c r="E116" s="243"/>
      <c r="F116" s="243"/>
      <c r="I116" s="243"/>
      <c r="J116" s="243"/>
    </row>
    <row r="117" spans="5:10" x14ac:dyDescent="0.2">
      <c r="E117" s="243"/>
      <c r="F117" s="243"/>
      <c r="I117" s="243"/>
      <c r="J117" s="243"/>
    </row>
    <row r="118" spans="5:10" x14ac:dyDescent="0.2">
      <c r="E118" s="243"/>
      <c r="F118" s="243"/>
      <c r="I118" s="243"/>
      <c r="J118" s="243"/>
    </row>
    <row r="119" spans="5:10" x14ac:dyDescent="0.2">
      <c r="E119" s="243"/>
      <c r="F119" s="243"/>
      <c r="I119" s="243"/>
      <c r="J119" s="243"/>
    </row>
    <row r="120" spans="5:10" x14ac:dyDescent="0.2">
      <c r="E120" s="243"/>
      <c r="F120" s="243"/>
      <c r="I120" s="243"/>
      <c r="J120" s="243"/>
    </row>
    <row r="121" spans="5:10" x14ac:dyDescent="0.2">
      <c r="E121" s="243"/>
      <c r="F121" s="243"/>
      <c r="I121" s="243"/>
      <c r="J121" s="243"/>
    </row>
    <row r="122" spans="5:10" x14ac:dyDescent="0.2">
      <c r="E122" s="243"/>
      <c r="F122" s="243"/>
      <c r="I122" s="243"/>
      <c r="J122" s="243"/>
    </row>
    <row r="123" spans="5:10" x14ac:dyDescent="0.2">
      <c r="E123" s="243"/>
      <c r="F123" s="243"/>
      <c r="I123" s="243"/>
      <c r="J123" s="243"/>
    </row>
    <row r="124" spans="5:10" x14ac:dyDescent="0.2">
      <c r="E124" s="243"/>
      <c r="F124" s="243"/>
      <c r="I124" s="243"/>
      <c r="J124" s="243"/>
    </row>
    <row r="125" spans="5:10" x14ac:dyDescent="0.2">
      <c r="E125" s="243"/>
      <c r="F125" s="243"/>
      <c r="I125" s="243"/>
      <c r="J125" s="243"/>
    </row>
    <row r="126" spans="5:10" x14ac:dyDescent="0.2">
      <c r="E126" s="243"/>
      <c r="F126" s="243"/>
      <c r="I126" s="243"/>
      <c r="J126" s="243"/>
    </row>
    <row r="127" spans="5:10" x14ac:dyDescent="0.2">
      <c r="E127" s="243"/>
      <c r="F127" s="243"/>
      <c r="I127" s="243"/>
      <c r="J127" s="243"/>
    </row>
    <row r="128" spans="5:10" x14ac:dyDescent="0.2">
      <c r="E128" s="243"/>
      <c r="F128" s="243"/>
      <c r="I128" s="243"/>
      <c r="J128" s="243"/>
    </row>
    <row r="129" spans="5:10" x14ac:dyDescent="0.2">
      <c r="E129" s="243"/>
      <c r="F129" s="243"/>
      <c r="I129" s="243"/>
      <c r="J129" s="243"/>
    </row>
    <row r="130" spans="5:10" x14ac:dyDescent="0.2">
      <c r="E130" s="243"/>
      <c r="F130" s="243"/>
      <c r="I130" s="243"/>
      <c r="J130" s="243"/>
    </row>
    <row r="131" spans="5:10" x14ac:dyDescent="0.2">
      <c r="E131" s="243"/>
      <c r="F131" s="243"/>
      <c r="I131" s="243"/>
      <c r="J131" s="243"/>
    </row>
    <row r="132" spans="5:10" x14ac:dyDescent="0.2">
      <c r="E132" s="243"/>
      <c r="F132" s="243"/>
      <c r="I132" s="243"/>
      <c r="J132" s="243"/>
    </row>
    <row r="133" spans="5:10" x14ac:dyDescent="0.2">
      <c r="E133" s="243"/>
      <c r="F133" s="243"/>
      <c r="I133" s="243"/>
      <c r="J133" s="243"/>
    </row>
    <row r="134" spans="5:10" x14ac:dyDescent="0.2">
      <c r="E134" s="243"/>
      <c r="F134" s="243"/>
      <c r="I134" s="243"/>
      <c r="J134" s="243"/>
    </row>
    <row r="135" spans="5:10" x14ac:dyDescent="0.2">
      <c r="E135" s="243"/>
      <c r="F135" s="243"/>
      <c r="I135" s="243"/>
      <c r="J135" s="243"/>
    </row>
    <row r="136" spans="5:10" x14ac:dyDescent="0.2">
      <c r="E136" s="243"/>
      <c r="F136" s="243"/>
      <c r="I136" s="243"/>
      <c r="J136" s="243"/>
    </row>
    <row r="137" spans="5:10" x14ac:dyDescent="0.2">
      <c r="E137" s="243"/>
      <c r="F137" s="243"/>
      <c r="I137" s="243"/>
      <c r="J137" s="243"/>
    </row>
    <row r="138" spans="5:10" x14ac:dyDescent="0.2">
      <c r="E138" s="243"/>
      <c r="F138" s="243"/>
      <c r="I138" s="243"/>
      <c r="J138" s="243"/>
    </row>
    <row r="139" spans="5:10" x14ac:dyDescent="0.2">
      <c r="E139" s="243"/>
      <c r="F139" s="243"/>
      <c r="I139" s="243"/>
      <c r="J139" s="243"/>
    </row>
    <row r="140" spans="5:10" x14ac:dyDescent="0.2">
      <c r="E140" s="243"/>
      <c r="F140" s="243"/>
      <c r="I140" s="243"/>
      <c r="J140" s="243"/>
    </row>
    <row r="141" spans="5:10" x14ac:dyDescent="0.2">
      <c r="E141" s="243"/>
      <c r="F141" s="243"/>
      <c r="I141" s="243"/>
      <c r="J141" s="243"/>
    </row>
    <row r="142" spans="5:10" x14ac:dyDescent="0.2">
      <c r="E142" s="243"/>
      <c r="F142" s="243"/>
      <c r="I142" s="243"/>
      <c r="J142" s="243"/>
    </row>
    <row r="143" spans="5:10" x14ac:dyDescent="0.2">
      <c r="E143" s="243"/>
      <c r="F143" s="243"/>
      <c r="I143" s="243"/>
      <c r="J143" s="243"/>
    </row>
    <row r="144" spans="5:10" x14ac:dyDescent="0.2">
      <c r="E144" s="243"/>
      <c r="F144" s="243"/>
      <c r="I144" s="243"/>
      <c r="J144" s="243"/>
    </row>
    <row r="145" spans="5:10" x14ac:dyDescent="0.2">
      <c r="E145" s="243"/>
      <c r="F145" s="243"/>
      <c r="I145" s="243"/>
      <c r="J145" s="243"/>
    </row>
    <row r="146" spans="5:10" x14ac:dyDescent="0.2">
      <c r="E146" s="243"/>
      <c r="F146" s="243"/>
      <c r="I146" s="243"/>
      <c r="J146" s="243"/>
    </row>
    <row r="147" spans="5:10" x14ac:dyDescent="0.2">
      <c r="E147" s="243"/>
      <c r="F147" s="243"/>
      <c r="I147" s="243"/>
      <c r="J147" s="243"/>
    </row>
    <row r="148" spans="5:10" x14ac:dyDescent="0.2">
      <c r="E148" s="243"/>
      <c r="F148" s="243"/>
      <c r="I148" s="243"/>
      <c r="J148" s="243"/>
    </row>
    <row r="149" spans="5:10" x14ac:dyDescent="0.2">
      <c r="E149" s="243"/>
      <c r="F149" s="243"/>
      <c r="I149" s="243"/>
      <c r="J149" s="243"/>
    </row>
    <row r="150" spans="5:10" x14ac:dyDescent="0.2">
      <c r="E150" s="243"/>
      <c r="F150" s="243"/>
      <c r="I150" s="243"/>
      <c r="J150" s="243"/>
    </row>
    <row r="151" spans="5:10" x14ac:dyDescent="0.2">
      <c r="E151" s="243"/>
      <c r="F151" s="243"/>
      <c r="I151" s="243"/>
      <c r="J151" s="243"/>
    </row>
    <row r="152" spans="5:10" x14ac:dyDescent="0.2">
      <c r="E152" s="243"/>
      <c r="F152" s="243"/>
      <c r="I152" s="243"/>
      <c r="J152" s="243"/>
    </row>
    <row r="153" spans="5:10" x14ac:dyDescent="0.2">
      <c r="E153" s="243"/>
      <c r="F153" s="243"/>
      <c r="I153" s="243"/>
      <c r="J153" s="243"/>
    </row>
    <row r="154" spans="5:10" x14ac:dyDescent="0.2">
      <c r="E154" s="243"/>
      <c r="F154" s="243"/>
      <c r="I154" s="243"/>
      <c r="J154" s="243"/>
    </row>
    <row r="155" spans="5:10" x14ac:dyDescent="0.2">
      <c r="E155" s="243"/>
      <c r="F155" s="243"/>
      <c r="I155" s="243"/>
      <c r="J155" s="243"/>
    </row>
    <row r="156" spans="5:10" x14ac:dyDescent="0.2">
      <c r="E156" s="243"/>
      <c r="F156" s="243"/>
      <c r="I156" s="243"/>
      <c r="J156" s="243"/>
    </row>
    <row r="157" spans="5:10" x14ac:dyDescent="0.2">
      <c r="E157" s="243"/>
      <c r="F157" s="243"/>
      <c r="I157" s="243"/>
      <c r="J157" s="243"/>
    </row>
    <row r="158" spans="5:10" x14ac:dyDescent="0.2">
      <c r="E158" s="243"/>
      <c r="F158" s="243"/>
      <c r="I158" s="243"/>
      <c r="J158" s="243"/>
    </row>
    <row r="159" spans="5:10" x14ac:dyDescent="0.2">
      <c r="E159" s="243"/>
      <c r="F159" s="243"/>
      <c r="I159" s="243"/>
      <c r="J159" s="243"/>
    </row>
    <row r="160" spans="5:10" x14ac:dyDescent="0.2">
      <c r="E160" s="243"/>
      <c r="F160" s="243"/>
      <c r="I160" s="243"/>
      <c r="J160" s="243"/>
    </row>
    <row r="161" spans="5:10" x14ac:dyDescent="0.2">
      <c r="E161" s="243"/>
      <c r="F161" s="243"/>
      <c r="I161" s="243"/>
      <c r="J161" s="243"/>
    </row>
    <row r="162" spans="5:10" x14ac:dyDescent="0.2">
      <c r="E162" s="243"/>
      <c r="F162" s="243"/>
      <c r="I162" s="243"/>
      <c r="J162" s="243"/>
    </row>
    <row r="163" spans="5:10" x14ac:dyDescent="0.2">
      <c r="E163" s="243"/>
      <c r="F163" s="243"/>
      <c r="I163" s="243"/>
      <c r="J163" s="243"/>
    </row>
    <row r="164" spans="5:10" x14ac:dyDescent="0.2">
      <c r="E164" s="243"/>
      <c r="F164" s="243"/>
      <c r="I164" s="243"/>
      <c r="J164" s="243"/>
    </row>
    <row r="165" spans="5:10" x14ac:dyDescent="0.2">
      <c r="E165" s="243"/>
      <c r="F165" s="243"/>
      <c r="I165" s="243"/>
      <c r="J165" s="243"/>
    </row>
    <row r="166" spans="5:10" x14ac:dyDescent="0.2">
      <c r="E166" s="243"/>
      <c r="F166" s="243"/>
      <c r="I166" s="243"/>
      <c r="J166" s="243"/>
    </row>
    <row r="167" spans="5:10" x14ac:dyDescent="0.2">
      <c r="E167" s="243"/>
      <c r="F167" s="243"/>
      <c r="I167" s="243"/>
      <c r="J167" s="243"/>
    </row>
    <row r="168" spans="5:10" x14ac:dyDescent="0.2">
      <c r="E168" s="243"/>
      <c r="F168" s="243"/>
      <c r="I168" s="243"/>
      <c r="J168" s="243"/>
    </row>
    <row r="169" spans="5:10" x14ac:dyDescent="0.2">
      <c r="E169" s="243"/>
      <c r="F169" s="243"/>
      <c r="I169" s="243"/>
      <c r="J169" s="243"/>
    </row>
    <row r="170" spans="5:10" x14ac:dyDescent="0.2">
      <c r="E170" s="243"/>
      <c r="F170" s="243"/>
      <c r="I170" s="243"/>
      <c r="J170" s="243"/>
    </row>
    <row r="171" spans="5:10" x14ac:dyDescent="0.2">
      <c r="E171" s="243"/>
      <c r="F171" s="243"/>
      <c r="I171" s="243"/>
      <c r="J171" s="243"/>
    </row>
    <row r="172" spans="5:10" x14ac:dyDescent="0.2">
      <c r="E172" s="243"/>
      <c r="F172" s="243"/>
      <c r="I172" s="243"/>
      <c r="J172" s="243"/>
    </row>
    <row r="173" spans="5:10" x14ac:dyDescent="0.2">
      <c r="E173" s="243"/>
      <c r="F173" s="243"/>
      <c r="I173" s="243"/>
      <c r="J173" s="243"/>
    </row>
    <row r="174" spans="5:10" x14ac:dyDescent="0.2">
      <c r="E174" s="243"/>
      <c r="F174" s="243"/>
      <c r="I174" s="243"/>
      <c r="J174" s="243"/>
    </row>
    <row r="175" spans="5:10" x14ac:dyDescent="0.2">
      <c r="E175" s="243"/>
      <c r="F175" s="243"/>
      <c r="I175" s="243"/>
      <c r="J175" s="243"/>
    </row>
    <row r="176" spans="5:10" x14ac:dyDescent="0.2">
      <c r="E176" s="243"/>
      <c r="F176" s="243"/>
      <c r="I176" s="243"/>
      <c r="J176" s="243"/>
    </row>
    <row r="177" spans="5:10" x14ac:dyDescent="0.2">
      <c r="E177" s="243"/>
      <c r="F177" s="243"/>
      <c r="I177" s="243"/>
      <c r="J177" s="243"/>
    </row>
    <row r="178" spans="5:10" x14ac:dyDescent="0.2">
      <c r="E178" s="243"/>
      <c r="F178" s="243"/>
      <c r="I178" s="243"/>
      <c r="J178" s="243"/>
    </row>
    <row r="179" spans="5:10" x14ac:dyDescent="0.2">
      <c r="E179" s="243"/>
      <c r="F179" s="243"/>
      <c r="I179" s="243"/>
      <c r="J179" s="243"/>
    </row>
    <row r="180" spans="5:10" x14ac:dyDescent="0.2">
      <c r="E180" s="243"/>
      <c r="F180" s="243"/>
      <c r="I180" s="243"/>
      <c r="J180" s="243"/>
    </row>
    <row r="181" spans="5:10" x14ac:dyDescent="0.2">
      <c r="E181" s="243"/>
      <c r="F181" s="243"/>
      <c r="I181" s="243"/>
      <c r="J181" s="243"/>
    </row>
    <row r="182" spans="5:10" x14ac:dyDescent="0.2">
      <c r="E182" s="243"/>
      <c r="F182" s="243"/>
      <c r="I182" s="243"/>
      <c r="J182" s="243"/>
    </row>
    <row r="183" spans="5:10" x14ac:dyDescent="0.2">
      <c r="E183" s="243"/>
      <c r="F183" s="243"/>
      <c r="I183" s="243"/>
      <c r="J183" s="243"/>
    </row>
    <row r="184" spans="5:10" x14ac:dyDescent="0.2">
      <c r="E184" s="243"/>
      <c r="F184" s="243"/>
      <c r="I184" s="243"/>
      <c r="J184" s="243"/>
    </row>
    <row r="185" spans="5:10" x14ac:dyDescent="0.2">
      <c r="E185" s="243"/>
      <c r="F185" s="243"/>
      <c r="I185" s="243"/>
      <c r="J185" s="243"/>
    </row>
    <row r="186" spans="5:10" x14ac:dyDescent="0.2">
      <c r="E186" s="243"/>
      <c r="F186" s="243"/>
      <c r="I186" s="243"/>
      <c r="J186" s="243"/>
    </row>
    <row r="187" spans="5:10" x14ac:dyDescent="0.2">
      <c r="E187" s="243"/>
      <c r="F187" s="243"/>
      <c r="I187" s="243"/>
      <c r="J187" s="243"/>
    </row>
    <row r="188" spans="5:10" x14ac:dyDescent="0.2">
      <c r="E188" s="243"/>
      <c r="F188" s="243"/>
      <c r="I188" s="243"/>
      <c r="J188" s="243"/>
    </row>
    <row r="189" spans="5:10" x14ac:dyDescent="0.2">
      <c r="E189" s="243"/>
      <c r="F189" s="243"/>
      <c r="I189" s="243"/>
      <c r="J189" s="243"/>
    </row>
    <row r="190" spans="5:10" x14ac:dyDescent="0.2">
      <c r="E190" s="243"/>
      <c r="F190" s="243"/>
      <c r="I190" s="243"/>
      <c r="J190" s="243"/>
    </row>
    <row r="191" spans="5:10" x14ac:dyDescent="0.2">
      <c r="E191" s="243"/>
      <c r="F191" s="243"/>
      <c r="I191" s="243"/>
      <c r="J191" s="243"/>
    </row>
    <row r="192" spans="5:10" x14ac:dyDescent="0.2">
      <c r="E192" s="243"/>
      <c r="F192" s="243"/>
      <c r="I192" s="243"/>
      <c r="J192" s="243"/>
    </row>
    <row r="193" spans="5:10" x14ac:dyDescent="0.2">
      <c r="E193" s="243"/>
      <c r="F193" s="243"/>
      <c r="I193" s="243"/>
      <c r="J193" s="243"/>
    </row>
    <row r="194" spans="5:10" x14ac:dyDescent="0.2">
      <c r="E194" s="243"/>
      <c r="F194" s="243"/>
      <c r="I194" s="243"/>
      <c r="J194" s="243"/>
    </row>
    <row r="195" spans="5:10" x14ac:dyDescent="0.2">
      <c r="E195" s="243"/>
      <c r="F195" s="243"/>
      <c r="I195" s="243"/>
      <c r="J195" s="243"/>
    </row>
    <row r="196" spans="5:10" x14ac:dyDescent="0.2">
      <c r="E196" s="243"/>
      <c r="F196" s="243"/>
      <c r="I196" s="243"/>
      <c r="J196" s="243"/>
    </row>
    <row r="197" spans="5:10" x14ac:dyDescent="0.2">
      <c r="E197" s="243"/>
      <c r="F197" s="243"/>
      <c r="I197" s="243"/>
      <c r="J197" s="243"/>
    </row>
    <row r="198" spans="5:10" x14ac:dyDescent="0.2">
      <c r="E198" s="243"/>
      <c r="F198" s="243"/>
      <c r="I198" s="243"/>
      <c r="J198" s="243"/>
    </row>
    <row r="199" spans="5:10" x14ac:dyDescent="0.2">
      <c r="E199" s="243"/>
      <c r="F199" s="243"/>
      <c r="I199" s="243"/>
      <c r="J199" s="243"/>
    </row>
    <row r="200" spans="5:10" x14ac:dyDescent="0.2">
      <c r="E200" s="243"/>
      <c r="F200" s="243"/>
      <c r="I200" s="243"/>
      <c r="J200" s="243"/>
    </row>
    <row r="201" spans="5:10" x14ac:dyDescent="0.2">
      <c r="E201" s="243"/>
      <c r="F201" s="243"/>
      <c r="I201" s="243"/>
      <c r="J201" s="243"/>
    </row>
    <row r="202" spans="5:10" x14ac:dyDescent="0.2">
      <c r="E202" s="243"/>
      <c r="F202" s="243"/>
      <c r="I202" s="243"/>
      <c r="J202" s="243"/>
    </row>
    <row r="203" spans="5:10" x14ac:dyDescent="0.2">
      <c r="E203" s="243"/>
      <c r="F203" s="243"/>
      <c r="I203" s="243"/>
      <c r="J203" s="243"/>
    </row>
    <row r="204" spans="5:10" x14ac:dyDescent="0.2">
      <c r="E204" s="243"/>
      <c r="F204" s="243"/>
      <c r="I204" s="243"/>
      <c r="J204" s="243"/>
    </row>
    <row r="205" spans="5:10" x14ac:dyDescent="0.2">
      <c r="E205" s="243"/>
      <c r="F205" s="243"/>
      <c r="I205" s="243"/>
      <c r="J205" s="243"/>
    </row>
    <row r="206" spans="5:10" x14ac:dyDescent="0.2">
      <c r="E206" s="243"/>
      <c r="F206" s="243"/>
      <c r="I206" s="243"/>
      <c r="J206" s="243"/>
    </row>
    <row r="207" spans="5:10" x14ac:dyDescent="0.2">
      <c r="E207" s="243"/>
      <c r="F207" s="243"/>
      <c r="I207" s="243"/>
      <c r="J207" s="243"/>
    </row>
    <row r="208" spans="5:10" x14ac:dyDescent="0.2">
      <c r="E208" s="243"/>
      <c r="F208" s="243"/>
      <c r="I208" s="243"/>
      <c r="J208" s="243"/>
    </row>
    <row r="209" spans="5:10" x14ac:dyDescent="0.2">
      <c r="E209" s="243"/>
      <c r="F209" s="243"/>
      <c r="I209" s="243"/>
      <c r="J209" s="243"/>
    </row>
    <row r="210" spans="5:10" x14ac:dyDescent="0.2">
      <c r="E210" s="243"/>
      <c r="F210" s="243"/>
      <c r="I210" s="243"/>
      <c r="J210" s="243"/>
    </row>
    <row r="211" spans="5:10" x14ac:dyDescent="0.2">
      <c r="E211" s="243"/>
      <c r="F211" s="243"/>
      <c r="I211" s="243"/>
      <c r="J211" s="243"/>
    </row>
    <row r="212" spans="5:10" x14ac:dyDescent="0.2">
      <c r="E212" s="243"/>
      <c r="F212" s="243"/>
      <c r="I212" s="243"/>
      <c r="J212" s="243"/>
    </row>
    <row r="213" spans="5:10" x14ac:dyDescent="0.2">
      <c r="E213" s="243"/>
      <c r="F213" s="243"/>
      <c r="I213" s="243"/>
      <c r="J213" s="243"/>
    </row>
    <row r="214" spans="5:10" x14ac:dyDescent="0.2">
      <c r="E214" s="243"/>
      <c r="F214" s="243"/>
      <c r="I214" s="243"/>
      <c r="J214" s="243"/>
    </row>
    <row r="215" spans="5:10" x14ac:dyDescent="0.2">
      <c r="E215" s="243"/>
      <c r="F215" s="243"/>
      <c r="I215" s="243"/>
      <c r="J215" s="243"/>
    </row>
    <row r="216" spans="5:10" x14ac:dyDescent="0.2">
      <c r="E216" s="243"/>
      <c r="F216" s="243"/>
      <c r="I216" s="243"/>
      <c r="J216" s="243"/>
    </row>
    <row r="217" spans="5:10" x14ac:dyDescent="0.2">
      <c r="E217" s="243"/>
      <c r="F217" s="243"/>
      <c r="I217" s="243"/>
      <c r="J217" s="243"/>
    </row>
    <row r="218" spans="5:10" x14ac:dyDescent="0.2">
      <c r="E218" s="243"/>
      <c r="F218" s="243"/>
      <c r="I218" s="243"/>
      <c r="J218" s="243"/>
    </row>
    <row r="219" spans="5:10" x14ac:dyDescent="0.2">
      <c r="E219" s="243"/>
      <c r="F219" s="243"/>
      <c r="I219" s="243"/>
      <c r="J219" s="243"/>
    </row>
    <row r="220" spans="5:10" x14ac:dyDescent="0.2">
      <c r="E220" s="243"/>
      <c r="F220" s="243"/>
      <c r="I220" s="243"/>
      <c r="J220" s="243"/>
    </row>
    <row r="221" spans="5:10" x14ac:dyDescent="0.2">
      <c r="E221" s="243"/>
      <c r="F221" s="243"/>
      <c r="I221" s="243"/>
      <c r="J221" s="243"/>
    </row>
    <row r="222" spans="5:10" x14ac:dyDescent="0.2">
      <c r="E222" s="243"/>
      <c r="F222" s="243"/>
      <c r="I222" s="243"/>
      <c r="J222" s="243"/>
    </row>
    <row r="223" spans="5:10" x14ac:dyDescent="0.2">
      <c r="E223" s="243"/>
      <c r="F223" s="243"/>
      <c r="I223" s="243"/>
      <c r="J223" s="243"/>
    </row>
    <row r="224" spans="5:10" x14ac:dyDescent="0.2">
      <c r="E224" s="243"/>
      <c r="F224" s="243"/>
      <c r="I224" s="243"/>
      <c r="J224" s="243"/>
    </row>
    <row r="225" spans="5:10" x14ac:dyDescent="0.2">
      <c r="E225" s="243"/>
      <c r="F225" s="243"/>
      <c r="I225" s="243"/>
      <c r="J225" s="243"/>
    </row>
    <row r="226" spans="5:10" x14ac:dyDescent="0.2">
      <c r="E226" s="243"/>
      <c r="F226" s="243"/>
      <c r="I226" s="243"/>
      <c r="J226" s="243"/>
    </row>
    <row r="227" spans="5:10" x14ac:dyDescent="0.2">
      <c r="E227" s="243"/>
      <c r="F227" s="243"/>
      <c r="I227" s="243"/>
      <c r="J227" s="243"/>
    </row>
    <row r="228" spans="5:10" x14ac:dyDescent="0.2">
      <c r="E228" s="243"/>
      <c r="F228" s="243"/>
      <c r="I228" s="243"/>
      <c r="J228" s="243"/>
    </row>
    <row r="229" spans="5:10" x14ac:dyDescent="0.2">
      <c r="E229" s="243"/>
      <c r="F229" s="243"/>
      <c r="I229" s="243"/>
      <c r="J229" s="243"/>
    </row>
    <row r="230" spans="5:10" x14ac:dyDescent="0.2">
      <c r="E230" s="243"/>
      <c r="F230" s="243"/>
      <c r="I230" s="243"/>
      <c r="J230" s="243"/>
    </row>
    <row r="231" spans="5:10" x14ac:dyDescent="0.2">
      <c r="E231" s="243"/>
      <c r="F231" s="243"/>
      <c r="I231" s="243"/>
      <c r="J231" s="243"/>
    </row>
    <row r="232" spans="5:10" x14ac:dyDescent="0.2">
      <c r="E232" s="243"/>
      <c r="F232" s="243"/>
      <c r="I232" s="243"/>
      <c r="J232" s="243"/>
    </row>
    <row r="233" spans="5:10" x14ac:dyDescent="0.2">
      <c r="E233" s="243"/>
      <c r="F233" s="243"/>
      <c r="I233" s="243"/>
      <c r="J233" s="243"/>
    </row>
    <row r="234" spans="5:10" x14ac:dyDescent="0.2">
      <c r="E234" s="243"/>
      <c r="F234" s="243"/>
      <c r="I234" s="243"/>
      <c r="J234" s="243"/>
    </row>
    <row r="235" spans="5:10" x14ac:dyDescent="0.2">
      <c r="E235" s="243"/>
      <c r="F235" s="243"/>
      <c r="I235" s="243"/>
      <c r="J235" s="243"/>
    </row>
    <row r="236" spans="5:10" x14ac:dyDescent="0.2">
      <c r="E236" s="243"/>
      <c r="F236" s="243"/>
      <c r="I236" s="243"/>
      <c r="J236" s="243"/>
    </row>
    <row r="237" spans="5:10" x14ac:dyDescent="0.2">
      <c r="E237" s="243"/>
      <c r="F237" s="243"/>
      <c r="I237" s="243"/>
      <c r="J237" s="243"/>
    </row>
    <row r="238" spans="5:10" x14ac:dyDescent="0.2">
      <c r="E238" s="243"/>
      <c r="F238" s="243"/>
      <c r="I238" s="243"/>
      <c r="J238" s="243"/>
    </row>
    <row r="239" spans="5:10" x14ac:dyDescent="0.2">
      <c r="E239" s="243"/>
      <c r="F239" s="243"/>
      <c r="I239" s="243"/>
      <c r="J239" s="243"/>
    </row>
    <row r="240" spans="5:10" x14ac:dyDescent="0.2">
      <c r="E240" s="243"/>
      <c r="F240" s="243"/>
      <c r="I240" s="243"/>
      <c r="J240" s="243"/>
    </row>
    <row r="241" spans="5:10" x14ac:dyDescent="0.2">
      <c r="E241" s="243"/>
      <c r="F241" s="243"/>
      <c r="I241" s="243"/>
      <c r="J241" s="243"/>
    </row>
    <row r="242" spans="5:10" x14ac:dyDescent="0.2">
      <c r="E242" s="243"/>
      <c r="F242" s="243"/>
      <c r="I242" s="243"/>
      <c r="J242" s="243"/>
    </row>
    <row r="243" spans="5:10" x14ac:dyDescent="0.2">
      <c r="E243" s="243"/>
      <c r="F243" s="243"/>
      <c r="I243" s="243"/>
      <c r="J243" s="243"/>
    </row>
    <row r="244" spans="5:10" x14ac:dyDescent="0.2">
      <c r="E244" s="243"/>
      <c r="F244" s="243"/>
      <c r="I244" s="243"/>
      <c r="J244" s="243"/>
    </row>
    <row r="245" spans="5:10" x14ac:dyDescent="0.2">
      <c r="E245" s="243"/>
      <c r="F245" s="243"/>
      <c r="I245" s="243"/>
      <c r="J245" s="243"/>
    </row>
    <row r="246" spans="5:10" x14ac:dyDescent="0.2">
      <c r="E246" s="243"/>
      <c r="F246" s="243"/>
      <c r="I246" s="243"/>
      <c r="J246" s="243"/>
    </row>
    <row r="247" spans="5:10" x14ac:dyDescent="0.2">
      <c r="E247" s="243"/>
      <c r="F247" s="243"/>
      <c r="I247" s="243"/>
      <c r="J247" s="243"/>
    </row>
    <row r="248" spans="5:10" x14ac:dyDescent="0.2">
      <c r="E248" s="243"/>
      <c r="F248" s="243"/>
      <c r="I248" s="243"/>
      <c r="J248" s="243"/>
    </row>
    <row r="249" spans="5:10" x14ac:dyDescent="0.2">
      <c r="E249" s="243"/>
      <c r="F249" s="243"/>
      <c r="I249" s="243"/>
      <c r="J249" s="243"/>
    </row>
    <row r="250" spans="5:10" x14ac:dyDescent="0.2">
      <c r="E250" s="243"/>
      <c r="F250" s="243"/>
      <c r="I250" s="243"/>
      <c r="J250" s="243"/>
    </row>
    <row r="251" spans="5:10" x14ac:dyDescent="0.2">
      <c r="E251" s="243"/>
      <c r="F251" s="243"/>
      <c r="I251" s="243"/>
      <c r="J251" s="243"/>
    </row>
    <row r="252" spans="5:10" x14ac:dyDescent="0.2">
      <c r="E252" s="243"/>
      <c r="F252" s="243"/>
      <c r="I252" s="243"/>
      <c r="J252" s="243"/>
    </row>
    <row r="253" spans="5:10" x14ac:dyDescent="0.2">
      <c r="E253" s="243"/>
      <c r="F253" s="243"/>
      <c r="I253" s="243"/>
      <c r="J253" s="243"/>
    </row>
    <row r="254" spans="5:10" x14ac:dyDescent="0.2">
      <c r="E254" s="243"/>
      <c r="F254" s="243"/>
      <c r="I254" s="243"/>
      <c r="J254" s="243"/>
    </row>
    <row r="255" spans="5:10" x14ac:dyDescent="0.2">
      <c r="E255" s="243"/>
      <c r="F255" s="243"/>
      <c r="I255" s="243"/>
      <c r="J255" s="243"/>
    </row>
    <row r="256" spans="5:10" x14ac:dyDescent="0.2">
      <c r="E256" s="243"/>
      <c r="F256" s="243"/>
      <c r="I256" s="243"/>
      <c r="J256" s="243"/>
    </row>
    <row r="257" spans="5:10" x14ac:dyDescent="0.2">
      <c r="E257" s="243"/>
      <c r="F257" s="243"/>
      <c r="I257" s="243"/>
      <c r="J257" s="243"/>
    </row>
    <row r="258" spans="5:10" x14ac:dyDescent="0.2">
      <c r="E258" s="243"/>
      <c r="F258" s="243"/>
      <c r="I258" s="243"/>
      <c r="J258" s="243"/>
    </row>
    <row r="259" spans="5:10" x14ac:dyDescent="0.2">
      <c r="E259" s="243"/>
      <c r="F259" s="243"/>
      <c r="I259" s="243"/>
      <c r="J259" s="243"/>
    </row>
    <row r="260" spans="5:10" x14ac:dyDescent="0.2">
      <c r="E260" s="243"/>
      <c r="F260" s="243"/>
      <c r="I260" s="243"/>
      <c r="J260" s="243"/>
    </row>
    <row r="261" spans="5:10" x14ac:dyDescent="0.2">
      <c r="E261" s="243"/>
      <c r="F261" s="243"/>
      <c r="I261" s="243"/>
      <c r="J261" s="243"/>
    </row>
    <row r="262" spans="5:10" x14ac:dyDescent="0.2">
      <c r="E262" s="243"/>
      <c r="F262" s="243"/>
      <c r="I262" s="243"/>
      <c r="J262" s="243"/>
    </row>
    <row r="263" spans="5:10" x14ac:dyDescent="0.2">
      <c r="E263" s="243"/>
      <c r="F263" s="243"/>
      <c r="I263" s="243"/>
      <c r="J263" s="243"/>
    </row>
    <row r="264" spans="5:10" x14ac:dyDescent="0.2">
      <c r="E264" s="243"/>
      <c r="F264" s="243"/>
      <c r="I264" s="243"/>
      <c r="J264" s="243"/>
    </row>
    <row r="265" spans="5:10" x14ac:dyDescent="0.2">
      <c r="E265" s="243"/>
      <c r="F265" s="243"/>
      <c r="I265" s="243"/>
      <c r="J265" s="243"/>
    </row>
    <row r="266" spans="5:10" x14ac:dyDescent="0.2">
      <c r="E266" s="243"/>
      <c r="F266" s="243"/>
      <c r="I266" s="243"/>
      <c r="J266" s="243"/>
    </row>
    <row r="267" spans="5:10" x14ac:dyDescent="0.2">
      <c r="E267" s="243"/>
      <c r="F267" s="243"/>
      <c r="I267" s="243"/>
      <c r="J267" s="243"/>
    </row>
    <row r="268" spans="5:10" x14ac:dyDescent="0.2">
      <c r="E268" s="243"/>
      <c r="F268" s="243"/>
      <c r="I268" s="243"/>
      <c r="J268" s="243"/>
    </row>
    <row r="269" spans="5:10" x14ac:dyDescent="0.2">
      <c r="E269" s="243"/>
      <c r="F269" s="243"/>
      <c r="I269" s="243"/>
      <c r="J269" s="243"/>
    </row>
    <row r="270" spans="5:10" x14ac:dyDescent="0.2">
      <c r="E270" s="243"/>
      <c r="F270" s="243"/>
      <c r="I270" s="243"/>
      <c r="J270" s="243"/>
    </row>
    <row r="271" spans="5:10" x14ac:dyDescent="0.2">
      <c r="E271" s="243"/>
      <c r="F271" s="243"/>
      <c r="I271" s="243"/>
      <c r="J271" s="243"/>
    </row>
    <row r="272" spans="5:10" x14ac:dyDescent="0.2">
      <c r="E272" s="243"/>
      <c r="F272" s="243"/>
      <c r="I272" s="243"/>
      <c r="J272" s="243"/>
    </row>
    <row r="273" spans="5:10" x14ac:dyDescent="0.2">
      <c r="E273" s="243"/>
      <c r="F273" s="243"/>
      <c r="I273" s="243"/>
      <c r="J273" s="243"/>
    </row>
    <row r="274" spans="5:10" x14ac:dyDescent="0.2">
      <c r="E274" s="243"/>
      <c r="F274" s="243"/>
      <c r="I274" s="243"/>
      <c r="J274" s="243"/>
    </row>
    <row r="275" spans="5:10" x14ac:dyDescent="0.2">
      <c r="E275" s="243"/>
      <c r="F275" s="243"/>
      <c r="I275" s="243"/>
      <c r="J275" s="243"/>
    </row>
    <row r="276" spans="5:10" x14ac:dyDescent="0.2">
      <c r="E276" s="243"/>
      <c r="F276" s="243"/>
      <c r="I276" s="243"/>
      <c r="J276" s="243"/>
    </row>
    <row r="277" spans="5:10" x14ac:dyDescent="0.2">
      <c r="E277" s="243"/>
      <c r="F277" s="243"/>
      <c r="I277" s="243"/>
      <c r="J277" s="243"/>
    </row>
    <row r="278" spans="5:10" x14ac:dyDescent="0.2">
      <c r="E278" s="243"/>
      <c r="F278" s="243"/>
      <c r="I278" s="243"/>
      <c r="J278" s="243"/>
    </row>
    <row r="279" spans="5:10" x14ac:dyDescent="0.2">
      <c r="E279" s="243"/>
      <c r="F279" s="243"/>
      <c r="I279" s="243"/>
      <c r="J279" s="243"/>
    </row>
    <row r="280" spans="5:10" x14ac:dyDescent="0.2">
      <c r="E280" s="243"/>
      <c r="F280" s="243"/>
      <c r="I280" s="243"/>
      <c r="J280" s="243"/>
    </row>
    <row r="281" spans="5:10" x14ac:dyDescent="0.2">
      <c r="E281" s="243"/>
      <c r="F281" s="243"/>
      <c r="I281" s="243"/>
      <c r="J281" s="243"/>
    </row>
    <row r="282" spans="5:10" x14ac:dyDescent="0.2">
      <c r="E282" s="243"/>
      <c r="F282" s="243"/>
      <c r="I282" s="243"/>
      <c r="J282" s="243"/>
    </row>
    <row r="283" spans="5:10" x14ac:dyDescent="0.2">
      <c r="E283" s="243"/>
      <c r="F283" s="243"/>
      <c r="I283" s="243"/>
      <c r="J283" s="243"/>
    </row>
    <row r="284" spans="5:10" x14ac:dyDescent="0.2">
      <c r="E284" s="243"/>
      <c r="F284" s="243"/>
      <c r="I284" s="243"/>
      <c r="J284" s="243"/>
    </row>
    <row r="285" spans="5:10" x14ac:dyDescent="0.2">
      <c r="E285" s="243"/>
      <c r="F285" s="243"/>
      <c r="I285" s="243"/>
      <c r="J285" s="243"/>
    </row>
    <row r="286" spans="5:10" x14ac:dyDescent="0.2">
      <c r="E286" s="243"/>
      <c r="F286" s="243"/>
      <c r="I286" s="243"/>
      <c r="J286" s="243"/>
    </row>
    <row r="287" spans="5:10" x14ac:dyDescent="0.2">
      <c r="E287" s="243"/>
      <c r="F287" s="243"/>
      <c r="I287" s="243"/>
      <c r="J287" s="243"/>
    </row>
    <row r="288" spans="5:10" x14ac:dyDescent="0.2">
      <c r="E288" s="243"/>
      <c r="F288" s="243"/>
      <c r="I288" s="243"/>
      <c r="J288" s="243"/>
    </row>
    <row r="289" spans="5:10" x14ac:dyDescent="0.2">
      <c r="E289" s="243"/>
      <c r="F289" s="243"/>
      <c r="I289" s="243"/>
      <c r="J289" s="243"/>
    </row>
    <row r="290" spans="5:10" x14ac:dyDescent="0.2">
      <c r="E290" s="243"/>
      <c r="F290" s="243"/>
      <c r="I290" s="243"/>
      <c r="J290" s="243"/>
    </row>
    <row r="291" spans="5:10" x14ac:dyDescent="0.2">
      <c r="I291" s="243"/>
      <c r="J291" s="243"/>
    </row>
    <row r="292" spans="5:10" x14ac:dyDescent="0.2">
      <c r="I292" s="243"/>
      <c r="J292" s="243"/>
    </row>
    <row r="293" spans="5:10" x14ac:dyDescent="0.2">
      <c r="I293" s="243"/>
      <c r="J293" s="243"/>
    </row>
    <row r="294" spans="5:10" x14ac:dyDescent="0.2">
      <c r="I294" s="243"/>
      <c r="J294" s="243"/>
    </row>
    <row r="295" spans="5:10" x14ac:dyDescent="0.2">
      <c r="I295" s="243"/>
      <c r="J295" s="243"/>
    </row>
    <row r="296" spans="5:10" x14ac:dyDescent="0.2">
      <c r="I296" s="243"/>
      <c r="J296" s="243"/>
    </row>
    <row r="297" spans="5:10" x14ac:dyDescent="0.2">
      <c r="I297" s="243"/>
      <c r="J297" s="243"/>
    </row>
    <row r="298" spans="5:10" x14ac:dyDescent="0.2">
      <c r="I298" s="243"/>
      <c r="J298" s="243"/>
    </row>
    <row r="299" spans="5:10" x14ac:dyDescent="0.2">
      <c r="I299" s="243"/>
      <c r="J299" s="243"/>
    </row>
    <row r="300" spans="5:10" x14ac:dyDescent="0.2">
      <c r="I300" s="243"/>
      <c r="J300" s="243"/>
    </row>
  </sheetData>
  <customSheetViews>
    <customSheetView guid="{B9B27D37-53F8-4AD8-9221-6458C3026417}" scale="120" showPageBreaks="1" fitToPage="1" printArea="1" view="pageBreakPreview" topLeftCell="A25">
      <selection activeCell="G7" sqref="G7"/>
      <pageMargins left="0.7" right="0.7" top="0.75" bottom="0.75" header="0.3" footer="0.3"/>
      <pageSetup paperSize="9" scale="71" orientation="portrait" r:id="rId1"/>
    </customSheetView>
    <customSheetView guid="{F9A1D58D-8337-4577-94AF-0D6370657575}" scale="120" showPageBreaks="1" fitToPage="1" printArea="1" view="pageBreakPreview" topLeftCell="A25">
      <selection activeCell="G7" sqref="G7"/>
      <pageMargins left="0.7" right="0.7" top="0.75" bottom="0.75" header="0.3" footer="0.3"/>
      <pageSetup paperSize="9" scale="71" orientation="portrait" r:id="rId2"/>
    </customSheetView>
  </customSheetViews>
  <mergeCells count="19">
    <mergeCell ref="A44:I44"/>
    <mergeCell ref="A4:J4"/>
    <mergeCell ref="B5:J5"/>
    <mergeCell ref="B9:J9"/>
    <mergeCell ref="B17:J17"/>
    <mergeCell ref="B24:J24"/>
    <mergeCell ref="A28:B28"/>
    <mergeCell ref="A29:J29"/>
    <mergeCell ref="B30:J30"/>
    <mergeCell ref="B34:J34"/>
    <mergeCell ref="B38:J38"/>
    <mergeCell ref="A40:B40"/>
    <mergeCell ref="A1:J1"/>
    <mergeCell ref="A2:A3"/>
    <mergeCell ref="B2:B3"/>
    <mergeCell ref="C2:D2"/>
    <mergeCell ref="E2:F2"/>
    <mergeCell ref="G2:H2"/>
    <mergeCell ref="I2:J2"/>
  </mergeCells>
  <pageMargins left="0.7" right="0.7" top="0.75" bottom="0.75" header="0.3" footer="0.3"/>
  <pageSetup paperSize="9" scale="71" orientation="portrait"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K31"/>
  <sheetViews>
    <sheetView view="pageBreakPreview" topLeftCell="A4" zoomScale="120" zoomScaleNormal="115" zoomScaleSheetLayoutView="120" workbookViewId="0">
      <selection activeCell="G7" sqref="G7"/>
    </sheetView>
  </sheetViews>
  <sheetFormatPr defaultRowHeight="12.75" x14ac:dyDescent="0.2"/>
  <cols>
    <col min="1" max="1" width="7.140625" style="243" bestFit="1" customWidth="1"/>
    <col min="2" max="2" width="18.7109375" style="243" customWidth="1"/>
    <col min="3" max="3" width="11.140625" style="243" bestFit="1" customWidth="1"/>
    <col min="4" max="5" width="12.85546875" style="243" customWidth="1"/>
    <col min="6" max="6" width="9.85546875" style="243" customWidth="1"/>
    <col min="7" max="7" width="7.7109375" style="243" bestFit="1" customWidth="1"/>
    <col min="8" max="8" width="9" style="243" bestFit="1" customWidth="1"/>
    <col min="9" max="9" width="10.7109375" style="243" customWidth="1"/>
    <col min="10" max="10" width="8.42578125" style="243" bestFit="1" customWidth="1"/>
    <col min="11" max="16384" width="9.140625" style="243"/>
  </cols>
  <sheetData>
    <row r="1" spans="1:11" ht="15" customHeight="1" x14ac:dyDescent="0.25">
      <c r="A1" s="573" t="s">
        <v>960</v>
      </c>
      <c r="B1" s="573"/>
      <c r="C1" s="573"/>
      <c r="D1" s="573"/>
      <c r="E1" s="573"/>
      <c r="F1" s="573"/>
      <c r="G1" s="573"/>
      <c r="H1" s="573"/>
      <c r="I1" s="573"/>
      <c r="J1" s="573"/>
    </row>
    <row r="2" spans="1:11" ht="15" customHeight="1" x14ac:dyDescent="0.2">
      <c r="A2" s="529" t="s">
        <v>941</v>
      </c>
      <c r="B2" s="574" t="s">
        <v>961</v>
      </c>
      <c r="C2" s="554" t="s">
        <v>70</v>
      </c>
      <c r="D2" s="555"/>
      <c r="E2" s="554">
        <v>43148</v>
      </c>
      <c r="F2" s="555"/>
      <c r="G2" s="554">
        <v>43466</v>
      </c>
      <c r="H2" s="555"/>
      <c r="I2" s="554">
        <v>43514</v>
      </c>
      <c r="J2" s="555"/>
    </row>
    <row r="3" spans="1:11" ht="38.25" x14ac:dyDescent="0.2">
      <c r="A3" s="529"/>
      <c r="B3" s="575"/>
      <c r="C3" s="208" t="s">
        <v>920</v>
      </c>
      <c r="D3" s="129" t="s">
        <v>892</v>
      </c>
      <c r="E3" s="208" t="s">
        <v>920</v>
      </c>
      <c r="F3" s="129" t="s">
        <v>892</v>
      </c>
      <c r="G3" s="208" t="s">
        <v>920</v>
      </c>
      <c r="H3" s="208" t="s">
        <v>962</v>
      </c>
      <c r="I3" s="208" t="s">
        <v>798</v>
      </c>
      <c r="J3" s="129" t="s">
        <v>892</v>
      </c>
    </row>
    <row r="4" spans="1:11" ht="15" customHeight="1" x14ac:dyDescent="0.2">
      <c r="A4" s="569" t="s">
        <v>783</v>
      </c>
      <c r="B4" s="570"/>
      <c r="C4" s="570"/>
      <c r="D4" s="570"/>
      <c r="E4" s="570"/>
      <c r="F4" s="570"/>
      <c r="G4" s="570"/>
      <c r="H4" s="570"/>
      <c r="I4" s="570"/>
      <c r="J4" s="571"/>
    </row>
    <row r="5" spans="1:11" x14ac:dyDescent="0.2">
      <c r="A5" s="247">
        <v>1</v>
      </c>
      <c r="B5" s="211" t="s">
        <v>826</v>
      </c>
      <c r="C5" s="212">
        <v>333.43</v>
      </c>
      <c r="D5" s="212">
        <v>517.32857000000001</v>
      </c>
      <c r="E5" s="248">
        <v>1.41</v>
      </c>
      <c r="F5" s="248">
        <v>2.0699999999999998</v>
      </c>
      <c r="G5" s="212">
        <v>4.6399999999999997</v>
      </c>
      <c r="H5" s="212">
        <v>8.2123600000000021</v>
      </c>
      <c r="I5" s="212">
        <v>0.86</v>
      </c>
      <c r="J5" s="212">
        <v>1.4700000000000002</v>
      </c>
    </row>
    <row r="6" spans="1:11" x14ac:dyDescent="0.2">
      <c r="A6" s="247">
        <v>2</v>
      </c>
      <c r="B6" s="211" t="s">
        <v>817</v>
      </c>
      <c r="C6" s="212">
        <v>13098.369999999999</v>
      </c>
      <c r="D6" s="212">
        <v>64094.143410000004</v>
      </c>
      <c r="E6" s="212">
        <v>645.01</v>
      </c>
      <c r="F6" s="212">
        <v>2716.82</v>
      </c>
      <c r="G6" s="212">
        <v>903.75999999999988</v>
      </c>
      <c r="H6" s="212">
        <v>4755.1795199999997</v>
      </c>
      <c r="I6" s="212">
        <v>828.9599999999997</v>
      </c>
      <c r="J6" s="212">
        <v>4329.4800000000005</v>
      </c>
      <c r="K6" s="249">
        <f>(J6-H6)/H6*100</f>
        <v>-8.9523333074920224</v>
      </c>
    </row>
    <row r="7" spans="1:11" x14ac:dyDescent="0.2">
      <c r="A7" s="247">
        <v>3</v>
      </c>
      <c r="B7" s="211" t="s">
        <v>827</v>
      </c>
      <c r="C7" s="212">
        <v>12535.78</v>
      </c>
      <c r="D7" s="212">
        <v>50216.821090000012</v>
      </c>
      <c r="E7" s="212">
        <v>1113.76</v>
      </c>
      <c r="F7" s="212">
        <v>4280.8999999999996</v>
      </c>
      <c r="G7" s="212">
        <v>634.58999999999992</v>
      </c>
      <c r="H7" s="212">
        <v>2716.3203700000004</v>
      </c>
      <c r="I7" s="212">
        <v>528.20000000000005</v>
      </c>
      <c r="J7" s="212">
        <v>2230.23</v>
      </c>
      <c r="K7" s="249">
        <f t="shared" ref="K7:K21" si="0">(J7-H7)/H7*100</f>
        <v>-17.89517817443604</v>
      </c>
    </row>
    <row r="8" spans="1:11" x14ac:dyDescent="0.2">
      <c r="A8" s="247">
        <f>A7+1</f>
        <v>4</v>
      </c>
      <c r="B8" s="211" t="s">
        <v>828</v>
      </c>
      <c r="C8" s="212">
        <v>16336.679999999998</v>
      </c>
      <c r="D8" s="212">
        <v>27348.637045000003</v>
      </c>
      <c r="E8" s="212">
        <v>1530.22</v>
      </c>
      <c r="F8" s="212">
        <v>2561.39</v>
      </c>
      <c r="G8" s="212">
        <v>1425.4200000000003</v>
      </c>
      <c r="H8" s="212">
        <v>2827.8717799999999</v>
      </c>
      <c r="I8" s="250">
        <v>1065.7299999999993</v>
      </c>
      <c r="J8" s="212">
        <v>2127.389999999999</v>
      </c>
      <c r="K8" s="249">
        <f t="shared" si="0"/>
        <v>-24.77063440266733</v>
      </c>
    </row>
    <row r="9" spans="1:11" x14ac:dyDescent="0.2">
      <c r="A9" s="247">
        <f t="shared" ref="A9:A20" si="1">A8+1</f>
        <v>5</v>
      </c>
      <c r="B9" s="211" t="s">
        <v>829</v>
      </c>
      <c r="C9" s="212">
        <v>2960.9400000000005</v>
      </c>
      <c r="D9" s="212">
        <v>16299.193670000002</v>
      </c>
      <c r="E9" s="212">
        <v>71.790000000000006</v>
      </c>
      <c r="F9" s="212">
        <v>405.12</v>
      </c>
      <c r="G9" s="212">
        <v>178.94999999999996</v>
      </c>
      <c r="H9" s="212">
        <v>1175.3494400000002</v>
      </c>
      <c r="I9" s="212">
        <v>121.26000000000002</v>
      </c>
      <c r="J9" s="212">
        <v>760.6099999999999</v>
      </c>
      <c r="K9" s="249">
        <f t="shared" si="0"/>
        <v>-35.286479568152956</v>
      </c>
    </row>
    <row r="10" spans="1:11" x14ac:dyDescent="0.2">
      <c r="A10" s="247">
        <f t="shared" si="1"/>
        <v>6</v>
      </c>
      <c r="B10" s="211" t="s">
        <v>830</v>
      </c>
      <c r="C10" s="212">
        <v>25264.14</v>
      </c>
      <c r="D10" s="212">
        <v>107778.135295</v>
      </c>
      <c r="E10" s="212">
        <v>3401.51</v>
      </c>
      <c r="F10" s="212">
        <v>15089.33</v>
      </c>
      <c r="G10" s="212">
        <v>1779.95</v>
      </c>
      <c r="H10" s="212">
        <v>7704.5313500000011</v>
      </c>
      <c r="I10" s="212">
        <v>1216.8</v>
      </c>
      <c r="J10" s="212">
        <v>5140.6400000000021</v>
      </c>
      <c r="K10" s="249">
        <f t="shared" si="0"/>
        <v>-33.277706761489121</v>
      </c>
    </row>
    <row r="11" spans="1:11" x14ac:dyDescent="0.2">
      <c r="A11" s="247">
        <f t="shared" si="1"/>
        <v>7</v>
      </c>
      <c r="B11" s="211" t="s">
        <v>831</v>
      </c>
      <c r="C11" s="212">
        <v>5722.0999999999995</v>
      </c>
      <c r="D11" s="212">
        <v>51347.395109999998</v>
      </c>
      <c r="E11" s="212">
        <v>814.995</v>
      </c>
      <c r="F11" s="212">
        <v>7981.56</v>
      </c>
      <c r="G11" s="212">
        <v>477.65</v>
      </c>
      <c r="H11" s="212">
        <v>4107.5673749999996</v>
      </c>
      <c r="I11" s="212">
        <v>346.92499999999995</v>
      </c>
      <c r="J11" s="212">
        <v>2908.9599999999991</v>
      </c>
      <c r="K11" s="249">
        <f t="shared" si="0"/>
        <v>-29.180467794517934</v>
      </c>
    </row>
    <row r="12" spans="1:11" x14ac:dyDescent="0.2">
      <c r="A12" s="247">
        <f t="shared" si="1"/>
        <v>8</v>
      </c>
      <c r="B12" s="211" t="s">
        <v>832</v>
      </c>
      <c r="C12" s="212">
        <v>889.94999999999993</v>
      </c>
      <c r="D12" s="212">
        <v>16274.594255</v>
      </c>
      <c r="E12" s="212">
        <v>51.777000000000001</v>
      </c>
      <c r="F12" s="212">
        <v>819.11</v>
      </c>
      <c r="G12" s="212">
        <v>50.115000000000009</v>
      </c>
      <c r="H12" s="212">
        <v>843.50420999999994</v>
      </c>
      <c r="I12" s="212">
        <v>41.724000000000011</v>
      </c>
      <c r="J12" s="212">
        <v>644.68000000000006</v>
      </c>
      <c r="K12" s="249">
        <f t="shared" si="0"/>
        <v>-23.571217267546288</v>
      </c>
    </row>
    <row r="13" spans="1:11" x14ac:dyDescent="0.2">
      <c r="A13" s="247">
        <f t="shared" si="1"/>
        <v>9</v>
      </c>
      <c r="B13" s="211" t="s">
        <v>833</v>
      </c>
      <c r="C13" s="212">
        <v>1879.2240000000002</v>
      </c>
      <c r="D13" s="212">
        <v>10816.857520000001</v>
      </c>
      <c r="E13" s="212">
        <v>360.86</v>
      </c>
      <c r="F13" s="212">
        <v>1731.57</v>
      </c>
      <c r="G13" s="212">
        <v>255.22799999999998</v>
      </c>
      <c r="H13" s="212">
        <v>1460.7363899999998</v>
      </c>
      <c r="I13" s="212">
        <v>171.23600000000002</v>
      </c>
      <c r="J13" s="212">
        <v>963.53</v>
      </c>
      <c r="K13" s="249">
        <f t="shared" si="0"/>
        <v>-34.038064184873214</v>
      </c>
    </row>
    <row r="14" spans="1:11" x14ac:dyDescent="0.2">
      <c r="A14" s="247">
        <f t="shared" si="1"/>
        <v>10</v>
      </c>
      <c r="B14" s="211" t="s">
        <v>834</v>
      </c>
      <c r="C14" s="212">
        <v>220.19</v>
      </c>
      <c r="D14" s="212">
        <v>235.13126999999994</v>
      </c>
      <c r="E14" s="213">
        <v>3.9</v>
      </c>
      <c r="F14" s="213">
        <v>4.47</v>
      </c>
      <c r="G14" s="212">
        <v>0.24000000000000002</v>
      </c>
      <c r="H14" s="213">
        <v>0.35786000000000001</v>
      </c>
      <c r="I14" s="213">
        <v>7.0000000000000007E-2</v>
      </c>
      <c r="J14" s="213">
        <v>0.13</v>
      </c>
      <c r="K14" s="249">
        <f t="shared" si="0"/>
        <v>-63.672944726988213</v>
      </c>
    </row>
    <row r="15" spans="1:11" x14ac:dyDescent="0.2">
      <c r="A15" s="247">
        <f t="shared" si="1"/>
        <v>11</v>
      </c>
      <c r="B15" s="211" t="s">
        <v>835</v>
      </c>
      <c r="C15" s="212">
        <v>9468.3900000000012</v>
      </c>
      <c r="D15" s="212">
        <v>38315.780799999993</v>
      </c>
      <c r="E15" s="212">
        <v>711.19</v>
      </c>
      <c r="F15" s="212">
        <v>2933.88</v>
      </c>
      <c r="G15" s="212">
        <v>505.41</v>
      </c>
      <c r="H15" s="212">
        <v>1985.2525499999999</v>
      </c>
      <c r="I15" s="212">
        <v>311.92</v>
      </c>
      <c r="J15" s="212">
        <v>1222.1699999999998</v>
      </c>
      <c r="K15" s="249">
        <f t="shared" si="0"/>
        <v>-38.43755546366129</v>
      </c>
    </row>
    <row r="16" spans="1:11" x14ac:dyDescent="0.2">
      <c r="A16" s="247">
        <f t="shared" si="1"/>
        <v>12</v>
      </c>
      <c r="B16" s="211" t="s">
        <v>836</v>
      </c>
      <c r="C16" s="248">
        <v>0.02</v>
      </c>
      <c r="D16" s="213">
        <v>6.0859999999999997E-2</v>
      </c>
      <c r="E16" s="213">
        <v>0.08</v>
      </c>
      <c r="F16" s="212">
        <v>0.24</v>
      </c>
      <c r="G16" s="234">
        <v>0</v>
      </c>
      <c r="H16" s="234">
        <v>0</v>
      </c>
      <c r="I16" s="234">
        <v>0</v>
      </c>
      <c r="J16" s="234">
        <v>0</v>
      </c>
      <c r="K16" s="249"/>
    </row>
    <row r="17" spans="1:11" x14ac:dyDescent="0.2">
      <c r="A17" s="247">
        <f t="shared" si="1"/>
        <v>13</v>
      </c>
      <c r="B17" s="211" t="s">
        <v>837</v>
      </c>
      <c r="C17" s="212">
        <v>16232.039999999999</v>
      </c>
      <c r="D17" s="212">
        <v>57376.753179999992</v>
      </c>
      <c r="E17" s="212">
        <v>3507.25</v>
      </c>
      <c r="F17" s="212">
        <v>13083.37</v>
      </c>
      <c r="G17" s="212">
        <v>2395.2200000000003</v>
      </c>
      <c r="H17" s="212">
        <v>8898.1354999999985</v>
      </c>
      <c r="I17" s="212">
        <v>1393.0799999999997</v>
      </c>
      <c r="J17" s="212">
        <v>5262.3900000000012</v>
      </c>
      <c r="K17" s="249">
        <f t="shared" si="0"/>
        <v>-40.859632897251316</v>
      </c>
    </row>
    <row r="18" spans="1:11" x14ac:dyDescent="0.2">
      <c r="A18" s="247">
        <f t="shared" si="1"/>
        <v>14</v>
      </c>
      <c r="B18" s="211" t="s">
        <v>838</v>
      </c>
      <c r="C18" s="212">
        <v>6487.4800000000005</v>
      </c>
      <c r="D18" s="212">
        <v>48814.030035000003</v>
      </c>
      <c r="E18" s="212">
        <v>682.48</v>
      </c>
      <c r="F18" s="212">
        <v>5096.16</v>
      </c>
      <c r="G18" s="212">
        <v>644.15</v>
      </c>
      <c r="H18" s="212">
        <v>4862.9921650000006</v>
      </c>
      <c r="I18" s="212">
        <v>430.73000000000013</v>
      </c>
      <c r="J18" s="212">
        <v>3288.7599999999998</v>
      </c>
      <c r="K18" s="249">
        <f t="shared" si="0"/>
        <v>-32.371678003721414</v>
      </c>
    </row>
    <row r="19" spans="1:11" x14ac:dyDescent="0.2">
      <c r="A19" s="247">
        <f t="shared" si="1"/>
        <v>15</v>
      </c>
      <c r="B19" s="211" t="s">
        <v>839</v>
      </c>
      <c r="C19" s="212">
        <v>1287.4400000000003</v>
      </c>
      <c r="D19" s="212">
        <v>8969.0922300000002</v>
      </c>
      <c r="E19" s="212">
        <v>59.55</v>
      </c>
      <c r="F19" s="212">
        <v>420.05</v>
      </c>
      <c r="G19" s="212">
        <v>37.594999999999999</v>
      </c>
      <c r="H19" s="212">
        <v>246.10851999999997</v>
      </c>
      <c r="I19" s="212">
        <v>32.555</v>
      </c>
      <c r="J19" s="212">
        <v>204.98999999999998</v>
      </c>
      <c r="K19" s="249">
        <f t="shared" si="0"/>
        <v>-16.70747522271882</v>
      </c>
    </row>
    <row r="20" spans="1:11" x14ac:dyDescent="0.2">
      <c r="A20" s="247">
        <f t="shared" si="1"/>
        <v>16</v>
      </c>
      <c r="B20" s="211" t="s">
        <v>840</v>
      </c>
      <c r="C20" s="212">
        <v>171.45999999999998</v>
      </c>
      <c r="D20" s="212">
        <v>320.89475000000004</v>
      </c>
      <c r="E20" s="212">
        <v>39.330000000000005</v>
      </c>
      <c r="F20" s="212">
        <v>67.92</v>
      </c>
      <c r="G20" s="212">
        <v>1.7300000000000006</v>
      </c>
      <c r="H20" s="212">
        <v>3.5203999999999991</v>
      </c>
      <c r="I20" s="212">
        <v>0.89000000000000024</v>
      </c>
      <c r="J20" s="212">
        <v>1.8000000000000005</v>
      </c>
      <c r="K20" s="249">
        <f t="shared" si="0"/>
        <v>-48.869446653789318</v>
      </c>
    </row>
    <row r="21" spans="1:11" x14ac:dyDescent="0.2">
      <c r="A21" s="251"/>
      <c r="B21" s="219" t="s">
        <v>150</v>
      </c>
      <c r="C21" s="220">
        <f t="shared" ref="C21:J21" si="2">SUM(C5:C20)</f>
        <v>112887.63400000001</v>
      </c>
      <c r="D21" s="220">
        <f t="shared" si="2"/>
        <v>498724.84909000009</v>
      </c>
      <c r="E21" s="220">
        <f t="shared" si="2"/>
        <v>12995.111999999997</v>
      </c>
      <c r="F21" s="220">
        <f t="shared" si="2"/>
        <v>57193.960000000006</v>
      </c>
      <c r="G21" s="220">
        <f t="shared" si="2"/>
        <v>9294.6479999999974</v>
      </c>
      <c r="H21" s="220">
        <f t="shared" si="2"/>
        <v>41595.639790000001</v>
      </c>
      <c r="I21" s="220">
        <f t="shared" si="2"/>
        <v>6490.9400000000005</v>
      </c>
      <c r="J21" s="220">
        <f t="shared" si="2"/>
        <v>29087.23</v>
      </c>
      <c r="K21" s="249">
        <f t="shared" si="0"/>
        <v>-30.071444634942591</v>
      </c>
    </row>
    <row r="22" spans="1:11" x14ac:dyDescent="0.2">
      <c r="A22" s="572" t="s">
        <v>784</v>
      </c>
      <c r="B22" s="572"/>
      <c r="C22" s="572"/>
      <c r="D22" s="572"/>
      <c r="E22" s="572"/>
      <c r="F22" s="572"/>
      <c r="G22" s="572"/>
      <c r="H22" s="572"/>
      <c r="I22" s="572"/>
      <c r="J22" s="572"/>
      <c r="K22" s="243" t="s">
        <v>882</v>
      </c>
    </row>
    <row r="23" spans="1:11" x14ac:dyDescent="0.2">
      <c r="A23" s="252">
        <v>1</v>
      </c>
      <c r="B23" s="211" t="s">
        <v>827</v>
      </c>
      <c r="C23" s="234">
        <v>0.33</v>
      </c>
      <c r="D23" s="234">
        <v>1.42</v>
      </c>
      <c r="E23" s="234">
        <v>0</v>
      </c>
      <c r="F23" s="234">
        <v>0</v>
      </c>
      <c r="G23" s="234">
        <v>0</v>
      </c>
      <c r="H23" s="234">
        <v>0</v>
      </c>
      <c r="I23" s="234">
        <v>0</v>
      </c>
      <c r="J23" s="234">
        <v>0</v>
      </c>
    </row>
    <row r="24" spans="1:11" x14ac:dyDescent="0.2">
      <c r="A24" s="252">
        <v>2</v>
      </c>
      <c r="B24" s="211" t="s">
        <v>831</v>
      </c>
      <c r="C24" s="234">
        <v>0.12</v>
      </c>
      <c r="D24" s="234">
        <v>1.18</v>
      </c>
      <c r="E24" s="234">
        <v>0</v>
      </c>
      <c r="F24" s="234">
        <v>0</v>
      </c>
      <c r="G24" s="234">
        <v>0</v>
      </c>
      <c r="H24" s="234">
        <v>0</v>
      </c>
      <c r="I24" s="234">
        <v>0</v>
      </c>
      <c r="J24" s="234">
        <v>0</v>
      </c>
    </row>
    <row r="25" spans="1:11" x14ac:dyDescent="0.2">
      <c r="A25" s="252">
        <v>3</v>
      </c>
      <c r="B25" s="211" t="s">
        <v>963</v>
      </c>
      <c r="C25" s="234">
        <v>37.68</v>
      </c>
      <c r="D25" s="234">
        <v>163.72999999999999</v>
      </c>
      <c r="E25" s="234">
        <v>27.95</v>
      </c>
      <c r="F25" s="234">
        <v>125.75</v>
      </c>
      <c r="G25" s="234">
        <v>1.36</v>
      </c>
      <c r="H25" s="234">
        <v>6.04</v>
      </c>
      <c r="I25" s="234">
        <v>1.1000000000000001</v>
      </c>
      <c r="J25" s="234">
        <v>4.82</v>
      </c>
    </row>
    <row r="26" spans="1:11" x14ac:dyDescent="0.2">
      <c r="A26" s="252">
        <v>4</v>
      </c>
      <c r="B26" s="211" t="s">
        <v>964</v>
      </c>
      <c r="C26" s="234">
        <v>0.24</v>
      </c>
      <c r="D26" s="234">
        <v>0.81</v>
      </c>
      <c r="E26" s="234">
        <v>0</v>
      </c>
      <c r="F26" s="234">
        <v>0</v>
      </c>
      <c r="G26" s="234">
        <v>0</v>
      </c>
      <c r="H26" s="234">
        <v>0</v>
      </c>
      <c r="I26" s="234">
        <v>0</v>
      </c>
      <c r="J26" s="234">
        <v>0</v>
      </c>
    </row>
    <row r="27" spans="1:11" x14ac:dyDescent="0.2">
      <c r="A27" s="252">
        <v>5</v>
      </c>
      <c r="B27" s="211" t="s">
        <v>965</v>
      </c>
      <c r="C27" s="234">
        <v>0.21</v>
      </c>
      <c r="D27" s="234">
        <v>1.6</v>
      </c>
      <c r="E27" s="234">
        <v>0</v>
      </c>
      <c r="F27" s="234">
        <v>0</v>
      </c>
      <c r="G27" s="234">
        <v>0</v>
      </c>
      <c r="H27" s="234">
        <v>0</v>
      </c>
      <c r="I27" s="234">
        <v>0</v>
      </c>
      <c r="J27" s="234">
        <v>0</v>
      </c>
    </row>
    <row r="28" spans="1:11" x14ac:dyDescent="0.2">
      <c r="A28" s="211"/>
      <c r="B28" s="219" t="s">
        <v>150</v>
      </c>
      <c r="C28" s="253">
        <f t="shared" ref="C28:J28" si="3">SUM(C23:C27)</f>
        <v>38.580000000000005</v>
      </c>
      <c r="D28" s="253">
        <f t="shared" si="3"/>
        <v>168.73999999999998</v>
      </c>
      <c r="E28" s="253">
        <f t="shared" si="3"/>
        <v>27.95</v>
      </c>
      <c r="F28" s="253">
        <f t="shared" si="3"/>
        <v>125.75</v>
      </c>
      <c r="G28" s="253">
        <f t="shared" si="3"/>
        <v>1.36</v>
      </c>
      <c r="H28" s="253">
        <f t="shared" si="3"/>
        <v>6.04</v>
      </c>
      <c r="I28" s="253">
        <f t="shared" si="3"/>
        <v>1.1000000000000001</v>
      </c>
      <c r="J28" s="253">
        <f t="shared" si="3"/>
        <v>4.82</v>
      </c>
    </row>
    <row r="29" spans="1:11" x14ac:dyDescent="0.2">
      <c r="A29" s="240" t="str">
        <f>'66'!A17</f>
        <v>$ indicates as on February 28, 2019</v>
      </c>
      <c r="B29" s="254"/>
      <c r="G29" s="243" t="s">
        <v>882</v>
      </c>
      <c r="H29" s="243" t="s">
        <v>882</v>
      </c>
      <c r="I29" s="243" t="s">
        <v>882</v>
      </c>
    </row>
    <row r="30" spans="1:11" x14ac:dyDescent="0.2">
      <c r="A30" s="255" t="s">
        <v>843</v>
      </c>
      <c r="B30" s="254"/>
      <c r="E30" s="243" t="s">
        <v>882</v>
      </c>
      <c r="G30" s="243" t="s">
        <v>882</v>
      </c>
    </row>
    <row r="31" spans="1:11" x14ac:dyDescent="0.2">
      <c r="A31" s="254" t="s">
        <v>800</v>
      </c>
    </row>
  </sheetData>
  <customSheetViews>
    <customSheetView guid="{B9B27D37-53F8-4AD8-9221-6458C3026417}" scale="120" showPageBreaks="1" fitToPage="1" printArea="1" view="pageBreakPreview" topLeftCell="A4">
      <selection activeCell="G7" sqref="G7"/>
      <pageMargins left="0.7" right="0.7" top="0.75" bottom="0.75" header="0.3" footer="0.3"/>
      <pageSetup paperSize="9" scale="82" orientation="portrait" r:id="rId1"/>
    </customSheetView>
    <customSheetView guid="{F9A1D58D-8337-4577-94AF-0D6370657575}" scale="120" showPageBreaks="1" fitToPage="1" printArea="1" view="pageBreakPreview" topLeftCell="A4">
      <selection activeCell="G7" sqref="G7"/>
      <pageMargins left="0.7" right="0.7" top="0.75" bottom="0.75" header="0.3" footer="0.3"/>
      <pageSetup paperSize="9" scale="82" orientation="portrait" r:id="rId2"/>
    </customSheetView>
  </customSheetViews>
  <mergeCells count="9">
    <mergeCell ref="A4:J4"/>
    <mergeCell ref="A22:J22"/>
    <mergeCell ref="A1:J1"/>
    <mergeCell ref="A2:A3"/>
    <mergeCell ref="B2:B3"/>
    <mergeCell ref="C2:D2"/>
    <mergeCell ref="E2:F2"/>
    <mergeCell ref="G2:H2"/>
    <mergeCell ref="I2:J2"/>
  </mergeCells>
  <pageMargins left="0.7" right="0.7" top="0.75" bottom="0.75" header="0.3" footer="0.3"/>
  <pageSetup paperSize="9" scale="82" orientation="portrait"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pageSetUpPr fitToPage="1"/>
  </sheetPr>
  <dimension ref="A1:L47"/>
  <sheetViews>
    <sheetView view="pageBreakPreview" topLeftCell="A16" zoomScale="110" zoomScaleNormal="115" zoomScaleSheetLayoutView="110" workbookViewId="0">
      <selection activeCell="G7" sqref="G7"/>
    </sheetView>
  </sheetViews>
  <sheetFormatPr defaultRowHeight="12.75" x14ac:dyDescent="0.2"/>
  <cols>
    <col min="1" max="1" width="5.7109375" style="243" bestFit="1" customWidth="1"/>
    <col min="2" max="2" width="20.42578125" style="243" customWidth="1"/>
    <col min="3" max="3" width="11.42578125" style="243" customWidth="1"/>
    <col min="4" max="4" width="13.85546875" style="243" customWidth="1"/>
    <col min="5" max="5" width="16.85546875" style="243" customWidth="1"/>
    <col min="6" max="6" width="13.28515625" style="243" customWidth="1"/>
    <col min="7" max="7" width="11.140625" style="243" customWidth="1"/>
    <col min="8" max="8" width="12.85546875" style="243" customWidth="1"/>
    <col min="9" max="9" width="11.140625" style="243" customWidth="1"/>
    <col min="10" max="10" width="15.42578125" style="243" customWidth="1"/>
    <col min="11" max="16384" width="9.140625" style="243"/>
  </cols>
  <sheetData>
    <row r="1" spans="1:12" ht="15" x14ac:dyDescent="0.2">
      <c r="A1" s="256" t="s">
        <v>966</v>
      </c>
      <c r="B1" s="256"/>
      <c r="C1" s="256"/>
      <c r="D1" s="256"/>
      <c r="E1" s="256"/>
      <c r="F1" s="256"/>
      <c r="G1" s="256"/>
      <c r="H1" s="256"/>
      <c r="I1" s="256"/>
      <c r="J1" s="256"/>
    </row>
    <row r="2" spans="1:12" x14ac:dyDescent="0.2">
      <c r="A2" s="578" t="s">
        <v>941</v>
      </c>
      <c r="B2" s="578" t="s">
        <v>807</v>
      </c>
      <c r="C2" s="576" t="s">
        <v>70</v>
      </c>
      <c r="D2" s="577"/>
      <c r="E2" s="576">
        <v>43159</v>
      </c>
      <c r="F2" s="577"/>
      <c r="G2" s="576">
        <v>43466</v>
      </c>
      <c r="H2" s="577"/>
      <c r="I2" s="576">
        <v>43497</v>
      </c>
      <c r="J2" s="577"/>
    </row>
    <row r="3" spans="1:12" ht="25.5" x14ac:dyDescent="0.2">
      <c r="A3" s="579"/>
      <c r="B3" s="579"/>
      <c r="C3" s="257" t="s">
        <v>909</v>
      </c>
      <c r="D3" s="258" t="s">
        <v>892</v>
      </c>
      <c r="E3" s="257" t="s">
        <v>909</v>
      </c>
      <c r="F3" s="258" t="s">
        <v>892</v>
      </c>
      <c r="G3" s="257" t="s">
        <v>909</v>
      </c>
      <c r="H3" s="258" t="s">
        <v>892</v>
      </c>
      <c r="I3" s="257" t="s">
        <v>909</v>
      </c>
      <c r="J3" s="258" t="s">
        <v>892</v>
      </c>
    </row>
    <row r="4" spans="1:12" x14ac:dyDescent="0.2">
      <c r="A4" s="259" t="s">
        <v>967</v>
      </c>
      <c r="B4" s="580" t="s">
        <v>881</v>
      </c>
      <c r="C4" s="581"/>
      <c r="D4" s="581"/>
      <c r="E4" s="581"/>
      <c r="F4" s="581"/>
      <c r="G4" s="581"/>
      <c r="H4" s="581"/>
      <c r="I4" s="581"/>
      <c r="J4" s="582"/>
    </row>
    <row r="5" spans="1:12" x14ac:dyDescent="0.2">
      <c r="A5" s="252">
        <v>1</v>
      </c>
      <c r="B5" s="260" t="s">
        <v>968</v>
      </c>
      <c r="C5" s="218">
        <v>575.43999999999994</v>
      </c>
      <c r="D5" s="218">
        <v>2504.8147100000001</v>
      </c>
      <c r="E5" s="218">
        <v>73.91</v>
      </c>
      <c r="F5" s="218">
        <v>801</v>
      </c>
      <c r="G5" s="261">
        <v>0</v>
      </c>
      <c r="H5" s="261">
        <v>0</v>
      </c>
      <c r="I5" s="261">
        <v>0</v>
      </c>
      <c r="J5" s="261">
        <v>0</v>
      </c>
    </row>
    <row r="6" spans="1:12" x14ac:dyDescent="0.2">
      <c r="A6" s="252">
        <v>2</v>
      </c>
      <c r="B6" s="260" t="s">
        <v>969</v>
      </c>
      <c r="C6" s="218">
        <v>293.40899999999999</v>
      </c>
      <c r="D6" s="218">
        <v>1148.3630459999997</v>
      </c>
      <c r="E6" s="218">
        <v>58.451000000000001</v>
      </c>
      <c r="F6" s="218">
        <v>260.60000000000002</v>
      </c>
      <c r="G6" s="261">
        <v>0</v>
      </c>
      <c r="H6" s="261">
        <v>0</v>
      </c>
      <c r="I6" s="261">
        <v>0</v>
      </c>
      <c r="J6" s="261">
        <v>0</v>
      </c>
    </row>
    <row r="7" spans="1:12" x14ac:dyDescent="0.2">
      <c r="A7" s="252">
        <v>3</v>
      </c>
      <c r="B7" s="260" t="s">
        <v>970</v>
      </c>
      <c r="C7" s="218">
        <v>268.35138000000001</v>
      </c>
      <c r="D7" s="218">
        <v>2222.6461600000007</v>
      </c>
      <c r="E7" s="218">
        <v>58.420999999999999</v>
      </c>
      <c r="F7" s="218">
        <v>601.04</v>
      </c>
      <c r="G7" s="261">
        <v>0</v>
      </c>
      <c r="H7" s="261">
        <v>0</v>
      </c>
      <c r="I7" s="261">
        <v>0</v>
      </c>
      <c r="J7" s="261">
        <v>0</v>
      </c>
    </row>
    <row r="8" spans="1:12" x14ac:dyDescent="0.2">
      <c r="A8" s="252">
        <v>4</v>
      </c>
      <c r="B8" s="260" t="s">
        <v>971</v>
      </c>
      <c r="C8" s="224">
        <v>7.8200000000000006E-2</v>
      </c>
      <c r="D8" s="218">
        <v>2.9585733000000003</v>
      </c>
      <c r="E8" s="262">
        <v>2.8600000000000007E-2</v>
      </c>
      <c r="F8" s="218">
        <v>1.17</v>
      </c>
      <c r="G8" s="261">
        <v>0</v>
      </c>
      <c r="H8" s="261">
        <v>0</v>
      </c>
      <c r="I8" s="261">
        <v>0</v>
      </c>
      <c r="J8" s="261">
        <v>0</v>
      </c>
    </row>
    <row r="9" spans="1:12" x14ac:dyDescent="0.2">
      <c r="A9" s="252">
        <v>5</v>
      </c>
      <c r="B9" s="260" t="s">
        <v>972</v>
      </c>
      <c r="C9" s="218">
        <v>1090.9100000000001</v>
      </c>
      <c r="D9" s="218">
        <v>3854.9999099999995</v>
      </c>
      <c r="E9" s="218">
        <v>232.4</v>
      </c>
      <c r="F9" s="218">
        <v>801.91</v>
      </c>
      <c r="G9" s="261">
        <v>0</v>
      </c>
      <c r="H9" s="261">
        <v>0</v>
      </c>
      <c r="I9" s="261">
        <v>0</v>
      </c>
      <c r="J9" s="261">
        <v>0</v>
      </c>
      <c r="K9" s="243" t="s">
        <v>882</v>
      </c>
    </row>
    <row r="10" spans="1:12" x14ac:dyDescent="0.2">
      <c r="A10" s="252">
        <v>6</v>
      </c>
      <c r="B10" s="260" t="s">
        <v>973</v>
      </c>
      <c r="C10" s="218">
        <v>857.20999999999992</v>
      </c>
      <c r="D10" s="218">
        <v>3629.4284029999994</v>
      </c>
      <c r="E10" s="218">
        <v>179.67</v>
      </c>
      <c r="F10" s="218">
        <v>764.76</v>
      </c>
      <c r="G10" s="261">
        <v>0</v>
      </c>
      <c r="H10" s="261">
        <v>0</v>
      </c>
      <c r="I10" s="261">
        <v>0</v>
      </c>
      <c r="J10" s="261">
        <v>0</v>
      </c>
    </row>
    <row r="11" spans="1:12" x14ac:dyDescent="0.2">
      <c r="A11" s="252">
        <v>7</v>
      </c>
      <c r="B11" s="260" t="s">
        <v>974</v>
      </c>
      <c r="C11" s="218">
        <v>92.518000000000001</v>
      </c>
      <c r="D11" s="218">
        <v>1170.23</v>
      </c>
      <c r="E11" s="218">
        <v>12.683</v>
      </c>
      <c r="F11" s="218">
        <v>162.22</v>
      </c>
      <c r="G11" s="218">
        <v>13.507999999999999</v>
      </c>
      <c r="H11" s="218">
        <v>169.87</v>
      </c>
      <c r="I11" s="218">
        <v>15.023</v>
      </c>
      <c r="J11" s="218">
        <v>189.9</v>
      </c>
    </row>
    <row r="12" spans="1:12" x14ac:dyDescent="0.2">
      <c r="A12" s="252">
        <v>8</v>
      </c>
      <c r="B12" s="263" t="s">
        <v>975</v>
      </c>
      <c r="C12" s="218">
        <v>407024.13</v>
      </c>
      <c r="D12" s="218">
        <v>14448.989700000002</v>
      </c>
      <c r="E12" s="218">
        <v>13068.82</v>
      </c>
      <c r="F12" s="218">
        <v>427.07</v>
      </c>
      <c r="G12" s="218">
        <v>82530.16</v>
      </c>
      <c r="H12" s="218">
        <v>2924.55</v>
      </c>
      <c r="I12" s="218">
        <v>126980.01</v>
      </c>
      <c r="J12" s="218">
        <v>4530.7897000000003</v>
      </c>
      <c r="L12" s="243" t="s">
        <v>882</v>
      </c>
    </row>
    <row r="13" spans="1:12" x14ac:dyDescent="0.2">
      <c r="A13" s="252">
        <v>9</v>
      </c>
      <c r="B13" s="263" t="s">
        <v>976</v>
      </c>
      <c r="C13" s="218">
        <v>24575.59</v>
      </c>
      <c r="D13" s="218">
        <v>389.95409999999998</v>
      </c>
      <c r="E13" s="218">
        <v>5502.74</v>
      </c>
      <c r="F13" s="218">
        <v>82.11</v>
      </c>
      <c r="G13" s="218">
        <v>929.06</v>
      </c>
      <c r="H13" s="218">
        <v>15.02</v>
      </c>
      <c r="I13" s="218">
        <v>44.01</v>
      </c>
      <c r="J13" s="218">
        <v>0.71409999999999996</v>
      </c>
    </row>
    <row r="14" spans="1:12" x14ac:dyDescent="0.2">
      <c r="A14" s="252">
        <v>10</v>
      </c>
      <c r="B14" s="263" t="s">
        <v>977</v>
      </c>
      <c r="C14" s="218">
        <v>55.61</v>
      </c>
      <c r="D14" s="218">
        <v>0.63339999999999996</v>
      </c>
      <c r="E14" s="218" t="s">
        <v>864</v>
      </c>
      <c r="F14" s="218" t="s">
        <v>864</v>
      </c>
      <c r="G14" s="218">
        <v>0.03</v>
      </c>
      <c r="H14" s="224">
        <v>2.9999999999999997E-4</v>
      </c>
      <c r="I14" s="261">
        <v>1</v>
      </c>
      <c r="J14" s="264">
        <v>1E-4</v>
      </c>
    </row>
    <row r="15" spans="1:12" x14ac:dyDescent="0.2">
      <c r="A15" s="252">
        <v>11</v>
      </c>
      <c r="B15" s="263" t="s">
        <v>978</v>
      </c>
      <c r="C15" s="218">
        <v>986.78</v>
      </c>
      <c r="D15" s="218">
        <v>3485.5032999999994</v>
      </c>
      <c r="E15" s="218" t="s">
        <v>864</v>
      </c>
      <c r="F15" s="218" t="s">
        <v>864</v>
      </c>
      <c r="G15" s="218">
        <v>158.53</v>
      </c>
      <c r="H15" s="218">
        <v>525.6</v>
      </c>
      <c r="I15" s="218">
        <v>175.93</v>
      </c>
      <c r="J15" s="218">
        <v>611.1</v>
      </c>
    </row>
    <row r="16" spans="1:12" x14ac:dyDescent="0.2">
      <c r="A16" s="252"/>
      <c r="B16" s="265" t="s">
        <v>979</v>
      </c>
      <c r="C16" s="266">
        <f>SUM(C5:C15)</f>
        <v>435820.02658000006</v>
      </c>
      <c r="D16" s="266">
        <f t="shared" ref="D16:J16" si="0">SUM(D5:D15)</f>
        <v>32858.521302300003</v>
      </c>
      <c r="E16" s="266">
        <f t="shared" si="0"/>
        <v>19187.123599999999</v>
      </c>
      <c r="F16" s="266">
        <f t="shared" si="0"/>
        <v>3901.8799999999997</v>
      </c>
      <c r="G16" s="266">
        <f t="shared" si="0"/>
        <v>83631.288</v>
      </c>
      <c r="H16" s="266">
        <f t="shared" si="0"/>
        <v>3635.0403000000001</v>
      </c>
      <c r="I16" s="266">
        <f t="shared" si="0"/>
        <v>127215.97299999998</v>
      </c>
      <c r="J16" s="266">
        <f t="shared" si="0"/>
        <v>5332.5039000000006</v>
      </c>
      <c r="K16" s="267"/>
    </row>
    <row r="17" spans="1:10" x14ac:dyDescent="0.2">
      <c r="A17" s="268" t="s">
        <v>980</v>
      </c>
      <c r="B17" s="583" t="s">
        <v>252</v>
      </c>
      <c r="C17" s="584"/>
      <c r="D17" s="584"/>
      <c r="E17" s="584"/>
      <c r="F17" s="584"/>
      <c r="G17" s="584"/>
      <c r="H17" s="584"/>
      <c r="I17" s="584"/>
      <c r="J17" s="584"/>
    </row>
    <row r="18" spans="1:10" x14ac:dyDescent="0.2">
      <c r="A18" s="252">
        <v>1</v>
      </c>
      <c r="B18" s="269" t="s">
        <v>808</v>
      </c>
      <c r="C18" s="270">
        <f>76.06/1000</f>
        <v>7.6060000000000003E-2</v>
      </c>
      <c r="D18" s="271">
        <v>24128.8233</v>
      </c>
      <c r="E18" s="272" t="s">
        <v>864</v>
      </c>
      <c r="F18" s="272" t="s">
        <v>864</v>
      </c>
      <c r="G18" s="273">
        <f>19.67/1000</f>
        <v>1.967E-2</v>
      </c>
      <c r="H18" s="272">
        <v>6324.35</v>
      </c>
      <c r="I18" s="273">
        <f>5.2/1000</f>
        <v>5.1999999999999998E-3</v>
      </c>
      <c r="J18" s="272">
        <v>1730.5033000000001</v>
      </c>
    </row>
    <row r="19" spans="1:10" x14ac:dyDescent="0.2">
      <c r="A19" s="252">
        <v>2</v>
      </c>
      <c r="B19" s="269" t="s">
        <v>809</v>
      </c>
      <c r="C19" s="270">
        <f>637.02/1000</f>
        <v>0.63702000000000003</v>
      </c>
      <c r="D19" s="271">
        <v>2423.4773649999997</v>
      </c>
      <c r="E19" s="272" t="s">
        <v>864</v>
      </c>
      <c r="F19" s="272" t="s">
        <v>864</v>
      </c>
      <c r="G19" s="273">
        <f>54.03/1000</f>
        <v>5.4030000000000002E-2</v>
      </c>
      <c r="H19" s="272">
        <v>214.15</v>
      </c>
      <c r="I19" s="273">
        <f>63.84/1000</f>
        <v>6.3840000000000008E-2</v>
      </c>
      <c r="J19" s="272">
        <v>256.20736499999998</v>
      </c>
    </row>
    <row r="20" spans="1:10" x14ac:dyDescent="0.2">
      <c r="A20" s="252">
        <v>3</v>
      </c>
      <c r="B20" s="269" t="s">
        <v>981</v>
      </c>
      <c r="C20" s="274">
        <f>7700/7.33</f>
        <v>1050.4774897680763</v>
      </c>
      <c r="D20" s="271">
        <v>4.29</v>
      </c>
      <c r="E20" s="272" t="s">
        <v>864</v>
      </c>
      <c r="F20" s="272" t="s">
        <v>864</v>
      </c>
      <c r="G20" s="261">
        <v>0</v>
      </c>
      <c r="H20" s="261">
        <v>0</v>
      </c>
      <c r="I20" s="261">
        <v>0</v>
      </c>
      <c r="J20" s="261">
        <v>0</v>
      </c>
    </row>
    <row r="21" spans="1:10" x14ac:dyDescent="0.2">
      <c r="A21" s="252">
        <v>4</v>
      </c>
      <c r="B21" s="269" t="s">
        <v>812</v>
      </c>
      <c r="C21" s="275">
        <f>0.02/1000</f>
        <v>2.0000000000000002E-5</v>
      </c>
      <c r="D21" s="276">
        <v>0.99</v>
      </c>
      <c r="E21" s="272" t="s">
        <v>864</v>
      </c>
      <c r="F21" s="272" t="s">
        <v>864</v>
      </c>
      <c r="G21" s="261">
        <v>0</v>
      </c>
      <c r="H21" s="261">
        <v>0</v>
      </c>
      <c r="I21" s="261">
        <v>0</v>
      </c>
      <c r="J21" s="261">
        <v>0</v>
      </c>
    </row>
    <row r="22" spans="1:10" x14ac:dyDescent="0.2">
      <c r="A22" s="252">
        <v>5</v>
      </c>
      <c r="B22" s="269" t="s">
        <v>982</v>
      </c>
      <c r="C22" s="275">
        <f>10.62/1000</f>
        <v>1.0619999999999999E-2</v>
      </c>
      <c r="D22" s="277">
        <v>4.5298910000000001</v>
      </c>
      <c r="E22" s="272"/>
      <c r="F22" s="272"/>
      <c r="G22" s="261">
        <v>0</v>
      </c>
      <c r="H22" s="261">
        <v>0</v>
      </c>
      <c r="I22" s="278">
        <f>10.6/1000</f>
        <v>1.06E-2</v>
      </c>
      <c r="J22" s="279">
        <v>3.5398909999999999</v>
      </c>
    </row>
    <row r="23" spans="1:10" x14ac:dyDescent="0.2">
      <c r="A23" s="252">
        <v>6</v>
      </c>
      <c r="B23" s="269" t="s">
        <v>983</v>
      </c>
      <c r="C23" s="275">
        <f>0.14/1000</f>
        <v>1.4000000000000001E-4</v>
      </c>
      <c r="D23" s="277">
        <v>1.1745049999999999</v>
      </c>
      <c r="E23" s="272"/>
      <c r="F23" s="272"/>
      <c r="G23" s="261"/>
      <c r="H23" s="261"/>
      <c r="I23" s="278">
        <f>0.14/1000</f>
        <v>1.4000000000000001E-4</v>
      </c>
      <c r="J23" s="279">
        <v>1.1745049999999999</v>
      </c>
    </row>
    <row r="24" spans="1:10" x14ac:dyDescent="0.2">
      <c r="A24" s="252">
        <v>7</v>
      </c>
      <c r="B24" s="269" t="s">
        <v>984</v>
      </c>
      <c r="C24" s="275">
        <f>297.98/1000</f>
        <v>0.29798000000000002</v>
      </c>
      <c r="D24" s="277">
        <v>1266.1916450000001</v>
      </c>
      <c r="E24" s="272"/>
      <c r="F24" s="272"/>
      <c r="G24" s="261"/>
      <c r="H24" s="261"/>
      <c r="I24" s="278">
        <f>297.98/1000</f>
        <v>0.29798000000000002</v>
      </c>
      <c r="J24" s="279">
        <v>1266.1916450000001</v>
      </c>
    </row>
    <row r="25" spans="1:10" x14ac:dyDescent="0.2">
      <c r="A25" s="252">
        <v>8</v>
      </c>
      <c r="B25" s="269" t="s">
        <v>818</v>
      </c>
      <c r="C25" s="275">
        <f>268.3/1000</f>
        <v>0.26830000000000004</v>
      </c>
      <c r="D25" s="277">
        <v>550.25189999999998</v>
      </c>
      <c r="E25" s="272"/>
      <c r="F25" s="272"/>
      <c r="G25" s="261"/>
      <c r="H25" s="261"/>
      <c r="I25" s="278">
        <f>268.3/1000</f>
        <v>0.26830000000000004</v>
      </c>
      <c r="J25" s="279">
        <v>550.25189999999998</v>
      </c>
    </row>
    <row r="26" spans="1:10" x14ac:dyDescent="0.2">
      <c r="A26" s="252"/>
      <c r="B26" s="280" t="s">
        <v>985</v>
      </c>
      <c r="C26" s="281">
        <f>SUM(C18:C25)</f>
        <v>1051.7676297680764</v>
      </c>
      <c r="D26" s="281">
        <f>SUM(D18:D25)</f>
        <v>28379.728605999997</v>
      </c>
      <c r="E26" s="281" t="s">
        <v>864</v>
      </c>
      <c r="F26" s="281" t="s">
        <v>864</v>
      </c>
      <c r="G26" s="282">
        <f>SUM(G18:G25)</f>
        <v>7.3700000000000002E-2</v>
      </c>
      <c r="H26" s="281">
        <f t="shared" ref="H26" si="1">SUM(H18:H21)</f>
        <v>6538.5</v>
      </c>
      <c r="I26" s="282">
        <f>SUM(I18:I25)</f>
        <v>0.64606000000000008</v>
      </c>
      <c r="J26" s="281">
        <f>SUM(J18:J25)</f>
        <v>3807.868606</v>
      </c>
    </row>
    <row r="27" spans="1:10" hidden="1" x14ac:dyDescent="0.2">
      <c r="A27" s="268" t="s">
        <v>986</v>
      </c>
      <c r="B27" s="585" t="s">
        <v>253</v>
      </c>
      <c r="C27" s="585"/>
      <c r="D27" s="585"/>
      <c r="E27" s="585"/>
      <c r="F27" s="585"/>
      <c r="G27" s="585"/>
      <c r="H27" s="585"/>
      <c r="I27" s="585"/>
      <c r="J27" s="585"/>
    </row>
    <row r="28" spans="1:10" hidden="1" x14ac:dyDescent="0.2">
      <c r="A28" s="252">
        <v>1</v>
      </c>
      <c r="B28" s="283" t="s">
        <v>808</v>
      </c>
      <c r="C28" s="283"/>
      <c r="D28" s="283"/>
      <c r="E28" s="279" t="s">
        <v>898</v>
      </c>
      <c r="F28" s="279" t="s">
        <v>898</v>
      </c>
      <c r="G28" s="279" t="s">
        <v>898</v>
      </c>
      <c r="H28" s="279" t="s">
        <v>898</v>
      </c>
      <c r="I28" s="283"/>
      <c r="J28" s="283"/>
    </row>
    <row r="29" spans="1:10" hidden="1" x14ac:dyDescent="0.2">
      <c r="A29" s="252">
        <v>2</v>
      </c>
      <c r="B29" s="283" t="s">
        <v>809</v>
      </c>
      <c r="C29" s="283"/>
      <c r="D29" s="283"/>
      <c r="E29" s="279" t="s">
        <v>898</v>
      </c>
      <c r="F29" s="279" t="s">
        <v>898</v>
      </c>
      <c r="G29" s="279" t="s">
        <v>898</v>
      </c>
      <c r="H29" s="279" t="s">
        <v>898</v>
      </c>
      <c r="I29" s="283"/>
      <c r="J29" s="283"/>
    </row>
    <row r="30" spans="1:10" ht="12.75" hidden="1" customHeight="1" x14ac:dyDescent="0.2">
      <c r="A30" s="284"/>
      <c r="B30" s="285" t="s">
        <v>987</v>
      </c>
      <c r="C30" s="286"/>
      <c r="D30" s="286">
        <v>696.19</v>
      </c>
      <c r="E30" s="279" t="s">
        <v>898</v>
      </c>
      <c r="F30" s="279" t="s">
        <v>898</v>
      </c>
      <c r="G30" s="279" t="s">
        <v>898</v>
      </c>
      <c r="H30" s="279" t="s">
        <v>898</v>
      </c>
      <c r="I30" s="286"/>
      <c r="J30" s="286">
        <v>696.19</v>
      </c>
    </row>
    <row r="31" spans="1:10" x14ac:dyDescent="0.2">
      <c r="A31" s="268" t="s">
        <v>986</v>
      </c>
      <c r="B31" s="583" t="s">
        <v>253</v>
      </c>
      <c r="C31" s="584"/>
      <c r="D31" s="584"/>
      <c r="E31" s="584"/>
      <c r="F31" s="584"/>
      <c r="G31" s="584"/>
      <c r="H31" s="584"/>
      <c r="I31" s="584"/>
      <c r="J31" s="584"/>
    </row>
    <row r="32" spans="1:10" x14ac:dyDescent="0.2">
      <c r="A32" s="252">
        <v>1</v>
      </c>
      <c r="B32" s="260" t="s">
        <v>808</v>
      </c>
      <c r="C32" s="273">
        <f>6.22/1000</f>
        <v>6.2199999999999998E-3</v>
      </c>
      <c r="D32" s="272">
        <v>1963.9908599999997</v>
      </c>
      <c r="E32" s="272" t="s">
        <v>864</v>
      </c>
      <c r="F32" s="272" t="s">
        <v>864</v>
      </c>
      <c r="G32" s="273">
        <f>0.68/1000</f>
        <v>6.8000000000000005E-4</v>
      </c>
      <c r="H32" s="272">
        <v>218.94258000000002</v>
      </c>
      <c r="I32" s="273">
        <f>0.16/1000</f>
        <v>1.6000000000000001E-4</v>
      </c>
      <c r="J32" s="272">
        <v>53.746589999999998</v>
      </c>
    </row>
    <row r="33" spans="1:10" x14ac:dyDescent="0.2">
      <c r="A33" s="252">
        <v>2</v>
      </c>
      <c r="B33" s="260" t="s">
        <v>988</v>
      </c>
      <c r="C33" s="273">
        <f>1.7/1000</f>
        <v>1.6999999999999999E-3</v>
      </c>
      <c r="D33" s="272">
        <v>558.3846010000002</v>
      </c>
      <c r="E33" s="272" t="s">
        <v>864</v>
      </c>
      <c r="F33" s="272" t="s">
        <v>864</v>
      </c>
      <c r="G33" s="273">
        <f>0.49/1000</f>
        <v>4.8999999999999998E-4</v>
      </c>
      <c r="H33" s="272">
        <v>156.02245500000004</v>
      </c>
      <c r="I33" s="273">
        <f>1.13/1000</f>
        <v>1.1299999999999999E-3</v>
      </c>
      <c r="J33" s="272">
        <v>376.00401600000015</v>
      </c>
    </row>
    <row r="34" spans="1:10" x14ac:dyDescent="0.2">
      <c r="A34" s="252">
        <v>3</v>
      </c>
      <c r="B34" s="260" t="s">
        <v>809</v>
      </c>
      <c r="C34" s="273">
        <f>128.22/1000</f>
        <v>0.12822</v>
      </c>
      <c r="D34" s="272">
        <v>491.842512</v>
      </c>
      <c r="E34" s="272" t="s">
        <v>864</v>
      </c>
      <c r="F34" s="272" t="s">
        <v>864</v>
      </c>
      <c r="G34" s="273">
        <f>18.72/1000</f>
        <v>1.8720000000000001E-2</v>
      </c>
      <c r="H34" s="272">
        <v>73.853925000000004</v>
      </c>
      <c r="I34" s="273">
        <f>17.16/1000</f>
        <v>1.7160000000000002E-2</v>
      </c>
      <c r="J34" s="272">
        <v>68.936868000000018</v>
      </c>
    </row>
    <row r="35" spans="1:10" x14ac:dyDescent="0.2">
      <c r="A35" s="252"/>
      <c r="B35" s="280" t="s">
        <v>987</v>
      </c>
      <c r="C35" s="282">
        <f>SUM(C32:C34)</f>
        <v>0.13614000000000001</v>
      </c>
      <c r="D35" s="281">
        <f>SUM(D32:D34)</f>
        <v>3014.2179729999998</v>
      </c>
      <c r="E35" s="281" t="s">
        <v>864</v>
      </c>
      <c r="F35" s="281" t="s">
        <v>864</v>
      </c>
      <c r="G35" s="282">
        <f t="shared" ref="G35:J35" si="2">SUM(G32:G34)</f>
        <v>1.9890000000000001E-2</v>
      </c>
      <c r="H35" s="281">
        <f t="shared" si="2"/>
        <v>448.81896000000006</v>
      </c>
      <c r="I35" s="282">
        <f>SUM(I32:I34)</f>
        <v>1.8450000000000001E-2</v>
      </c>
      <c r="J35" s="281">
        <f t="shared" si="2"/>
        <v>498.68747400000018</v>
      </c>
    </row>
    <row r="36" spans="1:10" x14ac:dyDescent="0.2">
      <c r="A36" s="166" t="str">
        <f>'66'!A17</f>
        <v>$ indicates as on February 28, 2019</v>
      </c>
      <c r="B36" s="191"/>
      <c r="C36" s="191"/>
      <c r="D36" s="191"/>
      <c r="E36" s="191"/>
    </row>
    <row r="37" spans="1:10" ht="26.25" customHeight="1" x14ac:dyDescent="0.2">
      <c r="A37" s="586" t="s">
        <v>1029</v>
      </c>
      <c r="B37" s="586"/>
      <c r="C37" s="586"/>
      <c r="D37" s="586"/>
      <c r="E37" s="586"/>
      <c r="F37" s="586"/>
      <c r="G37" s="586"/>
      <c r="H37" s="586"/>
      <c r="I37" s="586"/>
      <c r="J37" s="586"/>
    </row>
    <row r="38" spans="1:10" x14ac:dyDescent="0.2">
      <c r="A38" s="287"/>
      <c r="B38" s="586" t="s">
        <v>989</v>
      </c>
      <c r="C38" s="586"/>
      <c r="D38" s="586"/>
      <c r="E38" s="586"/>
      <c r="F38" s="586"/>
      <c r="G38" s="586"/>
      <c r="H38" s="586"/>
      <c r="I38" s="586"/>
      <c r="J38" s="586"/>
    </row>
    <row r="39" spans="1:10" ht="14.25" customHeight="1" x14ac:dyDescent="0.2">
      <c r="A39" s="287"/>
      <c r="B39" s="543" t="s">
        <v>990</v>
      </c>
      <c r="C39" s="543"/>
      <c r="D39" s="543"/>
      <c r="E39" s="543"/>
      <c r="F39" s="543"/>
      <c r="G39" s="543"/>
      <c r="H39" s="543"/>
      <c r="I39" s="543"/>
      <c r="J39" s="543"/>
    </row>
    <row r="40" spans="1:10" x14ac:dyDescent="0.2">
      <c r="A40" s="254" t="s">
        <v>991</v>
      </c>
      <c r="E40" s="272">
        <f>SUM(J23:J24)</f>
        <v>1267.3661500000001</v>
      </c>
      <c r="F40" s="288">
        <f>(E40/J26)*100</f>
        <v>33.282822521844132</v>
      </c>
      <c r="G40" s="288">
        <f>(J25/J26)*100</f>
        <v>14.450390938725576</v>
      </c>
      <c r="H40" s="272">
        <f>SUM(J18+J22)</f>
        <v>1734.043191</v>
      </c>
      <c r="I40" s="288">
        <f>(H40/J26)*100</f>
        <v>45.538419793889283</v>
      </c>
      <c r="J40" s="288">
        <f>(J19/J26)*100</f>
        <v>6.7283667455410088</v>
      </c>
    </row>
    <row r="41" spans="1:10" x14ac:dyDescent="0.2">
      <c r="A41" s="254"/>
      <c r="G41" s="243" t="s">
        <v>882</v>
      </c>
      <c r="H41" s="243" t="s">
        <v>882</v>
      </c>
    </row>
    <row r="43" spans="1:10" x14ac:dyDescent="0.2">
      <c r="C43" s="267"/>
      <c r="G43" s="267"/>
      <c r="I43" s="267"/>
    </row>
    <row r="44" spans="1:10" x14ac:dyDescent="0.2">
      <c r="C44" s="267"/>
      <c r="G44" s="267"/>
      <c r="I44" s="267"/>
    </row>
    <row r="46" spans="1:10" x14ac:dyDescent="0.2">
      <c r="H46" s="289"/>
      <c r="I46" s="290"/>
      <c r="J46" s="289"/>
    </row>
    <row r="47" spans="1:10" x14ac:dyDescent="0.2">
      <c r="I47" s="290"/>
    </row>
  </sheetData>
  <customSheetViews>
    <customSheetView guid="{B9B27D37-53F8-4AD8-9221-6458C3026417}" scale="110" showPageBreaks="1" fitToPage="1" printArea="1" hiddenRows="1" view="pageBreakPreview" topLeftCell="A16">
      <selection activeCell="G7" sqref="G7"/>
      <pageMargins left="0.7" right="0.7" top="0.75" bottom="0.75" header="0.3" footer="0.3"/>
      <pageSetup paperSize="9" scale="67" orientation="portrait" r:id="rId1"/>
    </customSheetView>
    <customSheetView guid="{F9A1D58D-8337-4577-94AF-0D6370657575}" scale="110" showPageBreaks="1" fitToPage="1" printArea="1" hiddenRows="1" view="pageBreakPreview" topLeftCell="A16">
      <selection activeCell="G7" sqref="G7"/>
      <pageMargins left="0.7" right="0.7" top="0.75" bottom="0.75" header="0.3" footer="0.3"/>
      <pageSetup paperSize="9" scale="67" orientation="portrait" r:id="rId2"/>
    </customSheetView>
  </customSheetViews>
  <mergeCells count="13">
    <mergeCell ref="B39:J39"/>
    <mergeCell ref="B4:J4"/>
    <mergeCell ref="B17:J17"/>
    <mergeCell ref="B27:J27"/>
    <mergeCell ref="B31:J31"/>
    <mergeCell ref="A37:J37"/>
    <mergeCell ref="B38:J38"/>
    <mergeCell ref="I2:J2"/>
    <mergeCell ref="A2:A3"/>
    <mergeCell ref="B2:B3"/>
    <mergeCell ref="C2:D2"/>
    <mergeCell ref="E2:F2"/>
    <mergeCell ref="G2:H2"/>
  </mergeCells>
  <pageMargins left="0.7" right="0.7" top="0.75" bottom="0.75" header="0.3" footer="0.3"/>
  <pageSetup paperSize="9" scale="67" orientation="portrait"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pageSetUpPr fitToPage="1"/>
  </sheetPr>
  <dimension ref="A1:N45"/>
  <sheetViews>
    <sheetView zoomScaleNormal="100" workbookViewId="0">
      <selection activeCell="B7" sqref="B7"/>
    </sheetView>
  </sheetViews>
  <sheetFormatPr defaultRowHeight="12.75" x14ac:dyDescent="0.2"/>
  <cols>
    <col min="1" max="1" width="55.5703125" style="4" customWidth="1"/>
    <col min="2" max="2" width="15" style="4" customWidth="1"/>
    <col min="3" max="3" width="12.140625" style="4" customWidth="1"/>
    <col min="4" max="4" width="13" style="4" customWidth="1"/>
    <col min="5" max="5" width="10.5703125" style="4" bestFit="1" customWidth="1"/>
    <col min="6" max="6" width="10.7109375" style="4" bestFit="1" customWidth="1"/>
    <col min="7" max="8" width="9.140625" style="4" customWidth="1"/>
    <col min="9" max="9" width="9.28515625" style="4" hidden="1" customWidth="1"/>
    <col min="10" max="12" width="9.140625" style="4" hidden="1" customWidth="1"/>
    <col min="13" max="13" width="10.140625" style="4" hidden="1" customWidth="1"/>
    <col min="14" max="16384" width="9.140625" style="4"/>
  </cols>
  <sheetData>
    <row r="1" spans="1:11" ht="15" customHeight="1" x14ac:dyDescent="0.25">
      <c r="A1" s="291" t="s">
        <v>1015</v>
      </c>
      <c r="B1" s="292"/>
      <c r="C1" s="292"/>
      <c r="D1" s="293"/>
      <c r="E1" s="592"/>
      <c r="F1" s="593"/>
      <c r="G1" s="294"/>
      <c r="H1" s="294"/>
      <c r="I1" s="295"/>
      <c r="K1" s="294"/>
    </row>
    <row r="2" spans="1:11" ht="18" customHeight="1" x14ac:dyDescent="0.25">
      <c r="A2" s="594" t="s">
        <v>992</v>
      </c>
      <c r="B2" s="595"/>
      <c r="C2" s="595"/>
      <c r="D2" s="589"/>
      <c r="E2" s="596">
        <v>14100119</v>
      </c>
      <c r="F2" s="597"/>
      <c r="G2" s="296"/>
      <c r="H2" s="296"/>
      <c r="I2" s="296"/>
      <c r="K2" s="296"/>
    </row>
    <row r="3" spans="1:11" ht="18" customHeight="1" x14ac:dyDescent="0.2">
      <c r="A3" s="594" t="s">
        <v>993</v>
      </c>
      <c r="B3" s="595"/>
      <c r="C3" s="595"/>
      <c r="D3" s="589"/>
      <c r="E3" s="590">
        <v>30.1</v>
      </c>
      <c r="F3" s="591"/>
      <c r="G3" s="296"/>
      <c r="H3" s="296"/>
      <c r="I3" s="296"/>
      <c r="K3" s="296"/>
    </row>
    <row r="4" spans="1:11" ht="18" customHeight="1" x14ac:dyDescent="0.2">
      <c r="A4" s="587" t="s">
        <v>994</v>
      </c>
      <c r="B4" s="588"/>
      <c r="C4" s="588"/>
      <c r="D4" s="589"/>
      <c r="E4" s="590">
        <v>32.299999999999997</v>
      </c>
      <c r="F4" s="591"/>
      <c r="G4" s="296"/>
      <c r="H4" s="296"/>
      <c r="I4" s="296"/>
      <c r="K4" s="296"/>
    </row>
    <row r="5" spans="1:11" ht="18.75" customHeight="1" x14ac:dyDescent="0.2">
      <c r="A5" s="297" t="s">
        <v>995</v>
      </c>
      <c r="B5" s="298">
        <v>43374</v>
      </c>
      <c r="C5" s="298">
        <v>43405</v>
      </c>
      <c r="D5" s="298">
        <v>43435</v>
      </c>
      <c r="E5" s="298">
        <v>43466</v>
      </c>
      <c r="F5" s="298">
        <v>43497</v>
      </c>
      <c r="G5" s="296"/>
      <c r="H5" s="296"/>
      <c r="I5" s="296"/>
      <c r="K5" s="296"/>
    </row>
    <row r="6" spans="1:11" ht="18.75" customHeight="1" x14ac:dyDescent="0.25">
      <c r="A6" s="299" t="s">
        <v>844</v>
      </c>
      <c r="B6" s="300">
        <v>4</v>
      </c>
      <c r="C6" s="300">
        <v>4</v>
      </c>
      <c r="D6" s="300">
        <v>4</v>
      </c>
      <c r="E6" s="300">
        <v>4</v>
      </c>
      <c r="F6" s="300">
        <v>4</v>
      </c>
      <c r="G6" s="296"/>
      <c r="H6" s="296"/>
      <c r="I6" s="296"/>
      <c r="K6" s="296" t="s">
        <v>996</v>
      </c>
    </row>
    <row r="7" spans="1:11" ht="18.75" customHeight="1" x14ac:dyDescent="0.25">
      <c r="A7" s="301" t="s">
        <v>845</v>
      </c>
      <c r="B7" s="302">
        <v>6.5</v>
      </c>
      <c r="C7" s="302">
        <v>6.5</v>
      </c>
      <c r="D7" s="302">
        <v>6.5</v>
      </c>
      <c r="E7" s="302">
        <v>6.5</v>
      </c>
      <c r="F7" s="302">
        <v>6.25</v>
      </c>
      <c r="G7" s="296"/>
      <c r="H7" s="296"/>
      <c r="I7" s="296"/>
      <c r="K7" s="296"/>
    </row>
    <row r="8" spans="1:11" ht="18.75" customHeight="1" x14ac:dyDescent="0.25">
      <c r="A8" s="303" t="s">
        <v>997</v>
      </c>
      <c r="B8" s="304">
        <v>144262.39999999999</v>
      </c>
      <c r="C8" s="304">
        <v>145187.9</v>
      </c>
      <c r="D8" s="304">
        <v>145515.70000000001</v>
      </c>
      <c r="E8" s="304">
        <v>147591.9</v>
      </c>
      <c r="F8" s="304">
        <v>149401</v>
      </c>
      <c r="G8" s="296"/>
      <c r="H8" s="296"/>
      <c r="I8" s="296"/>
      <c r="J8" s="4" t="s">
        <v>998</v>
      </c>
      <c r="K8" s="296"/>
    </row>
    <row r="9" spans="1:11" ht="18.75" customHeight="1" x14ac:dyDescent="0.25">
      <c r="A9" s="301" t="s">
        <v>999</v>
      </c>
      <c r="B9" s="304">
        <v>117711.2</v>
      </c>
      <c r="C9" s="304">
        <v>118135.8</v>
      </c>
      <c r="D9" s="304">
        <v>118182.1</v>
      </c>
      <c r="E9" s="304">
        <v>119864.6</v>
      </c>
      <c r="F9" s="304">
        <v>121211.8</v>
      </c>
      <c r="G9" s="305"/>
      <c r="H9" s="296"/>
      <c r="I9" s="296"/>
      <c r="J9" s="4" t="s">
        <v>1000</v>
      </c>
      <c r="K9" s="296"/>
    </row>
    <row r="10" spans="1:11" ht="18.75" customHeight="1" x14ac:dyDescent="0.25">
      <c r="A10" s="306" t="s">
        <v>1001</v>
      </c>
      <c r="B10" s="304">
        <v>90337.4</v>
      </c>
      <c r="C10" s="304">
        <v>91322.8</v>
      </c>
      <c r="D10" s="304">
        <v>92877.5</v>
      </c>
      <c r="E10" s="304">
        <v>93316.9</v>
      </c>
      <c r="F10" s="304">
        <v>94034.9</v>
      </c>
      <c r="G10" s="305"/>
      <c r="H10" s="296"/>
      <c r="I10" s="296"/>
      <c r="K10" s="296"/>
    </row>
    <row r="11" spans="1:11" ht="18.75" customHeight="1" x14ac:dyDescent="0.25">
      <c r="A11" s="307" t="s">
        <v>1002</v>
      </c>
      <c r="B11" s="308"/>
      <c r="C11" s="308"/>
      <c r="D11" s="308"/>
      <c r="E11" s="308"/>
      <c r="F11" s="308"/>
      <c r="G11" s="305"/>
      <c r="H11" s="296"/>
      <c r="I11" s="296"/>
      <c r="K11" s="296"/>
    </row>
    <row r="12" spans="1:11" ht="18.75" customHeight="1" x14ac:dyDescent="0.25">
      <c r="A12" s="309" t="s">
        <v>846</v>
      </c>
      <c r="B12" s="310">
        <v>6.5</v>
      </c>
      <c r="C12" s="310">
        <v>6.39</v>
      </c>
      <c r="D12" s="310">
        <v>6.57</v>
      </c>
      <c r="E12" s="310">
        <v>6.43</v>
      </c>
      <c r="F12" s="310">
        <v>6.29</v>
      </c>
      <c r="G12" s="305"/>
      <c r="H12" s="296"/>
      <c r="I12" s="296"/>
      <c r="K12" s="296"/>
    </row>
    <row r="13" spans="1:11" ht="18.75" customHeight="1" x14ac:dyDescent="0.25">
      <c r="A13" s="309" t="s">
        <v>847</v>
      </c>
      <c r="B13" s="302">
        <v>6.94</v>
      </c>
      <c r="C13" s="302">
        <v>6.77</v>
      </c>
      <c r="D13" s="302">
        <v>6.65</v>
      </c>
      <c r="E13" s="302">
        <v>6.6</v>
      </c>
      <c r="F13" s="302">
        <v>6.4</v>
      </c>
      <c r="G13" s="296"/>
      <c r="H13" s="296"/>
      <c r="I13" s="296"/>
      <c r="K13" s="296"/>
    </row>
    <row r="14" spans="1:11" ht="18.75" customHeight="1" x14ac:dyDescent="0.25">
      <c r="A14" s="309" t="s">
        <v>848</v>
      </c>
      <c r="B14" s="311" t="s">
        <v>849</v>
      </c>
      <c r="C14" s="311" t="s">
        <v>850</v>
      </c>
      <c r="D14" s="311" t="s">
        <v>850</v>
      </c>
      <c r="E14" s="311" t="s">
        <v>850</v>
      </c>
      <c r="F14" s="311" t="s">
        <v>850</v>
      </c>
      <c r="G14" s="305"/>
      <c r="H14" s="296"/>
      <c r="I14" s="296"/>
      <c r="K14" s="305"/>
    </row>
    <row r="15" spans="1:11" ht="18.75" customHeight="1" x14ac:dyDescent="0.25">
      <c r="A15" s="312" t="s">
        <v>851</v>
      </c>
      <c r="B15" s="302" t="s">
        <v>852</v>
      </c>
      <c r="C15" s="302" t="s">
        <v>853</v>
      </c>
      <c r="D15" s="302" t="s">
        <v>853</v>
      </c>
      <c r="E15" s="302" t="s">
        <v>853</v>
      </c>
      <c r="F15" s="302" t="s">
        <v>853</v>
      </c>
      <c r="G15" s="305"/>
      <c r="H15" s="296"/>
      <c r="I15" s="296"/>
      <c r="K15" s="305"/>
    </row>
    <row r="16" spans="1:11" ht="18.75" customHeight="1" x14ac:dyDescent="0.25">
      <c r="A16" s="307" t="s">
        <v>1003</v>
      </c>
      <c r="B16" s="308"/>
      <c r="C16" s="308"/>
      <c r="D16" s="308"/>
      <c r="E16" s="308"/>
      <c r="F16" s="308"/>
      <c r="G16" s="305"/>
      <c r="H16" s="296"/>
      <c r="I16" s="296"/>
      <c r="K16" s="296"/>
    </row>
    <row r="17" spans="1:14" ht="15.75" x14ac:dyDescent="0.3">
      <c r="A17" s="313" t="s">
        <v>1004</v>
      </c>
      <c r="B17" s="314">
        <v>811968.71</v>
      </c>
      <c r="C17" s="314">
        <v>669977.53</v>
      </c>
      <c r="D17" s="314">
        <v>650399.91</v>
      </c>
      <c r="E17" s="314">
        <v>727221.33</v>
      </c>
      <c r="F17" s="314">
        <v>689925.69</v>
      </c>
      <c r="G17" s="296"/>
      <c r="H17" s="315"/>
      <c r="I17" s="316"/>
      <c r="J17" s="317"/>
      <c r="K17" s="296" t="s">
        <v>1005</v>
      </c>
      <c r="L17" s="318"/>
      <c r="M17" s="319"/>
      <c r="N17" s="320"/>
    </row>
    <row r="18" spans="1:14" ht="15" x14ac:dyDescent="0.25">
      <c r="A18" s="321" t="s">
        <v>854</v>
      </c>
      <c r="B18" s="314">
        <v>13845109</v>
      </c>
      <c r="C18" s="322">
        <v>14288775.859999999</v>
      </c>
      <c r="D18" s="314">
        <v>14448465.689999999</v>
      </c>
      <c r="E18" s="314">
        <v>14099330.09</v>
      </c>
      <c r="F18" s="314">
        <v>14041530.33</v>
      </c>
      <c r="G18" s="296"/>
      <c r="I18" s="296"/>
      <c r="K18" s="296"/>
      <c r="L18" s="319"/>
    </row>
    <row r="19" spans="1:14" ht="15" x14ac:dyDescent="0.25">
      <c r="A19" s="321" t="s">
        <v>855</v>
      </c>
      <c r="B19" s="314">
        <v>13693825</v>
      </c>
      <c r="C19" s="314">
        <v>14122535</v>
      </c>
      <c r="D19" s="314">
        <v>14279083</v>
      </c>
      <c r="E19" s="314">
        <v>13916643</v>
      </c>
      <c r="F19" s="314">
        <v>13871449</v>
      </c>
      <c r="G19" s="296"/>
      <c r="H19" s="296"/>
      <c r="I19" s="296"/>
      <c r="K19" s="296" t="s">
        <v>1006</v>
      </c>
    </row>
    <row r="20" spans="1:14" ht="15" x14ac:dyDescent="0.25">
      <c r="A20" s="323" t="s">
        <v>856</v>
      </c>
      <c r="B20" s="304">
        <v>28921</v>
      </c>
      <c r="C20" s="304">
        <v>5980.89</v>
      </c>
      <c r="D20" s="304">
        <v>-229.91</v>
      </c>
      <c r="E20" s="304">
        <v>-7827.23</v>
      </c>
      <c r="F20" s="304">
        <v>17219.62</v>
      </c>
      <c r="G20" s="296"/>
      <c r="H20" s="296"/>
      <c r="I20" s="296"/>
      <c r="K20" s="296" t="s">
        <v>1007</v>
      </c>
    </row>
    <row r="21" spans="1:14" ht="15.75" x14ac:dyDescent="0.25">
      <c r="A21" s="307" t="s">
        <v>857</v>
      </c>
      <c r="B21" s="308"/>
      <c r="C21" s="308"/>
      <c r="D21" s="308"/>
      <c r="E21" s="308"/>
      <c r="F21" s="308"/>
      <c r="G21" s="305"/>
      <c r="H21" s="296"/>
      <c r="I21" s="296"/>
      <c r="K21" s="296"/>
    </row>
    <row r="22" spans="1:14" ht="15" x14ac:dyDescent="0.25">
      <c r="A22" s="313" t="s">
        <v>858</v>
      </c>
      <c r="B22" s="314">
        <v>392078.7</v>
      </c>
      <c r="C22" s="314">
        <v>393718</v>
      </c>
      <c r="D22" s="314">
        <v>393404.3</v>
      </c>
      <c r="E22" s="314">
        <v>398178.4</v>
      </c>
      <c r="F22" s="314">
        <v>399217.2</v>
      </c>
      <c r="G22" s="296"/>
      <c r="H22" s="296"/>
      <c r="I22" s="296"/>
      <c r="J22" s="4" t="s">
        <v>1008</v>
      </c>
      <c r="K22" s="296"/>
    </row>
    <row r="23" spans="1:14" ht="15" x14ac:dyDescent="0.25">
      <c r="A23" s="321" t="s">
        <v>859</v>
      </c>
      <c r="B23" s="302">
        <v>72.547399999999996</v>
      </c>
      <c r="C23" s="302">
        <v>69.66</v>
      </c>
      <c r="D23" s="302">
        <v>69.98</v>
      </c>
      <c r="E23" s="302">
        <v>71.11</v>
      </c>
      <c r="F23" s="302">
        <v>71.22</v>
      </c>
      <c r="G23" s="296"/>
      <c r="H23" s="296"/>
      <c r="I23" s="296"/>
      <c r="K23" s="296"/>
    </row>
    <row r="24" spans="1:14" ht="15" x14ac:dyDescent="0.25">
      <c r="A24" s="321" t="s">
        <v>860</v>
      </c>
      <c r="B24" s="324">
        <v>84.442800000000005</v>
      </c>
      <c r="C24" s="324">
        <v>79.36</v>
      </c>
      <c r="D24" s="324">
        <v>80.180000000000007</v>
      </c>
      <c r="E24" s="311">
        <v>80.5</v>
      </c>
      <c r="F24" s="311">
        <v>80.75</v>
      </c>
      <c r="G24" s="296"/>
      <c r="H24" s="296"/>
      <c r="I24" s="296"/>
      <c r="K24" s="296"/>
    </row>
    <row r="25" spans="1:14" ht="15" x14ac:dyDescent="0.25">
      <c r="A25" s="323" t="s">
        <v>861</v>
      </c>
      <c r="B25" s="324">
        <v>4.33</v>
      </c>
      <c r="C25" s="324">
        <v>4.3099999999999996</v>
      </c>
      <c r="D25" s="324">
        <v>4.09</v>
      </c>
      <c r="E25" s="302">
        <v>4.1100000000000003</v>
      </c>
      <c r="F25" s="302">
        <v>4.16</v>
      </c>
      <c r="G25" s="296"/>
      <c r="H25" s="296"/>
      <c r="I25" s="296"/>
      <c r="K25" s="296"/>
    </row>
    <row r="26" spans="1:14" ht="15.75" x14ac:dyDescent="0.25">
      <c r="A26" s="307" t="s">
        <v>862</v>
      </c>
      <c r="B26" s="308"/>
      <c r="C26" s="308"/>
      <c r="D26" s="308"/>
      <c r="E26" s="308"/>
      <c r="F26" s="308"/>
      <c r="G26" s="305"/>
      <c r="H26" s="296"/>
      <c r="I26" s="296"/>
      <c r="K26" s="296"/>
    </row>
    <row r="27" spans="1:14" ht="16.5" customHeight="1" x14ac:dyDescent="0.25">
      <c r="A27" s="313" t="s">
        <v>1009</v>
      </c>
      <c r="B27" s="325">
        <v>4010</v>
      </c>
      <c r="C27" s="325">
        <v>3670</v>
      </c>
      <c r="D27" s="325">
        <v>4030</v>
      </c>
      <c r="E27" s="325">
        <v>4510</v>
      </c>
      <c r="F27" s="325">
        <v>4990</v>
      </c>
      <c r="G27" s="296"/>
      <c r="H27" s="296"/>
      <c r="I27" s="296"/>
      <c r="K27" s="296"/>
    </row>
    <row r="28" spans="1:14" ht="15" x14ac:dyDescent="0.25">
      <c r="A28" s="321" t="s">
        <v>863</v>
      </c>
      <c r="B28" s="311">
        <v>121.7</v>
      </c>
      <c r="C28" s="311">
        <v>121.8</v>
      </c>
      <c r="D28" s="311">
        <v>120.1</v>
      </c>
      <c r="E28" s="311">
        <v>119.2</v>
      </c>
      <c r="F28" s="311" t="s">
        <v>864</v>
      </c>
      <c r="G28" s="296"/>
      <c r="H28" s="296"/>
      <c r="I28" s="296"/>
      <c r="K28" s="4" t="s">
        <v>1010</v>
      </c>
    </row>
    <row r="29" spans="1:14" ht="15" x14ac:dyDescent="0.25">
      <c r="A29" s="321" t="s">
        <v>865</v>
      </c>
      <c r="B29" s="311">
        <v>140.69999999999999</v>
      </c>
      <c r="C29" s="311">
        <v>140.80000000000001</v>
      </c>
      <c r="D29" s="311">
        <v>140.1</v>
      </c>
      <c r="E29" s="311">
        <v>139.69999999999999</v>
      </c>
      <c r="F29" s="311" t="s">
        <v>864</v>
      </c>
      <c r="G29" s="296"/>
      <c r="H29" s="296"/>
      <c r="I29" s="296"/>
      <c r="K29" s="326"/>
    </row>
    <row r="30" spans="1:14" ht="15.75" x14ac:dyDescent="0.25">
      <c r="A30" s="307" t="s">
        <v>866</v>
      </c>
      <c r="B30" s="308"/>
      <c r="C30" s="308"/>
      <c r="D30" s="308"/>
      <c r="E30" s="308"/>
      <c r="F30" s="308"/>
      <c r="G30" s="305"/>
      <c r="H30" s="296"/>
      <c r="I30" s="296"/>
    </row>
    <row r="31" spans="1:14" ht="15" x14ac:dyDescent="0.25">
      <c r="A31" s="313" t="s">
        <v>867</v>
      </c>
      <c r="B31" s="311">
        <v>132.4</v>
      </c>
      <c r="C31" s="311">
        <v>126.4</v>
      </c>
      <c r="D31" s="311">
        <v>133.69999999999999</v>
      </c>
      <c r="E31" s="311" t="s">
        <v>864</v>
      </c>
      <c r="F31" s="311" t="s">
        <v>864</v>
      </c>
      <c r="G31" s="296"/>
      <c r="H31" s="296"/>
      <c r="I31" s="296"/>
      <c r="K31" s="4" t="s">
        <v>1010</v>
      </c>
    </row>
    <row r="32" spans="1:14" ht="15" x14ac:dyDescent="0.25">
      <c r="A32" s="321" t="s">
        <v>868</v>
      </c>
      <c r="B32" s="311">
        <v>107.9</v>
      </c>
      <c r="C32" s="311">
        <v>110.6</v>
      </c>
      <c r="D32" s="311">
        <v>114.4</v>
      </c>
      <c r="E32" s="311" t="s">
        <v>864</v>
      </c>
      <c r="F32" s="311" t="s">
        <v>864</v>
      </c>
      <c r="G32" s="296"/>
      <c r="H32" s="296"/>
      <c r="I32" s="296"/>
      <c r="K32" s="326"/>
    </row>
    <row r="33" spans="1:11" ht="18.75" customHeight="1" x14ac:dyDescent="0.25">
      <c r="A33" s="321" t="s">
        <v>869</v>
      </c>
      <c r="B33" s="311">
        <v>133.5</v>
      </c>
      <c r="C33" s="311">
        <v>127.2</v>
      </c>
      <c r="D33" s="311">
        <v>135.5</v>
      </c>
      <c r="E33" s="311" t="s">
        <v>864</v>
      </c>
      <c r="F33" s="311" t="s">
        <v>864</v>
      </c>
      <c r="G33" s="296"/>
      <c r="H33" s="296"/>
      <c r="I33" s="296"/>
      <c r="K33" s="326"/>
    </row>
    <row r="34" spans="1:11" ht="18.75" customHeight="1" x14ac:dyDescent="0.25">
      <c r="A34" s="323" t="s">
        <v>870</v>
      </c>
      <c r="B34" s="311">
        <v>166</v>
      </c>
      <c r="C34" s="311">
        <v>147.19999999999999</v>
      </c>
      <c r="D34" s="311">
        <v>150.30000000000001</v>
      </c>
      <c r="E34" s="311" t="s">
        <v>864</v>
      </c>
      <c r="F34" s="311" t="s">
        <v>864</v>
      </c>
      <c r="G34" s="296"/>
      <c r="H34" s="296"/>
      <c r="I34" s="296"/>
      <c r="K34" s="326"/>
    </row>
    <row r="35" spans="1:11" ht="18.75" customHeight="1" x14ac:dyDescent="0.25">
      <c r="A35" s="307" t="s">
        <v>871</v>
      </c>
      <c r="B35" s="308"/>
      <c r="C35" s="308"/>
      <c r="D35" s="308"/>
      <c r="E35" s="308"/>
      <c r="F35" s="308"/>
      <c r="G35" s="305"/>
      <c r="H35" s="296"/>
      <c r="I35" s="296"/>
      <c r="K35" s="296"/>
    </row>
    <row r="36" spans="1:11" ht="18.75" customHeight="1" x14ac:dyDescent="0.2">
      <c r="A36" s="327" t="s">
        <v>872</v>
      </c>
      <c r="B36" s="328">
        <v>26976.59</v>
      </c>
      <c r="C36" s="328">
        <v>26502.2</v>
      </c>
      <c r="D36" s="328">
        <v>27927.72</v>
      </c>
      <c r="E36" s="328">
        <v>26360.18</v>
      </c>
      <c r="F36" s="328" t="s">
        <v>864</v>
      </c>
      <c r="G36" s="296"/>
      <c r="H36" s="296"/>
      <c r="I36" s="296"/>
      <c r="K36" s="329" t="s">
        <v>1011</v>
      </c>
    </row>
    <row r="37" spans="1:11" ht="18.75" customHeight="1" x14ac:dyDescent="0.2">
      <c r="A37" s="330" t="s">
        <v>873</v>
      </c>
      <c r="B37" s="331">
        <v>44107.65</v>
      </c>
      <c r="C37" s="331">
        <v>43172.91</v>
      </c>
      <c r="D37" s="331">
        <v>41005.01</v>
      </c>
      <c r="E37" s="331">
        <v>41085.81</v>
      </c>
      <c r="F37" s="331" t="s">
        <v>864</v>
      </c>
      <c r="G37" s="332"/>
      <c r="H37" s="332"/>
      <c r="J37" s="332"/>
    </row>
    <row r="38" spans="1:11" ht="18.75" customHeight="1" x14ac:dyDescent="0.2">
      <c r="A38" s="333" t="s">
        <v>874</v>
      </c>
      <c r="B38" s="334">
        <v>-17131</v>
      </c>
      <c r="C38" s="334">
        <v>-16670.71</v>
      </c>
      <c r="D38" s="334">
        <v>-13077.29</v>
      </c>
      <c r="E38" s="334">
        <v>-14725.63</v>
      </c>
      <c r="F38" s="334" t="s">
        <v>864</v>
      </c>
      <c r="G38" s="332"/>
      <c r="H38" s="332"/>
      <c r="J38" s="332"/>
    </row>
    <row r="39" spans="1:11" ht="18.75" customHeight="1" x14ac:dyDescent="0.2">
      <c r="A39" s="598" t="s">
        <v>882</v>
      </c>
      <c r="B39" s="598"/>
      <c r="C39" s="598"/>
      <c r="D39" s="598"/>
      <c r="E39" s="332"/>
      <c r="F39" s="332"/>
      <c r="G39" s="332"/>
      <c r="H39" s="332"/>
      <c r="J39" s="332"/>
    </row>
    <row r="40" spans="1:11" ht="18" customHeight="1" x14ac:dyDescent="0.2">
      <c r="A40" s="599" t="s">
        <v>1012</v>
      </c>
      <c r="B40" s="599"/>
      <c r="C40" s="599"/>
      <c r="D40" s="599"/>
      <c r="E40" s="599"/>
      <c r="F40" s="599"/>
      <c r="G40" s="332"/>
      <c r="H40" s="332"/>
      <c r="I40" s="332"/>
      <c r="K40" s="332"/>
    </row>
    <row r="41" spans="1:11" ht="18" customHeight="1" x14ac:dyDescent="0.2">
      <c r="A41" s="335" t="s">
        <v>1013</v>
      </c>
      <c r="B41" s="336"/>
      <c r="C41" s="336"/>
      <c r="D41" s="336"/>
      <c r="E41" s="336"/>
      <c r="F41" s="336"/>
      <c r="G41" s="332"/>
    </row>
    <row r="42" spans="1:11" ht="18" customHeight="1" x14ac:dyDescent="0.2">
      <c r="A42" s="599" t="s">
        <v>875</v>
      </c>
      <c r="B42" s="599"/>
      <c r="C42" s="599"/>
      <c r="D42" s="599"/>
      <c r="E42" s="599"/>
      <c r="F42" s="599"/>
      <c r="G42" s="332"/>
    </row>
    <row r="43" spans="1:11" ht="18" customHeight="1" x14ac:dyDescent="0.2">
      <c r="A43" s="599" t="s">
        <v>1014</v>
      </c>
      <c r="B43" s="599"/>
      <c r="C43" s="599"/>
      <c r="D43" s="599"/>
      <c r="E43" s="599"/>
      <c r="F43" s="599"/>
      <c r="G43" s="332"/>
    </row>
    <row r="44" spans="1:11" ht="18" customHeight="1" x14ac:dyDescent="0.2">
      <c r="A44" s="599" t="s">
        <v>876</v>
      </c>
      <c r="B44" s="599"/>
      <c r="C44" s="599"/>
      <c r="D44" s="599"/>
      <c r="E44" s="599"/>
      <c r="F44" s="599"/>
      <c r="G44" s="332"/>
      <c r="H44" s="332"/>
      <c r="I44" s="332"/>
      <c r="K44" s="332"/>
    </row>
    <row r="45" spans="1:11" ht="28.35" customHeight="1" x14ac:dyDescent="0.2">
      <c r="A45" s="337" t="s">
        <v>877</v>
      </c>
      <c r="B45" s="337"/>
      <c r="C45" s="337"/>
      <c r="D45" s="296"/>
      <c r="E45" s="296"/>
      <c r="F45" s="296"/>
      <c r="G45" s="338"/>
      <c r="H45" s="338"/>
      <c r="I45" s="338"/>
      <c r="K45" s="338"/>
    </row>
  </sheetData>
  <customSheetViews>
    <customSheetView guid="{B9B27D37-53F8-4AD8-9221-6458C3026417}" fitToPage="1" hiddenColumns="1">
      <selection activeCell="B7" sqref="B7"/>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 guid="{F9A1D58D-8337-4577-94AF-0D6370657575}" fitToPage="1" hiddenColumns="1">
      <selection activeCell="C11" sqref="C11"/>
      <pageMargins left="0.78431372549019618" right="0.78431372549019618" top="0.98039215686274517" bottom="0.98039215686274517" header="0.50980392156862753" footer="0.50980392156862753"/>
      <pageSetup paperSize="9" orientation="portrait" useFirstPageNumber="1"/>
      <headerFooter alignWithMargins="0"/>
    </customSheetView>
  </customSheetViews>
  <mergeCells count="12">
    <mergeCell ref="A39:D39"/>
    <mergeCell ref="A40:F40"/>
    <mergeCell ref="A42:F42"/>
    <mergeCell ref="A43:F43"/>
    <mergeCell ref="A44:F44"/>
    <mergeCell ref="A4:D4"/>
    <mergeCell ref="E4:F4"/>
    <mergeCell ref="E1:F1"/>
    <mergeCell ref="A2:D2"/>
    <mergeCell ref="E2:F2"/>
    <mergeCell ref="A3:D3"/>
    <mergeCell ref="E3:F3"/>
  </mergeCells>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77</vt:i4>
      </vt:variant>
      <vt:variant>
        <vt:lpstr>Named Ranges</vt:lpstr>
      </vt:variant>
      <vt:variant>
        <vt:i4>11</vt:i4>
      </vt:variant>
    </vt:vector>
  </HeadingPairs>
  <TitlesOfParts>
    <vt:vector size="88"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'65'!Print_Area</vt:lpstr>
      <vt:lpstr>'66'!Print_Area</vt:lpstr>
      <vt:lpstr>'67'!Print_Area</vt:lpstr>
      <vt:lpstr>'68'!Print_Area</vt:lpstr>
      <vt:lpstr>'69'!Print_Area</vt:lpstr>
      <vt:lpstr>'70'!Print_Area</vt:lpstr>
      <vt:lpstr>'71'!Print_Area</vt:lpstr>
      <vt:lpstr>'72'!Print_Area</vt:lpstr>
      <vt:lpstr>'73'!Print_Area</vt:lpstr>
      <vt:lpstr>'74'!Print_Area</vt:lpstr>
      <vt:lpstr>'75'!Print_Area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Laltu Pore</dc:creator>
  <cp:lastModifiedBy>Vanessa Quadri</cp:lastModifiedBy>
  <cp:lastPrinted>2019-03-20T10:31:34Z</cp:lastPrinted>
  <dcterms:created xsi:type="dcterms:W3CDTF">2019-03-19T08:04:54Z</dcterms:created>
  <dcterms:modified xsi:type="dcterms:W3CDTF">2019-03-26T06:57:43Z</dcterms:modified>
</cp:coreProperties>
</file>